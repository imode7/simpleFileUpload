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oon\Desktop\"/>
    </mc:Choice>
  </mc:AlternateContent>
  <xr:revisionPtr revIDLastSave="0" documentId="8_{EFAC3F57-E6E9-424C-A428-0A8975371FA5}" xr6:coauthVersionLast="36" xr6:coauthVersionMax="36" xr10:uidLastSave="{00000000-0000-0000-0000-000000000000}"/>
  <bookViews>
    <workbookView xWindow="-120" yWindow="-120" windowWidth="29040" windowHeight="15840" activeTab="6" xr2:uid="{00000000-000D-0000-FFFF-FFFF00000000}"/>
  </bookViews>
  <sheets>
    <sheet name="단지추출" sheetId="145" r:id="rId1"/>
    <sheet name="단지추출_가격표용" sheetId="262" r:id="rId2"/>
    <sheet name="동별가격표" sheetId="144" r:id="rId3"/>
    <sheet name="시세트래킹추출" sheetId="264" r:id="rId4"/>
    <sheet name="정보입력" sheetId="19" r:id="rId5"/>
    <sheet name="관양동" sheetId="265" r:id="rId6"/>
    <sheet name="비산동" sheetId="266" r:id="rId7"/>
    <sheet name="평촌동" sheetId="267" r:id="rId8"/>
    <sheet name="호계동" sheetId="268" r:id="rId9"/>
    <sheet name="양식" sheetId="34" r:id="rId10"/>
  </sheets>
  <definedNames>
    <definedName name="_xlnm._FilterDatabase" localSheetId="0" hidden="1">단지추출!$A$3:$AW$3</definedName>
    <definedName name="_xlnm._FilterDatabase" localSheetId="1" hidden="1">단지추출_가격표용!$A$3:$W$402</definedName>
    <definedName name="_xlnm._FilterDatabase" localSheetId="4" hidden="1">정보입력!$A$1:$AW$247</definedName>
    <definedName name="_xlnm.Print_Area" localSheetId="5">관양동!$A$1:$V$6</definedName>
    <definedName name="_xlnm.Print_Area" localSheetId="0">단지추출!$A$1:$U$3</definedName>
    <definedName name="_xlnm.Print_Area" localSheetId="1">단지추출_가격표용!$A$1:$U$3</definedName>
    <definedName name="_xlnm.Print_Area" localSheetId="6">비산동!$A$1:$V$6</definedName>
    <definedName name="_xlnm.Print_Area" localSheetId="9">양식!$A$1:$V$6</definedName>
    <definedName name="_xlnm.Print_Area" localSheetId="7">평촌동!$A$1:$V$6</definedName>
    <definedName name="_xlnm.Print_Area" localSheetId="8">호계동!$A$1:$V$6</definedName>
    <definedName name="_xlnm.Print_Titles" localSheetId="5">관양동!$1:$3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비산동!$1:$3</definedName>
    <definedName name="_xlnm.Print_Titles" localSheetId="9">양식!$1:$3</definedName>
    <definedName name="_xlnm.Print_Titles" localSheetId="7">평촌동!$1:$3</definedName>
    <definedName name="_xlnm.Print_Titles" localSheetId="8">호계동!$1:$3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8" i="266" l="1"/>
  <c r="AI18" i="266"/>
  <c r="AG18" i="266"/>
  <c r="AF18" i="266"/>
  <c r="AB18" i="266"/>
  <c r="AA18" i="266"/>
  <c r="Z18" i="266"/>
  <c r="Y18" i="266"/>
  <c r="X18" i="266"/>
  <c r="P18" i="266"/>
  <c r="O18" i="266"/>
  <c r="N18" i="266"/>
  <c r="M18" i="266"/>
  <c r="AC18" i="266" s="1"/>
  <c r="AD18" i="266" l="1"/>
  <c r="AE18" i="266"/>
  <c r="AU18" i="266"/>
  <c r="M48" i="265"/>
  <c r="A1" i="268" l="1"/>
  <c r="AQ239" i="268"/>
  <c r="AJ239" i="268"/>
  <c r="AI239" i="268"/>
  <c r="AG239" i="268"/>
  <c r="AF239" i="268"/>
  <c r="AB239" i="268"/>
  <c r="AA239" i="268"/>
  <c r="Z239" i="268"/>
  <c r="Y239" i="268"/>
  <c r="X239" i="268"/>
  <c r="P239" i="268"/>
  <c r="O239" i="268"/>
  <c r="N239" i="268"/>
  <c r="AP239" i="268" s="1"/>
  <c r="M239" i="268"/>
  <c r="AC239" i="268" s="1"/>
  <c r="AQ238" i="268"/>
  <c r="AJ238" i="268"/>
  <c r="AI238" i="268"/>
  <c r="AG238" i="268"/>
  <c r="AF238" i="268"/>
  <c r="AB238" i="268"/>
  <c r="AA238" i="268"/>
  <c r="Z238" i="268"/>
  <c r="Y238" i="268"/>
  <c r="X238" i="268"/>
  <c r="P238" i="268"/>
  <c r="O238" i="268"/>
  <c r="AR238" i="268" s="1"/>
  <c r="N238" i="268"/>
  <c r="AD238" i="268" s="1"/>
  <c r="M238" i="268"/>
  <c r="AC238" i="268" s="1"/>
  <c r="AU237" i="268"/>
  <c r="AQ237" i="268"/>
  <c r="AJ237" i="268"/>
  <c r="AI237" i="268"/>
  <c r="AG237" i="268"/>
  <c r="AF237" i="268"/>
  <c r="AE237" i="268"/>
  <c r="AB237" i="268"/>
  <c r="AA237" i="268"/>
  <c r="Z237" i="268"/>
  <c r="Y237" i="268"/>
  <c r="X237" i="268"/>
  <c r="P237" i="268"/>
  <c r="O237" i="268"/>
  <c r="N237" i="268"/>
  <c r="AP237" i="268" s="1"/>
  <c r="M237" i="268"/>
  <c r="AC237" i="268" s="1"/>
  <c r="AJ236" i="268"/>
  <c r="AI236" i="268"/>
  <c r="X236" i="268"/>
  <c r="AQ235" i="268"/>
  <c r="AJ235" i="268"/>
  <c r="AU235" i="268" s="1"/>
  <c r="AI235" i="268"/>
  <c r="AG235" i="268"/>
  <c r="AF235" i="268"/>
  <c r="AB235" i="268"/>
  <c r="AA235" i="268"/>
  <c r="Z235" i="268"/>
  <c r="Y235" i="268"/>
  <c r="X235" i="268"/>
  <c r="P235" i="268"/>
  <c r="O235" i="268"/>
  <c r="N235" i="268"/>
  <c r="AD235" i="268" s="1"/>
  <c r="M235" i="268"/>
  <c r="AQ234" i="268"/>
  <c r="AJ234" i="268"/>
  <c r="AU234" i="268" s="1"/>
  <c r="AI234" i="268"/>
  <c r="AG234" i="268"/>
  <c r="AF234" i="268"/>
  <c r="AE234" i="268"/>
  <c r="AB234" i="268"/>
  <c r="AA234" i="268"/>
  <c r="Z234" i="268"/>
  <c r="Y234" i="268"/>
  <c r="X234" i="268"/>
  <c r="P234" i="268"/>
  <c r="O234" i="268"/>
  <c r="N234" i="268"/>
  <c r="M234" i="268"/>
  <c r="AC234" i="268" s="1"/>
  <c r="AU233" i="268"/>
  <c r="AQ233" i="268"/>
  <c r="AJ233" i="268"/>
  <c r="AI233" i="268"/>
  <c r="AG233" i="268"/>
  <c r="AF233" i="268"/>
  <c r="AB233" i="268"/>
  <c r="AA233" i="268"/>
  <c r="Z233" i="268"/>
  <c r="Y233" i="268"/>
  <c r="X233" i="268"/>
  <c r="P233" i="268"/>
  <c r="O233" i="268"/>
  <c r="N233" i="268"/>
  <c r="AD233" i="268" s="1"/>
  <c r="M233" i="268"/>
  <c r="AC233" i="268" s="1"/>
  <c r="AJ232" i="268"/>
  <c r="AI232" i="268"/>
  <c r="X232" i="268"/>
  <c r="AU231" i="268"/>
  <c r="AQ231" i="268"/>
  <c r="AJ231" i="268"/>
  <c r="AI231" i="268"/>
  <c r="AG231" i="268"/>
  <c r="AF231" i="268"/>
  <c r="AB231" i="268"/>
  <c r="AA231" i="268"/>
  <c r="Z231" i="268"/>
  <c r="Y231" i="268"/>
  <c r="X231" i="268"/>
  <c r="P231" i="268"/>
  <c r="O231" i="268"/>
  <c r="N231" i="268"/>
  <c r="AP231" i="268" s="1"/>
  <c r="M231" i="268"/>
  <c r="AC231" i="268" s="1"/>
  <c r="AQ230" i="268"/>
  <c r="AJ230" i="268"/>
  <c r="AI230" i="268"/>
  <c r="AG230" i="268"/>
  <c r="AF230" i="268"/>
  <c r="AB230" i="268"/>
  <c r="AA230" i="268"/>
  <c r="Z230" i="268"/>
  <c r="Y230" i="268"/>
  <c r="X230" i="268"/>
  <c r="P230" i="268"/>
  <c r="O230" i="268"/>
  <c r="AE230" i="268" s="1"/>
  <c r="N230" i="268"/>
  <c r="AP230" i="268" s="1"/>
  <c r="M230" i="268"/>
  <c r="AC230" i="268" s="1"/>
  <c r="AQ229" i="268"/>
  <c r="AP229" i="268"/>
  <c r="AJ229" i="268"/>
  <c r="AU229" i="268" s="1"/>
  <c r="AI229" i="268"/>
  <c r="AG229" i="268"/>
  <c r="AF229" i="268"/>
  <c r="AB229" i="268"/>
  <c r="AA229" i="268"/>
  <c r="Z229" i="268"/>
  <c r="Y229" i="268"/>
  <c r="X229" i="268"/>
  <c r="P229" i="268"/>
  <c r="O229" i="268"/>
  <c r="N229" i="268"/>
  <c r="AD229" i="268" s="1"/>
  <c r="M229" i="268"/>
  <c r="AQ228" i="268"/>
  <c r="AJ228" i="268"/>
  <c r="AU228" i="268" s="1"/>
  <c r="AI228" i="268"/>
  <c r="AG228" i="268"/>
  <c r="AF228" i="268"/>
  <c r="AB228" i="268"/>
  <c r="AA228" i="268"/>
  <c r="Z228" i="268"/>
  <c r="Y228" i="268"/>
  <c r="X228" i="268"/>
  <c r="P228" i="268"/>
  <c r="O228" i="268"/>
  <c r="AE228" i="268" s="1"/>
  <c r="N228" i="268"/>
  <c r="M228" i="268"/>
  <c r="AC228" i="268" s="1"/>
  <c r="AU227" i="268"/>
  <c r="AQ227" i="268"/>
  <c r="AP227" i="268"/>
  <c r="AJ227" i="268"/>
  <c r="AI227" i="268"/>
  <c r="AG227" i="268"/>
  <c r="AF227" i="268"/>
  <c r="AB227" i="268"/>
  <c r="AA227" i="268"/>
  <c r="Z227" i="268"/>
  <c r="Y227" i="268"/>
  <c r="X227" i="268"/>
  <c r="P227" i="268"/>
  <c r="O227" i="268"/>
  <c r="N227" i="268"/>
  <c r="AD227" i="268" s="1"/>
  <c r="M227" i="268"/>
  <c r="AC227" i="268" s="1"/>
  <c r="AJ226" i="268"/>
  <c r="AI226" i="268"/>
  <c r="X226" i="268"/>
  <c r="AU225" i="268"/>
  <c r="AQ225" i="268"/>
  <c r="AJ225" i="268"/>
  <c r="AI225" i="268"/>
  <c r="AG225" i="268"/>
  <c r="AF225" i="268"/>
  <c r="AB225" i="268"/>
  <c r="AA225" i="268"/>
  <c r="Z225" i="268"/>
  <c r="Y225" i="268"/>
  <c r="X225" i="268"/>
  <c r="P225" i="268"/>
  <c r="O225" i="268"/>
  <c r="N225" i="268"/>
  <c r="AP225" i="268" s="1"/>
  <c r="M225" i="268"/>
  <c r="AC225" i="268" s="1"/>
  <c r="AQ224" i="268"/>
  <c r="AJ224" i="268"/>
  <c r="AI224" i="268"/>
  <c r="AG224" i="268"/>
  <c r="AF224" i="268"/>
  <c r="AE224" i="268"/>
  <c r="AB224" i="268"/>
  <c r="AA224" i="268"/>
  <c r="Z224" i="268"/>
  <c r="Y224" i="268"/>
  <c r="X224" i="268"/>
  <c r="P224" i="268"/>
  <c r="O224" i="268"/>
  <c r="N224" i="268"/>
  <c r="AP224" i="268" s="1"/>
  <c r="M224" i="268"/>
  <c r="AC224" i="268" s="1"/>
  <c r="AJ223" i="268"/>
  <c r="AI223" i="268"/>
  <c r="X223" i="268"/>
  <c r="AQ222" i="268"/>
  <c r="AJ222" i="268"/>
  <c r="AI222" i="268"/>
  <c r="AG222" i="268"/>
  <c r="AF222" i="268"/>
  <c r="AB222" i="268"/>
  <c r="AA222" i="268"/>
  <c r="Z222" i="268"/>
  <c r="Y222" i="268"/>
  <c r="X222" i="268"/>
  <c r="P222" i="268"/>
  <c r="O222" i="268"/>
  <c r="AE222" i="268" s="1"/>
  <c r="N222" i="268"/>
  <c r="AD222" i="268" s="1"/>
  <c r="M222" i="268"/>
  <c r="AC222" i="268" s="1"/>
  <c r="AU221" i="268"/>
  <c r="AQ221" i="268"/>
  <c r="AJ221" i="268"/>
  <c r="AI221" i="268"/>
  <c r="AG221" i="268"/>
  <c r="AF221" i="268"/>
  <c r="AB221" i="268"/>
  <c r="AA221" i="268"/>
  <c r="Z221" i="268"/>
  <c r="Y221" i="268"/>
  <c r="X221" i="268"/>
  <c r="P221" i="268"/>
  <c r="O221" i="268"/>
  <c r="AE221" i="268" s="1"/>
  <c r="N221" i="268"/>
  <c r="AP221" i="268" s="1"/>
  <c r="M221" i="268"/>
  <c r="AC221" i="268" s="1"/>
  <c r="AQ220" i="268"/>
  <c r="AJ220" i="268"/>
  <c r="AI220" i="268"/>
  <c r="AG220" i="268"/>
  <c r="AF220" i="268"/>
  <c r="AC220" i="268"/>
  <c r="AB220" i="268"/>
  <c r="AA220" i="268"/>
  <c r="Z220" i="268"/>
  <c r="Y220" i="268"/>
  <c r="X220" i="268"/>
  <c r="P220" i="268"/>
  <c r="O220" i="268"/>
  <c r="AE220" i="268" s="1"/>
  <c r="N220" i="268"/>
  <c r="AP220" i="268" s="1"/>
  <c r="M220" i="268"/>
  <c r="AJ219" i="268"/>
  <c r="AI219" i="268"/>
  <c r="X219" i="268"/>
  <c r="AQ218" i="268"/>
  <c r="AJ218" i="268"/>
  <c r="AU218" i="268" s="1"/>
  <c r="AI218" i="268"/>
  <c r="AG218" i="268"/>
  <c r="AF218" i="268"/>
  <c r="AB218" i="268"/>
  <c r="AA218" i="268"/>
  <c r="Z218" i="268"/>
  <c r="Y218" i="268"/>
  <c r="X218" i="268"/>
  <c r="P218" i="268"/>
  <c r="O218" i="268"/>
  <c r="AE218" i="268" s="1"/>
  <c r="N218" i="268"/>
  <c r="M218" i="268"/>
  <c r="AC218" i="268" s="1"/>
  <c r="AU217" i="268"/>
  <c r="AQ217" i="268"/>
  <c r="AJ217" i="268"/>
  <c r="AI217" i="268"/>
  <c r="AG217" i="268"/>
  <c r="AF217" i="268"/>
  <c r="AB217" i="268"/>
  <c r="AA217" i="268"/>
  <c r="Z217" i="268"/>
  <c r="Y217" i="268"/>
  <c r="X217" i="268"/>
  <c r="P217" i="268"/>
  <c r="O217" i="268"/>
  <c r="N217" i="268"/>
  <c r="AP217" i="268" s="1"/>
  <c r="M217" i="268"/>
  <c r="AC217" i="268" s="1"/>
  <c r="AQ216" i="268"/>
  <c r="AJ216" i="268"/>
  <c r="AI216" i="268"/>
  <c r="AG216" i="268"/>
  <c r="AF216" i="268"/>
  <c r="AB216" i="268"/>
  <c r="AA216" i="268"/>
  <c r="Z216" i="268"/>
  <c r="Y216" i="268"/>
  <c r="X216" i="268"/>
  <c r="P216" i="268"/>
  <c r="O216" i="268"/>
  <c r="AE216" i="268" s="1"/>
  <c r="N216" i="268"/>
  <c r="AP216" i="268" s="1"/>
  <c r="M216" i="268"/>
  <c r="AC216" i="268" s="1"/>
  <c r="AU215" i="268"/>
  <c r="AQ215" i="268"/>
  <c r="AJ215" i="268"/>
  <c r="AI215" i="268"/>
  <c r="AG215" i="268"/>
  <c r="AF215" i="268"/>
  <c r="AE215" i="268"/>
  <c r="AB215" i="268"/>
  <c r="AA215" i="268"/>
  <c r="Z215" i="268"/>
  <c r="Y215" i="268"/>
  <c r="X215" i="268"/>
  <c r="P215" i="268"/>
  <c r="O215" i="268"/>
  <c r="N215" i="268"/>
  <c r="AP215" i="268" s="1"/>
  <c r="M215" i="268"/>
  <c r="AC215" i="268" s="1"/>
  <c r="AJ214" i="268"/>
  <c r="AI214" i="268"/>
  <c r="X214" i="268"/>
  <c r="AQ213" i="268"/>
  <c r="AJ213" i="268"/>
  <c r="AU213" i="268" s="1"/>
  <c r="AI213" i="268"/>
  <c r="AG213" i="268"/>
  <c r="AF213" i="268"/>
  <c r="AB213" i="268"/>
  <c r="AA213" i="268"/>
  <c r="Z213" i="268"/>
  <c r="Y213" i="268"/>
  <c r="X213" i="268"/>
  <c r="P213" i="268"/>
  <c r="O213" i="268"/>
  <c r="N213" i="268"/>
  <c r="AD213" i="268" s="1"/>
  <c r="M213" i="268"/>
  <c r="AQ212" i="268"/>
  <c r="AJ212" i="268"/>
  <c r="AU212" i="268" s="1"/>
  <c r="AI212" i="268"/>
  <c r="AG212" i="268"/>
  <c r="AF212" i="268"/>
  <c r="AB212" i="268"/>
  <c r="AA212" i="268"/>
  <c r="Z212" i="268"/>
  <c r="Y212" i="268"/>
  <c r="X212" i="268"/>
  <c r="P212" i="268"/>
  <c r="O212" i="268"/>
  <c r="AE212" i="268" s="1"/>
  <c r="N212" i="268"/>
  <c r="M212" i="268"/>
  <c r="AC212" i="268" s="1"/>
  <c r="AU211" i="268"/>
  <c r="AQ211" i="268"/>
  <c r="AJ211" i="268"/>
  <c r="AI211" i="268"/>
  <c r="AG211" i="268"/>
  <c r="AF211" i="268"/>
  <c r="AB211" i="268"/>
  <c r="AA211" i="268"/>
  <c r="Z211" i="268"/>
  <c r="Y211" i="268"/>
  <c r="X211" i="268"/>
  <c r="P211" i="268"/>
  <c r="O211" i="268"/>
  <c r="N211" i="268"/>
  <c r="AD211" i="268" s="1"/>
  <c r="M211" i="268"/>
  <c r="AC211" i="268" s="1"/>
  <c r="AQ210" i="268"/>
  <c r="AJ210" i="268"/>
  <c r="AI210" i="268"/>
  <c r="AG210" i="268"/>
  <c r="AF210" i="268"/>
  <c r="AB210" i="268"/>
  <c r="AA210" i="268"/>
  <c r="Z210" i="268"/>
  <c r="Y210" i="268"/>
  <c r="X210" i="268"/>
  <c r="P210" i="268"/>
  <c r="O210" i="268"/>
  <c r="AE210" i="268" s="1"/>
  <c r="N210" i="268"/>
  <c r="AD210" i="268" s="1"/>
  <c r="M210" i="268"/>
  <c r="AC210" i="268" s="1"/>
  <c r="AU209" i="268"/>
  <c r="AQ209" i="268"/>
  <c r="AJ209" i="268"/>
  <c r="AI209" i="268"/>
  <c r="AG209" i="268"/>
  <c r="AF209" i="268"/>
  <c r="AB209" i="268"/>
  <c r="AA209" i="268"/>
  <c r="Z209" i="268"/>
  <c r="Y209" i="268"/>
  <c r="X209" i="268"/>
  <c r="P209" i="268"/>
  <c r="O209" i="268"/>
  <c r="AE209" i="268" s="1"/>
  <c r="N209" i="268"/>
  <c r="AP209" i="268" s="1"/>
  <c r="M209" i="268"/>
  <c r="AC209" i="268" s="1"/>
  <c r="AJ208" i="268"/>
  <c r="AI208" i="268"/>
  <c r="X208" i="268"/>
  <c r="AQ207" i="268"/>
  <c r="AJ207" i="268"/>
  <c r="AU207" i="268" s="1"/>
  <c r="AI207" i="268"/>
  <c r="AG207" i="268"/>
  <c r="AF207" i="268"/>
  <c r="AB207" i="268"/>
  <c r="AA207" i="268"/>
  <c r="Z207" i="268"/>
  <c r="Y207" i="268"/>
  <c r="X207" i="268"/>
  <c r="P207" i="268"/>
  <c r="O207" i="268"/>
  <c r="N207" i="268"/>
  <c r="AP207" i="268" s="1"/>
  <c r="M207" i="268"/>
  <c r="AQ206" i="268"/>
  <c r="AJ206" i="268"/>
  <c r="AU206" i="268" s="1"/>
  <c r="AI206" i="268"/>
  <c r="AG206" i="268"/>
  <c r="AF206" i="268"/>
  <c r="AB206" i="268"/>
  <c r="AA206" i="268"/>
  <c r="Z206" i="268"/>
  <c r="Y206" i="268"/>
  <c r="X206" i="268"/>
  <c r="P206" i="268"/>
  <c r="O206" i="268"/>
  <c r="AE206" i="268" s="1"/>
  <c r="N206" i="268"/>
  <c r="M206" i="268"/>
  <c r="AC206" i="268" s="1"/>
  <c r="AU205" i="268"/>
  <c r="AQ205" i="268"/>
  <c r="AJ205" i="268"/>
  <c r="AI205" i="268"/>
  <c r="AG205" i="268"/>
  <c r="AF205" i="268"/>
  <c r="AB205" i="268"/>
  <c r="AA205" i="268"/>
  <c r="Z205" i="268"/>
  <c r="Y205" i="268"/>
  <c r="X205" i="268"/>
  <c r="P205" i="268"/>
  <c r="O205" i="268"/>
  <c r="N205" i="268"/>
  <c r="AD205" i="268" s="1"/>
  <c r="M205" i="268"/>
  <c r="AC205" i="268" s="1"/>
  <c r="AJ204" i="268"/>
  <c r="AI204" i="268"/>
  <c r="X204" i="268"/>
  <c r="AU203" i="268"/>
  <c r="AQ203" i="268"/>
  <c r="AJ203" i="268"/>
  <c r="AI203" i="268"/>
  <c r="AG203" i="268"/>
  <c r="AF203" i="268"/>
  <c r="AB203" i="268"/>
  <c r="AA203" i="268"/>
  <c r="Z203" i="268"/>
  <c r="Y203" i="268"/>
  <c r="X203" i="268"/>
  <c r="P203" i="268"/>
  <c r="O203" i="268"/>
  <c r="N203" i="268"/>
  <c r="AP203" i="268" s="1"/>
  <c r="M203" i="268"/>
  <c r="AC203" i="268" s="1"/>
  <c r="AQ202" i="268"/>
  <c r="AJ202" i="268"/>
  <c r="AI202" i="268"/>
  <c r="AG202" i="268"/>
  <c r="AF202" i="268"/>
  <c r="AE202" i="268"/>
  <c r="AB202" i="268"/>
  <c r="AA202" i="268"/>
  <c r="Z202" i="268"/>
  <c r="Y202" i="268"/>
  <c r="X202" i="268"/>
  <c r="P202" i="268"/>
  <c r="O202" i="268"/>
  <c r="N202" i="268"/>
  <c r="AP202" i="268" s="1"/>
  <c r="M202" i="268"/>
  <c r="AC202" i="268" s="1"/>
  <c r="AJ201" i="268"/>
  <c r="AI201" i="268"/>
  <c r="X201" i="268"/>
  <c r="AQ200" i="268"/>
  <c r="AJ200" i="268"/>
  <c r="AI200" i="268"/>
  <c r="AG200" i="268"/>
  <c r="AF200" i="268"/>
  <c r="AB200" i="268"/>
  <c r="AA200" i="268"/>
  <c r="Z200" i="268"/>
  <c r="Y200" i="268"/>
  <c r="X200" i="268"/>
  <c r="P200" i="268"/>
  <c r="O200" i="268"/>
  <c r="AE200" i="268" s="1"/>
  <c r="N200" i="268"/>
  <c r="AD200" i="268" s="1"/>
  <c r="M200" i="268"/>
  <c r="AC200" i="268" s="1"/>
  <c r="AU199" i="268"/>
  <c r="AQ199" i="268"/>
  <c r="AJ199" i="268"/>
  <c r="AI199" i="268"/>
  <c r="AG199" i="268"/>
  <c r="AF199" i="268"/>
  <c r="AB199" i="268"/>
  <c r="AA199" i="268"/>
  <c r="Z199" i="268"/>
  <c r="Y199" i="268"/>
  <c r="X199" i="268"/>
  <c r="P199" i="268"/>
  <c r="O199" i="268"/>
  <c r="AE199" i="268" s="1"/>
  <c r="N199" i="268"/>
  <c r="AP199" i="268" s="1"/>
  <c r="M199" i="268"/>
  <c r="AC199" i="268" s="1"/>
  <c r="AQ198" i="268"/>
  <c r="AJ198" i="268"/>
  <c r="AI198" i="268"/>
  <c r="AG198" i="268"/>
  <c r="AF198" i="268"/>
  <c r="AC198" i="268"/>
  <c r="AB198" i="268"/>
  <c r="AA198" i="268"/>
  <c r="Z198" i="268"/>
  <c r="Y198" i="268"/>
  <c r="X198" i="268"/>
  <c r="P198" i="268"/>
  <c r="O198" i="268"/>
  <c r="AE198" i="268" s="1"/>
  <c r="N198" i="268"/>
  <c r="AP198" i="268" s="1"/>
  <c r="M198" i="268"/>
  <c r="AJ197" i="268"/>
  <c r="AI197" i="268"/>
  <c r="X197" i="268"/>
  <c r="AQ196" i="268"/>
  <c r="AJ196" i="268"/>
  <c r="AU196" i="268" s="1"/>
  <c r="AI196" i="268"/>
  <c r="AG196" i="268"/>
  <c r="AF196" i="268"/>
  <c r="AB196" i="268"/>
  <c r="AA196" i="268"/>
  <c r="Z196" i="268"/>
  <c r="Y196" i="268"/>
  <c r="X196" i="268"/>
  <c r="P196" i="268"/>
  <c r="O196" i="268"/>
  <c r="AE196" i="268" s="1"/>
  <c r="N196" i="268"/>
  <c r="M196" i="268"/>
  <c r="AC196" i="268" s="1"/>
  <c r="AU195" i="268"/>
  <c r="AQ195" i="268"/>
  <c r="AJ195" i="268"/>
  <c r="AI195" i="268"/>
  <c r="AG195" i="268"/>
  <c r="AF195" i="268"/>
  <c r="AB195" i="268"/>
  <c r="AA195" i="268"/>
  <c r="Z195" i="268"/>
  <c r="Y195" i="268"/>
  <c r="X195" i="268"/>
  <c r="P195" i="268"/>
  <c r="O195" i="268"/>
  <c r="N195" i="268"/>
  <c r="AP195" i="268" s="1"/>
  <c r="M195" i="268"/>
  <c r="AC195" i="268" s="1"/>
  <c r="AJ194" i="268"/>
  <c r="AI194" i="268"/>
  <c r="X194" i="268"/>
  <c r="AU193" i="268"/>
  <c r="AQ193" i="268"/>
  <c r="AJ193" i="268"/>
  <c r="AI193" i="268"/>
  <c r="AG193" i="268"/>
  <c r="AF193" i="268"/>
  <c r="AB193" i="268"/>
  <c r="AA193" i="268"/>
  <c r="Z193" i="268"/>
  <c r="Y193" i="268"/>
  <c r="X193" i="268"/>
  <c r="P193" i="268"/>
  <c r="O193" i="268"/>
  <c r="N193" i="268"/>
  <c r="AD193" i="268" s="1"/>
  <c r="M193" i="268"/>
  <c r="AC193" i="268" s="1"/>
  <c r="AQ192" i="268"/>
  <c r="AJ192" i="268"/>
  <c r="AI192" i="268"/>
  <c r="AG192" i="268"/>
  <c r="AF192" i="268"/>
  <c r="AB192" i="268"/>
  <c r="AA192" i="268"/>
  <c r="Z192" i="268"/>
  <c r="Y192" i="268"/>
  <c r="X192" i="268"/>
  <c r="P192" i="268"/>
  <c r="O192" i="268"/>
  <c r="AE192" i="268" s="1"/>
  <c r="N192" i="268"/>
  <c r="AP192" i="268" s="1"/>
  <c r="M192" i="268"/>
  <c r="AC192" i="268" s="1"/>
  <c r="AQ191" i="268"/>
  <c r="AJ191" i="268"/>
  <c r="AU191" i="268" s="1"/>
  <c r="AI191" i="268"/>
  <c r="AG191" i="268"/>
  <c r="AF191" i="268"/>
  <c r="AB191" i="268"/>
  <c r="AA191" i="268"/>
  <c r="Z191" i="268"/>
  <c r="Y191" i="268"/>
  <c r="X191" i="268"/>
  <c r="P191" i="268"/>
  <c r="O191" i="268"/>
  <c r="N191" i="268"/>
  <c r="AD191" i="268" s="1"/>
  <c r="M191" i="268"/>
  <c r="AJ190" i="268"/>
  <c r="AI190" i="268"/>
  <c r="X190" i="268"/>
  <c r="AU189" i="268"/>
  <c r="AQ189" i="268"/>
  <c r="AJ189" i="268"/>
  <c r="AI189" i="268"/>
  <c r="AG189" i="268"/>
  <c r="AF189" i="268"/>
  <c r="AB189" i="268"/>
  <c r="AA189" i="268"/>
  <c r="Z189" i="268"/>
  <c r="Y189" i="268"/>
  <c r="X189" i="268"/>
  <c r="P189" i="268"/>
  <c r="O189" i="268"/>
  <c r="AE189" i="268" s="1"/>
  <c r="N189" i="268"/>
  <c r="AP189" i="268" s="1"/>
  <c r="M189" i="268"/>
  <c r="AC189" i="268" s="1"/>
  <c r="AQ188" i="268"/>
  <c r="AJ188" i="268"/>
  <c r="AO188" i="268" s="1"/>
  <c r="AI188" i="268"/>
  <c r="AG188" i="268"/>
  <c r="AF188" i="268"/>
  <c r="AB188" i="268"/>
  <c r="AA188" i="268"/>
  <c r="Z188" i="268"/>
  <c r="Y188" i="268"/>
  <c r="X188" i="268"/>
  <c r="P188" i="268"/>
  <c r="O188" i="268"/>
  <c r="AE188" i="268" s="1"/>
  <c r="N188" i="268"/>
  <c r="AP188" i="268" s="1"/>
  <c r="M188" i="268"/>
  <c r="AC188" i="268" s="1"/>
  <c r="AU187" i="268"/>
  <c r="AQ187" i="268"/>
  <c r="AJ187" i="268"/>
  <c r="AI187" i="268"/>
  <c r="AG187" i="268"/>
  <c r="AF187" i="268"/>
  <c r="AB187" i="268"/>
  <c r="AA187" i="268"/>
  <c r="Z187" i="268"/>
  <c r="Y187" i="268"/>
  <c r="X187" i="268"/>
  <c r="P187" i="268"/>
  <c r="O187" i="268"/>
  <c r="N187" i="268"/>
  <c r="AP187" i="268" s="1"/>
  <c r="M187" i="268"/>
  <c r="AC187" i="268" s="1"/>
  <c r="AJ186" i="268"/>
  <c r="AI186" i="268"/>
  <c r="X186" i="268"/>
  <c r="AU185" i="268"/>
  <c r="AQ185" i="268"/>
  <c r="AJ185" i="268"/>
  <c r="AI185" i="268"/>
  <c r="AG185" i="268"/>
  <c r="AF185" i="268"/>
  <c r="AB185" i="268"/>
  <c r="AA185" i="268"/>
  <c r="Z185" i="268"/>
  <c r="Y185" i="268"/>
  <c r="X185" i="268"/>
  <c r="P185" i="268"/>
  <c r="O185" i="268"/>
  <c r="N185" i="268"/>
  <c r="AD185" i="268" s="1"/>
  <c r="M185" i="268"/>
  <c r="AC185" i="268" s="1"/>
  <c r="AQ184" i="268"/>
  <c r="AJ184" i="268"/>
  <c r="AI184" i="268"/>
  <c r="AG184" i="268"/>
  <c r="AF184" i="268"/>
  <c r="AB184" i="268"/>
  <c r="AA184" i="268"/>
  <c r="Z184" i="268"/>
  <c r="Y184" i="268"/>
  <c r="X184" i="268"/>
  <c r="P184" i="268"/>
  <c r="O184" i="268"/>
  <c r="AE184" i="268" s="1"/>
  <c r="N184" i="268"/>
  <c r="AD184" i="268" s="1"/>
  <c r="M184" i="268"/>
  <c r="AC184" i="268" s="1"/>
  <c r="AJ183" i="268"/>
  <c r="AI183" i="268"/>
  <c r="X183" i="268"/>
  <c r="AQ182" i="268"/>
  <c r="AJ182" i="268"/>
  <c r="AI182" i="268"/>
  <c r="AG182" i="268"/>
  <c r="AF182" i="268"/>
  <c r="AB182" i="268"/>
  <c r="AA182" i="268"/>
  <c r="Z182" i="268"/>
  <c r="Y182" i="268"/>
  <c r="X182" i="268"/>
  <c r="P182" i="268"/>
  <c r="O182" i="268"/>
  <c r="AE182" i="268" s="1"/>
  <c r="N182" i="268"/>
  <c r="AP182" i="268" s="1"/>
  <c r="M182" i="268"/>
  <c r="AC182" i="268" s="1"/>
  <c r="AQ181" i="268"/>
  <c r="AJ181" i="268"/>
  <c r="AU181" i="268" s="1"/>
  <c r="AI181" i="268"/>
  <c r="AG181" i="268"/>
  <c r="AF181" i="268"/>
  <c r="AB181" i="268"/>
  <c r="AA181" i="268"/>
  <c r="Z181" i="268"/>
  <c r="Y181" i="268"/>
  <c r="X181" i="268"/>
  <c r="P181" i="268"/>
  <c r="O181" i="268"/>
  <c r="N181" i="268"/>
  <c r="AD181" i="268" s="1"/>
  <c r="M181" i="268"/>
  <c r="AQ180" i="268"/>
  <c r="AJ180" i="268"/>
  <c r="AU180" i="268" s="1"/>
  <c r="AI180" i="268"/>
  <c r="AG180" i="268"/>
  <c r="AF180" i="268"/>
  <c r="AB180" i="268"/>
  <c r="AA180" i="268"/>
  <c r="Z180" i="268"/>
  <c r="Y180" i="268"/>
  <c r="X180" i="268"/>
  <c r="P180" i="268"/>
  <c r="O180" i="268"/>
  <c r="AE180" i="268" s="1"/>
  <c r="N180" i="268"/>
  <c r="M180" i="268"/>
  <c r="AC180" i="268" s="1"/>
  <c r="AU179" i="268"/>
  <c r="AQ179" i="268"/>
  <c r="AJ179" i="268"/>
  <c r="AI179" i="268"/>
  <c r="AG179" i="268"/>
  <c r="AF179" i="268"/>
  <c r="AB179" i="268"/>
  <c r="AA179" i="268"/>
  <c r="Z179" i="268"/>
  <c r="Y179" i="268"/>
  <c r="X179" i="268"/>
  <c r="P179" i="268"/>
  <c r="O179" i="268"/>
  <c r="AE179" i="268" s="1"/>
  <c r="N179" i="268"/>
  <c r="AD179" i="268" s="1"/>
  <c r="M179" i="268"/>
  <c r="AC179" i="268" s="1"/>
  <c r="AQ178" i="268"/>
  <c r="AJ178" i="268"/>
  <c r="AI178" i="268"/>
  <c r="AG178" i="268"/>
  <c r="AF178" i="268"/>
  <c r="AB178" i="268"/>
  <c r="AA178" i="268"/>
  <c r="Z178" i="268"/>
  <c r="Y178" i="268"/>
  <c r="X178" i="268"/>
  <c r="P178" i="268"/>
  <c r="O178" i="268"/>
  <c r="AE178" i="268" s="1"/>
  <c r="N178" i="268"/>
  <c r="AD178" i="268" s="1"/>
  <c r="M178" i="268"/>
  <c r="AC178" i="268" s="1"/>
  <c r="AU177" i="268"/>
  <c r="AQ177" i="268"/>
  <c r="AJ177" i="268"/>
  <c r="AI177" i="268"/>
  <c r="AG177" i="268"/>
  <c r="AF177" i="268"/>
  <c r="AB177" i="268"/>
  <c r="AA177" i="268"/>
  <c r="Z177" i="268"/>
  <c r="Y177" i="268"/>
  <c r="X177" i="268"/>
  <c r="P177" i="268"/>
  <c r="O177" i="268"/>
  <c r="AE177" i="268" s="1"/>
  <c r="N177" i="268"/>
  <c r="AP177" i="268" s="1"/>
  <c r="M177" i="268"/>
  <c r="AC177" i="268" s="1"/>
  <c r="AQ176" i="268"/>
  <c r="AJ176" i="268"/>
  <c r="AI176" i="268"/>
  <c r="AG176" i="268"/>
  <c r="AF176" i="268"/>
  <c r="AB176" i="268"/>
  <c r="AA176" i="268"/>
  <c r="Z176" i="268"/>
  <c r="Y176" i="268"/>
  <c r="X176" i="268"/>
  <c r="P176" i="268"/>
  <c r="O176" i="268"/>
  <c r="AE176" i="268" s="1"/>
  <c r="N176" i="268"/>
  <c r="AP176" i="268" s="1"/>
  <c r="M176" i="268"/>
  <c r="AC176" i="268" s="1"/>
  <c r="AU175" i="268"/>
  <c r="AQ175" i="268"/>
  <c r="AJ175" i="268"/>
  <c r="AI175" i="268"/>
  <c r="AG175" i="268"/>
  <c r="AF175" i="268"/>
  <c r="AB175" i="268"/>
  <c r="AA175" i="268"/>
  <c r="Z175" i="268"/>
  <c r="Y175" i="268"/>
  <c r="X175" i="268"/>
  <c r="P175" i="268"/>
  <c r="O175" i="268"/>
  <c r="N175" i="268"/>
  <c r="AD175" i="268" s="1"/>
  <c r="M175" i="268"/>
  <c r="AQ174" i="268"/>
  <c r="AJ174" i="268"/>
  <c r="AI174" i="268"/>
  <c r="AG174" i="268"/>
  <c r="AF174" i="268"/>
  <c r="AB174" i="268"/>
  <c r="AA174" i="268"/>
  <c r="Z174" i="268"/>
  <c r="Y174" i="268"/>
  <c r="X174" i="268"/>
  <c r="P174" i="268"/>
  <c r="O174" i="268"/>
  <c r="AE174" i="268" s="1"/>
  <c r="N174" i="268"/>
  <c r="M174" i="268"/>
  <c r="AC174" i="268" s="1"/>
  <c r="AQ173" i="268"/>
  <c r="AJ173" i="268"/>
  <c r="AI173" i="268"/>
  <c r="AG173" i="268"/>
  <c r="AF173" i="268"/>
  <c r="AB173" i="268"/>
  <c r="AA173" i="268"/>
  <c r="Z173" i="268"/>
  <c r="Y173" i="268"/>
  <c r="X173" i="268"/>
  <c r="P173" i="268"/>
  <c r="O173" i="268"/>
  <c r="AE173" i="268" s="1"/>
  <c r="N173" i="268"/>
  <c r="AD173" i="268" s="1"/>
  <c r="M173" i="268"/>
  <c r="AQ172" i="268"/>
  <c r="AJ172" i="268"/>
  <c r="AU172" i="268" s="1"/>
  <c r="AI172" i="268"/>
  <c r="AG172" i="268"/>
  <c r="AF172" i="268"/>
  <c r="AB172" i="268"/>
  <c r="AA172" i="268"/>
  <c r="Z172" i="268"/>
  <c r="Y172" i="268"/>
  <c r="X172" i="268"/>
  <c r="P172" i="268"/>
  <c r="O172" i="268"/>
  <c r="AE172" i="268" s="1"/>
  <c r="N172" i="268"/>
  <c r="M172" i="268"/>
  <c r="AU171" i="268"/>
  <c r="AQ171" i="268"/>
  <c r="AJ171" i="268"/>
  <c r="AI171" i="268"/>
  <c r="AG171" i="268"/>
  <c r="AF171" i="268"/>
  <c r="AB171" i="268"/>
  <c r="AA171" i="268"/>
  <c r="Z171" i="268"/>
  <c r="Y171" i="268"/>
  <c r="X171" i="268"/>
  <c r="P171" i="268"/>
  <c r="O171" i="268"/>
  <c r="AE171" i="268" s="1"/>
  <c r="N171" i="268"/>
  <c r="AD171" i="268" s="1"/>
  <c r="M171" i="268"/>
  <c r="AC171" i="268" s="1"/>
  <c r="AJ170" i="268"/>
  <c r="AI170" i="268"/>
  <c r="X170" i="268"/>
  <c r="AU169" i="268"/>
  <c r="AQ169" i="268"/>
  <c r="AJ169" i="268"/>
  <c r="AI169" i="268"/>
  <c r="AG169" i="268"/>
  <c r="AF169" i="268"/>
  <c r="AB169" i="268"/>
  <c r="AA169" i="268"/>
  <c r="Z169" i="268"/>
  <c r="Y169" i="268"/>
  <c r="X169" i="268"/>
  <c r="P169" i="268"/>
  <c r="O169" i="268"/>
  <c r="N169" i="268"/>
  <c r="AD169" i="268" s="1"/>
  <c r="M169" i="268"/>
  <c r="AC169" i="268" s="1"/>
  <c r="AQ168" i="268"/>
  <c r="AJ168" i="268"/>
  <c r="AI168" i="268"/>
  <c r="AG168" i="268"/>
  <c r="AF168" i="268"/>
  <c r="AB168" i="268"/>
  <c r="AA168" i="268"/>
  <c r="Z168" i="268"/>
  <c r="Y168" i="268"/>
  <c r="X168" i="268"/>
  <c r="P168" i="268"/>
  <c r="O168" i="268"/>
  <c r="AE168" i="268" s="1"/>
  <c r="N168" i="268"/>
  <c r="AD168" i="268" s="1"/>
  <c r="M168" i="268"/>
  <c r="AC168" i="268" s="1"/>
  <c r="AQ167" i="268"/>
  <c r="AJ167" i="268"/>
  <c r="AI167" i="268"/>
  <c r="AG167" i="268"/>
  <c r="AF167" i="268"/>
  <c r="AB167" i="268"/>
  <c r="AA167" i="268"/>
  <c r="Z167" i="268"/>
  <c r="Y167" i="268"/>
  <c r="X167" i="268"/>
  <c r="P167" i="268"/>
  <c r="O167" i="268"/>
  <c r="N167" i="268"/>
  <c r="AP167" i="268" s="1"/>
  <c r="M167" i="268"/>
  <c r="AQ166" i="268"/>
  <c r="AJ166" i="268"/>
  <c r="AU166" i="268" s="1"/>
  <c r="AI166" i="268"/>
  <c r="AG166" i="268"/>
  <c r="AF166" i="268"/>
  <c r="AB166" i="268"/>
  <c r="AA166" i="268"/>
  <c r="Z166" i="268"/>
  <c r="Y166" i="268"/>
  <c r="X166" i="268"/>
  <c r="P166" i="268"/>
  <c r="O166" i="268"/>
  <c r="AE166" i="268" s="1"/>
  <c r="N166" i="268"/>
  <c r="M166" i="268"/>
  <c r="AC166" i="268" s="1"/>
  <c r="AU165" i="268"/>
  <c r="AQ165" i="268"/>
  <c r="AJ165" i="268"/>
  <c r="AI165" i="268"/>
  <c r="AG165" i="268"/>
  <c r="AF165" i="268"/>
  <c r="AB165" i="268"/>
  <c r="AA165" i="268"/>
  <c r="Z165" i="268"/>
  <c r="Y165" i="268"/>
  <c r="X165" i="268"/>
  <c r="P165" i="268"/>
  <c r="O165" i="268"/>
  <c r="AE165" i="268" s="1"/>
  <c r="N165" i="268"/>
  <c r="AP165" i="268" s="1"/>
  <c r="M165" i="268"/>
  <c r="AC165" i="268" s="1"/>
  <c r="AU164" i="268"/>
  <c r="AQ164" i="268"/>
  <c r="AJ164" i="268"/>
  <c r="AI164" i="268"/>
  <c r="AG164" i="268"/>
  <c r="AF164" i="268"/>
  <c r="AB164" i="268"/>
  <c r="AA164" i="268"/>
  <c r="Z164" i="268"/>
  <c r="Y164" i="268"/>
  <c r="X164" i="268"/>
  <c r="P164" i="268"/>
  <c r="O164" i="268"/>
  <c r="N164" i="268"/>
  <c r="AD164" i="268" s="1"/>
  <c r="M164" i="268"/>
  <c r="AC164" i="268" s="1"/>
  <c r="AQ163" i="268"/>
  <c r="AJ163" i="268"/>
  <c r="AU163" i="268" s="1"/>
  <c r="AI163" i="268"/>
  <c r="AG163" i="268"/>
  <c r="AF163" i="268"/>
  <c r="AE163" i="268"/>
  <c r="AB163" i="268"/>
  <c r="AA163" i="268"/>
  <c r="Z163" i="268"/>
  <c r="Y163" i="268"/>
  <c r="X163" i="268"/>
  <c r="P163" i="268"/>
  <c r="O163" i="268"/>
  <c r="N163" i="268"/>
  <c r="AP163" i="268" s="1"/>
  <c r="M163" i="268"/>
  <c r="AJ162" i="268"/>
  <c r="AI162" i="268"/>
  <c r="X162" i="268"/>
  <c r="AQ161" i="268"/>
  <c r="AJ161" i="268"/>
  <c r="AU161" i="268" s="1"/>
  <c r="AI161" i="268"/>
  <c r="AG161" i="268"/>
  <c r="AF161" i="268"/>
  <c r="AB161" i="268"/>
  <c r="AA161" i="268"/>
  <c r="Z161" i="268"/>
  <c r="Y161" i="268"/>
  <c r="X161" i="268"/>
  <c r="P161" i="268"/>
  <c r="O161" i="268"/>
  <c r="N161" i="268"/>
  <c r="M161" i="268"/>
  <c r="AC161" i="268" s="1"/>
  <c r="AQ160" i="268"/>
  <c r="AJ160" i="268"/>
  <c r="AU160" i="268" s="1"/>
  <c r="AI160" i="268"/>
  <c r="AG160" i="268"/>
  <c r="AF160" i="268"/>
  <c r="AB160" i="268"/>
  <c r="AA160" i="268"/>
  <c r="Z160" i="268"/>
  <c r="Y160" i="268"/>
  <c r="X160" i="268"/>
  <c r="P160" i="268"/>
  <c r="O160" i="268"/>
  <c r="N160" i="268"/>
  <c r="M160" i="268"/>
  <c r="AQ159" i="268"/>
  <c r="AJ159" i="268"/>
  <c r="AI159" i="268"/>
  <c r="AG159" i="268"/>
  <c r="AF159" i="268"/>
  <c r="AC159" i="268"/>
  <c r="AB159" i="268"/>
  <c r="AA159" i="268"/>
  <c r="Z159" i="268"/>
  <c r="Y159" i="268"/>
  <c r="X159" i="268"/>
  <c r="P159" i="268"/>
  <c r="O159" i="268"/>
  <c r="N159" i="268"/>
  <c r="AP159" i="268" s="1"/>
  <c r="M159" i="268"/>
  <c r="AJ158" i="268"/>
  <c r="AI158" i="268"/>
  <c r="X158" i="268"/>
  <c r="AQ157" i="268"/>
  <c r="AJ157" i="268"/>
  <c r="AU157" i="268" s="1"/>
  <c r="AI157" i="268"/>
  <c r="AG157" i="268"/>
  <c r="AF157" i="268"/>
  <c r="AB157" i="268"/>
  <c r="AA157" i="268"/>
  <c r="Z157" i="268"/>
  <c r="Y157" i="268"/>
  <c r="X157" i="268"/>
  <c r="P157" i="268"/>
  <c r="O157" i="268"/>
  <c r="N157" i="268"/>
  <c r="AD157" i="268" s="1"/>
  <c r="M157" i="268"/>
  <c r="AC157" i="268" s="1"/>
  <c r="AQ156" i="268"/>
  <c r="AJ156" i="268"/>
  <c r="AI156" i="268"/>
  <c r="AG156" i="268"/>
  <c r="AF156" i="268"/>
  <c r="AB156" i="268"/>
  <c r="AA156" i="268"/>
  <c r="Z156" i="268"/>
  <c r="Y156" i="268"/>
  <c r="X156" i="268"/>
  <c r="P156" i="268"/>
  <c r="O156" i="268"/>
  <c r="AE156" i="268" s="1"/>
  <c r="N156" i="268"/>
  <c r="AP156" i="268" s="1"/>
  <c r="M156" i="268"/>
  <c r="AC156" i="268" s="1"/>
  <c r="AU155" i="268"/>
  <c r="AQ155" i="268"/>
  <c r="AJ155" i="268"/>
  <c r="AI155" i="268"/>
  <c r="AG155" i="268"/>
  <c r="AF155" i="268"/>
  <c r="AB155" i="268"/>
  <c r="AA155" i="268"/>
  <c r="Z155" i="268"/>
  <c r="Y155" i="268"/>
  <c r="X155" i="268"/>
  <c r="P155" i="268"/>
  <c r="O155" i="268"/>
  <c r="AE155" i="268" s="1"/>
  <c r="N155" i="268"/>
  <c r="AD155" i="268" s="1"/>
  <c r="M155" i="268"/>
  <c r="AC155" i="268" s="1"/>
  <c r="AU154" i="268"/>
  <c r="AQ154" i="268"/>
  <c r="AJ154" i="268"/>
  <c r="AI154" i="268"/>
  <c r="AG154" i="268"/>
  <c r="AF154" i="268"/>
  <c r="AB154" i="268"/>
  <c r="AA154" i="268"/>
  <c r="Z154" i="268"/>
  <c r="Y154" i="268"/>
  <c r="X154" i="268"/>
  <c r="P154" i="268"/>
  <c r="O154" i="268"/>
  <c r="AE154" i="268" s="1"/>
  <c r="N154" i="268"/>
  <c r="AP154" i="268" s="1"/>
  <c r="M154" i="268"/>
  <c r="AC154" i="268" s="1"/>
  <c r="AU153" i="268"/>
  <c r="AQ153" i="268"/>
  <c r="AJ153" i="268"/>
  <c r="AI153" i="268"/>
  <c r="AG153" i="268"/>
  <c r="AF153" i="268"/>
  <c r="AB153" i="268"/>
  <c r="AA153" i="268"/>
  <c r="Z153" i="268"/>
  <c r="Y153" i="268"/>
  <c r="X153" i="268"/>
  <c r="P153" i="268"/>
  <c r="O153" i="268"/>
  <c r="AE153" i="268" s="1"/>
  <c r="N153" i="268"/>
  <c r="AP153" i="268" s="1"/>
  <c r="M153" i="268"/>
  <c r="AQ152" i="268"/>
  <c r="AJ152" i="268"/>
  <c r="AI152" i="268"/>
  <c r="AG152" i="268"/>
  <c r="AF152" i="268"/>
  <c r="AB152" i="268"/>
  <c r="AA152" i="268"/>
  <c r="Z152" i="268"/>
  <c r="Y152" i="268"/>
  <c r="X152" i="268"/>
  <c r="P152" i="268"/>
  <c r="O152" i="268"/>
  <c r="AE152" i="268" s="1"/>
  <c r="N152" i="268"/>
  <c r="AP152" i="268" s="1"/>
  <c r="M152" i="268"/>
  <c r="AJ151" i="268"/>
  <c r="AI151" i="268"/>
  <c r="X151" i="268"/>
  <c r="AQ150" i="268"/>
  <c r="AJ150" i="268"/>
  <c r="AI150" i="268"/>
  <c r="AG150" i="268"/>
  <c r="AF150" i="268"/>
  <c r="AB150" i="268"/>
  <c r="AA150" i="268"/>
  <c r="Z150" i="268"/>
  <c r="Y150" i="268"/>
  <c r="X150" i="268"/>
  <c r="P150" i="268"/>
  <c r="O150" i="268"/>
  <c r="AE150" i="268" s="1"/>
  <c r="N150" i="268"/>
  <c r="AP150" i="268" s="1"/>
  <c r="M150" i="268"/>
  <c r="AC150" i="268" s="1"/>
  <c r="AU149" i="268"/>
  <c r="AQ149" i="268"/>
  <c r="AJ149" i="268"/>
  <c r="AI149" i="268"/>
  <c r="AG149" i="268"/>
  <c r="AF149" i="268"/>
  <c r="AB149" i="268"/>
  <c r="AA149" i="268"/>
  <c r="Z149" i="268"/>
  <c r="Y149" i="268"/>
  <c r="X149" i="268"/>
  <c r="P149" i="268"/>
  <c r="O149" i="268"/>
  <c r="AE149" i="268" s="1"/>
  <c r="N149" i="268"/>
  <c r="AD149" i="268" s="1"/>
  <c r="M149" i="268"/>
  <c r="AC149" i="268" s="1"/>
  <c r="AU148" i="268"/>
  <c r="AQ148" i="268"/>
  <c r="AJ148" i="268"/>
  <c r="AI148" i="268"/>
  <c r="AG148" i="268"/>
  <c r="AF148" i="268"/>
  <c r="AB148" i="268"/>
  <c r="AA148" i="268"/>
  <c r="Z148" i="268"/>
  <c r="Y148" i="268"/>
  <c r="X148" i="268"/>
  <c r="P148" i="268"/>
  <c r="O148" i="268"/>
  <c r="AE148" i="268" s="1"/>
  <c r="N148" i="268"/>
  <c r="AP148" i="268" s="1"/>
  <c r="M148" i="268"/>
  <c r="AC148" i="268" s="1"/>
  <c r="AJ147" i="268"/>
  <c r="AI147" i="268"/>
  <c r="X147" i="268"/>
  <c r="AQ146" i="268"/>
  <c r="AJ146" i="268"/>
  <c r="AI146" i="268"/>
  <c r="AG146" i="268"/>
  <c r="AF146" i="268"/>
  <c r="AB146" i="268"/>
  <c r="AA146" i="268"/>
  <c r="Z146" i="268"/>
  <c r="Y146" i="268"/>
  <c r="X146" i="268"/>
  <c r="P146" i="268"/>
  <c r="O146" i="268"/>
  <c r="N146" i="268"/>
  <c r="AD146" i="268" s="1"/>
  <c r="M146" i="268"/>
  <c r="AC146" i="268" s="1"/>
  <c r="AQ145" i="268"/>
  <c r="AJ145" i="268"/>
  <c r="AU145" i="268" s="1"/>
  <c r="AI145" i="268"/>
  <c r="AG145" i="268"/>
  <c r="AF145" i="268"/>
  <c r="AB145" i="268"/>
  <c r="AA145" i="268"/>
  <c r="Z145" i="268"/>
  <c r="Y145" i="268"/>
  <c r="X145" i="268"/>
  <c r="P145" i="268"/>
  <c r="O145" i="268"/>
  <c r="N145" i="268"/>
  <c r="AP145" i="268" s="1"/>
  <c r="M145" i="268"/>
  <c r="AC145" i="268" s="1"/>
  <c r="AQ144" i="268"/>
  <c r="AJ144" i="268"/>
  <c r="AI144" i="268"/>
  <c r="AG144" i="268"/>
  <c r="AF144" i="268"/>
  <c r="AB144" i="268"/>
  <c r="AA144" i="268"/>
  <c r="Z144" i="268"/>
  <c r="Y144" i="268"/>
  <c r="X144" i="268"/>
  <c r="P144" i="268"/>
  <c r="O144" i="268"/>
  <c r="AE144" i="268" s="1"/>
  <c r="N144" i="268"/>
  <c r="AP144" i="268" s="1"/>
  <c r="M144" i="268"/>
  <c r="AC144" i="268" s="1"/>
  <c r="AU143" i="268"/>
  <c r="AQ143" i="268"/>
  <c r="AJ143" i="268"/>
  <c r="AI143" i="268"/>
  <c r="AG143" i="268"/>
  <c r="AF143" i="268"/>
  <c r="AB143" i="268"/>
  <c r="AA143" i="268"/>
  <c r="Z143" i="268"/>
  <c r="Y143" i="268"/>
  <c r="X143" i="268"/>
  <c r="P143" i="268"/>
  <c r="O143" i="268"/>
  <c r="AE143" i="268" s="1"/>
  <c r="N143" i="268"/>
  <c r="AP143" i="268" s="1"/>
  <c r="M143" i="268"/>
  <c r="AC143" i="268" s="1"/>
  <c r="AU142" i="268"/>
  <c r="AQ142" i="268"/>
  <c r="AJ142" i="268"/>
  <c r="AI142" i="268"/>
  <c r="AG142" i="268"/>
  <c r="AF142" i="268"/>
  <c r="AB142" i="268"/>
  <c r="AA142" i="268"/>
  <c r="Z142" i="268"/>
  <c r="Y142" i="268"/>
  <c r="X142" i="268"/>
  <c r="P142" i="268"/>
  <c r="O142" i="268"/>
  <c r="AE142" i="268" s="1"/>
  <c r="N142" i="268"/>
  <c r="AP142" i="268" s="1"/>
  <c r="M142" i="268"/>
  <c r="AC142" i="268" s="1"/>
  <c r="AQ141" i="268"/>
  <c r="AJ141" i="268"/>
  <c r="AU141" i="268" s="1"/>
  <c r="AI141" i="268"/>
  <c r="AG141" i="268"/>
  <c r="AF141" i="268"/>
  <c r="AB141" i="268"/>
  <c r="AA141" i="268"/>
  <c r="Z141" i="268"/>
  <c r="Y141" i="268"/>
  <c r="X141" i="268"/>
  <c r="P141" i="268"/>
  <c r="O141" i="268"/>
  <c r="AE141" i="268" s="1"/>
  <c r="N141" i="268"/>
  <c r="AP141" i="268" s="1"/>
  <c r="M141" i="268"/>
  <c r="AJ140" i="268"/>
  <c r="AI140" i="268"/>
  <c r="X140" i="268"/>
  <c r="AQ139" i="268"/>
  <c r="AP139" i="268"/>
  <c r="AW139" i="268" s="1"/>
  <c r="AJ139" i="268"/>
  <c r="AU139" i="268" s="1"/>
  <c r="AI139" i="268"/>
  <c r="AG139" i="268"/>
  <c r="AF139" i="268"/>
  <c r="AD139" i="268"/>
  <c r="AB139" i="268"/>
  <c r="AA139" i="268"/>
  <c r="Z139" i="268"/>
  <c r="Y139" i="268"/>
  <c r="X139" i="268"/>
  <c r="P139" i="268"/>
  <c r="O139" i="268"/>
  <c r="N139" i="268"/>
  <c r="M139" i="268"/>
  <c r="AC139" i="268" s="1"/>
  <c r="AQ138" i="268"/>
  <c r="AJ138" i="268"/>
  <c r="AI138" i="268"/>
  <c r="AG138" i="268"/>
  <c r="AF138" i="268"/>
  <c r="AE138" i="268"/>
  <c r="AC138" i="268"/>
  <c r="AB138" i="268"/>
  <c r="AA138" i="268"/>
  <c r="Z138" i="268"/>
  <c r="Y138" i="268"/>
  <c r="X138" i="268"/>
  <c r="P138" i="268"/>
  <c r="O138" i="268"/>
  <c r="N138" i="268"/>
  <c r="AP138" i="268" s="1"/>
  <c r="AW138" i="268" s="1"/>
  <c r="M138" i="268"/>
  <c r="AU137" i="268"/>
  <c r="AQ137" i="268"/>
  <c r="AP137" i="268"/>
  <c r="AW137" i="268" s="1"/>
  <c r="AJ137" i="268"/>
  <c r="AO137" i="268" s="1"/>
  <c r="AI137" i="268"/>
  <c r="AG137" i="268"/>
  <c r="AF137" i="268"/>
  <c r="AD137" i="268"/>
  <c r="AB137" i="268"/>
  <c r="AA137" i="268"/>
  <c r="Z137" i="268"/>
  <c r="Y137" i="268"/>
  <c r="X137" i="268"/>
  <c r="P137" i="268"/>
  <c r="O137" i="268"/>
  <c r="AE137" i="268" s="1"/>
  <c r="N137" i="268"/>
  <c r="M137" i="268"/>
  <c r="AC137" i="268" s="1"/>
  <c r="AU136" i="268"/>
  <c r="AQ136" i="268"/>
  <c r="AJ136" i="268"/>
  <c r="AI136" i="268"/>
  <c r="AG136" i="268"/>
  <c r="AF136" i="268"/>
  <c r="AE136" i="268"/>
  <c r="AB136" i="268"/>
  <c r="AA136" i="268"/>
  <c r="Z136" i="268"/>
  <c r="Y136" i="268"/>
  <c r="X136" i="268"/>
  <c r="P136" i="268"/>
  <c r="O136" i="268"/>
  <c r="N136" i="268"/>
  <c r="AP136" i="268" s="1"/>
  <c r="AW136" i="268" s="1"/>
  <c r="M136" i="268"/>
  <c r="AC136" i="268" s="1"/>
  <c r="AU135" i="268"/>
  <c r="AQ135" i="268"/>
  <c r="AJ135" i="268"/>
  <c r="AI135" i="268"/>
  <c r="AG135" i="268"/>
  <c r="AF135" i="268"/>
  <c r="AE135" i="268"/>
  <c r="AB135" i="268"/>
  <c r="AA135" i="268"/>
  <c r="Z135" i="268"/>
  <c r="Y135" i="268"/>
  <c r="X135" i="268"/>
  <c r="P135" i="268"/>
  <c r="O135" i="268"/>
  <c r="N135" i="268"/>
  <c r="AP135" i="268" s="1"/>
  <c r="AW135" i="268" s="1"/>
  <c r="M135" i="268"/>
  <c r="AJ134" i="268"/>
  <c r="AI134" i="268"/>
  <c r="X134" i="268"/>
  <c r="AQ133" i="268"/>
  <c r="AP133" i="268"/>
  <c r="AW133" i="268" s="1"/>
  <c r="AJ133" i="268"/>
  <c r="AU133" i="268" s="1"/>
  <c r="AI133" i="268"/>
  <c r="AG133" i="268"/>
  <c r="AF133" i="268"/>
  <c r="AD133" i="268"/>
  <c r="AB133" i="268"/>
  <c r="AA133" i="268"/>
  <c r="Z133" i="268"/>
  <c r="Y133" i="268"/>
  <c r="X133" i="268"/>
  <c r="P133" i="268"/>
  <c r="O133" i="268"/>
  <c r="N133" i="268"/>
  <c r="M133" i="268"/>
  <c r="AC133" i="268" s="1"/>
  <c r="AU132" i="268"/>
  <c r="AQ132" i="268"/>
  <c r="AJ132" i="268"/>
  <c r="AI132" i="268"/>
  <c r="AG132" i="268"/>
  <c r="AF132" i="268"/>
  <c r="AE132" i="268"/>
  <c r="AC132" i="268"/>
  <c r="AB132" i="268"/>
  <c r="AA132" i="268"/>
  <c r="Z132" i="268"/>
  <c r="Y132" i="268"/>
  <c r="X132" i="268"/>
  <c r="P132" i="268"/>
  <c r="O132" i="268"/>
  <c r="N132" i="268"/>
  <c r="AP132" i="268" s="1"/>
  <c r="AW132" i="268" s="1"/>
  <c r="M132" i="268"/>
  <c r="AU131" i="268"/>
  <c r="AQ131" i="268"/>
  <c r="AJ131" i="268"/>
  <c r="AI131" i="268"/>
  <c r="AG131" i="268"/>
  <c r="AF131" i="268"/>
  <c r="AB131" i="268"/>
  <c r="AA131" i="268"/>
  <c r="Z131" i="268"/>
  <c r="Y131" i="268"/>
  <c r="X131" i="268"/>
  <c r="P131" i="268"/>
  <c r="O131" i="268"/>
  <c r="AE131" i="268" s="1"/>
  <c r="N131" i="268"/>
  <c r="AP131" i="268" s="1"/>
  <c r="AW131" i="268" s="1"/>
  <c r="M131" i="268"/>
  <c r="AC131" i="268" s="1"/>
  <c r="AU130" i="268"/>
  <c r="AQ130" i="268"/>
  <c r="AJ130" i="268"/>
  <c r="AI130" i="268"/>
  <c r="AG130" i="268"/>
  <c r="AF130" i="268"/>
  <c r="AB130" i="268"/>
  <c r="AA130" i="268"/>
  <c r="Z130" i="268"/>
  <c r="Y130" i="268"/>
  <c r="X130" i="268"/>
  <c r="P130" i="268"/>
  <c r="O130" i="268"/>
  <c r="AE130" i="268" s="1"/>
  <c r="N130" i="268"/>
  <c r="AP130" i="268" s="1"/>
  <c r="M130" i="268"/>
  <c r="AC130" i="268" s="1"/>
  <c r="AU129" i="268"/>
  <c r="AQ129" i="268"/>
  <c r="AJ129" i="268"/>
  <c r="AI129" i="268"/>
  <c r="AG129" i="268"/>
  <c r="AF129" i="268"/>
  <c r="AE129" i="268"/>
  <c r="AB129" i="268"/>
  <c r="AA129" i="268"/>
  <c r="Z129" i="268"/>
  <c r="Y129" i="268"/>
  <c r="X129" i="268"/>
  <c r="P129" i="268"/>
  <c r="O129" i="268"/>
  <c r="N129" i="268"/>
  <c r="AP129" i="268" s="1"/>
  <c r="AW129" i="268" s="1"/>
  <c r="M129" i="268"/>
  <c r="AW128" i="268"/>
  <c r="AQ128" i="268"/>
  <c r="AJ128" i="268"/>
  <c r="AI128" i="268"/>
  <c r="AG128" i="268"/>
  <c r="AF128" i="268"/>
  <c r="AB128" i="268"/>
  <c r="AA128" i="268"/>
  <c r="Z128" i="268"/>
  <c r="Y128" i="268"/>
  <c r="X128" i="268"/>
  <c r="P128" i="268"/>
  <c r="O128" i="268"/>
  <c r="N128" i="268"/>
  <c r="AP128" i="268" s="1"/>
  <c r="M128" i="268"/>
  <c r="AU127" i="268"/>
  <c r="AQ127" i="268"/>
  <c r="AJ127" i="268"/>
  <c r="AI127" i="268"/>
  <c r="AG127" i="268"/>
  <c r="AF127" i="268"/>
  <c r="AB127" i="268"/>
  <c r="AA127" i="268"/>
  <c r="Z127" i="268"/>
  <c r="Y127" i="268"/>
  <c r="X127" i="268"/>
  <c r="P127" i="268"/>
  <c r="O127" i="268"/>
  <c r="N127" i="268"/>
  <c r="M127" i="268"/>
  <c r="AQ126" i="268"/>
  <c r="AJ126" i="268"/>
  <c r="AI126" i="268"/>
  <c r="AG126" i="268"/>
  <c r="AF126" i="268"/>
  <c r="AB126" i="268"/>
  <c r="AA126" i="268"/>
  <c r="Z126" i="268"/>
  <c r="Y126" i="268"/>
  <c r="X126" i="268"/>
  <c r="P126" i="268"/>
  <c r="O126" i="268"/>
  <c r="N126" i="268"/>
  <c r="AD126" i="268" s="1"/>
  <c r="M126" i="268"/>
  <c r="AC126" i="268" s="1"/>
  <c r="AQ125" i="268"/>
  <c r="AP125" i="268"/>
  <c r="AJ125" i="268"/>
  <c r="AU125" i="268" s="1"/>
  <c r="AI125" i="268"/>
  <c r="AG125" i="268"/>
  <c r="AF125" i="268"/>
  <c r="AB125" i="268"/>
  <c r="AA125" i="268"/>
  <c r="Z125" i="268"/>
  <c r="Y125" i="268"/>
  <c r="X125" i="268"/>
  <c r="P125" i="268"/>
  <c r="O125" i="268"/>
  <c r="N125" i="268"/>
  <c r="AD125" i="268" s="1"/>
  <c r="M125" i="268"/>
  <c r="AC125" i="268" s="1"/>
  <c r="AU124" i="268"/>
  <c r="AQ124" i="268"/>
  <c r="AJ124" i="268"/>
  <c r="AI124" i="268"/>
  <c r="AG124" i="268"/>
  <c r="AF124" i="268"/>
  <c r="AB124" i="268"/>
  <c r="AA124" i="268"/>
  <c r="Z124" i="268"/>
  <c r="Y124" i="268"/>
  <c r="X124" i="268"/>
  <c r="P124" i="268"/>
  <c r="O124" i="268"/>
  <c r="AE124" i="268" s="1"/>
  <c r="N124" i="268"/>
  <c r="AP124" i="268" s="1"/>
  <c r="M124" i="268"/>
  <c r="AC124" i="268" s="1"/>
  <c r="AU123" i="268"/>
  <c r="AQ123" i="268"/>
  <c r="AP123" i="268"/>
  <c r="AW123" i="268" s="1"/>
  <c r="AJ123" i="268"/>
  <c r="AI123" i="268"/>
  <c r="AG123" i="268"/>
  <c r="AF123" i="268"/>
  <c r="AD123" i="268"/>
  <c r="AB123" i="268"/>
  <c r="AA123" i="268"/>
  <c r="Z123" i="268"/>
  <c r="Y123" i="268"/>
  <c r="X123" i="268"/>
  <c r="P123" i="268"/>
  <c r="O123" i="268"/>
  <c r="AE123" i="268" s="1"/>
  <c r="N123" i="268"/>
  <c r="M123" i="268"/>
  <c r="AC123" i="268" s="1"/>
  <c r="AU122" i="268"/>
  <c r="AQ122" i="268"/>
  <c r="AJ122" i="268"/>
  <c r="AI122" i="268"/>
  <c r="AG122" i="268"/>
  <c r="AF122" i="268"/>
  <c r="AE122" i="268"/>
  <c r="AB122" i="268"/>
  <c r="AA122" i="268"/>
  <c r="Z122" i="268"/>
  <c r="Y122" i="268"/>
  <c r="X122" i="268"/>
  <c r="P122" i="268"/>
  <c r="O122" i="268"/>
  <c r="N122" i="268"/>
  <c r="AP122" i="268" s="1"/>
  <c r="AW122" i="268" s="1"/>
  <c r="M122" i="268"/>
  <c r="AC122" i="268" s="1"/>
  <c r="AU121" i="268"/>
  <c r="AQ121" i="268"/>
  <c r="AJ121" i="268"/>
  <c r="AI121" i="268"/>
  <c r="AG121" i="268"/>
  <c r="AF121" i="268"/>
  <c r="AB121" i="268"/>
  <c r="AA121" i="268"/>
  <c r="Z121" i="268"/>
  <c r="Y121" i="268"/>
  <c r="X121" i="268"/>
  <c r="P121" i="268"/>
  <c r="O121" i="268"/>
  <c r="AE121" i="268" s="1"/>
  <c r="N121" i="268"/>
  <c r="AP121" i="268" s="1"/>
  <c r="AW121" i="268" s="1"/>
  <c r="M121" i="268"/>
  <c r="AQ120" i="268"/>
  <c r="AJ120" i="268"/>
  <c r="AI120" i="268"/>
  <c r="AG120" i="268"/>
  <c r="AF120" i="268"/>
  <c r="AB120" i="268"/>
  <c r="AA120" i="268"/>
  <c r="Z120" i="268"/>
  <c r="Y120" i="268"/>
  <c r="X120" i="268"/>
  <c r="P120" i="268"/>
  <c r="O120" i="268"/>
  <c r="N120" i="268"/>
  <c r="AP120" i="268" s="1"/>
  <c r="M120" i="268"/>
  <c r="AU119" i="268"/>
  <c r="AQ119" i="268"/>
  <c r="AJ119" i="268"/>
  <c r="AI119" i="268"/>
  <c r="AG119" i="268"/>
  <c r="AF119" i="268"/>
  <c r="AB119" i="268"/>
  <c r="AA119" i="268"/>
  <c r="Z119" i="268"/>
  <c r="Y119" i="268"/>
  <c r="X119" i="268"/>
  <c r="P119" i="268"/>
  <c r="O119" i="268"/>
  <c r="N119" i="268"/>
  <c r="M119" i="268"/>
  <c r="AQ118" i="268"/>
  <c r="AJ118" i="268"/>
  <c r="AI118" i="268"/>
  <c r="AG118" i="268"/>
  <c r="AF118" i="268"/>
  <c r="AB118" i="268"/>
  <c r="AA118" i="268"/>
  <c r="Z118" i="268"/>
  <c r="Y118" i="268"/>
  <c r="X118" i="268"/>
  <c r="P118" i="268"/>
  <c r="O118" i="268"/>
  <c r="N118" i="268"/>
  <c r="AP118" i="268" s="1"/>
  <c r="AW118" i="268" s="1"/>
  <c r="M118" i="268"/>
  <c r="AC118" i="268" s="1"/>
  <c r="AQ117" i="268"/>
  <c r="AJ117" i="268"/>
  <c r="AI117" i="268"/>
  <c r="AG117" i="268"/>
  <c r="AF117" i="268"/>
  <c r="AB117" i="268"/>
  <c r="AA117" i="268"/>
  <c r="Z117" i="268"/>
  <c r="Y117" i="268"/>
  <c r="X117" i="268"/>
  <c r="P117" i="268"/>
  <c r="O117" i="268"/>
  <c r="N117" i="268"/>
  <c r="AD117" i="268" s="1"/>
  <c r="M117" i="268"/>
  <c r="AC117" i="268" s="1"/>
  <c r="AU116" i="268"/>
  <c r="AQ116" i="268"/>
  <c r="AJ116" i="268"/>
  <c r="AI116" i="268"/>
  <c r="AG116" i="268"/>
  <c r="AF116" i="268"/>
  <c r="AE116" i="268"/>
  <c r="AC116" i="268"/>
  <c r="AB116" i="268"/>
  <c r="AA116" i="268"/>
  <c r="Z116" i="268"/>
  <c r="Y116" i="268"/>
  <c r="X116" i="268"/>
  <c r="P116" i="268"/>
  <c r="O116" i="268"/>
  <c r="N116" i="268"/>
  <c r="M116" i="268"/>
  <c r="AQ115" i="268"/>
  <c r="AP115" i="268"/>
  <c r="AW115" i="268" s="1"/>
  <c r="AJ115" i="268"/>
  <c r="AI115" i="268"/>
  <c r="AG115" i="268"/>
  <c r="AF115" i="268"/>
  <c r="AD115" i="268"/>
  <c r="AB115" i="268"/>
  <c r="AA115" i="268"/>
  <c r="Z115" i="268"/>
  <c r="Y115" i="268"/>
  <c r="X115" i="268"/>
  <c r="P115" i="268"/>
  <c r="O115" i="268"/>
  <c r="N115" i="268"/>
  <c r="M115" i="268"/>
  <c r="AC115" i="268" s="1"/>
  <c r="AU114" i="268"/>
  <c r="AQ114" i="268"/>
  <c r="AJ114" i="268"/>
  <c r="AI114" i="268"/>
  <c r="AG114" i="268"/>
  <c r="AF114" i="268"/>
  <c r="AE114" i="268"/>
  <c r="AB114" i="268"/>
  <c r="AA114" i="268"/>
  <c r="Z114" i="268"/>
  <c r="Y114" i="268"/>
  <c r="X114" i="268"/>
  <c r="P114" i="268"/>
  <c r="O114" i="268"/>
  <c r="N114" i="268"/>
  <c r="AP114" i="268" s="1"/>
  <c r="AW114" i="268" s="1"/>
  <c r="M114" i="268"/>
  <c r="AC114" i="268" s="1"/>
  <c r="AQ113" i="268"/>
  <c r="AJ113" i="268"/>
  <c r="AK113" i="268" s="1"/>
  <c r="AI113" i="268"/>
  <c r="AG113" i="268"/>
  <c r="AF113" i="268"/>
  <c r="AB113" i="268"/>
  <c r="AA113" i="268"/>
  <c r="Z113" i="268"/>
  <c r="Y113" i="268"/>
  <c r="X113" i="268"/>
  <c r="P113" i="268"/>
  <c r="O113" i="268"/>
  <c r="AE113" i="268" s="1"/>
  <c r="N113" i="268"/>
  <c r="M113" i="268"/>
  <c r="AQ112" i="268"/>
  <c r="AJ112" i="268"/>
  <c r="AI112" i="268"/>
  <c r="AG112" i="268"/>
  <c r="AF112" i="268"/>
  <c r="AB112" i="268"/>
  <c r="AA112" i="268"/>
  <c r="Z112" i="268"/>
  <c r="Y112" i="268"/>
  <c r="X112" i="268"/>
  <c r="P112" i="268"/>
  <c r="O112" i="268"/>
  <c r="N112" i="268"/>
  <c r="AP112" i="268" s="1"/>
  <c r="M112" i="268"/>
  <c r="AU111" i="268"/>
  <c r="AQ111" i="268"/>
  <c r="AJ111" i="268"/>
  <c r="AI111" i="268"/>
  <c r="AG111" i="268"/>
  <c r="AF111" i="268"/>
  <c r="AB111" i="268"/>
  <c r="AA111" i="268"/>
  <c r="Z111" i="268"/>
  <c r="Y111" i="268"/>
  <c r="X111" i="268"/>
  <c r="P111" i="268"/>
  <c r="O111" i="268"/>
  <c r="AE111" i="268" s="1"/>
  <c r="N111" i="268"/>
  <c r="AP111" i="268" s="1"/>
  <c r="M111" i="268"/>
  <c r="AC111" i="268" s="1"/>
  <c r="AQ110" i="268"/>
  <c r="AJ110" i="268"/>
  <c r="AO110" i="268" s="1"/>
  <c r="AI110" i="268"/>
  <c r="AG110" i="268"/>
  <c r="AF110" i="268"/>
  <c r="AB110" i="268"/>
  <c r="AA110" i="268"/>
  <c r="Z110" i="268"/>
  <c r="Y110" i="268"/>
  <c r="X110" i="268"/>
  <c r="P110" i="268"/>
  <c r="O110" i="268"/>
  <c r="AE110" i="268" s="1"/>
  <c r="N110" i="268"/>
  <c r="AD110" i="268" s="1"/>
  <c r="M110" i="268"/>
  <c r="AC110" i="268" s="1"/>
  <c r="AU109" i="268"/>
  <c r="AQ109" i="268"/>
  <c r="AJ109" i="268"/>
  <c r="AI109" i="268"/>
  <c r="AG109" i="268"/>
  <c r="AF109" i="268"/>
  <c r="AB109" i="268"/>
  <c r="AA109" i="268"/>
  <c r="Z109" i="268"/>
  <c r="Y109" i="268"/>
  <c r="X109" i="268"/>
  <c r="P109" i="268"/>
  <c r="O109" i="268"/>
  <c r="AE109" i="268" s="1"/>
  <c r="N109" i="268"/>
  <c r="AP109" i="268" s="1"/>
  <c r="M109" i="268"/>
  <c r="AC109" i="268" s="1"/>
  <c r="AJ108" i="268"/>
  <c r="AI108" i="268"/>
  <c r="X108" i="268"/>
  <c r="AQ107" i="268"/>
  <c r="AP107" i="268"/>
  <c r="AW107" i="268" s="1"/>
  <c r="AJ107" i="268"/>
  <c r="AI107" i="268"/>
  <c r="AG107" i="268"/>
  <c r="AF107" i="268"/>
  <c r="AD107" i="268"/>
  <c r="AC107" i="268"/>
  <c r="AB107" i="268"/>
  <c r="AA107" i="268"/>
  <c r="Z107" i="268"/>
  <c r="Y107" i="268"/>
  <c r="X107" i="268"/>
  <c r="P107" i="268"/>
  <c r="O107" i="268"/>
  <c r="N107" i="268"/>
  <c r="M107" i="268"/>
  <c r="AQ106" i="268"/>
  <c r="AP106" i="268"/>
  <c r="AW106" i="268" s="1"/>
  <c r="AJ106" i="268"/>
  <c r="AO106" i="268" s="1"/>
  <c r="AI106" i="268"/>
  <c r="AG106" i="268"/>
  <c r="AF106" i="268"/>
  <c r="AE106" i="268"/>
  <c r="AD106" i="268"/>
  <c r="AB106" i="268"/>
  <c r="AA106" i="268"/>
  <c r="Z106" i="268"/>
  <c r="Y106" i="268"/>
  <c r="X106" i="268"/>
  <c r="P106" i="268"/>
  <c r="O106" i="268"/>
  <c r="N106" i="268"/>
  <c r="M106" i="268"/>
  <c r="AC106" i="268" s="1"/>
  <c r="AJ105" i="268"/>
  <c r="AI105" i="268"/>
  <c r="X105" i="268"/>
  <c r="AQ104" i="268"/>
  <c r="AJ104" i="268"/>
  <c r="AI104" i="268"/>
  <c r="AG104" i="268"/>
  <c r="AF104" i="268"/>
  <c r="AB104" i="268"/>
  <c r="AA104" i="268"/>
  <c r="Z104" i="268"/>
  <c r="Y104" i="268"/>
  <c r="X104" i="268"/>
  <c r="P104" i="268"/>
  <c r="O104" i="268"/>
  <c r="AE104" i="268" s="1"/>
  <c r="N104" i="268"/>
  <c r="AP104" i="268" s="1"/>
  <c r="M104" i="268"/>
  <c r="AC104" i="268" s="1"/>
  <c r="AQ103" i="268"/>
  <c r="AJ103" i="268"/>
  <c r="AU103" i="268" s="1"/>
  <c r="AI103" i="268"/>
  <c r="AG103" i="268"/>
  <c r="AF103" i="268"/>
  <c r="AB103" i="268"/>
  <c r="AA103" i="268"/>
  <c r="Z103" i="268"/>
  <c r="Y103" i="268"/>
  <c r="X103" i="268"/>
  <c r="P103" i="268"/>
  <c r="O103" i="268"/>
  <c r="N103" i="268"/>
  <c r="AP103" i="268" s="1"/>
  <c r="M103" i="268"/>
  <c r="AU102" i="268"/>
  <c r="AQ102" i="268"/>
  <c r="AJ102" i="268"/>
  <c r="AI102" i="268"/>
  <c r="AG102" i="268"/>
  <c r="AF102" i="268"/>
  <c r="AB102" i="268"/>
  <c r="AA102" i="268"/>
  <c r="Z102" i="268"/>
  <c r="Y102" i="268"/>
  <c r="X102" i="268"/>
  <c r="P102" i="268"/>
  <c r="O102" i="268"/>
  <c r="AE102" i="268" s="1"/>
  <c r="N102" i="268"/>
  <c r="M102" i="268"/>
  <c r="AC102" i="268" s="1"/>
  <c r="AJ101" i="268"/>
  <c r="AI101" i="268"/>
  <c r="X101" i="268"/>
  <c r="AQ100" i="268"/>
  <c r="AJ100" i="268"/>
  <c r="AI100" i="268"/>
  <c r="AG100" i="268"/>
  <c r="AF100" i="268"/>
  <c r="AB100" i="268"/>
  <c r="AA100" i="268"/>
  <c r="Z100" i="268"/>
  <c r="Y100" i="268"/>
  <c r="X100" i="268"/>
  <c r="P100" i="268"/>
  <c r="O100" i="268"/>
  <c r="AE100" i="268" s="1"/>
  <c r="N100" i="268"/>
  <c r="AD100" i="268" s="1"/>
  <c r="M100" i="268"/>
  <c r="AC100" i="268" s="1"/>
  <c r="AU99" i="268"/>
  <c r="AQ99" i="268"/>
  <c r="AJ99" i="268"/>
  <c r="AO99" i="268" s="1"/>
  <c r="AI99" i="268"/>
  <c r="AG99" i="268"/>
  <c r="AF99" i="268"/>
  <c r="AB99" i="268"/>
  <c r="AA99" i="268"/>
  <c r="Z99" i="268"/>
  <c r="Y99" i="268"/>
  <c r="X99" i="268"/>
  <c r="P99" i="268"/>
  <c r="O99" i="268"/>
  <c r="AE99" i="268" s="1"/>
  <c r="N99" i="268"/>
  <c r="AD99" i="268" s="1"/>
  <c r="M99" i="268"/>
  <c r="AJ98" i="268"/>
  <c r="AI98" i="268"/>
  <c r="X98" i="268"/>
  <c r="AQ97" i="268"/>
  <c r="AJ97" i="268"/>
  <c r="AI97" i="268"/>
  <c r="AG97" i="268"/>
  <c r="AF97" i="268"/>
  <c r="AB97" i="268"/>
  <c r="AA97" i="268"/>
  <c r="Z97" i="268"/>
  <c r="Y97" i="268"/>
  <c r="X97" i="268"/>
  <c r="P97" i="268"/>
  <c r="O97" i="268"/>
  <c r="N97" i="268"/>
  <c r="AD97" i="268" s="1"/>
  <c r="M97" i="268"/>
  <c r="AC97" i="268" s="1"/>
  <c r="AQ96" i="268"/>
  <c r="AJ96" i="268"/>
  <c r="AI96" i="268"/>
  <c r="AG96" i="268"/>
  <c r="AF96" i="268"/>
  <c r="AB96" i="268"/>
  <c r="AA96" i="268"/>
  <c r="Z96" i="268"/>
  <c r="Y96" i="268"/>
  <c r="X96" i="268"/>
  <c r="P96" i="268"/>
  <c r="O96" i="268"/>
  <c r="AE96" i="268" s="1"/>
  <c r="N96" i="268"/>
  <c r="AD96" i="268" s="1"/>
  <c r="M96" i="268"/>
  <c r="AC96" i="268" s="1"/>
  <c r="AU95" i="268"/>
  <c r="AQ95" i="268"/>
  <c r="AJ95" i="268"/>
  <c r="AI95" i="268"/>
  <c r="AG95" i="268"/>
  <c r="AF95" i="268"/>
  <c r="AB95" i="268"/>
  <c r="AA95" i="268"/>
  <c r="Z95" i="268"/>
  <c r="Y95" i="268"/>
  <c r="X95" i="268"/>
  <c r="P95" i="268"/>
  <c r="O95" i="268"/>
  <c r="AE95" i="268" s="1"/>
  <c r="N95" i="268"/>
  <c r="AP95" i="268" s="1"/>
  <c r="M95" i="268"/>
  <c r="AC95" i="268" s="1"/>
  <c r="AQ94" i="268"/>
  <c r="AJ94" i="268"/>
  <c r="AI94" i="268"/>
  <c r="AG94" i="268"/>
  <c r="AF94" i="268"/>
  <c r="AB94" i="268"/>
  <c r="AA94" i="268"/>
  <c r="Z94" i="268"/>
  <c r="Y94" i="268"/>
  <c r="X94" i="268"/>
  <c r="P94" i="268"/>
  <c r="O94" i="268"/>
  <c r="AE94" i="268" s="1"/>
  <c r="N94" i="268"/>
  <c r="AP94" i="268" s="1"/>
  <c r="M94" i="268"/>
  <c r="AC94" i="268" s="1"/>
  <c r="AU93" i="268"/>
  <c r="AQ93" i="268"/>
  <c r="AJ93" i="268"/>
  <c r="AI93" i="268"/>
  <c r="AG93" i="268"/>
  <c r="AF93" i="268"/>
  <c r="AB93" i="268"/>
  <c r="AA93" i="268"/>
  <c r="Z93" i="268"/>
  <c r="Y93" i="268"/>
  <c r="X93" i="268"/>
  <c r="P93" i="268"/>
  <c r="O93" i="268"/>
  <c r="AR93" i="268" s="1"/>
  <c r="N93" i="268"/>
  <c r="AD93" i="268" s="1"/>
  <c r="M93" i="268"/>
  <c r="AC93" i="268" s="1"/>
  <c r="AQ92" i="268"/>
  <c r="AJ92" i="268"/>
  <c r="AI92" i="268"/>
  <c r="AG92" i="268"/>
  <c r="AF92" i="268"/>
  <c r="AB92" i="268"/>
  <c r="AA92" i="268"/>
  <c r="Z92" i="268"/>
  <c r="Y92" i="268"/>
  <c r="X92" i="268"/>
  <c r="P92" i="268"/>
  <c r="O92" i="268"/>
  <c r="AE92" i="268" s="1"/>
  <c r="N92" i="268"/>
  <c r="AP92" i="268" s="1"/>
  <c r="M92" i="268"/>
  <c r="AC92" i="268" s="1"/>
  <c r="AQ91" i="268"/>
  <c r="AJ91" i="268"/>
  <c r="AU91" i="268" s="1"/>
  <c r="AI91" i="268"/>
  <c r="AG91" i="268"/>
  <c r="AF91" i="268"/>
  <c r="AB91" i="268"/>
  <c r="AA91" i="268"/>
  <c r="Z91" i="268"/>
  <c r="Y91" i="268"/>
  <c r="X91" i="268"/>
  <c r="P91" i="268"/>
  <c r="O91" i="268"/>
  <c r="N91" i="268"/>
  <c r="AD91" i="268" s="1"/>
  <c r="M91" i="268"/>
  <c r="AU90" i="268"/>
  <c r="AQ90" i="268"/>
  <c r="AO90" i="268"/>
  <c r="AJ90" i="268"/>
  <c r="AI90" i="268"/>
  <c r="AG90" i="268"/>
  <c r="AF90" i="268"/>
  <c r="AB90" i="268"/>
  <c r="AA90" i="268"/>
  <c r="Z90" i="268"/>
  <c r="Y90" i="268"/>
  <c r="X90" i="268"/>
  <c r="P90" i="268"/>
  <c r="O90" i="268"/>
  <c r="AE90" i="268" s="1"/>
  <c r="N90" i="268"/>
  <c r="M90" i="268"/>
  <c r="AC90" i="268" s="1"/>
  <c r="AQ89" i="268"/>
  <c r="AJ89" i="268"/>
  <c r="AI89" i="268"/>
  <c r="AG89" i="268"/>
  <c r="AF89" i="268"/>
  <c r="AB89" i="268"/>
  <c r="AA89" i="268"/>
  <c r="Z89" i="268"/>
  <c r="Y89" i="268"/>
  <c r="X89" i="268"/>
  <c r="P89" i="268"/>
  <c r="O89" i="268"/>
  <c r="N89" i="268"/>
  <c r="AD89" i="268" s="1"/>
  <c r="M89" i="268"/>
  <c r="AS89" i="268" s="1"/>
  <c r="AQ88" i="268"/>
  <c r="AJ88" i="268"/>
  <c r="AI88" i="268"/>
  <c r="AG88" i="268"/>
  <c r="AF88" i="268"/>
  <c r="AB88" i="268"/>
  <c r="AA88" i="268"/>
  <c r="Z88" i="268"/>
  <c r="Y88" i="268"/>
  <c r="X88" i="268"/>
  <c r="P88" i="268"/>
  <c r="O88" i="268"/>
  <c r="AE88" i="268" s="1"/>
  <c r="N88" i="268"/>
  <c r="AP88" i="268" s="1"/>
  <c r="M88" i="268"/>
  <c r="AC88" i="268" s="1"/>
  <c r="AJ87" i="268"/>
  <c r="AI87" i="268"/>
  <c r="X87" i="268"/>
  <c r="AQ86" i="268"/>
  <c r="AJ86" i="268"/>
  <c r="AI86" i="268"/>
  <c r="AG86" i="268"/>
  <c r="AF86" i="268"/>
  <c r="AB86" i="268"/>
  <c r="AA86" i="268"/>
  <c r="Z86" i="268"/>
  <c r="Y86" i="268"/>
  <c r="X86" i="268"/>
  <c r="P86" i="268"/>
  <c r="O86" i="268"/>
  <c r="AE86" i="268" s="1"/>
  <c r="N86" i="268"/>
  <c r="AP86" i="268" s="1"/>
  <c r="M86" i="268"/>
  <c r="AC86" i="268" s="1"/>
  <c r="AQ85" i="268"/>
  <c r="AK85" i="268"/>
  <c r="AJ85" i="268"/>
  <c r="AU85" i="268" s="1"/>
  <c r="AI85" i="268"/>
  <c r="AG85" i="268"/>
  <c r="AF85" i="268"/>
  <c r="AB85" i="268"/>
  <c r="AA85" i="268"/>
  <c r="Z85" i="268"/>
  <c r="Y85" i="268"/>
  <c r="X85" i="268"/>
  <c r="P85" i="268"/>
  <c r="O85" i="268"/>
  <c r="N85" i="268"/>
  <c r="AD85" i="268" s="1"/>
  <c r="M85" i="268"/>
  <c r="AU84" i="268"/>
  <c r="AQ84" i="268"/>
  <c r="AJ84" i="268"/>
  <c r="AI84" i="268"/>
  <c r="AG84" i="268"/>
  <c r="AF84" i="268"/>
  <c r="AB84" i="268"/>
  <c r="AA84" i="268"/>
  <c r="Z84" i="268"/>
  <c r="Y84" i="268"/>
  <c r="X84" i="268"/>
  <c r="P84" i="268"/>
  <c r="O84" i="268"/>
  <c r="AE84" i="268" s="1"/>
  <c r="N84" i="268"/>
  <c r="M84" i="268"/>
  <c r="AS84" i="268" s="1"/>
  <c r="AQ83" i="268"/>
  <c r="AJ83" i="268"/>
  <c r="AI83" i="268"/>
  <c r="AG83" i="268"/>
  <c r="AF83" i="268"/>
  <c r="AB83" i="268"/>
  <c r="AA83" i="268"/>
  <c r="Z83" i="268"/>
  <c r="Y83" i="268"/>
  <c r="X83" i="268"/>
  <c r="P83" i="268"/>
  <c r="O83" i="268"/>
  <c r="N83" i="268"/>
  <c r="AD83" i="268" s="1"/>
  <c r="M83" i="268"/>
  <c r="AC83" i="268" s="1"/>
  <c r="AU82" i="268"/>
  <c r="AQ82" i="268"/>
  <c r="AJ82" i="268"/>
  <c r="AI82" i="268"/>
  <c r="AG82" i="268"/>
  <c r="AF82" i="268"/>
  <c r="AB82" i="268"/>
  <c r="AA82" i="268"/>
  <c r="Z82" i="268"/>
  <c r="Y82" i="268"/>
  <c r="X82" i="268"/>
  <c r="P82" i="268"/>
  <c r="O82" i="268"/>
  <c r="AE82" i="268" s="1"/>
  <c r="N82" i="268"/>
  <c r="AP82" i="268" s="1"/>
  <c r="M82" i="268"/>
  <c r="AC82" i="268" s="1"/>
  <c r="AU81" i="268"/>
  <c r="AQ81" i="268"/>
  <c r="AJ81" i="268"/>
  <c r="AI81" i="268"/>
  <c r="AG81" i="268"/>
  <c r="AF81" i="268"/>
  <c r="AB81" i="268"/>
  <c r="AA81" i="268"/>
  <c r="Z81" i="268"/>
  <c r="Y81" i="268"/>
  <c r="X81" i="268"/>
  <c r="P81" i="268"/>
  <c r="O81" i="268"/>
  <c r="AE81" i="268" s="1"/>
  <c r="N81" i="268"/>
  <c r="AP81" i="268" s="1"/>
  <c r="M81" i="268"/>
  <c r="AC81" i="268" s="1"/>
  <c r="AJ80" i="268"/>
  <c r="AI80" i="268"/>
  <c r="X80" i="268"/>
  <c r="AQ79" i="268"/>
  <c r="AJ79" i="268"/>
  <c r="AU79" i="268" s="1"/>
  <c r="AI79" i="268"/>
  <c r="AG79" i="268"/>
  <c r="AF79" i="268"/>
  <c r="AB79" i="268"/>
  <c r="AA79" i="268"/>
  <c r="Z79" i="268"/>
  <c r="Y79" i="268"/>
  <c r="X79" i="268"/>
  <c r="P79" i="268"/>
  <c r="O79" i="268"/>
  <c r="N79" i="268"/>
  <c r="AD79" i="268" s="1"/>
  <c r="M79" i="268"/>
  <c r="AU78" i="268"/>
  <c r="AQ78" i="268"/>
  <c r="AJ78" i="268"/>
  <c r="AI78" i="268"/>
  <c r="AG78" i="268"/>
  <c r="AF78" i="268"/>
  <c r="AB78" i="268"/>
  <c r="AA78" i="268"/>
  <c r="Z78" i="268"/>
  <c r="Y78" i="268"/>
  <c r="X78" i="268"/>
  <c r="P78" i="268"/>
  <c r="O78" i="268"/>
  <c r="AE78" i="268" s="1"/>
  <c r="N78" i="268"/>
  <c r="M78" i="268"/>
  <c r="AC78" i="268" s="1"/>
  <c r="AQ77" i="268"/>
  <c r="AJ77" i="268"/>
  <c r="AI77" i="268"/>
  <c r="AG77" i="268"/>
  <c r="AF77" i="268"/>
  <c r="AB77" i="268"/>
  <c r="AA77" i="268"/>
  <c r="Z77" i="268"/>
  <c r="Y77" i="268"/>
  <c r="X77" i="268"/>
  <c r="P77" i="268"/>
  <c r="O77" i="268"/>
  <c r="N77" i="268"/>
  <c r="AD77" i="268" s="1"/>
  <c r="M77" i="268"/>
  <c r="AC77" i="268" s="1"/>
  <c r="AU76" i="268"/>
  <c r="AQ76" i="268"/>
  <c r="AJ76" i="268"/>
  <c r="AI76" i="268"/>
  <c r="AG76" i="268"/>
  <c r="AF76" i="268"/>
  <c r="AB76" i="268"/>
  <c r="AA76" i="268"/>
  <c r="Z76" i="268"/>
  <c r="Y76" i="268"/>
  <c r="X76" i="268"/>
  <c r="P76" i="268"/>
  <c r="O76" i="268"/>
  <c r="AE76" i="268" s="1"/>
  <c r="N76" i="268"/>
  <c r="AD76" i="268" s="1"/>
  <c r="M76" i="268"/>
  <c r="AC76" i="268" s="1"/>
  <c r="AJ75" i="268"/>
  <c r="AI75" i="268"/>
  <c r="X75" i="268"/>
  <c r="AQ74" i="268"/>
  <c r="AJ74" i="268"/>
  <c r="AI74" i="268"/>
  <c r="AG74" i="268"/>
  <c r="AF74" i="268"/>
  <c r="AB74" i="268"/>
  <c r="AA74" i="268"/>
  <c r="Z74" i="268"/>
  <c r="Y74" i="268"/>
  <c r="X74" i="268"/>
  <c r="P74" i="268"/>
  <c r="O74" i="268"/>
  <c r="AE74" i="268" s="1"/>
  <c r="N74" i="268"/>
  <c r="AP74" i="268" s="1"/>
  <c r="M74" i="268"/>
  <c r="AC74" i="268" s="1"/>
  <c r="AQ73" i="268"/>
  <c r="AJ73" i="268"/>
  <c r="AU73" i="268" s="1"/>
  <c r="AI73" i="268"/>
  <c r="AG73" i="268"/>
  <c r="AF73" i="268"/>
  <c r="AB73" i="268"/>
  <c r="AA73" i="268"/>
  <c r="Z73" i="268"/>
  <c r="Y73" i="268"/>
  <c r="X73" i="268"/>
  <c r="P73" i="268"/>
  <c r="O73" i="268"/>
  <c r="N73" i="268"/>
  <c r="AD73" i="268" s="1"/>
  <c r="M73" i="268"/>
  <c r="AU72" i="268"/>
  <c r="AQ72" i="268"/>
  <c r="AJ72" i="268"/>
  <c r="AI72" i="268"/>
  <c r="AG72" i="268"/>
  <c r="AF72" i="268"/>
  <c r="AB72" i="268"/>
  <c r="AA72" i="268"/>
  <c r="Z72" i="268"/>
  <c r="Y72" i="268"/>
  <c r="X72" i="268"/>
  <c r="P72" i="268"/>
  <c r="O72" i="268"/>
  <c r="AE72" i="268" s="1"/>
  <c r="N72" i="268"/>
  <c r="M72" i="268"/>
  <c r="AC72" i="268" s="1"/>
  <c r="AQ71" i="268"/>
  <c r="AJ71" i="268"/>
  <c r="AI71" i="268"/>
  <c r="AG71" i="268"/>
  <c r="AF71" i="268"/>
  <c r="AB71" i="268"/>
  <c r="AA71" i="268"/>
  <c r="Z71" i="268"/>
  <c r="Y71" i="268"/>
  <c r="X71" i="268"/>
  <c r="P71" i="268"/>
  <c r="O71" i="268"/>
  <c r="N71" i="268"/>
  <c r="AD71" i="268" s="1"/>
  <c r="M71" i="268"/>
  <c r="AC71" i="268" s="1"/>
  <c r="AU70" i="268"/>
  <c r="AQ70" i="268"/>
  <c r="AJ70" i="268"/>
  <c r="AI70" i="268"/>
  <c r="AG70" i="268"/>
  <c r="AF70" i="268"/>
  <c r="AB70" i="268"/>
  <c r="AA70" i="268"/>
  <c r="Z70" i="268"/>
  <c r="Y70" i="268"/>
  <c r="X70" i="268"/>
  <c r="P70" i="268"/>
  <c r="O70" i="268"/>
  <c r="AE70" i="268" s="1"/>
  <c r="N70" i="268"/>
  <c r="AP70" i="268" s="1"/>
  <c r="M70" i="268"/>
  <c r="AC70" i="268" s="1"/>
  <c r="AU69" i="268"/>
  <c r="AQ69" i="268"/>
  <c r="AJ69" i="268"/>
  <c r="AI69" i="268"/>
  <c r="AG69" i="268"/>
  <c r="AF69" i="268"/>
  <c r="AB69" i="268"/>
  <c r="AA69" i="268"/>
  <c r="Z69" i="268"/>
  <c r="Y69" i="268"/>
  <c r="X69" i="268"/>
  <c r="P69" i="268"/>
  <c r="O69" i="268"/>
  <c r="AE69" i="268" s="1"/>
  <c r="N69" i="268"/>
  <c r="AP69" i="268" s="1"/>
  <c r="M69" i="268"/>
  <c r="AC69" i="268" s="1"/>
  <c r="AJ68" i="268"/>
  <c r="AI68" i="268"/>
  <c r="X68" i="268"/>
  <c r="AW67" i="268"/>
  <c r="AQ67" i="268"/>
  <c r="AP67" i="268"/>
  <c r="AJ67" i="268"/>
  <c r="AI67" i="268"/>
  <c r="AG67" i="268"/>
  <c r="AF67" i="268"/>
  <c r="AD67" i="268"/>
  <c r="AB67" i="268"/>
  <c r="AA67" i="268"/>
  <c r="Z67" i="268"/>
  <c r="Y67" i="268"/>
  <c r="X67" i="268"/>
  <c r="P67" i="268"/>
  <c r="O67" i="268"/>
  <c r="N67" i="268"/>
  <c r="M67" i="268"/>
  <c r="AU66" i="268"/>
  <c r="AQ66" i="268"/>
  <c r="AJ66" i="268"/>
  <c r="AI66" i="268"/>
  <c r="AG66" i="268"/>
  <c r="AF66" i="268"/>
  <c r="AB66" i="268"/>
  <c r="AA66" i="268"/>
  <c r="Z66" i="268"/>
  <c r="Y66" i="268"/>
  <c r="X66" i="268"/>
  <c r="P66" i="268"/>
  <c r="O66" i="268"/>
  <c r="AE66" i="268" s="1"/>
  <c r="N66" i="268"/>
  <c r="M66" i="268"/>
  <c r="AC66" i="268" s="1"/>
  <c r="AQ65" i="268"/>
  <c r="AP65" i="268"/>
  <c r="AW65" i="268" s="1"/>
  <c r="AJ65" i="268"/>
  <c r="AI65" i="268"/>
  <c r="AG65" i="268"/>
  <c r="AF65" i="268"/>
  <c r="AC65" i="268"/>
  <c r="AB65" i="268"/>
  <c r="AA65" i="268"/>
  <c r="Z65" i="268"/>
  <c r="Y65" i="268"/>
  <c r="X65" i="268"/>
  <c r="P65" i="268"/>
  <c r="O65" i="268"/>
  <c r="AE65" i="268" s="1"/>
  <c r="N65" i="268"/>
  <c r="AD65" i="268" s="1"/>
  <c r="M65" i="268"/>
  <c r="AJ64" i="268"/>
  <c r="AI64" i="268"/>
  <c r="X64" i="268"/>
  <c r="AQ63" i="268"/>
  <c r="AJ63" i="268"/>
  <c r="AO63" i="268" s="1"/>
  <c r="AI63" i="268"/>
  <c r="AG63" i="268"/>
  <c r="AF63" i="268"/>
  <c r="AB63" i="268"/>
  <c r="AA63" i="268"/>
  <c r="Z63" i="268"/>
  <c r="Y63" i="268"/>
  <c r="X63" i="268"/>
  <c r="P63" i="268"/>
  <c r="O63" i="268"/>
  <c r="AE63" i="268" s="1"/>
  <c r="N63" i="268"/>
  <c r="M63" i="268"/>
  <c r="AC63" i="268" s="1"/>
  <c r="AU62" i="268"/>
  <c r="AQ62" i="268"/>
  <c r="AO62" i="268"/>
  <c r="AJ62" i="268"/>
  <c r="AK62" i="268" s="1"/>
  <c r="AI62" i="268"/>
  <c r="AG62" i="268"/>
  <c r="AF62" i="268"/>
  <c r="AB62" i="268"/>
  <c r="AA62" i="268"/>
  <c r="Z62" i="268"/>
  <c r="Y62" i="268"/>
  <c r="X62" i="268"/>
  <c r="P62" i="268"/>
  <c r="O62" i="268"/>
  <c r="AE62" i="268" s="1"/>
  <c r="N62" i="268"/>
  <c r="AD62" i="268" s="1"/>
  <c r="M62" i="268"/>
  <c r="AU61" i="268"/>
  <c r="AQ61" i="268"/>
  <c r="AK61" i="268"/>
  <c r="AJ61" i="268"/>
  <c r="AI61" i="268"/>
  <c r="AG61" i="268"/>
  <c r="AF61" i="268"/>
  <c r="AB61" i="268"/>
  <c r="AA61" i="268"/>
  <c r="Z61" i="268"/>
  <c r="Y61" i="268"/>
  <c r="X61" i="268"/>
  <c r="P61" i="268"/>
  <c r="O61" i="268"/>
  <c r="AE61" i="268" s="1"/>
  <c r="N61" i="268"/>
  <c r="AP61" i="268" s="1"/>
  <c r="M61" i="268"/>
  <c r="AU60" i="268"/>
  <c r="AQ60" i="268"/>
  <c r="AK60" i="268"/>
  <c r="AJ60" i="268"/>
  <c r="AI60" i="268"/>
  <c r="AG60" i="268"/>
  <c r="AF60" i="268"/>
  <c r="AB60" i="268"/>
  <c r="AA60" i="268"/>
  <c r="Z60" i="268"/>
  <c r="Y60" i="268"/>
  <c r="X60" i="268"/>
  <c r="P60" i="268"/>
  <c r="O60" i="268"/>
  <c r="AE60" i="268" s="1"/>
  <c r="N60" i="268"/>
  <c r="AP60" i="268" s="1"/>
  <c r="M60" i="268"/>
  <c r="AQ59" i="268"/>
  <c r="AK59" i="268"/>
  <c r="AJ59" i="268"/>
  <c r="AU59" i="268" s="1"/>
  <c r="AI59" i="268"/>
  <c r="AG59" i="268"/>
  <c r="AF59" i="268"/>
  <c r="AB59" i="268"/>
  <c r="AA59" i="268"/>
  <c r="Z59" i="268"/>
  <c r="Y59" i="268"/>
  <c r="X59" i="268"/>
  <c r="P59" i="268"/>
  <c r="O59" i="268"/>
  <c r="AE59" i="268" s="1"/>
  <c r="N59" i="268"/>
  <c r="AP59" i="268" s="1"/>
  <c r="M59" i="268"/>
  <c r="AU58" i="268"/>
  <c r="AQ58" i="268"/>
  <c r="AO58" i="268"/>
  <c r="AJ58" i="268"/>
  <c r="AK58" i="268" s="1"/>
  <c r="AI58" i="268"/>
  <c r="AG58" i="268"/>
  <c r="AF58" i="268"/>
  <c r="AB58" i="268"/>
  <c r="AA58" i="268"/>
  <c r="Z58" i="268"/>
  <c r="Y58" i="268"/>
  <c r="X58" i="268"/>
  <c r="P58" i="268"/>
  <c r="O58" i="268"/>
  <c r="N58" i="268"/>
  <c r="M58" i="268"/>
  <c r="AC58" i="268" s="1"/>
  <c r="AJ57" i="268"/>
  <c r="AI57" i="268"/>
  <c r="X57" i="268"/>
  <c r="AU56" i="268"/>
  <c r="AQ56" i="268"/>
  <c r="AJ56" i="268"/>
  <c r="AK56" i="268" s="1"/>
  <c r="AI56" i="268"/>
  <c r="AG56" i="268"/>
  <c r="AF56" i="268"/>
  <c r="AB56" i="268"/>
  <c r="AA56" i="268"/>
  <c r="Z56" i="268"/>
  <c r="Y56" i="268"/>
  <c r="X56" i="268"/>
  <c r="P56" i="268"/>
  <c r="O56" i="268"/>
  <c r="N56" i="268"/>
  <c r="AP56" i="268" s="1"/>
  <c r="M56" i="268"/>
  <c r="AS56" i="268" s="1"/>
  <c r="AU55" i="268"/>
  <c r="AQ55" i="268"/>
  <c r="AJ55" i="268"/>
  <c r="AO55" i="268" s="1"/>
  <c r="AI55" i="268"/>
  <c r="AG55" i="268"/>
  <c r="AF55" i="268"/>
  <c r="AB55" i="268"/>
  <c r="AA55" i="268"/>
  <c r="Z55" i="268"/>
  <c r="Y55" i="268"/>
  <c r="X55" i="268"/>
  <c r="P55" i="268"/>
  <c r="O55" i="268"/>
  <c r="AE55" i="268" s="1"/>
  <c r="N55" i="268"/>
  <c r="AD55" i="268" s="1"/>
  <c r="M55" i="268"/>
  <c r="AS55" i="268" s="1"/>
  <c r="AV54" i="268"/>
  <c r="AQ54" i="268"/>
  <c r="AJ54" i="268"/>
  <c r="AI54" i="268"/>
  <c r="AG54" i="268"/>
  <c r="AF54" i="268"/>
  <c r="AB54" i="268"/>
  <c r="AA54" i="268"/>
  <c r="Z54" i="268"/>
  <c r="Y54" i="268"/>
  <c r="X54" i="268"/>
  <c r="P54" i="268"/>
  <c r="O54" i="268"/>
  <c r="AE54" i="268" s="1"/>
  <c r="N54" i="268"/>
  <c r="AP54" i="268" s="1"/>
  <c r="M54" i="268"/>
  <c r="AS54" i="268" s="1"/>
  <c r="AU53" i="268"/>
  <c r="AQ53" i="268"/>
  <c r="AK53" i="268"/>
  <c r="AJ53" i="268"/>
  <c r="AI53" i="268"/>
  <c r="AG53" i="268"/>
  <c r="AF53" i="268"/>
  <c r="AB53" i="268"/>
  <c r="AA53" i="268"/>
  <c r="Z53" i="268"/>
  <c r="Y53" i="268"/>
  <c r="X53" i="268"/>
  <c r="P53" i="268"/>
  <c r="O53" i="268"/>
  <c r="AE53" i="268" s="1"/>
  <c r="N53" i="268"/>
  <c r="AP53" i="268" s="1"/>
  <c r="M53" i="268"/>
  <c r="AU52" i="268"/>
  <c r="AQ52" i="268"/>
  <c r="AO52" i="268"/>
  <c r="AJ52" i="268"/>
  <c r="AK52" i="268" s="1"/>
  <c r="AI52" i="268"/>
  <c r="AG52" i="268"/>
  <c r="AF52" i="268"/>
  <c r="AB52" i="268"/>
  <c r="AA52" i="268"/>
  <c r="Z52" i="268"/>
  <c r="Y52" i="268"/>
  <c r="X52" i="268"/>
  <c r="P52" i="268"/>
  <c r="O52" i="268"/>
  <c r="N52" i="268"/>
  <c r="M52" i="268"/>
  <c r="AC52" i="268" s="1"/>
  <c r="AQ51" i="268"/>
  <c r="AJ51" i="268"/>
  <c r="AO51" i="268" s="1"/>
  <c r="AI51" i="268"/>
  <c r="AG51" i="268"/>
  <c r="AF51" i="268"/>
  <c r="AB51" i="268"/>
  <c r="AA51" i="268"/>
  <c r="Z51" i="268"/>
  <c r="Y51" i="268"/>
  <c r="X51" i="268"/>
  <c r="P51" i="268"/>
  <c r="O51" i="268"/>
  <c r="N51" i="268"/>
  <c r="AD51" i="268" s="1"/>
  <c r="M51" i="268"/>
  <c r="AC51" i="268" s="1"/>
  <c r="AJ50" i="268"/>
  <c r="AI50" i="268"/>
  <c r="X50" i="268"/>
  <c r="AU49" i="268"/>
  <c r="AQ49" i="268"/>
  <c r="AJ49" i="268"/>
  <c r="AO49" i="268" s="1"/>
  <c r="AI49" i="268"/>
  <c r="AG49" i="268"/>
  <c r="AF49" i="268"/>
  <c r="AB49" i="268"/>
  <c r="AA49" i="268"/>
  <c r="Z49" i="268"/>
  <c r="Y49" i="268"/>
  <c r="X49" i="268"/>
  <c r="P49" i="268"/>
  <c r="O49" i="268"/>
  <c r="AE49" i="268" s="1"/>
  <c r="N49" i="268"/>
  <c r="AD49" i="268" s="1"/>
  <c r="M49" i="268"/>
  <c r="AS49" i="268" s="1"/>
  <c r="AV48" i="268"/>
  <c r="AQ48" i="268"/>
  <c r="AJ48" i="268"/>
  <c r="AI48" i="268"/>
  <c r="AG48" i="268"/>
  <c r="AF48" i="268"/>
  <c r="AB48" i="268"/>
  <c r="AA48" i="268"/>
  <c r="Z48" i="268"/>
  <c r="Y48" i="268"/>
  <c r="X48" i="268"/>
  <c r="P48" i="268"/>
  <c r="O48" i="268"/>
  <c r="AE48" i="268" s="1"/>
  <c r="N48" i="268"/>
  <c r="AP48" i="268" s="1"/>
  <c r="M48" i="268"/>
  <c r="AS48" i="268" s="1"/>
  <c r="AU47" i="268"/>
  <c r="AQ47" i="268"/>
  <c r="AK47" i="268"/>
  <c r="AJ47" i="268"/>
  <c r="AI47" i="268"/>
  <c r="AG47" i="268"/>
  <c r="AF47" i="268"/>
  <c r="AB47" i="268"/>
  <c r="AA47" i="268"/>
  <c r="Z47" i="268"/>
  <c r="Y47" i="268"/>
  <c r="X47" i="268"/>
  <c r="P47" i="268"/>
  <c r="O47" i="268"/>
  <c r="AE47" i="268" s="1"/>
  <c r="N47" i="268"/>
  <c r="AP47" i="268" s="1"/>
  <c r="M47" i="268"/>
  <c r="AU46" i="268"/>
  <c r="AQ46" i="268"/>
  <c r="AO46" i="268"/>
  <c r="AJ46" i="268"/>
  <c r="AK46" i="268" s="1"/>
  <c r="AI46" i="268"/>
  <c r="AG46" i="268"/>
  <c r="AF46" i="268"/>
  <c r="AB46" i="268"/>
  <c r="AA46" i="268"/>
  <c r="Z46" i="268"/>
  <c r="Y46" i="268"/>
  <c r="X46" i="268"/>
  <c r="P46" i="268"/>
  <c r="O46" i="268"/>
  <c r="N46" i="268"/>
  <c r="M46" i="268"/>
  <c r="AC46" i="268" s="1"/>
  <c r="AQ45" i="268"/>
  <c r="AJ45" i="268"/>
  <c r="AO45" i="268" s="1"/>
  <c r="AI45" i="268"/>
  <c r="AG45" i="268"/>
  <c r="AF45" i="268"/>
  <c r="AB45" i="268"/>
  <c r="AA45" i="268"/>
  <c r="Z45" i="268"/>
  <c r="Y45" i="268"/>
  <c r="X45" i="268"/>
  <c r="P45" i="268"/>
  <c r="O45" i="268"/>
  <c r="N45" i="268"/>
  <c r="AD45" i="268" s="1"/>
  <c r="M45" i="268"/>
  <c r="AC45" i="268" s="1"/>
  <c r="AQ44" i="268"/>
  <c r="AJ44" i="268"/>
  <c r="AO44" i="268" s="1"/>
  <c r="AI44" i="268"/>
  <c r="AG44" i="268"/>
  <c r="AF44" i="268"/>
  <c r="AB44" i="268"/>
  <c r="AA44" i="268"/>
  <c r="Z44" i="268"/>
  <c r="Y44" i="268"/>
  <c r="X44" i="268"/>
  <c r="P44" i="268"/>
  <c r="O44" i="268"/>
  <c r="AE44" i="268" s="1"/>
  <c r="N44" i="268"/>
  <c r="AP44" i="268" s="1"/>
  <c r="M44" i="268"/>
  <c r="AC44" i="268" s="1"/>
  <c r="AQ43" i="268"/>
  <c r="AJ43" i="268"/>
  <c r="AU43" i="268" s="1"/>
  <c r="AI43" i="268"/>
  <c r="AG43" i="268"/>
  <c r="AF43" i="268"/>
  <c r="AB43" i="268"/>
  <c r="AA43" i="268"/>
  <c r="Z43" i="268"/>
  <c r="Y43" i="268"/>
  <c r="X43" i="268"/>
  <c r="P43" i="268"/>
  <c r="O43" i="268"/>
  <c r="AE43" i="268" s="1"/>
  <c r="N43" i="268"/>
  <c r="AP43" i="268" s="1"/>
  <c r="M43" i="268"/>
  <c r="AC43" i="268" s="1"/>
  <c r="AU42" i="268"/>
  <c r="AQ42" i="268"/>
  <c r="AJ42" i="268"/>
  <c r="AK42" i="268" s="1"/>
  <c r="AI42" i="268"/>
  <c r="AG42" i="268"/>
  <c r="AF42" i="268"/>
  <c r="AB42" i="268"/>
  <c r="AA42" i="268"/>
  <c r="Z42" i="268"/>
  <c r="Y42" i="268"/>
  <c r="X42" i="268"/>
  <c r="P42" i="268"/>
  <c r="O42" i="268"/>
  <c r="N42" i="268"/>
  <c r="AP42" i="268" s="1"/>
  <c r="AW42" i="268" s="1"/>
  <c r="M42" i="268"/>
  <c r="AS42" i="268" s="1"/>
  <c r="AU41" i="268"/>
  <c r="AQ41" i="268"/>
  <c r="AJ41" i="268"/>
  <c r="AO41" i="268" s="1"/>
  <c r="AI41" i="268"/>
  <c r="AG41" i="268"/>
  <c r="AF41" i="268"/>
  <c r="AB41" i="268"/>
  <c r="AA41" i="268"/>
  <c r="Z41" i="268"/>
  <c r="Y41" i="268"/>
  <c r="X41" i="268"/>
  <c r="P41" i="268"/>
  <c r="O41" i="268"/>
  <c r="AE41" i="268" s="1"/>
  <c r="N41" i="268"/>
  <c r="AD41" i="268" s="1"/>
  <c r="M41" i="268"/>
  <c r="AS41" i="268" s="1"/>
  <c r="AJ40" i="268"/>
  <c r="AI40" i="268"/>
  <c r="X40" i="268"/>
  <c r="AQ39" i="268"/>
  <c r="AJ39" i="268"/>
  <c r="AO39" i="268" s="1"/>
  <c r="AI39" i="268"/>
  <c r="AG39" i="268"/>
  <c r="AF39" i="268"/>
  <c r="AB39" i="268"/>
  <c r="AA39" i="268"/>
  <c r="Z39" i="268"/>
  <c r="Y39" i="268"/>
  <c r="X39" i="268"/>
  <c r="P39" i="268"/>
  <c r="O39" i="268"/>
  <c r="N39" i="268"/>
  <c r="AD39" i="268" s="1"/>
  <c r="M39" i="268"/>
  <c r="AC39" i="268" s="1"/>
  <c r="AQ38" i="268"/>
  <c r="AJ38" i="268"/>
  <c r="AO38" i="268" s="1"/>
  <c r="AI38" i="268"/>
  <c r="AG38" i="268"/>
  <c r="AF38" i="268"/>
  <c r="AB38" i="268"/>
  <c r="AA38" i="268"/>
  <c r="Z38" i="268"/>
  <c r="Y38" i="268"/>
  <c r="X38" i="268"/>
  <c r="P38" i="268"/>
  <c r="O38" i="268"/>
  <c r="AE38" i="268" s="1"/>
  <c r="N38" i="268"/>
  <c r="AP38" i="268" s="1"/>
  <c r="M38" i="268"/>
  <c r="AC38" i="268" s="1"/>
  <c r="AQ37" i="268"/>
  <c r="AJ37" i="268"/>
  <c r="AU37" i="268" s="1"/>
  <c r="AI37" i="268"/>
  <c r="AG37" i="268"/>
  <c r="AF37" i="268"/>
  <c r="AB37" i="268"/>
  <c r="AA37" i="268"/>
  <c r="Z37" i="268"/>
  <c r="Y37" i="268"/>
  <c r="X37" i="268"/>
  <c r="P37" i="268"/>
  <c r="O37" i="268"/>
  <c r="AE37" i="268" s="1"/>
  <c r="N37" i="268"/>
  <c r="AP37" i="268" s="1"/>
  <c r="M37" i="268"/>
  <c r="AC37" i="268" s="1"/>
  <c r="AU36" i="268"/>
  <c r="AQ36" i="268"/>
  <c r="AJ36" i="268"/>
  <c r="AK36" i="268" s="1"/>
  <c r="AI36" i="268"/>
  <c r="AG36" i="268"/>
  <c r="AF36" i="268"/>
  <c r="AB36" i="268"/>
  <c r="AA36" i="268"/>
  <c r="Z36" i="268"/>
  <c r="Y36" i="268"/>
  <c r="X36" i="268"/>
  <c r="P36" i="268"/>
  <c r="O36" i="268"/>
  <c r="N36" i="268"/>
  <c r="AD36" i="268" s="1"/>
  <c r="M36" i="268"/>
  <c r="AS36" i="268" s="1"/>
  <c r="AJ35" i="268"/>
  <c r="AI35" i="268"/>
  <c r="X35" i="268"/>
  <c r="AU34" i="268"/>
  <c r="AQ34" i="268"/>
  <c r="AO34" i="268"/>
  <c r="AJ34" i="268"/>
  <c r="AK34" i="268" s="1"/>
  <c r="AI34" i="268"/>
  <c r="AG34" i="268"/>
  <c r="AF34" i="268"/>
  <c r="AB34" i="268"/>
  <c r="AA34" i="268"/>
  <c r="Z34" i="268"/>
  <c r="Y34" i="268"/>
  <c r="X34" i="268"/>
  <c r="P34" i="268"/>
  <c r="O34" i="268"/>
  <c r="N34" i="268"/>
  <c r="M34" i="268"/>
  <c r="AC34" i="268" s="1"/>
  <c r="AQ33" i="268"/>
  <c r="AJ33" i="268"/>
  <c r="AO33" i="268" s="1"/>
  <c r="AI33" i="268"/>
  <c r="AG33" i="268"/>
  <c r="AF33" i="268"/>
  <c r="AB33" i="268"/>
  <c r="AA33" i="268"/>
  <c r="Z33" i="268"/>
  <c r="Y33" i="268"/>
  <c r="X33" i="268"/>
  <c r="P33" i="268"/>
  <c r="O33" i="268"/>
  <c r="N33" i="268"/>
  <c r="AD33" i="268" s="1"/>
  <c r="M33" i="268"/>
  <c r="AC33" i="268" s="1"/>
  <c r="AQ32" i="268"/>
  <c r="AJ32" i="268"/>
  <c r="AO32" i="268" s="1"/>
  <c r="AI32" i="268"/>
  <c r="AG32" i="268"/>
  <c r="AF32" i="268"/>
  <c r="AB32" i="268"/>
  <c r="AA32" i="268"/>
  <c r="Z32" i="268"/>
  <c r="Y32" i="268"/>
  <c r="X32" i="268"/>
  <c r="P32" i="268"/>
  <c r="O32" i="268"/>
  <c r="AE32" i="268" s="1"/>
  <c r="N32" i="268"/>
  <c r="AP32" i="268" s="1"/>
  <c r="M32" i="268"/>
  <c r="AC32" i="268" s="1"/>
  <c r="AJ31" i="268"/>
  <c r="AI31" i="268"/>
  <c r="X31" i="268"/>
  <c r="AV30" i="268"/>
  <c r="AQ30" i="268"/>
  <c r="AJ30" i="268"/>
  <c r="AI30" i="268"/>
  <c r="AG30" i="268"/>
  <c r="AF30" i="268"/>
  <c r="AB30" i="268"/>
  <c r="AA30" i="268"/>
  <c r="Z30" i="268"/>
  <c r="Y30" i="268"/>
  <c r="X30" i="268"/>
  <c r="P30" i="268"/>
  <c r="O30" i="268"/>
  <c r="AE30" i="268" s="1"/>
  <c r="N30" i="268"/>
  <c r="AP30" i="268" s="1"/>
  <c r="M30" i="268"/>
  <c r="AS30" i="268" s="1"/>
  <c r="AU29" i="268"/>
  <c r="AQ29" i="268"/>
  <c r="AK29" i="268"/>
  <c r="AJ29" i="268"/>
  <c r="AI29" i="268"/>
  <c r="AG29" i="268"/>
  <c r="AF29" i="268"/>
  <c r="AB29" i="268"/>
  <c r="AA29" i="268"/>
  <c r="Z29" i="268"/>
  <c r="Y29" i="268"/>
  <c r="X29" i="268"/>
  <c r="P29" i="268"/>
  <c r="O29" i="268"/>
  <c r="AE29" i="268" s="1"/>
  <c r="N29" i="268"/>
  <c r="AP29" i="268" s="1"/>
  <c r="M29" i="268"/>
  <c r="AU28" i="268"/>
  <c r="AQ28" i="268"/>
  <c r="AO28" i="268"/>
  <c r="AJ28" i="268"/>
  <c r="AK28" i="268" s="1"/>
  <c r="AI28" i="268"/>
  <c r="AG28" i="268"/>
  <c r="AF28" i="268"/>
  <c r="AB28" i="268"/>
  <c r="AA28" i="268"/>
  <c r="Z28" i="268"/>
  <c r="Y28" i="268"/>
  <c r="X28" i="268"/>
  <c r="P28" i="268"/>
  <c r="O28" i="268"/>
  <c r="N28" i="268"/>
  <c r="M28" i="268"/>
  <c r="AC28" i="268" s="1"/>
  <c r="AJ27" i="268"/>
  <c r="AI27" i="268"/>
  <c r="X27" i="268"/>
  <c r="AU26" i="268"/>
  <c r="AQ26" i="268"/>
  <c r="AJ26" i="268"/>
  <c r="AK26" i="268" s="1"/>
  <c r="AI26" i="268"/>
  <c r="AG26" i="268"/>
  <c r="AF26" i="268"/>
  <c r="AB26" i="268"/>
  <c r="AA26" i="268"/>
  <c r="Z26" i="268"/>
  <c r="Y26" i="268"/>
  <c r="X26" i="268"/>
  <c r="P26" i="268"/>
  <c r="O26" i="268"/>
  <c r="N26" i="268"/>
  <c r="AD26" i="268" s="1"/>
  <c r="M26" i="268"/>
  <c r="AS26" i="268" s="1"/>
  <c r="AU25" i="268"/>
  <c r="AQ25" i="268"/>
  <c r="AJ25" i="268"/>
  <c r="AO25" i="268" s="1"/>
  <c r="AI25" i="268"/>
  <c r="AG25" i="268"/>
  <c r="AF25" i="268"/>
  <c r="AB25" i="268"/>
  <c r="AA25" i="268"/>
  <c r="Z25" i="268"/>
  <c r="Y25" i="268"/>
  <c r="X25" i="268"/>
  <c r="P25" i="268"/>
  <c r="O25" i="268"/>
  <c r="AE25" i="268" s="1"/>
  <c r="N25" i="268"/>
  <c r="AD25" i="268" s="1"/>
  <c r="M25" i="268"/>
  <c r="AS25" i="268" s="1"/>
  <c r="AV24" i="268"/>
  <c r="AQ24" i="268"/>
  <c r="AJ24" i="268"/>
  <c r="AI24" i="268"/>
  <c r="AG24" i="268"/>
  <c r="AF24" i="268"/>
  <c r="AB24" i="268"/>
  <c r="AA24" i="268"/>
  <c r="Z24" i="268"/>
  <c r="Y24" i="268"/>
  <c r="X24" i="268"/>
  <c r="P24" i="268"/>
  <c r="O24" i="268"/>
  <c r="AE24" i="268" s="1"/>
  <c r="N24" i="268"/>
  <c r="AP24" i="268" s="1"/>
  <c r="M24" i="268"/>
  <c r="AS24" i="268" s="1"/>
  <c r="AJ23" i="268"/>
  <c r="AI23" i="268"/>
  <c r="X23" i="268"/>
  <c r="AQ22" i="268"/>
  <c r="AJ22" i="268"/>
  <c r="AO22" i="268" s="1"/>
  <c r="AI22" i="268"/>
  <c r="AG22" i="268"/>
  <c r="AF22" i="268"/>
  <c r="AB22" i="268"/>
  <c r="AA22" i="268"/>
  <c r="Z22" i="268"/>
  <c r="Y22" i="268"/>
  <c r="X22" i="268"/>
  <c r="P22" i="268"/>
  <c r="O22" i="268"/>
  <c r="AE22" i="268" s="1"/>
  <c r="N22" i="268"/>
  <c r="AP22" i="268" s="1"/>
  <c r="M22" i="268"/>
  <c r="AC22" i="268" s="1"/>
  <c r="AU21" i="268"/>
  <c r="AQ21" i="268"/>
  <c r="AJ21" i="268"/>
  <c r="AI21" i="268"/>
  <c r="AG21" i="268"/>
  <c r="AF21" i="268"/>
  <c r="AB21" i="268"/>
  <c r="AA21" i="268"/>
  <c r="Z21" i="268"/>
  <c r="Y21" i="268"/>
  <c r="X21" i="268"/>
  <c r="P21" i="268"/>
  <c r="O21" i="268"/>
  <c r="AE21" i="268" s="1"/>
  <c r="N21" i="268"/>
  <c r="AP21" i="268" s="1"/>
  <c r="M21" i="268"/>
  <c r="AC21" i="268" s="1"/>
  <c r="AU20" i="268"/>
  <c r="AQ20" i="268"/>
  <c r="AJ20" i="268"/>
  <c r="AK20" i="268" s="1"/>
  <c r="AI20" i="268"/>
  <c r="AG20" i="268"/>
  <c r="AF20" i="268"/>
  <c r="AB20" i="268"/>
  <c r="AA20" i="268"/>
  <c r="Z20" i="268"/>
  <c r="Y20" i="268"/>
  <c r="X20" i="268"/>
  <c r="P20" i="268"/>
  <c r="O20" i="268"/>
  <c r="N20" i="268"/>
  <c r="AP20" i="268" s="1"/>
  <c r="M20" i="268"/>
  <c r="AS20" i="268" s="1"/>
  <c r="AJ19" i="268"/>
  <c r="AI19" i="268"/>
  <c r="X19" i="268"/>
  <c r="AU18" i="268"/>
  <c r="AQ18" i="268"/>
  <c r="AO18" i="268"/>
  <c r="AJ18" i="268"/>
  <c r="AK18" i="268" s="1"/>
  <c r="AI18" i="268"/>
  <c r="AG18" i="268"/>
  <c r="AF18" i="268"/>
  <c r="AB18" i="268"/>
  <c r="AA18" i="268"/>
  <c r="Z18" i="268"/>
  <c r="Y18" i="268"/>
  <c r="X18" i="268"/>
  <c r="P18" i="268"/>
  <c r="O18" i="268"/>
  <c r="AR18" i="268" s="1"/>
  <c r="N18" i="268"/>
  <c r="M18" i="268"/>
  <c r="AC18" i="268" s="1"/>
  <c r="AQ17" i="268"/>
  <c r="AJ17" i="268"/>
  <c r="AO17" i="268" s="1"/>
  <c r="AI17" i="268"/>
  <c r="AG17" i="268"/>
  <c r="AF17" i="268"/>
  <c r="AB17" i="268"/>
  <c r="AA17" i="268"/>
  <c r="Z17" i="268"/>
  <c r="Y17" i="268"/>
  <c r="X17" i="268"/>
  <c r="P17" i="268"/>
  <c r="O17" i="268"/>
  <c r="N17" i="268"/>
  <c r="AD17" i="268" s="1"/>
  <c r="M17" i="268"/>
  <c r="AC17" i="268" s="1"/>
  <c r="AQ16" i="268"/>
  <c r="AK16" i="268"/>
  <c r="AJ16" i="268"/>
  <c r="AO16" i="268" s="1"/>
  <c r="AI16" i="268"/>
  <c r="AG16" i="268"/>
  <c r="AF16" i="268"/>
  <c r="AB16" i="268"/>
  <c r="AA16" i="268"/>
  <c r="Z16" i="268"/>
  <c r="Y16" i="268"/>
  <c r="X16" i="268"/>
  <c r="P16" i="268"/>
  <c r="O16" i="268"/>
  <c r="AE16" i="268" s="1"/>
  <c r="N16" i="268"/>
  <c r="AP16" i="268" s="1"/>
  <c r="M16" i="268"/>
  <c r="AC16" i="268" s="1"/>
  <c r="AU15" i="268"/>
  <c r="AQ15" i="268"/>
  <c r="AO15" i="268"/>
  <c r="AJ15" i="268"/>
  <c r="AI15" i="268"/>
  <c r="AG15" i="268"/>
  <c r="AF15" i="268"/>
  <c r="AB15" i="268"/>
  <c r="AA15" i="268"/>
  <c r="Z15" i="268"/>
  <c r="Y15" i="268"/>
  <c r="X15" i="268"/>
  <c r="P15" i="268"/>
  <c r="O15" i="268"/>
  <c r="AE15" i="268" s="1"/>
  <c r="N15" i="268"/>
  <c r="AP15" i="268" s="1"/>
  <c r="M15" i="268"/>
  <c r="AC15" i="268" s="1"/>
  <c r="AJ14" i="268"/>
  <c r="AI14" i="268"/>
  <c r="X14" i="268"/>
  <c r="AU13" i="268"/>
  <c r="AQ13" i="268"/>
  <c r="AO13" i="268"/>
  <c r="AK13" i="268"/>
  <c r="AJ13" i="268"/>
  <c r="AI13" i="268"/>
  <c r="AG13" i="268"/>
  <c r="AF13" i="268"/>
  <c r="AB13" i="268"/>
  <c r="AA13" i="268"/>
  <c r="Z13" i="268"/>
  <c r="Y13" i="268"/>
  <c r="X13" i="268"/>
  <c r="P13" i="268"/>
  <c r="O13" i="268"/>
  <c r="N13" i="268"/>
  <c r="AP13" i="268" s="1"/>
  <c r="M13" i="268"/>
  <c r="AU12" i="268"/>
  <c r="AQ12" i="268"/>
  <c r="AO12" i="268"/>
  <c r="AJ12" i="268"/>
  <c r="AK12" i="268" s="1"/>
  <c r="AI12" i="268"/>
  <c r="AG12" i="268"/>
  <c r="AF12" i="268"/>
  <c r="AB12" i="268"/>
  <c r="AA12" i="268"/>
  <c r="Z12" i="268"/>
  <c r="Y12" i="268"/>
  <c r="X12" i="268"/>
  <c r="P12" i="268"/>
  <c r="O12" i="268"/>
  <c r="AR12" i="268" s="1"/>
  <c r="N12" i="268"/>
  <c r="M12" i="268"/>
  <c r="AC12" i="268" s="1"/>
  <c r="AV11" i="268"/>
  <c r="AQ11" i="268"/>
  <c r="AJ11" i="268"/>
  <c r="AO11" i="268" s="1"/>
  <c r="AI11" i="268"/>
  <c r="AG11" i="268"/>
  <c r="AF11" i="268"/>
  <c r="AB11" i="268"/>
  <c r="AA11" i="268"/>
  <c r="Z11" i="268"/>
  <c r="Y11" i="268"/>
  <c r="X11" i="268"/>
  <c r="P11" i="268"/>
  <c r="O11" i="268"/>
  <c r="N11" i="268"/>
  <c r="AD11" i="268" s="1"/>
  <c r="M11" i="268"/>
  <c r="AC11" i="268" s="1"/>
  <c r="AQ10" i="268"/>
  <c r="AK10" i="268"/>
  <c r="AJ10" i="268"/>
  <c r="AO10" i="268" s="1"/>
  <c r="AI10" i="268"/>
  <c r="AG10" i="268"/>
  <c r="AF10" i="268"/>
  <c r="AB10" i="268"/>
  <c r="AA10" i="268"/>
  <c r="Z10" i="268"/>
  <c r="Y10" i="268"/>
  <c r="X10" i="268"/>
  <c r="P10" i="268"/>
  <c r="O10" i="268"/>
  <c r="AE10" i="268" s="1"/>
  <c r="N10" i="268"/>
  <c r="AP10" i="268" s="1"/>
  <c r="M10" i="268"/>
  <c r="AC10" i="268" s="1"/>
  <c r="AJ9" i="268"/>
  <c r="AI9" i="268"/>
  <c r="X9" i="268"/>
  <c r="AV8" i="268"/>
  <c r="AQ8" i="268"/>
  <c r="AJ8" i="268"/>
  <c r="AI8" i="268"/>
  <c r="AG8" i="268"/>
  <c r="AF8" i="268"/>
  <c r="AB8" i="268"/>
  <c r="AA8" i="268"/>
  <c r="Z8" i="268"/>
  <c r="Y8" i="268"/>
  <c r="X8" i="268"/>
  <c r="P8" i="268"/>
  <c r="O8" i="268"/>
  <c r="AE8" i="268" s="1"/>
  <c r="N8" i="268"/>
  <c r="AP8" i="268" s="1"/>
  <c r="M8" i="268"/>
  <c r="AS8" i="268" s="1"/>
  <c r="AU7" i="268"/>
  <c r="AQ7" i="268"/>
  <c r="AO7" i="268"/>
  <c r="AK7" i="268"/>
  <c r="AJ7" i="268"/>
  <c r="AI7" i="268"/>
  <c r="AG7" i="268"/>
  <c r="AF7" i="268"/>
  <c r="AB7" i="268"/>
  <c r="AA7" i="268"/>
  <c r="Z7" i="268"/>
  <c r="Y7" i="268"/>
  <c r="X7" i="268"/>
  <c r="P7" i="268"/>
  <c r="O7" i="268"/>
  <c r="N7" i="268"/>
  <c r="AP7" i="268" s="1"/>
  <c r="M7" i="268"/>
  <c r="AV6" i="268"/>
  <c r="AU6" i="268"/>
  <c r="AQ6" i="268"/>
  <c r="AO6" i="268"/>
  <c r="AJ6" i="268"/>
  <c r="AK6" i="268" s="1"/>
  <c r="AI6" i="268"/>
  <c r="AG6" i="268"/>
  <c r="AF6" i="268"/>
  <c r="AB6" i="268"/>
  <c r="AA6" i="268"/>
  <c r="Z6" i="268"/>
  <c r="Y6" i="268"/>
  <c r="X6" i="268"/>
  <c r="P6" i="268"/>
  <c r="O6" i="268"/>
  <c r="N6" i="268"/>
  <c r="AP6" i="268" s="1"/>
  <c r="M6" i="268"/>
  <c r="AC6" i="268" s="1"/>
  <c r="AJ5" i="268"/>
  <c r="AI5" i="268"/>
  <c r="X5" i="268"/>
  <c r="AJ4" i="268"/>
  <c r="AV3" i="268"/>
  <c r="AS3" i="268"/>
  <c r="AR3" i="268"/>
  <c r="AP3" i="268"/>
  <c r="AJ3" i="268"/>
  <c r="AI3" i="268"/>
  <c r="AO2" i="268"/>
  <c r="AO102" i="268" s="1"/>
  <c r="AN2" i="268"/>
  <c r="AM2" i="268"/>
  <c r="AL2" i="268"/>
  <c r="AK2" i="268"/>
  <c r="AK44" i="268" s="1"/>
  <c r="AB2" i="268"/>
  <c r="A2" i="268"/>
  <c r="AV1" i="268"/>
  <c r="AV56" i="268" s="1"/>
  <c r="AS1" i="268"/>
  <c r="AS122" i="268" s="1"/>
  <c r="AR1" i="268"/>
  <c r="AQ1" i="268"/>
  <c r="AQ3" i="268" s="1"/>
  <c r="AP1" i="268"/>
  <c r="AK1" i="268"/>
  <c r="AI1" i="268"/>
  <c r="AI2" i="268" s="1"/>
  <c r="AB1" i="268"/>
  <c r="AQ89" i="267"/>
  <c r="AP89" i="267"/>
  <c r="AJ89" i="267"/>
  <c r="AU89" i="267" s="1"/>
  <c r="AI89" i="267"/>
  <c r="AG89" i="267"/>
  <c r="AF89" i="267"/>
  <c r="AB89" i="267"/>
  <c r="AA89" i="267"/>
  <c r="Z89" i="267"/>
  <c r="Y89" i="267"/>
  <c r="X89" i="267"/>
  <c r="P89" i="267"/>
  <c r="O89" i="267"/>
  <c r="N89" i="267"/>
  <c r="AD89" i="267" s="1"/>
  <c r="M89" i="267"/>
  <c r="AQ88" i="267"/>
  <c r="AJ88" i="267"/>
  <c r="AI88" i="267"/>
  <c r="AG88" i="267"/>
  <c r="AF88" i="267"/>
  <c r="AB88" i="267"/>
  <c r="AA88" i="267"/>
  <c r="Z88" i="267"/>
  <c r="Y88" i="267"/>
  <c r="X88" i="267"/>
  <c r="P88" i="267"/>
  <c r="O88" i="267"/>
  <c r="AE88" i="267" s="1"/>
  <c r="N88" i="267"/>
  <c r="AP88" i="267" s="1"/>
  <c r="M88" i="267"/>
  <c r="AJ87" i="267"/>
  <c r="AI87" i="267"/>
  <c r="X87" i="267"/>
  <c r="AV86" i="267"/>
  <c r="AQ86" i="267"/>
  <c r="AJ86" i="267"/>
  <c r="AU86" i="267" s="1"/>
  <c r="AI86" i="267"/>
  <c r="AG86" i="267"/>
  <c r="AF86" i="267"/>
  <c r="AB86" i="267"/>
  <c r="AA86" i="267"/>
  <c r="Z86" i="267"/>
  <c r="Y86" i="267"/>
  <c r="X86" i="267"/>
  <c r="P86" i="267"/>
  <c r="O86" i="267"/>
  <c r="AE86" i="267" s="1"/>
  <c r="N86" i="267"/>
  <c r="M86" i="267"/>
  <c r="AC86" i="267" s="1"/>
  <c r="AU85" i="267"/>
  <c r="AQ85" i="267"/>
  <c r="AJ85" i="267"/>
  <c r="AI85" i="267"/>
  <c r="AG85" i="267"/>
  <c r="AF85" i="267"/>
  <c r="AB85" i="267"/>
  <c r="AA85" i="267"/>
  <c r="Z85" i="267"/>
  <c r="Y85" i="267"/>
  <c r="X85" i="267"/>
  <c r="P85" i="267"/>
  <c r="O85" i="267"/>
  <c r="N85" i="267"/>
  <c r="AP85" i="267" s="1"/>
  <c r="M85" i="267"/>
  <c r="AC85" i="267" s="1"/>
  <c r="AU84" i="267"/>
  <c r="AQ84" i="267"/>
  <c r="AO84" i="267"/>
  <c r="AJ84" i="267"/>
  <c r="AI84" i="267"/>
  <c r="AG84" i="267"/>
  <c r="AF84" i="267"/>
  <c r="AE84" i="267"/>
  <c r="AB84" i="267"/>
  <c r="AA84" i="267"/>
  <c r="Z84" i="267"/>
  <c r="Y84" i="267"/>
  <c r="X84" i="267"/>
  <c r="P84" i="267"/>
  <c r="O84" i="267"/>
  <c r="N84" i="267"/>
  <c r="AD84" i="267" s="1"/>
  <c r="M84" i="267"/>
  <c r="AC84" i="267" s="1"/>
  <c r="AQ83" i="267"/>
  <c r="AJ83" i="267"/>
  <c r="AI83" i="267"/>
  <c r="AG83" i="267"/>
  <c r="AF83" i="267"/>
  <c r="AB83" i="267"/>
  <c r="AA83" i="267"/>
  <c r="Z83" i="267"/>
  <c r="Y83" i="267"/>
  <c r="X83" i="267"/>
  <c r="P83" i="267"/>
  <c r="O83" i="267"/>
  <c r="AR83" i="267" s="1"/>
  <c r="N83" i="267"/>
  <c r="AD83" i="267" s="1"/>
  <c r="M83" i="267"/>
  <c r="AJ82" i="267"/>
  <c r="AI82" i="267"/>
  <c r="X82" i="267"/>
  <c r="AU81" i="267"/>
  <c r="AQ81" i="267"/>
  <c r="AP81" i="267"/>
  <c r="AJ81" i="267"/>
  <c r="AI81" i="267"/>
  <c r="AG81" i="267"/>
  <c r="AF81" i="267"/>
  <c r="AB81" i="267"/>
  <c r="AA81" i="267"/>
  <c r="Z81" i="267"/>
  <c r="Y81" i="267"/>
  <c r="X81" i="267"/>
  <c r="P81" i="267"/>
  <c r="O81" i="267"/>
  <c r="N81" i="267"/>
  <c r="AD81" i="267" s="1"/>
  <c r="M81" i="267"/>
  <c r="AC81" i="267" s="1"/>
  <c r="AQ80" i="267"/>
  <c r="AJ80" i="267"/>
  <c r="AK80" i="267" s="1"/>
  <c r="AI80" i="267"/>
  <c r="AG80" i="267"/>
  <c r="AF80" i="267"/>
  <c r="AB80" i="267"/>
  <c r="AA80" i="267"/>
  <c r="Z80" i="267"/>
  <c r="Y80" i="267"/>
  <c r="X80" i="267"/>
  <c r="P80" i="267"/>
  <c r="O80" i="267"/>
  <c r="AR80" i="267" s="1"/>
  <c r="N80" i="267"/>
  <c r="AP80" i="267" s="1"/>
  <c r="M80" i="267"/>
  <c r="AC80" i="267" s="1"/>
  <c r="AJ79" i="267"/>
  <c r="AI79" i="267"/>
  <c r="X79" i="267"/>
  <c r="AV78" i="267"/>
  <c r="AQ78" i="267"/>
  <c r="AJ78" i="267"/>
  <c r="AI78" i="267"/>
  <c r="AG78" i="267"/>
  <c r="AF78" i="267"/>
  <c r="AB78" i="267"/>
  <c r="AA78" i="267"/>
  <c r="Z78" i="267"/>
  <c r="Y78" i="267"/>
  <c r="X78" i="267"/>
  <c r="P78" i="267"/>
  <c r="O78" i="267"/>
  <c r="AR78" i="267" s="1"/>
  <c r="N78" i="267"/>
  <c r="AP78" i="267" s="1"/>
  <c r="M78" i="267"/>
  <c r="AC78" i="267" s="1"/>
  <c r="AU77" i="267"/>
  <c r="AQ77" i="267"/>
  <c r="AK77" i="267"/>
  <c r="AJ77" i="267"/>
  <c r="AO77" i="267" s="1"/>
  <c r="AI77" i="267"/>
  <c r="AG77" i="267"/>
  <c r="AF77" i="267"/>
  <c r="AB77" i="267"/>
  <c r="AA77" i="267"/>
  <c r="Z77" i="267"/>
  <c r="Y77" i="267"/>
  <c r="X77" i="267"/>
  <c r="P77" i="267"/>
  <c r="O77" i="267"/>
  <c r="AE77" i="267" s="1"/>
  <c r="N77" i="267"/>
  <c r="AP77" i="267" s="1"/>
  <c r="M77" i="267"/>
  <c r="AQ76" i="267"/>
  <c r="AO76" i="267"/>
  <c r="AJ76" i="267"/>
  <c r="AK76" i="267" s="1"/>
  <c r="AI76" i="267"/>
  <c r="AG76" i="267"/>
  <c r="AF76" i="267"/>
  <c r="AB76" i="267"/>
  <c r="AA76" i="267"/>
  <c r="Z76" i="267"/>
  <c r="Y76" i="267"/>
  <c r="X76" i="267"/>
  <c r="P76" i="267"/>
  <c r="O76" i="267"/>
  <c r="AE76" i="267" s="1"/>
  <c r="N76" i="267"/>
  <c r="M76" i="267"/>
  <c r="AC76" i="267" s="1"/>
  <c r="AJ75" i="267"/>
  <c r="AI75" i="267"/>
  <c r="X75" i="267"/>
  <c r="AQ74" i="267"/>
  <c r="AJ74" i="267"/>
  <c r="AU74" i="267" s="1"/>
  <c r="AI74" i="267"/>
  <c r="AG74" i="267"/>
  <c r="AF74" i="267"/>
  <c r="AE74" i="267"/>
  <c r="AC74" i="267"/>
  <c r="AB74" i="267"/>
  <c r="AA74" i="267"/>
  <c r="Z74" i="267"/>
  <c r="Y74" i="267"/>
  <c r="X74" i="267"/>
  <c r="P74" i="267"/>
  <c r="O74" i="267"/>
  <c r="N74" i="267"/>
  <c r="AP74" i="267" s="1"/>
  <c r="M74" i="267"/>
  <c r="AU73" i="267"/>
  <c r="AQ73" i="267"/>
  <c r="AJ73" i="267"/>
  <c r="AI73" i="267"/>
  <c r="AG73" i="267"/>
  <c r="AF73" i="267"/>
  <c r="AB73" i="267"/>
  <c r="AA73" i="267"/>
  <c r="Z73" i="267"/>
  <c r="Y73" i="267"/>
  <c r="X73" i="267"/>
  <c r="P73" i="267"/>
  <c r="O73" i="267"/>
  <c r="AE73" i="267" s="1"/>
  <c r="N73" i="267"/>
  <c r="AD73" i="267" s="1"/>
  <c r="M73" i="267"/>
  <c r="AC73" i="267" s="1"/>
  <c r="AJ72" i="267"/>
  <c r="AI72" i="267"/>
  <c r="X72" i="267"/>
  <c r="AU71" i="267"/>
  <c r="AQ71" i="267"/>
  <c r="AJ71" i="267"/>
  <c r="AI71" i="267"/>
  <c r="AG71" i="267"/>
  <c r="AF71" i="267"/>
  <c r="AB71" i="267"/>
  <c r="AA71" i="267"/>
  <c r="Z71" i="267"/>
  <c r="Y71" i="267"/>
  <c r="X71" i="267"/>
  <c r="P71" i="267"/>
  <c r="O71" i="267"/>
  <c r="N71" i="267"/>
  <c r="AP71" i="267" s="1"/>
  <c r="M71" i="267"/>
  <c r="AC71" i="267" s="1"/>
  <c r="AQ70" i="267"/>
  <c r="AJ70" i="267"/>
  <c r="AK70" i="267" s="1"/>
  <c r="AI70" i="267"/>
  <c r="AG70" i="267"/>
  <c r="AF70" i="267"/>
  <c r="AB70" i="267"/>
  <c r="AA70" i="267"/>
  <c r="Z70" i="267"/>
  <c r="Y70" i="267"/>
  <c r="X70" i="267"/>
  <c r="P70" i="267"/>
  <c r="O70" i="267"/>
  <c r="AR70" i="267" s="1"/>
  <c r="N70" i="267"/>
  <c r="AP70" i="267" s="1"/>
  <c r="M70" i="267"/>
  <c r="AC70" i="267" s="1"/>
  <c r="AJ69" i="267"/>
  <c r="AI69" i="267"/>
  <c r="X69" i="267"/>
  <c r="AV68" i="267"/>
  <c r="AQ68" i="267"/>
  <c r="AJ68" i="267"/>
  <c r="AI68" i="267"/>
  <c r="AG68" i="267"/>
  <c r="AF68" i="267"/>
  <c r="AB68" i="267"/>
  <c r="AA68" i="267"/>
  <c r="Z68" i="267"/>
  <c r="Y68" i="267"/>
  <c r="X68" i="267"/>
  <c r="P68" i="267"/>
  <c r="O68" i="267"/>
  <c r="AR68" i="267" s="1"/>
  <c r="N68" i="267"/>
  <c r="AP68" i="267" s="1"/>
  <c r="M68" i="267"/>
  <c r="AC68" i="267" s="1"/>
  <c r="AU67" i="267"/>
  <c r="AQ67" i="267"/>
  <c r="AK67" i="267"/>
  <c r="AJ67" i="267"/>
  <c r="AO67" i="267" s="1"/>
  <c r="AI67" i="267"/>
  <c r="AG67" i="267"/>
  <c r="AF67" i="267"/>
  <c r="AB67" i="267"/>
  <c r="AA67" i="267"/>
  <c r="Z67" i="267"/>
  <c r="Y67" i="267"/>
  <c r="X67" i="267"/>
  <c r="P67" i="267"/>
  <c r="O67" i="267"/>
  <c r="AE67" i="267" s="1"/>
  <c r="N67" i="267"/>
  <c r="AP67" i="267" s="1"/>
  <c r="M67" i="267"/>
  <c r="AQ66" i="267"/>
  <c r="AO66" i="267"/>
  <c r="AJ66" i="267"/>
  <c r="AK66" i="267" s="1"/>
  <c r="AI66" i="267"/>
  <c r="AG66" i="267"/>
  <c r="AF66" i="267"/>
  <c r="AB66" i="267"/>
  <c r="AA66" i="267"/>
  <c r="Z66" i="267"/>
  <c r="Y66" i="267"/>
  <c r="X66" i="267"/>
  <c r="P66" i="267"/>
  <c r="O66" i="267"/>
  <c r="AE66" i="267" s="1"/>
  <c r="N66" i="267"/>
  <c r="M66" i="267"/>
  <c r="AC66" i="267" s="1"/>
  <c r="AJ65" i="267"/>
  <c r="AI65" i="267"/>
  <c r="X65" i="267"/>
  <c r="AQ64" i="267"/>
  <c r="AJ64" i="267"/>
  <c r="AK64" i="267" s="1"/>
  <c r="AI64" i="267"/>
  <c r="AG64" i="267"/>
  <c r="AF64" i="267"/>
  <c r="AB64" i="267"/>
  <c r="AA64" i="267"/>
  <c r="Z64" i="267"/>
  <c r="Y64" i="267"/>
  <c r="X64" i="267"/>
  <c r="P64" i="267"/>
  <c r="O64" i="267"/>
  <c r="AE64" i="267" s="1"/>
  <c r="N64" i="267"/>
  <c r="AP64" i="267" s="1"/>
  <c r="M64" i="267"/>
  <c r="AC64" i="267" s="1"/>
  <c r="AJ63" i="267"/>
  <c r="AI63" i="267"/>
  <c r="X63" i="267"/>
  <c r="AQ62" i="267"/>
  <c r="AO62" i="267"/>
  <c r="AJ62" i="267"/>
  <c r="AK62" i="267" s="1"/>
  <c r="AI62" i="267"/>
  <c r="AG62" i="267"/>
  <c r="AF62" i="267"/>
  <c r="AB62" i="267"/>
  <c r="AA62" i="267"/>
  <c r="Z62" i="267"/>
  <c r="Y62" i="267"/>
  <c r="X62" i="267"/>
  <c r="P62" i="267"/>
  <c r="O62" i="267"/>
  <c r="AE62" i="267" s="1"/>
  <c r="N62" i="267"/>
  <c r="M62" i="267"/>
  <c r="AC62" i="267" s="1"/>
  <c r="AU61" i="267"/>
  <c r="AQ61" i="267"/>
  <c r="AJ61" i="267"/>
  <c r="AI61" i="267"/>
  <c r="AG61" i="267"/>
  <c r="AF61" i="267"/>
  <c r="AB61" i="267"/>
  <c r="AA61" i="267"/>
  <c r="Z61" i="267"/>
  <c r="Y61" i="267"/>
  <c r="X61" i="267"/>
  <c r="P61" i="267"/>
  <c r="O61" i="267"/>
  <c r="N61" i="267"/>
  <c r="AP61" i="267" s="1"/>
  <c r="M61" i="267"/>
  <c r="AC61" i="267" s="1"/>
  <c r="AQ60" i="267"/>
  <c r="AJ60" i="267"/>
  <c r="AO60" i="267" s="1"/>
  <c r="AI60" i="267"/>
  <c r="AG60" i="267"/>
  <c r="AF60" i="267"/>
  <c r="AB60" i="267"/>
  <c r="AA60" i="267"/>
  <c r="Z60" i="267"/>
  <c r="Y60" i="267"/>
  <c r="X60" i="267"/>
  <c r="P60" i="267"/>
  <c r="O60" i="267"/>
  <c r="AR60" i="267" s="1"/>
  <c r="N60" i="267"/>
  <c r="AP60" i="267" s="1"/>
  <c r="M60" i="267"/>
  <c r="AC60" i="267" s="1"/>
  <c r="AW59" i="267"/>
  <c r="AU59" i="267"/>
  <c r="AR59" i="267"/>
  <c r="AQ59" i="267"/>
  <c r="AP59" i="267"/>
  <c r="AJ59" i="267"/>
  <c r="AO59" i="267" s="1"/>
  <c r="AI59" i="267"/>
  <c r="AG59" i="267"/>
  <c r="AF59" i="267"/>
  <c r="AD59" i="267"/>
  <c r="AB59" i="267"/>
  <c r="AA59" i="267"/>
  <c r="Z59" i="267"/>
  <c r="Y59" i="267"/>
  <c r="X59" i="267"/>
  <c r="P59" i="267"/>
  <c r="O59" i="267"/>
  <c r="AE59" i="267" s="1"/>
  <c r="N59" i="267"/>
  <c r="M59" i="267"/>
  <c r="AC59" i="267" s="1"/>
  <c r="AJ58" i="267"/>
  <c r="AI58" i="267"/>
  <c r="X58" i="267"/>
  <c r="AU57" i="267"/>
  <c r="AQ57" i="267"/>
  <c r="AK57" i="267"/>
  <c r="AJ57" i="267"/>
  <c r="AI57" i="267"/>
  <c r="AG57" i="267"/>
  <c r="AF57" i="267"/>
  <c r="AB57" i="267"/>
  <c r="AA57" i="267"/>
  <c r="Z57" i="267"/>
  <c r="Y57" i="267"/>
  <c r="X57" i="267"/>
  <c r="P57" i="267"/>
  <c r="O57" i="267"/>
  <c r="AE57" i="267" s="1"/>
  <c r="N57" i="267"/>
  <c r="AP57" i="267" s="1"/>
  <c r="M57" i="267"/>
  <c r="AQ56" i="267"/>
  <c r="AO56" i="267"/>
  <c r="AJ56" i="267"/>
  <c r="AK56" i="267" s="1"/>
  <c r="AI56" i="267"/>
  <c r="AG56" i="267"/>
  <c r="AF56" i="267"/>
  <c r="AB56" i="267"/>
  <c r="AA56" i="267"/>
  <c r="Z56" i="267"/>
  <c r="Y56" i="267"/>
  <c r="X56" i="267"/>
  <c r="P56" i="267"/>
  <c r="O56" i="267"/>
  <c r="AR56" i="267" s="1"/>
  <c r="N56" i="267"/>
  <c r="M56" i="267"/>
  <c r="AC56" i="267" s="1"/>
  <c r="AJ55" i="267"/>
  <c r="AI55" i="267"/>
  <c r="X55" i="267"/>
  <c r="AQ54" i="267"/>
  <c r="AJ54" i="267"/>
  <c r="AK54" i="267" s="1"/>
  <c r="AI54" i="267"/>
  <c r="AG54" i="267"/>
  <c r="AF54" i="267"/>
  <c r="AB54" i="267"/>
  <c r="AA54" i="267"/>
  <c r="Z54" i="267"/>
  <c r="Y54" i="267"/>
  <c r="X54" i="267"/>
  <c r="P54" i="267"/>
  <c r="O54" i="267"/>
  <c r="AR54" i="267" s="1"/>
  <c r="N54" i="267"/>
  <c r="AP54" i="267" s="1"/>
  <c r="M54" i="267"/>
  <c r="AC54" i="267" s="1"/>
  <c r="AU53" i="267"/>
  <c r="AQ53" i="267"/>
  <c r="AJ53" i="267"/>
  <c r="AO53" i="267" s="1"/>
  <c r="AI53" i="267"/>
  <c r="AG53" i="267"/>
  <c r="AF53" i="267"/>
  <c r="AB53" i="267"/>
  <c r="AA53" i="267"/>
  <c r="Z53" i="267"/>
  <c r="Y53" i="267"/>
  <c r="X53" i="267"/>
  <c r="P53" i="267"/>
  <c r="O53" i="267"/>
  <c r="AR53" i="267" s="1"/>
  <c r="N53" i="267"/>
  <c r="AD53" i="267" s="1"/>
  <c r="M53" i="267"/>
  <c r="AJ52" i="267"/>
  <c r="AI52" i="267"/>
  <c r="X52" i="267"/>
  <c r="AU51" i="267"/>
  <c r="AQ51" i="267"/>
  <c r="AJ51" i="267"/>
  <c r="AI51" i="267"/>
  <c r="AG51" i="267"/>
  <c r="AF51" i="267"/>
  <c r="AB51" i="267"/>
  <c r="AA51" i="267"/>
  <c r="Z51" i="267"/>
  <c r="Y51" i="267"/>
  <c r="X51" i="267"/>
  <c r="P51" i="267"/>
  <c r="O51" i="267"/>
  <c r="N51" i="267"/>
  <c r="AP51" i="267" s="1"/>
  <c r="M51" i="267"/>
  <c r="AC51" i="267" s="1"/>
  <c r="AQ50" i="267"/>
  <c r="AJ50" i="267"/>
  <c r="AO50" i="267" s="1"/>
  <c r="AI50" i="267"/>
  <c r="AG50" i="267"/>
  <c r="AF50" i="267"/>
  <c r="AB50" i="267"/>
  <c r="AA50" i="267"/>
  <c r="Z50" i="267"/>
  <c r="Y50" i="267"/>
  <c r="X50" i="267"/>
  <c r="P50" i="267"/>
  <c r="O50" i="267"/>
  <c r="AR50" i="267" s="1"/>
  <c r="N50" i="267"/>
  <c r="AP50" i="267" s="1"/>
  <c r="M50" i="267"/>
  <c r="AC50" i="267" s="1"/>
  <c r="AU49" i="267"/>
  <c r="AQ49" i="267"/>
  <c r="AJ49" i="267"/>
  <c r="AO49" i="267" s="1"/>
  <c r="AI49" i="267"/>
  <c r="AG49" i="267"/>
  <c r="AF49" i="267"/>
  <c r="AB49" i="267"/>
  <c r="AA49" i="267"/>
  <c r="Z49" i="267"/>
  <c r="Y49" i="267"/>
  <c r="X49" i="267"/>
  <c r="P49" i="267"/>
  <c r="O49" i="267"/>
  <c r="AE49" i="267" s="1"/>
  <c r="N49" i="267"/>
  <c r="AP49" i="267" s="1"/>
  <c r="M49" i="267"/>
  <c r="AC49" i="267" s="1"/>
  <c r="AJ48" i="267"/>
  <c r="AI48" i="267"/>
  <c r="X48" i="267"/>
  <c r="AU47" i="267"/>
  <c r="AQ47" i="267"/>
  <c r="AK47" i="267"/>
  <c r="AJ47" i="267"/>
  <c r="AI47" i="267"/>
  <c r="AG47" i="267"/>
  <c r="AF47" i="267"/>
  <c r="AB47" i="267"/>
  <c r="AA47" i="267"/>
  <c r="Z47" i="267"/>
  <c r="Y47" i="267"/>
  <c r="X47" i="267"/>
  <c r="P47" i="267"/>
  <c r="O47" i="267"/>
  <c r="AE47" i="267" s="1"/>
  <c r="N47" i="267"/>
  <c r="AD47" i="267" s="1"/>
  <c r="M47" i="267"/>
  <c r="AQ46" i="267"/>
  <c r="AO46" i="267"/>
  <c r="AJ46" i="267"/>
  <c r="AK46" i="267" s="1"/>
  <c r="AI46" i="267"/>
  <c r="AG46" i="267"/>
  <c r="AF46" i="267"/>
  <c r="AB46" i="267"/>
  <c r="AA46" i="267"/>
  <c r="Z46" i="267"/>
  <c r="Y46" i="267"/>
  <c r="X46" i="267"/>
  <c r="P46" i="267"/>
  <c r="O46" i="267"/>
  <c r="AR46" i="267" s="1"/>
  <c r="N46" i="267"/>
  <c r="M46" i="267"/>
  <c r="AC46" i="267" s="1"/>
  <c r="AU45" i="267"/>
  <c r="AQ45" i="267"/>
  <c r="AJ45" i="267"/>
  <c r="AO45" i="267" s="1"/>
  <c r="AI45" i="267"/>
  <c r="AG45" i="267"/>
  <c r="AF45" i="267"/>
  <c r="AB45" i="267"/>
  <c r="AA45" i="267"/>
  <c r="Z45" i="267"/>
  <c r="Y45" i="267"/>
  <c r="X45" i="267"/>
  <c r="P45" i="267"/>
  <c r="O45" i="267"/>
  <c r="N45" i="267"/>
  <c r="AD45" i="267" s="1"/>
  <c r="M45" i="267"/>
  <c r="AC45" i="267" s="1"/>
  <c r="AJ44" i="267"/>
  <c r="AI44" i="267"/>
  <c r="X44" i="267"/>
  <c r="AU43" i="267"/>
  <c r="AQ43" i="267"/>
  <c r="AJ43" i="267"/>
  <c r="AI43" i="267"/>
  <c r="AG43" i="267"/>
  <c r="AF43" i="267"/>
  <c r="AB43" i="267"/>
  <c r="AA43" i="267"/>
  <c r="Z43" i="267"/>
  <c r="Y43" i="267"/>
  <c r="X43" i="267"/>
  <c r="P43" i="267"/>
  <c r="O43" i="267"/>
  <c r="AR43" i="267" s="1"/>
  <c r="N43" i="267"/>
  <c r="AP43" i="267" s="1"/>
  <c r="M43" i="267"/>
  <c r="AV42" i="267"/>
  <c r="AQ42" i="267"/>
  <c r="AJ42" i="267"/>
  <c r="AI42" i="267"/>
  <c r="AG42" i="267"/>
  <c r="AF42" i="267"/>
  <c r="AB42" i="267"/>
  <c r="AA42" i="267"/>
  <c r="Z42" i="267"/>
  <c r="Y42" i="267"/>
  <c r="X42" i="267"/>
  <c r="P42" i="267"/>
  <c r="O42" i="267"/>
  <c r="AR42" i="267" s="1"/>
  <c r="N42" i="267"/>
  <c r="AP42" i="267" s="1"/>
  <c r="M42" i="267"/>
  <c r="AC42" i="267" s="1"/>
  <c r="AU41" i="267"/>
  <c r="AQ41" i="267"/>
  <c r="AK41" i="267"/>
  <c r="AJ41" i="267"/>
  <c r="AO41" i="267" s="1"/>
  <c r="AI41" i="267"/>
  <c r="AG41" i="267"/>
  <c r="AF41" i="267"/>
  <c r="AB41" i="267"/>
  <c r="AA41" i="267"/>
  <c r="Z41" i="267"/>
  <c r="Y41" i="267"/>
  <c r="X41" i="267"/>
  <c r="P41" i="267"/>
  <c r="O41" i="267"/>
  <c r="AE41" i="267" s="1"/>
  <c r="N41" i="267"/>
  <c r="AP41" i="267" s="1"/>
  <c r="M41" i="267"/>
  <c r="AJ40" i="267"/>
  <c r="AI40" i="267"/>
  <c r="X40" i="267"/>
  <c r="AU39" i="267"/>
  <c r="AQ39" i="267"/>
  <c r="AJ39" i="267"/>
  <c r="AI39" i="267"/>
  <c r="AG39" i="267"/>
  <c r="AF39" i="267"/>
  <c r="AB39" i="267"/>
  <c r="AA39" i="267"/>
  <c r="Z39" i="267"/>
  <c r="Y39" i="267"/>
  <c r="X39" i="267"/>
  <c r="P39" i="267"/>
  <c r="O39" i="267"/>
  <c r="AE39" i="267" s="1"/>
  <c r="N39" i="267"/>
  <c r="AD39" i="267" s="1"/>
  <c r="M39" i="267"/>
  <c r="AC39" i="267" s="1"/>
  <c r="AQ38" i="267"/>
  <c r="AJ38" i="267"/>
  <c r="AK38" i="267" s="1"/>
  <c r="AI38" i="267"/>
  <c r="AG38" i="267"/>
  <c r="AF38" i="267"/>
  <c r="AB38" i="267"/>
  <c r="AA38" i="267"/>
  <c r="Z38" i="267"/>
  <c r="Y38" i="267"/>
  <c r="X38" i="267"/>
  <c r="P38" i="267"/>
  <c r="O38" i="267"/>
  <c r="AR38" i="267" s="1"/>
  <c r="N38" i="267"/>
  <c r="AP38" i="267" s="1"/>
  <c r="M38" i="267"/>
  <c r="AC38" i="267" s="1"/>
  <c r="AJ37" i="267"/>
  <c r="AI37" i="267"/>
  <c r="X37" i="267"/>
  <c r="AQ36" i="267"/>
  <c r="AO36" i="267"/>
  <c r="AJ36" i="267"/>
  <c r="AK36" i="267" s="1"/>
  <c r="AI36" i="267"/>
  <c r="AG36" i="267"/>
  <c r="AF36" i="267"/>
  <c r="AB36" i="267"/>
  <c r="AA36" i="267"/>
  <c r="Z36" i="267"/>
  <c r="Y36" i="267"/>
  <c r="X36" i="267"/>
  <c r="P36" i="267"/>
  <c r="O36" i="267"/>
  <c r="AE36" i="267" s="1"/>
  <c r="N36" i="267"/>
  <c r="M36" i="267"/>
  <c r="AC36" i="267" s="1"/>
  <c r="AU35" i="267"/>
  <c r="AQ35" i="267"/>
  <c r="AJ35" i="267"/>
  <c r="AO35" i="267" s="1"/>
  <c r="AI35" i="267"/>
  <c r="AG35" i="267"/>
  <c r="AF35" i="267"/>
  <c r="AB35" i="267"/>
  <c r="AA35" i="267"/>
  <c r="Z35" i="267"/>
  <c r="Y35" i="267"/>
  <c r="X35" i="267"/>
  <c r="P35" i="267"/>
  <c r="O35" i="267"/>
  <c r="N35" i="267"/>
  <c r="AP35" i="267" s="1"/>
  <c r="M35" i="267"/>
  <c r="AC35" i="267" s="1"/>
  <c r="AQ34" i="267"/>
  <c r="AJ34" i="267"/>
  <c r="AO34" i="267" s="1"/>
  <c r="AI34" i="267"/>
  <c r="AG34" i="267"/>
  <c r="AF34" i="267"/>
  <c r="AB34" i="267"/>
  <c r="AA34" i="267"/>
  <c r="Z34" i="267"/>
  <c r="Y34" i="267"/>
  <c r="X34" i="267"/>
  <c r="P34" i="267"/>
  <c r="O34" i="267"/>
  <c r="AR34" i="267" s="1"/>
  <c r="N34" i="267"/>
  <c r="AP34" i="267" s="1"/>
  <c r="M34" i="267"/>
  <c r="AC34" i="267" s="1"/>
  <c r="AJ33" i="267"/>
  <c r="AI33" i="267"/>
  <c r="X33" i="267"/>
  <c r="AV32" i="267"/>
  <c r="AQ32" i="267"/>
  <c r="AJ32" i="267"/>
  <c r="AI32" i="267"/>
  <c r="AG32" i="267"/>
  <c r="AF32" i="267"/>
  <c r="AB32" i="267"/>
  <c r="AA32" i="267"/>
  <c r="Z32" i="267"/>
  <c r="Y32" i="267"/>
  <c r="X32" i="267"/>
  <c r="P32" i="267"/>
  <c r="O32" i="267"/>
  <c r="AE32" i="267" s="1"/>
  <c r="N32" i="267"/>
  <c r="AP32" i="267" s="1"/>
  <c r="M32" i="267"/>
  <c r="AC32" i="267" s="1"/>
  <c r="AU31" i="267"/>
  <c r="AQ31" i="267"/>
  <c r="AK31" i="267"/>
  <c r="AJ31" i="267"/>
  <c r="AO31" i="267" s="1"/>
  <c r="AI31" i="267"/>
  <c r="AG31" i="267"/>
  <c r="AF31" i="267"/>
  <c r="AB31" i="267"/>
  <c r="AA31" i="267"/>
  <c r="Z31" i="267"/>
  <c r="Y31" i="267"/>
  <c r="X31" i="267"/>
  <c r="P31" i="267"/>
  <c r="O31" i="267"/>
  <c r="AE31" i="267" s="1"/>
  <c r="N31" i="267"/>
  <c r="AP31" i="267" s="1"/>
  <c r="M31" i="267"/>
  <c r="AQ30" i="267"/>
  <c r="AO30" i="267"/>
  <c r="AJ30" i="267"/>
  <c r="AK30" i="267" s="1"/>
  <c r="AI30" i="267"/>
  <c r="AG30" i="267"/>
  <c r="AF30" i="267"/>
  <c r="AB30" i="267"/>
  <c r="AA30" i="267"/>
  <c r="Z30" i="267"/>
  <c r="Y30" i="267"/>
  <c r="X30" i="267"/>
  <c r="P30" i="267"/>
  <c r="O30" i="267"/>
  <c r="AE30" i="267" s="1"/>
  <c r="N30" i="267"/>
  <c r="M30" i="267"/>
  <c r="AC30" i="267" s="1"/>
  <c r="AJ29" i="267"/>
  <c r="AI29" i="267"/>
  <c r="X29" i="267"/>
  <c r="AQ28" i="267"/>
  <c r="AJ28" i="267"/>
  <c r="AK28" i="267" s="1"/>
  <c r="AI28" i="267"/>
  <c r="AG28" i="267"/>
  <c r="AF28" i="267"/>
  <c r="AB28" i="267"/>
  <c r="AA28" i="267"/>
  <c r="Z28" i="267"/>
  <c r="Y28" i="267"/>
  <c r="X28" i="267"/>
  <c r="P28" i="267"/>
  <c r="O28" i="267"/>
  <c r="AR28" i="267" s="1"/>
  <c r="N28" i="267"/>
  <c r="AP28" i="267" s="1"/>
  <c r="M28" i="267"/>
  <c r="AC28" i="267" s="1"/>
  <c r="AU27" i="267"/>
  <c r="AQ27" i="267"/>
  <c r="AJ27" i="267"/>
  <c r="AI27" i="267"/>
  <c r="AG27" i="267"/>
  <c r="AF27" i="267"/>
  <c r="AB27" i="267"/>
  <c r="AA27" i="267"/>
  <c r="Z27" i="267"/>
  <c r="Y27" i="267"/>
  <c r="X27" i="267"/>
  <c r="P27" i="267"/>
  <c r="O27" i="267"/>
  <c r="AR27" i="267" s="1"/>
  <c r="N27" i="267"/>
  <c r="AD27" i="267" s="1"/>
  <c r="M27" i="267"/>
  <c r="AV26" i="267"/>
  <c r="AQ26" i="267"/>
  <c r="AJ26" i="267"/>
  <c r="AI26" i="267"/>
  <c r="AG26" i="267"/>
  <c r="AF26" i="267"/>
  <c r="AB26" i="267"/>
  <c r="AA26" i="267"/>
  <c r="Z26" i="267"/>
  <c r="Y26" i="267"/>
  <c r="X26" i="267"/>
  <c r="P26" i="267"/>
  <c r="O26" i="267"/>
  <c r="AE26" i="267" s="1"/>
  <c r="N26" i="267"/>
  <c r="AP26" i="267" s="1"/>
  <c r="M26" i="267"/>
  <c r="AC26" i="267" s="1"/>
  <c r="AU25" i="267"/>
  <c r="AQ25" i="267"/>
  <c r="AK25" i="267"/>
  <c r="AJ25" i="267"/>
  <c r="AO25" i="267" s="1"/>
  <c r="AI25" i="267"/>
  <c r="AG25" i="267"/>
  <c r="AF25" i="267"/>
  <c r="AD25" i="267"/>
  <c r="AB25" i="267"/>
  <c r="AA25" i="267"/>
  <c r="Z25" i="267"/>
  <c r="Y25" i="267"/>
  <c r="X25" i="267"/>
  <c r="P25" i="267"/>
  <c r="O25" i="267"/>
  <c r="AE25" i="267" s="1"/>
  <c r="N25" i="267"/>
  <c r="AP25" i="267" s="1"/>
  <c r="M25" i="267"/>
  <c r="AJ24" i="267"/>
  <c r="AI24" i="267"/>
  <c r="X24" i="267"/>
  <c r="AU23" i="267"/>
  <c r="AR23" i="267"/>
  <c r="AQ23" i="267"/>
  <c r="AJ23" i="267"/>
  <c r="AI23" i="267"/>
  <c r="AG23" i="267"/>
  <c r="AF23" i="267"/>
  <c r="AB23" i="267"/>
  <c r="AA23" i="267"/>
  <c r="Z23" i="267"/>
  <c r="Y23" i="267"/>
  <c r="X23" i="267"/>
  <c r="P23" i="267"/>
  <c r="O23" i="267"/>
  <c r="AE23" i="267" s="1"/>
  <c r="N23" i="267"/>
  <c r="AD23" i="267" s="1"/>
  <c r="M23" i="267"/>
  <c r="AC23" i="267" s="1"/>
  <c r="AQ22" i="267"/>
  <c r="AJ22" i="267"/>
  <c r="AK22" i="267" s="1"/>
  <c r="AI22" i="267"/>
  <c r="AG22" i="267"/>
  <c r="AF22" i="267"/>
  <c r="AB22" i="267"/>
  <c r="AA22" i="267"/>
  <c r="Z22" i="267"/>
  <c r="Y22" i="267"/>
  <c r="X22" i="267"/>
  <c r="P22" i="267"/>
  <c r="O22" i="267"/>
  <c r="AR22" i="267" s="1"/>
  <c r="N22" i="267"/>
  <c r="AP22" i="267" s="1"/>
  <c r="M22" i="267"/>
  <c r="AC22" i="267" s="1"/>
  <c r="AJ21" i="267"/>
  <c r="AI21" i="267"/>
  <c r="X21" i="267"/>
  <c r="AQ20" i="267"/>
  <c r="AO20" i="267"/>
  <c r="AJ20" i="267"/>
  <c r="AK20" i="267" s="1"/>
  <c r="AI20" i="267"/>
  <c r="AG20" i="267"/>
  <c r="AF20" i="267"/>
  <c r="AB20" i="267"/>
  <c r="AA20" i="267"/>
  <c r="Z20" i="267"/>
  <c r="Y20" i="267"/>
  <c r="X20" i="267"/>
  <c r="P20" i="267"/>
  <c r="O20" i="267"/>
  <c r="AR20" i="267" s="1"/>
  <c r="N20" i="267"/>
  <c r="M20" i="267"/>
  <c r="AC20" i="267" s="1"/>
  <c r="AU19" i="267"/>
  <c r="AQ19" i="267"/>
  <c r="AJ19" i="267"/>
  <c r="AO19" i="267" s="1"/>
  <c r="AI19" i="267"/>
  <c r="AG19" i="267"/>
  <c r="AF19" i="267"/>
  <c r="AB19" i="267"/>
  <c r="AA19" i="267"/>
  <c r="Z19" i="267"/>
  <c r="Y19" i="267"/>
  <c r="X19" i="267"/>
  <c r="P19" i="267"/>
  <c r="O19" i="267"/>
  <c r="N19" i="267"/>
  <c r="AD19" i="267" s="1"/>
  <c r="M19" i="267"/>
  <c r="AC19" i="267" s="1"/>
  <c r="AV18" i="267"/>
  <c r="AQ18" i="267"/>
  <c r="AJ18" i="267"/>
  <c r="AO18" i="267" s="1"/>
  <c r="AI18" i="267"/>
  <c r="AG18" i="267"/>
  <c r="AF18" i="267"/>
  <c r="AB18" i="267"/>
  <c r="AA18" i="267"/>
  <c r="Z18" i="267"/>
  <c r="Y18" i="267"/>
  <c r="X18" i="267"/>
  <c r="P18" i="267"/>
  <c r="O18" i="267"/>
  <c r="AR18" i="267" s="1"/>
  <c r="N18" i="267"/>
  <c r="AP18" i="267" s="1"/>
  <c r="M18" i="267"/>
  <c r="AC18" i="267" s="1"/>
  <c r="AJ17" i="267"/>
  <c r="AI17" i="267"/>
  <c r="X17" i="267"/>
  <c r="AV16" i="267"/>
  <c r="AQ16" i="267"/>
  <c r="AJ16" i="267"/>
  <c r="AI16" i="267"/>
  <c r="AG16" i="267"/>
  <c r="AF16" i="267"/>
  <c r="AB16" i="267"/>
  <c r="AA16" i="267"/>
  <c r="Z16" i="267"/>
  <c r="Y16" i="267"/>
  <c r="X16" i="267"/>
  <c r="P16" i="267"/>
  <c r="O16" i="267"/>
  <c r="AE16" i="267" s="1"/>
  <c r="N16" i="267"/>
  <c r="AP16" i="267" s="1"/>
  <c r="M16" i="267"/>
  <c r="AC16" i="267" s="1"/>
  <c r="AU15" i="267"/>
  <c r="AR15" i="267"/>
  <c r="AQ15" i="267"/>
  <c r="AK15" i="267"/>
  <c r="AJ15" i="267"/>
  <c r="AO15" i="267" s="1"/>
  <c r="AI15" i="267"/>
  <c r="AG15" i="267"/>
  <c r="AF15" i="267"/>
  <c r="AB15" i="267"/>
  <c r="AA15" i="267"/>
  <c r="Z15" i="267"/>
  <c r="Y15" i="267"/>
  <c r="X15" i="267"/>
  <c r="P15" i="267"/>
  <c r="O15" i="267"/>
  <c r="AE15" i="267" s="1"/>
  <c r="N15" i="267"/>
  <c r="AP15" i="267" s="1"/>
  <c r="M15" i="267"/>
  <c r="AV14" i="267"/>
  <c r="AQ14" i="267"/>
  <c r="AO14" i="267"/>
  <c r="AJ14" i="267"/>
  <c r="AK14" i="267" s="1"/>
  <c r="AI14" i="267"/>
  <c r="AG14" i="267"/>
  <c r="AF14" i="267"/>
  <c r="AB14" i="267"/>
  <c r="AA14" i="267"/>
  <c r="Z14" i="267"/>
  <c r="Y14" i="267"/>
  <c r="X14" i="267"/>
  <c r="P14" i="267"/>
  <c r="O14" i="267"/>
  <c r="AR14" i="267" s="1"/>
  <c r="N14" i="267"/>
  <c r="M14" i="267"/>
  <c r="AC14" i="267" s="1"/>
  <c r="AU13" i="267"/>
  <c r="AQ13" i="267"/>
  <c r="AK13" i="267"/>
  <c r="AJ13" i="267"/>
  <c r="AO13" i="267" s="1"/>
  <c r="AI13" i="267"/>
  <c r="AG13" i="267"/>
  <c r="AF13" i="267"/>
  <c r="AB13" i="267"/>
  <c r="AA13" i="267"/>
  <c r="Z13" i="267"/>
  <c r="Y13" i="267"/>
  <c r="X13" i="267"/>
  <c r="P13" i="267"/>
  <c r="O13" i="267"/>
  <c r="N13" i="267"/>
  <c r="AP13" i="267" s="1"/>
  <c r="M13" i="267"/>
  <c r="AC13" i="267" s="1"/>
  <c r="AJ12" i="267"/>
  <c r="AI12" i="267"/>
  <c r="X12" i="267"/>
  <c r="AU11" i="267"/>
  <c r="AQ11" i="267"/>
  <c r="AK11" i="267"/>
  <c r="AJ11" i="267"/>
  <c r="AI11" i="267"/>
  <c r="AG11" i="267"/>
  <c r="AF11" i="267"/>
  <c r="AB11" i="267"/>
  <c r="AA11" i="267"/>
  <c r="Z11" i="267"/>
  <c r="Y11" i="267"/>
  <c r="X11" i="267"/>
  <c r="P11" i="267"/>
  <c r="O11" i="267"/>
  <c r="N11" i="267"/>
  <c r="AD11" i="267" s="1"/>
  <c r="M11" i="267"/>
  <c r="AV10" i="267"/>
  <c r="AQ10" i="267"/>
  <c r="AJ10" i="267"/>
  <c r="AI10" i="267"/>
  <c r="AG10" i="267"/>
  <c r="AF10" i="267"/>
  <c r="AE10" i="267"/>
  <c r="AC10" i="267"/>
  <c r="AB10" i="267"/>
  <c r="AA10" i="267"/>
  <c r="Z10" i="267"/>
  <c r="Y10" i="267"/>
  <c r="X10" i="267"/>
  <c r="P10" i="267"/>
  <c r="O10" i="267"/>
  <c r="N10" i="267"/>
  <c r="AP10" i="267" s="1"/>
  <c r="M10" i="267"/>
  <c r="AJ9" i="267"/>
  <c r="AI9" i="267"/>
  <c r="X9" i="267"/>
  <c r="AV8" i="267"/>
  <c r="AQ8" i="267"/>
  <c r="AJ8" i="267"/>
  <c r="AI8" i="267"/>
  <c r="AG8" i="267"/>
  <c r="AF8" i="267"/>
  <c r="AC8" i="267"/>
  <c r="AB8" i="267"/>
  <c r="AA8" i="267"/>
  <c r="Z8" i="267"/>
  <c r="Y8" i="267"/>
  <c r="X8" i="267"/>
  <c r="P8" i="267"/>
  <c r="O8" i="267"/>
  <c r="AR8" i="267" s="1"/>
  <c r="N8" i="267"/>
  <c r="M8" i="267"/>
  <c r="AU7" i="267"/>
  <c r="AQ7" i="267"/>
  <c r="AO7" i="267"/>
  <c r="AK7" i="267"/>
  <c r="AJ7" i="267"/>
  <c r="AI7" i="267"/>
  <c r="AG7" i="267"/>
  <c r="AF7" i="267"/>
  <c r="AB7" i="267"/>
  <c r="AA7" i="267"/>
  <c r="Z7" i="267"/>
  <c r="Y7" i="267"/>
  <c r="X7" i="267"/>
  <c r="P7" i="267"/>
  <c r="O7" i="267"/>
  <c r="AE7" i="267" s="1"/>
  <c r="N7" i="267"/>
  <c r="AP7" i="267" s="1"/>
  <c r="M7" i="267"/>
  <c r="AV6" i="267"/>
  <c r="AQ6" i="267"/>
  <c r="AJ6" i="267"/>
  <c r="AI6" i="267"/>
  <c r="AG6" i="267"/>
  <c r="AF6" i="267"/>
  <c r="AB6" i="267"/>
  <c r="AA6" i="267"/>
  <c r="Z6" i="267"/>
  <c r="Y6" i="267"/>
  <c r="X6" i="267"/>
  <c r="P6" i="267"/>
  <c r="O6" i="267"/>
  <c r="AR6" i="267" s="1"/>
  <c r="N6" i="267"/>
  <c r="M6" i="267"/>
  <c r="AS6" i="267" s="1"/>
  <c r="AJ5" i="267"/>
  <c r="AI5" i="267"/>
  <c r="X5" i="267"/>
  <c r="AJ4" i="267"/>
  <c r="AV3" i="267"/>
  <c r="AR3" i="267"/>
  <c r="AP3" i="267"/>
  <c r="AJ3" i="267"/>
  <c r="AI3" i="267"/>
  <c r="AO2" i="267"/>
  <c r="AO81" i="267" s="1"/>
  <c r="AN2" i="267"/>
  <c r="AM2" i="267"/>
  <c r="AL2" i="267"/>
  <c r="AK2" i="267"/>
  <c r="AK81" i="267" s="1"/>
  <c r="AI2" i="267"/>
  <c r="AB2" i="267"/>
  <c r="A2" i="267"/>
  <c r="AV1" i="267"/>
  <c r="AV85" i="267" s="1"/>
  <c r="AS1" i="267"/>
  <c r="AS64" i="267" s="1"/>
  <c r="AR1" i="267"/>
  <c r="AR86" i="267" s="1"/>
  <c r="AQ1" i="267"/>
  <c r="AQ3" i="267" s="1"/>
  <c r="AP1" i="267"/>
  <c r="AK1" i="267"/>
  <c r="AB1" i="267"/>
  <c r="A1" i="267"/>
  <c r="AI1" i="267" s="1"/>
  <c r="AQ242" i="266"/>
  <c r="AJ242" i="266"/>
  <c r="AU242" i="266" s="1"/>
  <c r="AI242" i="266"/>
  <c r="AG242" i="266"/>
  <c r="AF242" i="266"/>
  <c r="AB242" i="266"/>
  <c r="AA242" i="266"/>
  <c r="Z242" i="266"/>
  <c r="Y242" i="266"/>
  <c r="X242" i="266"/>
  <c r="P242" i="266"/>
  <c r="O242" i="266"/>
  <c r="AE242" i="266" s="1"/>
  <c r="N242" i="266"/>
  <c r="AD242" i="266" s="1"/>
  <c r="M242" i="266"/>
  <c r="AQ241" i="266"/>
  <c r="AJ241" i="266"/>
  <c r="AU241" i="266" s="1"/>
  <c r="AI241" i="266"/>
  <c r="AG241" i="266"/>
  <c r="AF241" i="266"/>
  <c r="AE241" i="266"/>
  <c r="AB241" i="266"/>
  <c r="AA241" i="266"/>
  <c r="Z241" i="266"/>
  <c r="Y241" i="266"/>
  <c r="X241" i="266"/>
  <c r="P241" i="266"/>
  <c r="O241" i="266"/>
  <c r="N241" i="266"/>
  <c r="M241" i="266"/>
  <c r="AC241" i="266" s="1"/>
  <c r="AQ240" i="266"/>
  <c r="AJ240" i="266"/>
  <c r="AU240" i="266" s="1"/>
  <c r="AI240" i="266"/>
  <c r="AG240" i="266"/>
  <c r="AF240" i="266"/>
  <c r="AB240" i="266"/>
  <c r="AA240" i="266"/>
  <c r="Z240" i="266"/>
  <c r="Y240" i="266"/>
  <c r="X240" i="266"/>
  <c r="P240" i="266"/>
  <c r="O240" i="266"/>
  <c r="N240" i="266"/>
  <c r="M240" i="266"/>
  <c r="AC240" i="266" s="1"/>
  <c r="AQ239" i="266"/>
  <c r="AJ239" i="266"/>
  <c r="AU239" i="266" s="1"/>
  <c r="AI239" i="266"/>
  <c r="AG239" i="266"/>
  <c r="AF239" i="266"/>
  <c r="AB239" i="266"/>
  <c r="AA239" i="266"/>
  <c r="Z239" i="266"/>
  <c r="Y239" i="266"/>
  <c r="X239" i="266"/>
  <c r="P239" i="266"/>
  <c r="O239" i="266"/>
  <c r="N239" i="266"/>
  <c r="AP239" i="266" s="1"/>
  <c r="AW239" i="266" s="1"/>
  <c r="M239" i="266"/>
  <c r="AC239" i="266" s="1"/>
  <c r="AQ238" i="266"/>
  <c r="AJ238" i="266"/>
  <c r="AI238" i="266"/>
  <c r="AG238" i="266"/>
  <c r="AF238" i="266"/>
  <c r="AC238" i="266"/>
  <c r="AB238" i="266"/>
  <c r="AA238" i="266"/>
  <c r="Z238" i="266"/>
  <c r="Y238" i="266"/>
  <c r="X238" i="266"/>
  <c r="P238" i="266"/>
  <c r="O238" i="266"/>
  <c r="AE238" i="266" s="1"/>
  <c r="N238" i="266"/>
  <c r="AP238" i="266" s="1"/>
  <c r="AW238" i="266" s="1"/>
  <c r="M238" i="266"/>
  <c r="AQ237" i="266"/>
  <c r="AJ237" i="266"/>
  <c r="AU237" i="266" s="1"/>
  <c r="AI237" i="266"/>
  <c r="AG237" i="266"/>
  <c r="AF237" i="266"/>
  <c r="AB237" i="266"/>
  <c r="AA237" i="266"/>
  <c r="Z237" i="266"/>
  <c r="Y237" i="266"/>
  <c r="X237" i="266"/>
  <c r="P237" i="266"/>
  <c r="O237" i="266"/>
  <c r="AE237" i="266" s="1"/>
  <c r="N237" i="266"/>
  <c r="AD237" i="266" s="1"/>
  <c r="M237" i="266"/>
  <c r="AC237" i="266" s="1"/>
  <c r="AU236" i="266"/>
  <c r="AQ236" i="266"/>
  <c r="AJ236" i="266"/>
  <c r="AI236" i="266"/>
  <c r="AG236" i="266"/>
  <c r="AF236" i="266"/>
  <c r="AB236" i="266"/>
  <c r="AA236" i="266"/>
  <c r="Z236" i="266"/>
  <c r="Y236" i="266"/>
  <c r="X236" i="266"/>
  <c r="P236" i="266"/>
  <c r="O236" i="266"/>
  <c r="AE236" i="266" s="1"/>
  <c r="N236" i="266"/>
  <c r="AP236" i="266" s="1"/>
  <c r="AW236" i="266" s="1"/>
  <c r="M236" i="266"/>
  <c r="AC236" i="266" s="1"/>
  <c r="AQ235" i="266"/>
  <c r="AJ235" i="266"/>
  <c r="AU235" i="266" s="1"/>
  <c r="AI235" i="266"/>
  <c r="AG235" i="266"/>
  <c r="AF235" i="266"/>
  <c r="AB235" i="266"/>
  <c r="AA235" i="266"/>
  <c r="Z235" i="266"/>
  <c r="Y235" i="266"/>
  <c r="X235" i="266"/>
  <c r="P235" i="266"/>
  <c r="O235" i="266"/>
  <c r="N235" i="266"/>
  <c r="AD235" i="266" s="1"/>
  <c r="M235" i="266"/>
  <c r="AQ234" i="266"/>
  <c r="AJ234" i="266"/>
  <c r="AI234" i="266"/>
  <c r="AG234" i="266"/>
  <c r="AF234" i="266"/>
  <c r="AB234" i="266"/>
  <c r="AA234" i="266"/>
  <c r="Z234" i="266"/>
  <c r="Y234" i="266"/>
  <c r="X234" i="266"/>
  <c r="P234" i="266"/>
  <c r="O234" i="266"/>
  <c r="AE234" i="266" s="1"/>
  <c r="N234" i="266"/>
  <c r="AP234" i="266" s="1"/>
  <c r="AW234" i="266" s="1"/>
  <c r="M234" i="266"/>
  <c r="AQ233" i="266"/>
  <c r="AJ233" i="266"/>
  <c r="AU233" i="266" s="1"/>
  <c r="AI233" i="266"/>
  <c r="AG233" i="266"/>
  <c r="AF233" i="266"/>
  <c r="AB233" i="266"/>
  <c r="AA233" i="266"/>
  <c r="Z233" i="266"/>
  <c r="Y233" i="266"/>
  <c r="X233" i="266"/>
  <c r="P233" i="266"/>
  <c r="O233" i="266"/>
  <c r="AE233" i="266" s="1"/>
  <c r="N233" i="266"/>
  <c r="AP233" i="266" s="1"/>
  <c r="AW233" i="266" s="1"/>
  <c r="M233" i="266"/>
  <c r="AQ232" i="266"/>
  <c r="AJ232" i="266"/>
  <c r="AI232" i="266"/>
  <c r="AG232" i="266"/>
  <c r="AF232" i="266"/>
  <c r="AB232" i="266"/>
  <c r="AA232" i="266"/>
  <c r="Z232" i="266"/>
  <c r="Y232" i="266"/>
  <c r="X232" i="266"/>
  <c r="P232" i="266"/>
  <c r="O232" i="266"/>
  <c r="N232" i="266"/>
  <c r="M232" i="266"/>
  <c r="AC232" i="266" s="1"/>
  <c r="AU231" i="266"/>
  <c r="AQ231" i="266"/>
  <c r="AJ231" i="266"/>
  <c r="AI231" i="266"/>
  <c r="AG231" i="266"/>
  <c r="AF231" i="266"/>
  <c r="AB231" i="266"/>
  <c r="AA231" i="266"/>
  <c r="Z231" i="266"/>
  <c r="Y231" i="266"/>
  <c r="X231" i="266"/>
  <c r="P231" i="266"/>
  <c r="O231" i="266"/>
  <c r="N231" i="266"/>
  <c r="AD231" i="266" s="1"/>
  <c r="M231" i="266"/>
  <c r="AC231" i="266" s="1"/>
  <c r="AQ230" i="266"/>
  <c r="AJ230" i="266"/>
  <c r="AI230" i="266"/>
  <c r="AG230" i="266"/>
  <c r="AF230" i="266"/>
  <c r="AB230" i="266"/>
  <c r="AA230" i="266"/>
  <c r="Z230" i="266"/>
  <c r="Y230" i="266"/>
  <c r="X230" i="266"/>
  <c r="P230" i="266"/>
  <c r="O230" i="266"/>
  <c r="AE230" i="266" s="1"/>
  <c r="N230" i="266"/>
  <c r="AP230" i="266" s="1"/>
  <c r="AW230" i="266" s="1"/>
  <c r="M230" i="266"/>
  <c r="AC230" i="266" s="1"/>
  <c r="AQ229" i="266"/>
  <c r="AP229" i="266"/>
  <c r="AW229" i="266" s="1"/>
  <c r="AJ229" i="266"/>
  <c r="AU229" i="266" s="1"/>
  <c r="AI229" i="266"/>
  <c r="AG229" i="266"/>
  <c r="AF229" i="266"/>
  <c r="AB229" i="266"/>
  <c r="AA229" i="266"/>
  <c r="Z229" i="266"/>
  <c r="Y229" i="266"/>
  <c r="X229" i="266"/>
  <c r="P229" i="266"/>
  <c r="O229" i="266"/>
  <c r="AE229" i="266" s="1"/>
  <c r="N229" i="266"/>
  <c r="AD229" i="266" s="1"/>
  <c r="M229" i="266"/>
  <c r="AC229" i="266" s="1"/>
  <c r="AQ228" i="266"/>
  <c r="AJ228" i="266"/>
  <c r="AU228" i="266" s="1"/>
  <c r="AI228" i="266"/>
  <c r="AG228" i="266"/>
  <c r="AF228" i="266"/>
  <c r="AB228" i="266"/>
  <c r="AA228" i="266"/>
  <c r="Z228" i="266"/>
  <c r="Y228" i="266"/>
  <c r="X228" i="266"/>
  <c r="P228" i="266"/>
  <c r="O228" i="266"/>
  <c r="AE228" i="266" s="1"/>
  <c r="N228" i="266"/>
  <c r="AP228" i="266" s="1"/>
  <c r="AW228" i="266" s="1"/>
  <c r="M228" i="266"/>
  <c r="AC228" i="266" s="1"/>
  <c r="AU227" i="266"/>
  <c r="AQ227" i="266"/>
  <c r="AJ227" i="266"/>
  <c r="AI227" i="266"/>
  <c r="AG227" i="266"/>
  <c r="AF227" i="266"/>
  <c r="AB227" i="266"/>
  <c r="AA227" i="266"/>
  <c r="Z227" i="266"/>
  <c r="Y227" i="266"/>
  <c r="X227" i="266"/>
  <c r="P227" i="266"/>
  <c r="O227" i="266"/>
  <c r="N227" i="266"/>
  <c r="AP227" i="266" s="1"/>
  <c r="AW227" i="266" s="1"/>
  <c r="M227" i="266"/>
  <c r="AJ226" i="266"/>
  <c r="AI226" i="266"/>
  <c r="X226" i="266"/>
  <c r="AQ225" i="266"/>
  <c r="AJ225" i="266"/>
  <c r="AU225" i="266" s="1"/>
  <c r="AI225" i="266"/>
  <c r="AG225" i="266"/>
  <c r="AF225" i="266"/>
  <c r="AB225" i="266"/>
  <c r="AA225" i="266"/>
  <c r="Z225" i="266"/>
  <c r="Y225" i="266"/>
  <c r="X225" i="266"/>
  <c r="P225" i="266"/>
  <c r="O225" i="266"/>
  <c r="N225" i="266"/>
  <c r="AD225" i="266" s="1"/>
  <c r="M225" i="266"/>
  <c r="AC225" i="266" s="1"/>
  <c r="AQ224" i="266"/>
  <c r="AJ224" i="266"/>
  <c r="AI224" i="266"/>
  <c r="AG224" i="266"/>
  <c r="AF224" i="266"/>
  <c r="AB224" i="266"/>
  <c r="AA224" i="266"/>
  <c r="Z224" i="266"/>
  <c r="Y224" i="266"/>
  <c r="X224" i="266"/>
  <c r="P224" i="266"/>
  <c r="O224" i="266"/>
  <c r="AE224" i="266" s="1"/>
  <c r="N224" i="266"/>
  <c r="AP224" i="266" s="1"/>
  <c r="M224" i="266"/>
  <c r="AC224" i="266" s="1"/>
  <c r="AU223" i="266"/>
  <c r="AQ223" i="266"/>
  <c r="AJ223" i="266"/>
  <c r="AI223" i="266"/>
  <c r="AG223" i="266"/>
  <c r="AF223" i="266"/>
  <c r="AB223" i="266"/>
  <c r="AA223" i="266"/>
  <c r="Z223" i="266"/>
  <c r="Y223" i="266"/>
  <c r="X223" i="266"/>
  <c r="P223" i="266"/>
  <c r="O223" i="266"/>
  <c r="AE223" i="266" s="1"/>
  <c r="N223" i="266"/>
  <c r="AP223" i="266" s="1"/>
  <c r="M223" i="266"/>
  <c r="AC223" i="266" s="1"/>
  <c r="AJ222" i="266"/>
  <c r="AI222" i="266"/>
  <c r="X222" i="266"/>
  <c r="AQ221" i="266"/>
  <c r="AJ221" i="266"/>
  <c r="AU221" i="266" s="1"/>
  <c r="AI221" i="266"/>
  <c r="AG221" i="266"/>
  <c r="AF221" i="266"/>
  <c r="AB221" i="266"/>
  <c r="AA221" i="266"/>
  <c r="Z221" i="266"/>
  <c r="Y221" i="266"/>
  <c r="X221" i="266"/>
  <c r="P221" i="266"/>
  <c r="O221" i="266"/>
  <c r="AE221" i="266" s="1"/>
  <c r="N221" i="266"/>
  <c r="AP221" i="266" s="1"/>
  <c r="M221" i="266"/>
  <c r="AQ220" i="266"/>
  <c r="AJ220" i="266"/>
  <c r="AI220" i="266"/>
  <c r="AG220" i="266"/>
  <c r="AF220" i="266"/>
  <c r="AB220" i="266"/>
  <c r="AA220" i="266"/>
  <c r="Z220" i="266"/>
  <c r="Y220" i="266"/>
  <c r="X220" i="266"/>
  <c r="P220" i="266"/>
  <c r="O220" i="266"/>
  <c r="N220" i="266"/>
  <c r="M220" i="266"/>
  <c r="AC220" i="266" s="1"/>
  <c r="AJ219" i="266"/>
  <c r="AI219" i="266"/>
  <c r="X219" i="266"/>
  <c r="AU218" i="266"/>
  <c r="AQ218" i="266"/>
  <c r="AJ218" i="266"/>
  <c r="AI218" i="266"/>
  <c r="AG218" i="266"/>
  <c r="AF218" i="266"/>
  <c r="AB218" i="266"/>
  <c r="AA218" i="266"/>
  <c r="Z218" i="266"/>
  <c r="Y218" i="266"/>
  <c r="X218" i="266"/>
  <c r="P218" i="266"/>
  <c r="O218" i="266"/>
  <c r="AE218" i="266" s="1"/>
  <c r="N218" i="266"/>
  <c r="AP218" i="266" s="1"/>
  <c r="M218" i="266"/>
  <c r="AC218" i="266" s="1"/>
  <c r="AU217" i="266"/>
  <c r="AQ217" i="266"/>
  <c r="AJ217" i="266"/>
  <c r="AI217" i="266"/>
  <c r="AG217" i="266"/>
  <c r="AF217" i="266"/>
  <c r="AB217" i="266"/>
  <c r="AA217" i="266"/>
  <c r="Z217" i="266"/>
  <c r="Y217" i="266"/>
  <c r="X217" i="266"/>
  <c r="P217" i="266"/>
  <c r="O217" i="266"/>
  <c r="N217" i="266"/>
  <c r="AP217" i="266" s="1"/>
  <c r="M217" i="266"/>
  <c r="AQ216" i="266"/>
  <c r="AJ216" i="266"/>
  <c r="AI216" i="266"/>
  <c r="AG216" i="266"/>
  <c r="AF216" i="266"/>
  <c r="AB216" i="266"/>
  <c r="AA216" i="266"/>
  <c r="Z216" i="266"/>
  <c r="Y216" i="266"/>
  <c r="X216" i="266"/>
  <c r="P216" i="266"/>
  <c r="O216" i="266"/>
  <c r="AE216" i="266" s="1"/>
  <c r="N216" i="266"/>
  <c r="AP216" i="266" s="1"/>
  <c r="M216" i="266"/>
  <c r="AJ215" i="266"/>
  <c r="AI215" i="266"/>
  <c r="X215" i="266"/>
  <c r="AQ214" i="266"/>
  <c r="AJ214" i="266"/>
  <c r="AI214" i="266"/>
  <c r="AG214" i="266"/>
  <c r="AF214" i="266"/>
  <c r="AB214" i="266"/>
  <c r="AA214" i="266"/>
  <c r="Z214" i="266"/>
  <c r="Y214" i="266"/>
  <c r="X214" i="266"/>
  <c r="P214" i="266"/>
  <c r="O214" i="266"/>
  <c r="AE214" i="266" s="1"/>
  <c r="N214" i="266"/>
  <c r="AP214" i="266" s="1"/>
  <c r="M214" i="266"/>
  <c r="AC214" i="266" s="1"/>
  <c r="AQ213" i="266"/>
  <c r="AP213" i="266"/>
  <c r="AJ213" i="266"/>
  <c r="AU213" i="266" s="1"/>
  <c r="AI213" i="266"/>
  <c r="AG213" i="266"/>
  <c r="AF213" i="266"/>
  <c r="AB213" i="266"/>
  <c r="AA213" i="266"/>
  <c r="Z213" i="266"/>
  <c r="Y213" i="266"/>
  <c r="X213" i="266"/>
  <c r="P213" i="266"/>
  <c r="O213" i="266"/>
  <c r="AE213" i="266" s="1"/>
  <c r="N213" i="266"/>
  <c r="AD213" i="266" s="1"/>
  <c r="M213" i="266"/>
  <c r="AC213" i="266" s="1"/>
  <c r="AJ212" i="266"/>
  <c r="AI212" i="266"/>
  <c r="X212" i="266"/>
  <c r="AU211" i="266"/>
  <c r="AQ211" i="266"/>
  <c r="AJ211" i="266"/>
  <c r="AI211" i="266"/>
  <c r="AG211" i="266"/>
  <c r="AF211" i="266"/>
  <c r="AB211" i="266"/>
  <c r="AA211" i="266"/>
  <c r="Z211" i="266"/>
  <c r="Y211" i="266"/>
  <c r="X211" i="266"/>
  <c r="P211" i="266"/>
  <c r="O211" i="266"/>
  <c r="AE211" i="266" s="1"/>
  <c r="N211" i="266"/>
  <c r="AP211" i="266" s="1"/>
  <c r="M211" i="266"/>
  <c r="AQ210" i="266"/>
  <c r="AJ210" i="266"/>
  <c r="AI210" i="266"/>
  <c r="AG210" i="266"/>
  <c r="AF210" i="266"/>
  <c r="AB210" i="266"/>
  <c r="AA210" i="266"/>
  <c r="Z210" i="266"/>
  <c r="Y210" i="266"/>
  <c r="X210" i="266"/>
  <c r="P210" i="266"/>
  <c r="O210" i="266"/>
  <c r="N210" i="266"/>
  <c r="M210" i="266"/>
  <c r="AC210" i="266" s="1"/>
  <c r="AU209" i="266"/>
  <c r="AQ209" i="266"/>
  <c r="AJ209" i="266"/>
  <c r="AI209" i="266"/>
  <c r="AG209" i="266"/>
  <c r="AF209" i="266"/>
  <c r="AB209" i="266"/>
  <c r="AA209" i="266"/>
  <c r="Z209" i="266"/>
  <c r="Y209" i="266"/>
  <c r="X209" i="266"/>
  <c r="P209" i="266"/>
  <c r="O209" i="266"/>
  <c r="N209" i="266"/>
  <c r="AD209" i="266" s="1"/>
  <c r="M209" i="266"/>
  <c r="AC209" i="266" s="1"/>
  <c r="AQ208" i="266"/>
  <c r="AJ208" i="266"/>
  <c r="AI208" i="266"/>
  <c r="AG208" i="266"/>
  <c r="AF208" i="266"/>
  <c r="AB208" i="266"/>
  <c r="AA208" i="266"/>
  <c r="Z208" i="266"/>
  <c r="Y208" i="266"/>
  <c r="X208" i="266"/>
  <c r="P208" i="266"/>
  <c r="O208" i="266"/>
  <c r="AE208" i="266" s="1"/>
  <c r="N208" i="266"/>
  <c r="AP208" i="266" s="1"/>
  <c r="M208" i="266"/>
  <c r="AC208" i="266" s="1"/>
  <c r="AU207" i="266"/>
  <c r="AQ207" i="266"/>
  <c r="AJ207" i="266"/>
  <c r="AI207" i="266"/>
  <c r="AG207" i="266"/>
  <c r="AF207" i="266"/>
  <c r="AB207" i="266"/>
  <c r="AA207" i="266"/>
  <c r="Z207" i="266"/>
  <c r="Y207" i="266"/>
  <c r="X207" i="266"/>
  <c r="P207" i="266"/>
  <c r="O207" i="266"/>
  <c r="AE207" i="266" s="1"/>
  <c r="N207" i="266"/>
  <c r="AP207" i="266" s="1"/>
  <c r="M207" i="266"/>
  <c r="AC207" i="266" s="1"/>
  <c r="AU206" i="266"/>
  <c r="AQ206" i="266"/>
  <c r="AJ206" i="266"/>
  <c r="AI206" i="266"/>
  <c r="AG206" i="266"/>
  <c r="AF206" i="266"/>
  <c r="AB206" i="266"/>
  <c r="AA206" i="266"/>
  <c r="Z206" i="266"/>
  <c r="Y206" i="266"/>
  <c r="X206" i="266"/>
  <c r="P206" i="266"/>
  <c r="O206" i="266"/>
  <c r="AE206" i="266" s="1"/>
  <c r="N206" i="266"/>
  <c r="AP206" i="266" s="1"/>
  <c r="M206" i="266"/>
  <c r="AC206" i="266" s="1"/>
  <c r="AQ205" i="266"/>
  <c r="AJ205" i="266"/>
  <c r="AU205" i="266" s="1"/>
  <c r="AI205" i="266"/>
  <c r="AG205" i="266"/>
  <c r="AF205" i="266"/>
  <c r="AB205" i="266"/>
  <c r="AA205" i="266"/>
  <c r="Z205" i="266"/>
  <c r="Y205" i="266"/>
  <c r="X205" i="266"/>
  <c r="P205" i="266"/>
  <c r="O205" i="266"/>
  <c r="N205" i="266"/>
  <c r="AP205" i="266" s="1"/>
  <c r="M205" i="266"/>
  <c r="AQ204" i="266"/>
  <c r="AJ204" i="266"/>
  <c r="AI204" i="266"/>
  <c r="AG204" i="266"/>
  <c r="AF204" i="266"/>
  <c r="AB204" i="266"/>
  <c r="AA204" i="266"/>
  <c r="Z204" i="266"/>
  <c r="Y204" i="266"/>
  <c r="X204" i="266"/>
  <c r="P204" i="266"/>
  <c r="O204" i="266"/>
  <c r="AE204" i="266" s="1"/>
  <c r="N204" i="266"/>
  <c r="AP204" i="266" s="1"/>
  <c r="M204" i="266"/>
  <c r="AQ203" i="266"/>
  <c r="AJ203" i="266"/>
  <c r="AU203" i="266" s="1"/>
  <c r="AI203" i="266"/>
  <c r="AG203" i="266"/>
  <c r="AF203" i="266"/>
  <c r="AB203" i="266"/>
  <c r="AA203" i="266"/>
  <c r="Z203" i="266"/>
  <c r="Y203" i="266"/>
  <c r="X203" i="266"/>
  <c r="P203" i="266"/>
  <c r="O203" i="266"/>
  <c r="AE203" i="266" s="1"/>
  <c r="N203" i="266"/>
  <c r="AP203" i="266" s="1"/>
  <c r="M203" i="266"/>
  <c r="AQ202" i="266"/>
  <c r="AJ202" i="266"/>
  <c r="AI202" i="266"/>
  <c r="AG202" i="266"/>
  <c r="AF202" i="266"/>
  <c r="AC202" i="266"/>
  <c r="AB202" i="266"/>
  <c r="AA202" i="266"/>
  <c r="Z202" i="266"/>
  <c r="Y202" i="266"/>
  <c r="X202" i="266"/>
  <c r="P202" i="266"/>
  <c r="O202" i="266"/>
  <c r="N202" i="266"/>
  <c r="M202" i="266"/>
  <c r="AU201" i="266"/>
  <c r="AQ201" i="266"/>
  <c r="AJ201" i="266"/>
  <c r="AI201" i="266"/>
  <c r="AG201" i="266"/>
  <c r="AF201" i="266"/>
  <c r="AB201" i="266"/>
  <c r="AA201" i="266"/>
  <c r="Z201" i="266"/>
  <c r="Y201" i="266"/>
  <c r="X201" i="266"/>
  <c r="P201" i="266"/>
  <c r="O201" i="266"/>
  <c r="N201" i="266"/>
  <c r="AP201" i="266" s="1"/>
  <c r="M201" i="266"/>
  <c r="AC201" i="266" s="1"/>
  <c r="AQ200" i="266"/>
  <c r="AJ200" i="266"/>
  <c r="AI200" i="266"/>
  <c r="AG200" i="266"/>
  <c r="AF200" i="266"/>
  <c r="AB200" i="266"/>
  <c r="AA200" i="266"/>
  <c r="Z200" i="266"/>
  <c r="Y200" i="266"/>
  <c r="X200" i="266"/>
  <c r="P200" i="266"/>
  <c r="O200" i="266"/>
  <c r="AE200" i="266" s="1"/>
  <c r="N200" i="266"/>
  <c r="AP200" i="266" s="1"/>
  <c r="M200" i="266"/>
  <c r="AC200" i="266" s="1"/>
  <c r="AQ199" i="266"/>
  <c r="AJ199" i="266"/>
  <c r="AU199" i="266" s="1"/>
  <c r="AI199" i="266"/>
  <c r="AG199" i="266"/>
  <c r="AF199" i="266"/>
  <c r="AB199" i="266"/>
  <c r="AA199" i="266"/>
  <c r="Z199" i="266"/>
  <c r="Y199" i="266"/>
  <c r="X199" i="266"/>
  <c r="P199" i="266"/>
  <c r="O199" i="266"/>
  <c r="AE199" i="266" s="1"/>
  <c r="N199" i="266"/>
  <c r="AP199" i="266" s="1"/>
  <c r="M199" i="266"/>
  <c r="AC199" i="266" s="1"/>
  <c r="AQ198" i="266"/>
  <c r="AJ198" i="266"/>
  <c r="AU198" i="266" s="1"/>
  <c r="AI198" i="266"/>
  <c r="AG198" i="266"/>
  <c r="AF198" i="266"/>
  <c r="AB198" i="266"/>
  <c r="AA198" i="266"/>
  <c r="Z198" i="266"/>
  <c r="Y198" i="266"/>
  <c r="X198" i="266"/>
  <c r="P198" i="266"/>
  <c r="O198" i="266"/>
  <c r="AE198" i="266" s="1"/>
  <c r="N198" i="266"/>
  <c r="AP198" i="266" s="1"/>
  <c r="M198" i="266"/>
  <c r="AC198" i="266" s="1"/>
  <c r="AU197" i="266"/>
  <c r="AQ197" i="266"/>
  <c r="AP197" i="266"/>
  <c r="AJ197" i="266"/>
  <c r="AI197" i="266"/>
  <c r="AG197" i="266"/>
  <c r="AF197" i="266"/>
  <c r="AB197" i="266"/>
  <c r="AA197" i="266"/>
  <c r="Z197" i="266"/>
  <c r="Y197" i="266"/>
  <c r="X197" i="266"/>
  <c r="P197" i="266"/>
  <c r="O197" i="266"/>
  <c r="N197" i="266"/>
  <c r="AD197" i="266" s="1"/>
  <c r="M197" i="266"/>
  <c r="AQ196" i="266"/>
  <c r="AJ196" i="266"/>
  <c r="AI196" i="266"/>
  <c r="AG196" i="266"/>
  <c r="AF196" i="266"/>
  <c r="AB196" i="266"/>
  <c r="AA196" i="266"/>
  <c r="Z196" i="266"/>
  <c r="Y196" i="266"/>
  <c r="X196" i="266"/>
  <c r="P196" i="266"/>
  <c r="O196" i="266"/>
  <c r="AE196" i="266" s="1"/>
  <c r="N196" i="266"/>
  <c r="AP196" i="266" s="1"/>
  <c r="M196" i="266"/>
  <c r="AQ195" i="266"/>
  <c r="AJ195" i="266"/>
  <c r="AU195" i="266" s="1"/>
  <c r="AI195" i="266"/>
  <c r="AG195" i="266"/>
  <c r="AF195" i="266"/>
  <c r="AB195" i="266"/>
  <c r="AA195" i="266"/>
  <c r="Z195" i="266"/>
  <c r="Y195" i="266"/>
  <c r="X195" i="266"/>
  <c r="P195" i="266"/>
  <c r="O195" i="266"/>
  <c r="AE195" i="266" s="1"/>
  <c r="N195" i="266"/>
  <c r="AP195" i="266" s="1"/>
  <c r="M195" i="266"/>
  <c r="AQ194" i="266"/>
  <c r="AJ194" i="266"/>
  <c r="AI194" i="266"/>
  <c r="AG194" i="266"/>
  <c r="AF194" i="266"/>
  <c r="AB194" i="266"/>
  <c r="AA194" i="266"/>
  <c r="Z194" i="266"/>
  <c r="Y194" i="266"/>
  <c r="X194" i="266"/>
  <c r="P194" i="266"/>
  <c r="O194" i="266"/>
  <c r="N194" i="266"/>
  <c r="M194" i="266"/>
  <c r="AC194" i="266" s="1"/>
  <c r="AQ193" i="266"/>
  <c r="AJ193" i="266"/>
  <c r="AU193" i="266" s="1"/>
  <c r="AI193" i="266"/>
  <c r="AG193" i="266"/>
  <c r="AF193" i="266"/>
  <c r="AB193" i="266"/>
  <c r="AA193" i="266"/>
  <c r="Z193" i="266"/>
  <c r="Y193" i="266"/>
  <c r="X193" i="266"/>
  <c r="P193" i="266"/>
  <c r="O193" i="266"/>
  <c r="N193" i="266"/>
  <c r="AD193" i="266" s="1"/>
  <c r="M193" i="266"/>
  <c r="AC193" i="266" s="1"/>
  <c r="AQ192" i="266"/>
  <c r="AJ192" i="266"/>
  <c r="AI192" i="266"/>
  <c r="AG192" i="266"/>
  <c r="AF192" i="266"/>
  <c r="AB192" i="266"/>
  <c r="AA192" i="266"/>
  <c r="Z192" i="266"/>
  <c r="Y192" i="266"/>
  <c r="X192" i="266"/>
  <c r="P192" i="266"/>
  <c r="O192" i="266"/>
  <c r="AE192" i="266" s="1"/>
  <c r="N192" i="266"/>
  <c r="AP192" i="266" s="1"/>
  <c r="M192" i="266"/>
  <c r="AC192" i="266" s="1"/>
  <c r="AJ191" i="266"/>
  <c r="AI191" i="266"/>
  <c r="X191" i="266"/>
  <c r="AQ190" i="266"/>
  <c r="AJ190" i="266"/>
  <c r="AI190" i="266"/>
  <c r="AG190" i="266"/>
  <c r="AF190" i="266"/>
  <c r="AB190" i="266"/>
  <c r="AA190" i="266"/>
  <c r="Z190" i="266"/>
  <c r="Y190" i="266"/>
  <c r="X190" i="266"/>
  <c r="P190" i="266"/>
  <c r="O190" i="266"/>
  <c r="AE190" i="266" s="1"/>
  <c r="N190" i="266"/>
  <c r="AP190" i="266" s="1"/>
  <c r="M190" i="266"/>
  <c r="AU189" i="266"/>
  <c r="AQ189" i="266"/>
  <c r="AJ189" i="266"/>
  <c r="AI189" i="266"/>
  <c r="AG189" i="266"/>
  <c r="AF189" i="266"/>
  <c r="AB189" i="266"/>
  <c r="AA189" i="266"/>
  <c r="Z189" i="266"/>
  <c r="Y189" i="266"/>
  <c r="X189" i="266"/>
  <c r="P189" i="266"/>
  <c r="O189" i="266"/>
  <c r="AE189" i="266" s="1"/>
  <c r="N189" i="266"/>
  <c r="AP189" i="266" s="1"/>
  <c r="M189" i="266"/>
  <c r="AQ188" i="266"/>
  <c r="AJ188" i="266"/>
  <c r="AI188" i="266"/>
  <c r="AG188" i="266"/>
  <c r="AF188" i="266"/>
  <c r="AC188" i="266"/>
  <c r="AB188" i="266"/>
  <c r="AA188" i="266"/>
  <c r="Z188" i="266"/>
  <c r="Y188" i="266"/>
  <c r="X188" i="266"/>
  <c r="P188" i="266"/>
  <c r="O188" i="266"/>
  <c r="N188" i="266"/>
  <c r="M188" i="266"/>
  <c r="AQ187" i="266"/>
  <c r="AJ187" i="266"/>
  <c r="AU187" i="266" s="1"/>
  <c r="AI187" i="266"/>
  <c r="AG187" i="266"/>
  <c r="AF187" i="266"/>
  <c r="AB187" i="266"/>
  <c r="AA187" i="266"/>
  <c r="Z187" i="266"/>
  <c r="Y187" i="266"/>
  <c r="X187" i="266"/>
  <c r="P187" i="266"/>
  <c r="O187" i="266"/>
  <c r="N187" i="266"/>
  <c r="AD187" i="266" s="1"/>
  <c r="M187" i="266"/>
  <c r="AC187" i="266" s="1"/>
  <c r="AQ186" i="266"/>
  <c r="AJ186" i="266"/>
  <c r="AI186" i="266"/>
  <c r="AG186" i="266"/>
  <c r="AF186" i="266"/>
  <c r="AC186" i="266"/>
  <c r="AB186" i="266"/>
  <c r="AA186" i="266"/>
  <c r="Z186" i="266"/>
  <c r="Y186" i="266"/>
  <c r="X186" i="266"/>
  <c r="P186" i="266"/>
  <c r="O186" i="266"/>
  <c r="AE186" i="266" s="1"/>
  <c r="N186" i="266"/>
  <c r="AP186" i="266" s="1"/>
  <c r="M186" i="266"/>
  <c r="AJ185" i="266"/>
  <c r="AI185" i="266"/>
  <c r="X185" i="266"/>
  <c r="AQ184" i="266"/>
  <c r="AJ184" i="266"/>
  <c r="AI184" i="266"/>
  <c r="AG184" i="266"/>
  <c r="AF184" i="266"/>
  <c r="AE184" i="266"/>
  <c r="AB184" i="266"/>
  <c r="AA184" i="266"/>
  <c r="Z184" i="266"/>
  <c r="Y184" i="266"/>
  <c r="X184" i="266"/>
  <c r="P184" i="266"/>
  <c r="O184" i="266"/>
  <c r="N184" i="266"/>
  <c r="AP184" i="266" s="1"/>
  <c r="M184" i="266"/>
  <c r="AQ183" i="266"/>
  <c r="AJ183" i="266"/>
  <c r="AU183" i="266" s="1"/>
  <c r="AI183" i="266"/>
  <c r="AG183" i="266"/>
  <c r="AF183" i="266"/>
  <c r="AB183" i="266"/>
  <c r="AA183" i="266"/>
  <c r="Z183" i="266"/>
  <c r="Y183" i="266"/>
  <c r="X183" i="266"/>
  <c r="P183" i="266"/>
  <c r="O183" i="266"/>
  <c r="AE183" i="266" s="1"/>
  <c r="N183" i="266"/>
  <c r="AP183" i="266" s="1"/>
  <c r="M183" i="266"/>
  <c r="AQ182" i="266"/>
  <c r="AJ182" i="266"/>
  <c r="AI182" i="266"/>
  <c r="AG182" i="266"/>
  <c r="AF182" i="266"/>
  <c r="AB182" i="266"/>
  <c r="AA182" i="266"/>
  <c r="Z182" i="266"/>
  <c r="Y182" i="266"/>
  <c r="X182" i="266"/>
  <c r="P182" i="266"/>
  <c r="O182" i="266"/>
  <c r="N182" i="266"/>
  <c r="M182" i="266"/>
  <c r="AC182" i="266" s="1"/>
  <c r="AQ181" i="266"/>
  <c r="AJ181" i="266"/>
  <c r="AU181" i="266" s="1"/>
  <c r="AI181" i="266"/>
  <c r="AG181" i="266"/>
  <c r="AF181" i="266"/>
  <c r="AB181" i="266"/>
  <c r="AA181" i="266"/>
  <c r="Z181" i="266"/>
  <c r="Y181" i="266"/>
  <c r="X181" i="266"/>
  <c r="P181" i="266"/>
  <c r="O181" i="266"/>
  <c r="N181" i="266"/>
  <c r="AD181" i="266" s="1"/>
  <c r="M181" i="266"/>
  <c r="AC181" i="266" s="1"/>
  <c r="AQ180" i="266"/>
  <c r="AJ180" i="266"/>
  <c r="AI180" i="266"/>
  <c r="AG180" i="266"/>
  <c r="AF180" i="266"/>
  <c r="AB180" i="266"/>
  <c r="AA180" i="266"/>
  <c r="Z180" i="266"/>
  <c r="Y180" i="266"/>
  <c r="X180" i="266"/>
  <c r="P180" i="266"/>
  <c r="O180" i="266"/>
  <c r="AE180" i="266" s="1"/>
  <c r="N180" i="266"/>
  <c r="AP180" i="266" s="1"/>
  <c r="M180" i="266"/>
  <c r="AC180" i="266" s="1"/>
  <c r="AJ179" i="266"/>
  <c r="AI179" i="266"/>
  <c r="X179" i="266"/>
  <c r="AQ178" i="266"/>
  <c r="AJ178" i="266"/>
  <c r="AI178" i="266"/>
  <c r="AG178" i="266"/>
  <c r="AF178" i="266"/>
  <c r="AB178" i="266"/>
  <c r="AA178" i="266"/>
  <c r="Z178" i="266"/>
  <c r="Y178" i="266"/>
  <c r="X178" i="266"/>
  <c r="P178" i="266"/>
  <c r="O178" i="266"/>
  <c r="AE178" i="266" s="1"/>
  <c r="N178" i="266"/>
  <c r="AP178" i="266" s="1"/>
  <c r="AW178" i="266" s="1"/>
  <c r="M178" i="266"/>
  <c r="AU177" i="266"/>
  <c r="AQ177" i="266"/>
  <c r="AJ177" i="266"/>
  <c r="AI177" i="266"/>
  <c r="AG177" i="266"/>
  <c r="AF177" i="266"/>
  <c r="AB177" i="266"/>
  <c r="AA177" i="266"/>
  <c r="Z177" i="266"/>
  <c r="Y177" i="266"/>
  <c r="X177" i="266"/>
  <c r="P177" i="266"/>
  <c r="O177" i="266"/>
  <c r="AE177" i="266" s="1"/>
  <c r="N177" i="266"/>
  <c r="AP177" i="266" s="1"/>
  <c r="AW177" i="266" s="1"/>
  <c r="M177" i="266"/>
  <c r="AQ176" i="266"/>
  <c r="AJ176" i="266"/>
  <c r="AI176" i="266"/>
  <c r="AG176" i="266"/>
  <c r="AF176" i="266"/>
  <c r="AB176" i="266"/>
  <c r="AA176" i="266"/>
  <c r="Z176" i="266"/>
  <c r="Y176" i="266"/>
  <c r="X176" i="266"/>
  <c r="P176" i="266"/>
  <c r="O176" i="266"/>
  <c r="N176" i="266"/>
  <c r="M176" i="266"/>
  <c r="AC176" i="266" s="1"/>
  <c r="AQ175" i="266"/>
  <c r="AJ175" i="266"/>
  <c r="AU175" i="266" s="1"/>
  <c r="AI175" i="266"/>
  <c r="AG175" i="266"/>
  <c r="AF175" i="266"/>
  <c r="AB175" i="266"/>
  <c r="AA175" i="266"/>
  <c r="Z175" i="266"/>
  <c r="Y175" i="266"/>
  <c r="X175" i="266"/>
  <c r="P175" i="266"/>
  <c r="O175" i="266"/>
  <c r="N175" i="266"/>
  <c r="AD175" i="266" s="1"/>
  <c r="M175" i="266"/>
  <c r="AC175" i="266" s="1"/>
  <c r="AJ174" i="266"/>
  <c r="AI174" i="266"/>
  <c r="X174" i="266"/>
  <c r="AQ173" i="266"/>
  <c r="AP173" i="266"/>
  <c r="AW173" i="266" s="1"/>
  <c r="AJ173" i="266"/>
  <c r="AU173" i="266" s="1"/>
  <c r="AI173" i="266"/>
  <c r="AG173" i="266"/>
  <c r="AF173" i="266"/>
  <c r="AB173" i="266"/>
  <c r="AA173" i="266"/>
  <c r="Z173" i="266"/>
  <c r="Y173" i="266"/>
  <c r="X173" i="266"/>
  <c r="P173" i="266"/>
  <c r="O173" i="266"/>
  <c r="N173" i="266"/>
  <c r="AD173" i="266" s="1"/>
  <c r="M173" i="266"/>
  <c r="AQ172" i="266"/>
  <c r="AJ172" i="266"/>
  <c r="AI172" i="266"/>
  <c r="AG172" i="266"/>
  <c r="AF172" i="266"/>
  <c r="AE172" i="266"/>
  <c r="AB172" i="266"/>
  <c r="AA172" i="266"/>
  <c r="Z172" i="266"/>
  <c r="Y172" i="266"/>
  <c r="X172" i="266"/>
  <c r="P172" i="266"/>
  <c r="O172" i="266"/>
  <c r="N172" i="266"/>
  <c r="AP172" i="266" s="1"/>
  <c r="AW172" i="266" s="1"/>
  <c r="M172" i="266"/>
  <c r="AQ171" i="266"/>
  <c r="AJ171" i="266"/>
  <c r="AU171" i="266" s="1"/>
  <c r="AI171" i="266"/>
  <c r="AG171" i="266"/>
  <c r="AF171" i="266"/>
  <c r="AB171" i="266"/>
  <c r="AA171" i="266"/>
  <c r="Z171" i="266"/>
  <c r="Y171" i="266"/>
  <c r="X171" i="266"/>
  <c r="P171" i="266"/>
  <c r="O171" i="266"/>
  <c r="AE171" i="266" s="1"/>
  <c r="N171" i="266"/>
  <c r="AP171" i="266" s="1"/>
  <c r="AW171" i="266" s="1"/>
  <c r="M171" i="266"/>
  <c r="AQ170" i="266"/>
  <c r="AJ170" i="266"/>
  <c r="AI170" i="266"/>
  <c r="AG170" i="266"/>
  <c r="AF170" i="266"/>
  <c r="AB170" i="266"/>
  <c r="AA170" i="266"/>
  <c r="Z170" i="266"/>
  <c r="Y170" i="266"/>
  <c r="X170" i="266"/>
  <c r="P170" i="266"/>
  <c r="O170" i="266"/>
  <c r="N170" i="266"/>
  <c r="M170" i="266"/>
  <c r="AC170" i="266" s="1"/>
  <c r="AQ169" i="266"/>
  <c r="AJ169" i="266"/>
  <c r="AU169" i="266" s="1"/>
  <c r="AI169" i="266"/>
  <c r="AG169" i="266"/>
  <c r="AF169" i="266"/>
  <c r="AB169" i="266"/>
  <c r="AA169" i="266"/>
  <c r="Z169" i="266"/>
  <c r="Y169" i="266"/>
  <c r="X169" i="266"/>
  <c r="P169" i="266"/>
  <c r="O169" i="266"/>
  <c r="N169" i="266"/>
  <c r="AD169" i="266" s="1"/>
  <c r="M169" i="266"/>
  <c r="AC169" i="266" s="1"/>
  <c r="AQ168" i="266"/>
  <c r="AJ168" i="266"/>
  <c r="AI168" i="266"/>
  <c r="AG168" i="266"/>
  <c r="AF168" i="266"/>
  <c r="AB168" i="266"/>
  <c r="AA168" i="266"/>
  <c r="Z168" i="266"/>
  <c r="Y168" i="266"/>
  <c r="X168" i="266"/>
  <c r="P168" i="266"/>
  <c r="O168" i="266"/>
  <c r="AE168" i="266" s="1"/>
  <c r="N168" i="266"/>
  <c r="AP168" i="266" s="1"/>
  <c r="AW168" i="266" s="1"/>
  <c r="M168" i="266"/>
  <c r="AC168" i="266" s="1"/>
  <c r="AU167" i="266"/>
  <c r="AQ167" i="266"/>
  <c r="AP167" i="266"/>
  <c r="AW167" i="266" s="1"/>
  <c r="AJ167" i="266"/>
  <c r="AI167" i="266"/>
  <c r="AG167" i="266"/>
  <c r="AF167" i="266"/>
  <c r="AB167" i="266"/>
  <c r="AA167" i="266"/>
  <c r="Z167" i="266"/>
  <c r="Y167" i="266"/>
  <c r="X167" i="266"/>
  <c r="P167" i="266"/>
  <c r="O167" i="266"/>
  <c r="AE167" i="266" s="1"/>
  <c r="N167" i="266"/>
  <c r="AD167" i="266" s="1"/>
  <c r="M167" i="266"/>
  <c r="AC167" i="266" s="1"/>
  <c r="AU166" i="266"/>
  <c r="AQ166" i="266"/>
  <c r="AJ166" i="266"/>
  <c r="AI166" i="266"/>
  <c r="AG166" i="266"/>
  <c r="AF166" i="266"/>
  <c r="AB166" i="266"/>
  <c r="AA166" i="266"/>
  <c r="Z166" i="266"/>
  <c r="Y166" i="266"/>
  <c r="X166" i="266"/>
  <c r="P166" i="266"/>
  <c r="O166" i="266"/>
  <c r="AE166" i="266" s="1"/>
  <c r="N166" i="266"/>
  <c r="AP166" i="266" s="1"/>
  <c r="M166" i="266"/>
  <c r="AC166" i="266" s="1"/>
  <c r="AQ165" i="266"/>
  <c r="AP165" i="266"/>
  <c r="AW165" i="266" s="1"/>
  <c r="AJ165" i="266"/>
  <c r="AU165" i="266" s="1"/>
  <c r="AI165" i="266"/>
  <c r="AG165" i="266"/>
  <c r="AF165" i="266"/>
  <c r="AB165" i="266"/>
  <c r="AA165" i="266"/>
  <c r="Z165" i="266"/>
  <c r="Y165" i="266"/>
  <c r="X165" i="266"/>
  <c r="P165" i="266"/>
  <c r="O165" i="266"/>
  <c r="N165" i="266"/>
  <c r="AD165" i="266" s="1"/>
  <c r="M165" i="266"/>
  <c r="AQ164" i="266"/>
  <c r="AJ164" i="266"/>
  <c r="AI164" i="266"/>
  <c r="AG164" i="266"/>
  <c r="AF164" i="266"/>
  <c r="AE164" i="266"/>
  <c r="AB164" i="266"/>
  <c r="AA164" i="266"/>
  <c r="Z164" i="266"/>
  <c r="Y164" i="266"/>
  <c r="X164" i="266"/>
  <c r="P164" i="266"/>
  <c r="O164" i="266"/>
  <c r="N164" i="266"/>
  <c r="AP164" i="266" s="1"/>
  <c r="AW164" i="266" s="1"/>
  <c r="M164" i="266"/>
  <c r="AQ163" i="266"/>
  <c r="AJ163" i="266"/>
  <c r="AU163" i="266" s="1"/>
  <c r="AI163" i="266"/>
  <c r="AG163" i="266"/>
  <c r="AF163" i="266"/>
  <c r="AB163" i="266"/>
  <c r="AA163" i="266"/>
  <c r="Z163" i="266"/>
  <c r="Y163" i="266"/>
  <c r="X163" i="266"/>
  <c r="P163" i="266"/>
  <c r="O163" i="266"/>
  <c r="AE163" i="266" s="1"/>
  <c r="N163" i="266"/>
  <c r="AP163" i="266" s="1"/>
  <c r="M163" i="266"/>
  <c r="AJ162" i="266"/>
  <c r="AI162" i="266"/>
  <c r="X162" i="266"/>
  <c r="AU161" i="266"/>
  <c r="AQ161" i="266"/>
  <c r="AJ161" i="266"/>
  <c r="AI161" i="266"/>
  <c r="AG161" i="266"/>
  <c r="AF161" i="266"/>
  <c r="AB161" i="266"/>
  <c r="AA161" i="266"/>
  <c r="Z161" i="266"/>
  <c r="Y161" i="266"/>
  <c r="X161" i="266"/>
  <c r="P161" i="266"/>
  <c r="O161" i="266"/>
  <c r="AE161" i="266" s="1"/>
  <c r="N161" i="266"/>
  <c r="AP161" i="266" s="1"/>
  <c r="AW161" i="266" s="1"/>
  <c r="M161" i="266"/>
  <c r="AC161" i="266" s="1"/>
  <c r="AU160" i="266"/>
  <c r="AQ160" i="266"/>
  <c r="AJ160" i="266"/>
  <c r="AI160" i="266"/>
  <c r="AG160" i="266"/>
  <c r="AF160" i="266"/>
  <c r="AB160" i="266"/>
  <c r="AA160" i="266"/>
  <c r="Z160" i="266"/>
  <c r="Y160" i="266"/>
  <c r="X160" i="266"/>
  <c r="P160" i="266"/>
  <c r="O160" i="266"/>
  <c r="AE160" i="266" s="1"/>
  <c r="N160" i="266"/>
  <c r="AP160" i="266" s="1"/>
  <c r="AW160" i="266" s="1"/>
  <c r="M160" i="266"/>
  <c r="AC160" i="266" s="1"/>
  <c r="AQ159" i="266"/>
  <c r="AJ159" i="266"/>
  <c r="AU159" i="266" s="1"/>
  <c r="AI159" i="266"/>
  <c r="AG159" i="266"/>
  <c r="AF159" i="266"/>
  <c r="AB159" i="266"/>
  <c r="AA159" i="266"/>
  <c r="Z159" i="266"/>
  <c r="Y159" i="266"/>
  <c r="X159" i="266"/>
  <c r="P159" i="266"/>
  <c r="O159" i="266"/>
  <c r="N159" i="266"/>
  <c r="AP159" i="266" s="1"/>
  <c r="AW159" i="266" s="1"/>
  <c r="M159" i="266"/>
  <c r="AQ158" i="266"/>
  <c r="AJ158" i="266"/>
  <c r="AI158" i="266"/>
  <c r="AG158" i="266"/>
  <c r="AF158" i="266"/>
  <c r="AE158" i="266"/>
  <c r="AB158" i="266"/>
  <c r="AA158" i="266"/>
  <c r="Z158" i="266"/>
  <c r="Y158" i="266"/>
  <c r="X158" i="266"/>
  <c r="P158" i="266"/>
  <c r="O158" i="266"/>
  <c r="N158" i="266"/>
  <c r="AP158" i="266" s="1"/>
  <c r="AW158" i="266" s="1"/>
  <c r="M158" i="266"/>
  <c r="AQ157" i="266"/>
  <c r="AJ157" i="266"/>
  <c r="AU157" i="266" s="1"/>
  <c r="AI157" i="266"/>
  <c r="AG157" i="266"/>
  <c r="AF157" i="266"/>
  <c r="AB157" i="266"/>
  <c r="AA157" i="266"/>
  <c r="Z157" i="266"/>
  <c r="Y157" i="266"/>
  <c r="X157" i="266"/>
  <c r="P157" i="266"/>
  <c r="O157" i="266"/>
  <c r="AE157" i="266" s="1"/>
  <c r="N157" i="266"/>
  <c r="AP157" i="266" s="1"/>
  <c r="AW157" i="266" s="1"/>
  <c r="M157" i="266"/>
  <c r="AQ156" i="266"/>
  <c r="AJ156" i="266"/>
  <c r="AI156" i="266"/>
  <c r="AG156" i="266"/>
  <c r="AF156" i="266"/>
  <c r="AC156" i="266"/>
  <c r="AB156" i="266"/>
  <c r="AA156" i="266"/>
  <c r="Z156" i="266"/>
  <c r="Y156" i="266"/>
  <c r="X156" i="266"/>
  <c r="P156" i="266"/>
  <c r="O156" i="266"/>
  <c r="N156" i="266"/>
  <c r="M156" i="266"/>
  <c r="AU155" i="266"/>
  <c r="AQ155" i="266"/>
  <c r="AJ155" i="266"/>
  <c r="AI155" i="266"/>
  <c r="AG155" i="266"/>
  <c r="AF155" i="266"/>
  <c r="AB155" i="266"/>
  <c r="AA155" i="266"/>
  <c r="Z155" i="266"/>
  <c r="Y155" i="266"/>
  <c r="X155" i="266"/>
  <c r="P155" i="266"/>
  <c r="O155" i="266"/>
  <c r="N155" i="266"/>
  <c r="AP155" i="266" s="1"/>
  <c r="AW155" i="266" s="1"/>
  <c r="M155" i="266"/>
  <c r="AQ154" i="266"/>
  <c r="AJ154" i="266"/>
  <c r="AI154" i="266"/>
  <c r="AG154" i="266"/>
  <c r="AF154" i="266"/>
  <c r="AB154" i="266"/>
  <c r="AA154" i="266"/>
  <c r="Z154" i="266"/>
  <c r="Y154" i="266"/>
  <c r="X154" i="266"/>
  <c r="P154" i="266"/>
  <c r="O154" i="266"/>
  <c r="AE154" i="266" s="1"/>
  <c r="N154" i="266"/>
  <c r="M154" i="266"/>
  <c r="AC154" i="266" s="1"/>
  <c r="AU153" i="266"/>
  <c r="AQ153" i="266"/>
  <c r="AJ153" i="266"/>
  <c r="AI153" i="266"/>
  <c r="AG153" i="266"/>
  <c r="AF153" i="266"/>
  <c r="AB153" i="266"/>
  <c r="AA153" i="266"/>
  <c r="Z153" i="266"/>
  <c r="Y153" i="266"/>
  <c r="X153" i="266"/>
  <c r="P153" i="266"/>
  <c r="O153" i="266"/>
  <c r="AE153" i="266" s="1"/>
  <c r="N153" i="266"/>
  <c r="AP153" i="266" s="1"/>
  <c r="AW153" i="266" s="1"/>
  <c r="M153" i="266"/>
  <c r="AC153" i="266" s="1"/>
  <c r="AQ152" i="266"/>
  <c r="AJ152" i="266"/>
  <c r="AU152" i="266" s="1"/>
  <c r="AI152" i="266"/>
  <c r="AG152" i="266"/>
  <c r="AF152" i="266"/>
  <c r="AE152" i="266"/>
  <c r="AC152" i="266"/>
  <c r="AB152" i="266"/>
  <c r="AA152" i="266"/>
  <c r="Z152" i="266"/>
  <c r="Y152" i="266"/>
  <c r="X152" i="266"/>
  <c r="P152" i="266"/>
  <c r="O152" i="266"/>
  <c r="N152" i="266"/>
  <c r="AP152" i="266" s="1"/>
  <c r="AW152" i="266" s="1"/>
  <c r="M152" i="266"/>
  <c r="AQ151" i="266"/>
  <c r="AP151" i="266"/>
  <c r="AW151" i="266" s="1"/>
  <c r="AJ151" i="266"/>
  <c r="AU151" i="266" s="1"/>
  <c r="AI151" i="266"/>
  <c r="AG151" i="266"/>
  <c r="AF151" i="266"/>
  <c r="AB151" i="266"/>
  <c r="AA151" i="266"/>
  <c r="Z151" i="266"/>
  <c r="Y151" i="266"/>
  <c r="X151" i="266"/>
  <c r="P151" i="266"/>
  <c r="O151" i="266"/>
  <c r="AE151" i="266" s="1"/>
  <c r="N151" i="266"/>
  <c r="AD151" i="266" s="1"/>
  <c r="M151" i="266"/>
  <c r="AQ150" i="266"/>
  <c r="AJ150" i="266"/>
  <c r="AI150" i="266"/>
  <c r="AG150" i="266"/>
  <c r="AF150" i="266"/>
  <c r="AE150" i="266"/>
  <c r="AB150" i="266"/>
  <c r="AA150" i="266"/>
  <c r="Z150" i="266"/>
  <c r="Y150" i="266"/>
  <c r="X150" i="266"/>
  <c r="P150" i="266"/>
  <c r="O150" i="266"/>
  <c r="N150" i="266"/>
  <c r="AP150" i="266" s="1"/>
  <c r="AW150" i="266" s="1"/>
  <c r="M150" i="266"/>
  <c r="AC150" i="266" s="1"/>
  <c r="AQ149" i="266"/>
  <c r="AJ149" i="266"/>
  <c r="AU149" i="266" s="1"/>
  <c r="AI149" i="266"/>
  <c r="AG149" i="266"/>
  <c r="AF149" i="266"/>
  <c r="AB149" i="266"/>
  <c r="AA149" i="266"/>
  <c r="Z149" i="266"/>
  <c r="Y149" i="266"/>
  <c r="X149" i="266"/>
  <c r="P149" i="266"/>
  <c r="O149" i="266"/>
  <c r="AE149" i="266" s="1"/>
  <c r="N149" i="266"/>
  <c r="AP149" i="266" s="1"/>
  <c r="AW149" i="266" s="1"/>
  <c r="M149" i="266"/>
  <c r="AQ148" i="266"/>
  <c r="AJ148" i="266"/>
  <c r="AI148" i="266"/>
  <c r="AG148" i="266"/>
  <c r="AF148" i="266"/>
  <c r="AB148" i="266"/>
  <c r="AA148" i="266"/>
  <c r="Z148" i="266"/>
  <c r="Y148" i="266"/>
  <c r="X148" i="266"/>
  <c r="P148" i="266"/>
  <c r="O148" i="266"/>
  <c r="N148" i="266"/>
  <c r="M148" i="266"/>
  <c r="AC148" i="266" s="1"/>
  <c r="AU147" i="266"/>
  <c r="AQ147" i="266"/>
  <c r="AJ147" i="266"/>
  <c r="AI147" i="266"/>
  <c r="AG147" i="266"/>
  <c r="AF147" i="266"/>
  <c r="AB147" i="266"/>
  <c r="AA147" i="266"/>
  <c r="Z147" i="266"/>
  <c r="Y147" i="266"/>
  <c r="X147" i="266"/>
  <c r="P147" i="266"/>
  <c r="O147" i="266"/>
  <c r="N147" i="266"/>
  <c r="AP147" i="266" s="1"/>
  <c r="AW147" i="266" s="1"/>
  <c r="M147" i="266"/>
  <c r="AQ146" i="266"/>
  <c r="AJ146" i="266"/>
  <c r="AI146" i="266"/>
  <c r="AG146" i="266"/>
  <c r="AF146" i="266"/>
  <c r="AB146" i="266"/>
  <c r="AA146" i="266"/>
  <c r="Z146" i="266"/>
  <c r="Y146" i="266"/>
  <c r="X146" i="266"/>
  <c r="P146" i="266"/>
  <c r="O146" i="266"/>
  <c r="AE146" i="266" s="1"/>
  <c r="N146" i="266"/>
  <c r="M146" i="266"/>
  <c r="AC146" i="266" s="1"/>
  <c r="AQ145" i="266"/>
  <c r="AJ145" i="266"/>
  <c r="AU145" i="266" s="1"/>
  <c r="AI145" i="266"/>
  <c r="AG145" i="266"/>
  <c r="AF145" i="266"/>
  <c r="AB145" i="266"/>
  <c r="AA145" i="266"/>
  <c r="Z145" i="266"/>
  <c r="Y145" i="266"/>
  <c r="X145" i="266"/>
  <c r="P145" i="266"/>
  <c r="O145" i="266"/>
  <c r="AE145" i="266" s="1"/>
  <c r="N145" i="266"/>
  <c r="AP145" i="266" s="1"/>
  <c r="AW145" i="266" s="1"/>
  <c r="M145" i="266"/>
  <c r="AC145" i="266" s="1"/>
  <c r="AQ144" i="266"/>
  <c r="AJ144" i="266"/>
  <c r="AU144" i="266" s="1"/>
  <c r="AI144" i="266"/>
  <c r="AG144" i="266"/>
  <c r="AF144" i="266"/>
  <c r="AB144" i="266"/>
  <c r="AA144" i="266"/>
  <c r="Z144" i="266"/>
  <c r="Y144" i="266"/>
  <c r="X144" i="266"/>
  <c r="P144" i="266"/>
  <c r="O144" i="266"/>
  <c r="AE144" i="266" s="1"/>
  <c r="N144" i="266"/>
  <c r="M144" i="266"/>
  <c r="AC144" i="266" s="1"/>
  <c r="AU143" i="266"/>
  <c r="AQ143" i="266"/>
  <c r="AP143" i="266"/>
  <c r="AW143" i="266" s="1"/>
  <c r="AJ143" i="266"/>
  <c r="AI143" i="266"/>
  <c r="AG143" i="266"/>
  <c r="AF143" i="266"/>
  <c r="AB143" i="266"/>
  <c r="AA143" i="266"/>
  <c r="Z143" i="266"/>
  <c r="Y143" i="266"/>
  <c r="X143" i="266"/>
  <c r="P143" i="266"/>
  <c r="O143" i="266"/>
  <c r="N143" i="266"/>
  <c r="AD143" i="266" s="1"/>
  <c r="M143" i="266"/>
  <c r="AQ142" i="266"/>
  <c r="AJ142" i="266"/>
  <c r="AI142" i="266"/>
  <c r="AG142" i="266"/>
  <c r="AF142" i="266"/>
  <c r="AB142" i="266"/>
  <c r="AA142" i="266"/>
  <c r="Z142" i="266"/>
  <c r="Y142" i="266"/>
  <c r="X142" i="266"/>
  <c r="P142" i="266"/>
  <c r="O142" i="266"/>
  <c r="AE142" i="266" s="1"/>
  <c r="N142" i="266"/>
  <c r="AP142" i="266" s="1"/>
  <c r="AW142" i="266" s="1"/>
  <c r="M142" i="266"/>
  <c r="AC142" i="266" s="1"/>
  <c r="AQ141" i="266"/>
  <c r="AJ141" i="266"/>
  <c r="AU141" i="266" s="1"/>
  <c r="AI141" i="266"/>
  <c r="AG141" i="266"/>
  <c r="AF141" i="266"/>
  <c r="AB141" i="266"/>
  <c r="AA141" i="266"/>
  <c r="Z141" i="266"/>
  <c r="Y141" i="266"/>
  <c r="X141" i="266"/>
  <c r="P141" i="266"/>
  <c r="O141" i="266"/>
  <c r="AE141" i="266" s="1"/>
  <c r="N141" i="266"/>
  <c r="AP141" i="266" s="1"/>
  <c r="AW141" i="266" s="1"/>
  <c r="M141" i="266"/>
  <c r="AQ140" i="266"/>
  <c r="AJ140" i="266"/>
  <c r="AI140" i="266"/>
  <c r="AG140" i="266"/>
  <c r="AF140" i="266"/>
  <c r="AB140" i="266"/>
  <c r="AA140" i="266"/>
  <c r="Z140" i="266"/>
  <c r="Y140" i="266"/>
  <c r="X140" i="266"/>
  <c r="P140" i="266"/>
  <c r="O140" i="266"/>
  <c r="N140" i="266"/>
  <c r="M140" i="266"/>
  <c r="AC140" i="266" s="1"/>
  <c r="AQ139" i="266"/>
  <c r="AJ139" i="266"/>
  <c r="AU139" i="266" s="1"/>
  <c r="AI139" i="266"/>
  <c r="AG139" i="266"/>
  <c r="AF139" i="266"/>
  <c r="AB139" i="266"/>
  <c r="AA139" i="266"/>
  <c r="Z139" i="266"/>
  <c r="Y139" i="266"/>
  <c r="X139" i="266"/>
  <c r="P139" i="266"/>
  <c r="O139" i="266"/>
  <c r="N139" i="266"/>
  <c r="AP139" i="266" s="1"/>
  <c r="AW139" i="266" s="1"/>
  <c r="M139" i="266"/>
  <c r="AQ138" i="266"/>
  <c r="AJ138" i="266"/>
  <c r="AI138" i="266"/>
  <c r="AG138" i="266"/>
  <c r="AF138" i="266"/>
  <c r="AC138" i="266"/>
  <c r="AB138" i="266"/>
  <c r="AA138" i="266"/>
  <c r="Z138" i="266"/>
  <c r="Y138" i="266"/>
  <c r="X138" i="266"/>
  <c r="P138" i="266"/>
  <c r="O138" i="266"/>
  <c r="AE138" i="266" s="1"/>
  <c r="N138" i="266"/>
  <c r="M138" i="266"/>
  <c r="AQ137" i="266"/>
  <c r="AP137" i="266"/>
  <c r="AW137" i="266" s="1"/>
  <c r="AJ137" i="266"/>
  <c r="AU137" i="266" s="1"/>
  <c r="AI137" i="266"/>
  <c r="AG137" i="266"/>
  <c r="AF137" i="266"/>
  <c r="AB137" i="266"/>
  <c r="AA137" i="266"/>
  <c r="Z137" i="266"/>
  <c r="Y137" i="266"/>
  <c r="X137" i="266"/>
  <c r="P137" i="266"/>
  <c r="O137" i="266"/>
  <c r="AE137" i="266" s="1"/>
  <c r="N137" i="266"/>
  <c r="AD137" i="266" s="1"/>
  <c r="M137" i="266"/>
  <c r="AC137" i="266" s="1"/>
  <c r="AQ136" i="266"/>
  <c r="AJ136" i="266"/>
  <c r="AU136" i="266" s="1"/>
  <c r="AI136" i="266"/>
  <c r="AG136" i="266"/>
  <c r="AF136" i="266"/>
  <c r="AB136" i="266"/>
  <c r="AA136" i="266"/>
  <c r="Z136" i="266"/>
  <c r="Y136" i="266"/>
  <c r="X136" i="266"/>
  <c r="P136" i="266"/>
  <c r="O136" i="266"/>
  <c r="AE136" i="266" s="1"/>
  <c r="N136" i="266"/>
  <c r="M136" i="266"/>
  <c r="AC136" i="266" s="1"/>
  <c r="AQ135" i="266"/>
  <c r="AP135" i="266"/>
  <c r="AW135" i="266" s="1"/>
  <c r="AJ135" i="266"/>
  <c r="AI135" i="266"/>
  <c r="AG135" i="266"/>
  <c r="AF135" i="266"/>
  <c r="AB135" i="266"/>
  <c r="AA135" i="266"/>
  <c r="Z135" i="266"/>
  <c r="Y135" i="266"/>
  <c r="X135" i="266"/>
  <c r="P135" i="266"/>
  <c r="O135" i="266"/>
  <c r="AE135" i="266" s="1"/>
  <c r="N135" i="266"/>
  <c r="AD135" i="266" s="1"/>
  <c r="M135" i="266"/>
  <c r="AQ134" i="266"/>
  <c r="AJ134" i="266"/>
  <c r="AI134" i="266"/>
  <c r="AG134" i="266"/>
  <c r="AF134" i="266"/>
  <c r="AB134" i="266"/>
  <c r="AA134" i="266"/>
  <c r="Z134" i="266"/>
  <c r="Y134" i="266"/>
  <c r="X134" i="266"/>
  <c r="P134" i="266"/>
  <c r="O134" i="266"/>
  <c r="AE134" i="266" s="1"/>
  <c r="N134" i="266"/>
  <c r="AP134" i="266" s="1"/>
  <c r="AW134" i="266" s="1"/>
  <c r="M134" i="266"/>
  <c r="AC134" i="266" s="1"/>
  <c r="AQ133" i="266"/>
  <c r="AJ133" i="266"/>
  <c r="AU133" i="266" s="1"/>
  <c r="AI133" i="266"/>
  <c r="AG133" i="266"/>
  <c r="AF133" i="266"/>
  <c r="AB133" i="266"/>
  <c r="AA133" i="266"/>
  <c r="Z133" i="266"/>
  <c r="Y133" i="266"/>
  <c r="X133" i="266"/>
  <c r="P133" i="266"/>
  <c r="O133" i="266"/>
  <c r="AE133" i="266" s="1"/>
  <c r="N133" i="266"/>
  <c r="M133" i="266"/>
  <c r="AQ132" i="266"/>
  <c r="AJ132" i="266"/>
  <c r="AI132" i="266"/>
  <c r="AG132" i="266"/>
  <c r="AF132" i="266"/>
  <c r="AB132" i="266"/>
  <c r="AA132" i="266"/>
  <c r="Z132" i="266"/>
  <c r="Y132" i="266"/>
  <c r="X132" i="266"/>
  <c r="P132" i="266"/>
  <c r="O132" i="266"/>
  <c r="N132" i="266"/>
  <c r="AD132" i="266" s="1"/>
  <c r="M132" i="266"/>
  <c r="AC132" i="266" s="1"/>
  <c r="AQ131" i="266"/>
  <c r="AJ131" i="266"/>
  <c r="AU131" i="266" s="1"/>
  <c r="AI131" i="266"/>
  <c r="AG131" i="266"/>
  <c r="AF131" i="266"/>
  <c r="AB131" i="266"/>
  <c r="AA131" i="266"/>
  <c r="Z131" i="266"/>
  <c r="Y131" i="266"/>
  <c r="X131" i="266"/>
  <c r="P131" i="266"/>
  <c r="O131" i="266"/>
  <c r="N131" i="266"/>
  <c r="AD131" i="266" s="1"/>
  <c r="M131" i="266"/>
  <c r="AQ130" i="266"/>
  <c r="AJ130" i="266"/>
  <c r="AI130" i="266"/>
  <c r="AG130" i="266"/>
  <c r="AF130" i="266"/>
  <c r="AC130" i="266"/>
  <c r="AB130" i="266"/>
  <c r="AA130" i="266"/>
  <c r="Z130" i="266"/>
  <c r="Y130" i="266"/>
  <c r="X130" i="266"/>
  <c r="P130" i="266"/>
  <c r="O130" i="266"/>
  <c r="AE130" i="266" s="1"/>
  <c r="N130" i="266"/>
  <c r="M130" i="266"/>
  <c r="AU129" i="266"/>
  <c r="AQ129" i="266"/>
  <c r="AP129" i="266"/>
  <c r="AW129" i="266" s="1"/>
  <c r="AJ129" i="266"/>
  <c r="AI129" i="266"/>
  <c r="AG129" i="266"/>
  <c r="AF129" i="266"/>
  <c r="AB129" i="266"/>
  <c r="AA129" i="266"/>
  <c r="Z129" i="266"/>
  <c r="Y129" i="266"/>
  <c r="X129" i="266"/>
  <c r="P129" i="266"/>
  <c r="O129" i="266"/>
  <c r="AE129" i="266" s="1"/>
  <c r="N129" i="266"/>
  <c r="AD129" i="266" s="1"/>
  <c r="M129" i="266"/>
  <c r="AC129" i="266" s="1"/>
  <c r="AQ128" i="266"/>
  <c r="AJ128" i="266"/>
  <c r="AU128" i="266" s="1"/>
  <c r="AI128" i="266"/>
  <c r="AG128" i="266"/>
  <c r="AF128" i="266"/>
  <c r="AB128" i="266"/>
  <c r="AA128" i="266"/>
  <c r="Z128" i="266"/>
  <c r="Y128" i="266"/>
  <c r="X128" i="266"/>
  <c r="P128" i="266"/>
  <c r="O128" i="266"/>
  <c r="N128" i="266"/>
  <c r="AP128" i="266" s="1"/>
  <c r="AW128" i="266" s="1"/>
  <c r="M128" i="266"/>
  <c r="AC128" i="266" s="1"/>
  <c r="AQ127" i="266"/>
  <c r="AJ127" i="266"/>
  <c r="AU127" i="266" s="1"/>
  <c r="AI127" i="266"/>
  <c r="AG127" i="266"/>
  <c r="AF127" i="266"/>
  <c r="AB127" i="266"/>
  <c r="AA127" i="266"/>
  <c r="Z127" i="266"/>
  <c r="Y127" i="266"/>
  <c r="X127" i="266"/>
  <c r="P127" i="266"/>
  <c r="O127" i="266"/>
  <c r="N127" i="266"/>
  <c r="AD127" i="266" s="1"/>
  <c r="M127" i="266"/>
  <c r="AQ126" i="266"/>
  <c r="AJ126" i="266"/>
  <c r="AI126" i="266"/>
  <c r="AG126" i="266"/>
  <c r="AF126" i="266"/>
  <c r="AC126" i="266"/>
  <c r="AB126" i="266"/>
  <c r="AA126" i="266"/>
  <c r="Z126" i="266"/>
  <c r="Y126" i="266"/>
  <c r="X126" i="266"/>
  <c r="P126" i="266"/>
  <c r="O126" i="266"/>
  <c r="AE126" i="266" s="1"/>
  <c r="N126" i="266"/>
  <c r="M126" i="266"/>
  <c r="AQ125" i="266"/>
  <c r="AJ125" i="266"/>
  <c r="AU125" i="266" s="1"/>
  <c r="AI125" i="266"/>
  <c r="AG125" i="266"/>
  <c r="AF125" i="266"/>
  <c r="AB125" i="266"/>
  <c r="AA125" i="266"/>
  <c r="Z125" i="266"/>
  <c r="Y125" i="266"/>
  <c r="X125" i="266"/>
  <c r="P125" i="266"/>
  <c r="O125" i="266"/>
  <c r="AE125" i="266" s="1"/>
  <c r="N125" i="266"/>
  <c r="AP125" i="266" s="1"/>
  <c r="AW125" i="266" s="1"/>
  <c r="M125" i="266"/>
  <c r="AQ124" i="266"/>
  <c r="AJ124" i="266"/>
  <c r="AU124" i="266" s="1"/>
  <c r="AI124" i="266"/>
  <c r="AG124" i="266"/>
  <c r="AF124" i="266"/>
  <c r="AB124" i="266"/>
  <c r="AA124" i="266"/>
  <c r="Z124" i="266"/>
  <c r="Y124" i="266"/>
  <c r="X124" i="266"/>
  <c r="P124" i="266"/>
  <c r="O124" i="266"/>
  <c r="AE124" i="266" s="1"/>
  <c r="N124" i="266"/>
  <c r="AD124" i="266" s="1"/>
  <c r="M124" i="266"/>
  <c r="AC124" i="266" s="1"/>
  <c r="AQ123" i="266"/>
  <c r="AP123" i="266"/>
  <c r="AW123" i="266" s="1"/>
  <c r="AJ123" i="266"/>
  <c r="AU123" i="266" s="1"/>
  <c r="AI123" i="266"/>
  <c r="AG123" i="266"/>
  <c r="AF123" i="266"/>
  <c r="AB123" i="266"/>
  <c r="AA123" i="266"/>
  <c r="Z123" i="266"/>
  <c r="Y123" i="266"/>
  <c r="X123" i="266"/>
  <c r="P123" i="266"/>
  <c r="O123" i="266"/>
  <c r="N123" i="266"/>
  <c r="AD123" i="266" s="1"/>
  <c r="M123" i="266"/>
  <c r="AQ122" i="266"/>
  <c r="AJ122" i="266"/>
  <c r="AU122" i="266" s="1"/>
  <c r="AI122" i="266"/>
  <c r="AG122" i="266"/>
  <c r="AF122" i="266"/>
  <c r="AB122" i="266"/>
  <c r="AA122" i="266"/>
  <c r="Z122" i="266"/>
  <c r="Y122" i="266"/>
  <c r="X122" i="266"/>
  <c r="P122" i="266"/>
  <c r="O122" i="266"/>
  <c r="AE122" i="266" s="1"/>
  <c r="N122" i="266"/>
  <c r="M122" i="266"/>
  <c r="AQ121" i="266"/>
  <c r="AJ121" i="266"/>
  <c r="AU121" i="266" s="1"/>
  <c r="AI121" i="266"/>
  <c r="AG121" i="266"/>
  <c r="AF121" i="266"/>
  <c r="AB121" i="266"/>
  <c r="AA121" i="266"/>
  <c r="Z121" i="266"/>
  <c r="Y121" i="266"/>
  <c r="X121" i="266"/>
  <c r="P121" i="266"/>
  <c r="O121" i="266"/>
  <c r="AE121" i="266" s="1"/>
  <c r="N121" i="266"/>
  <c r="AD121" i="266" s="1"/>
  <c r="M121" i="266"/>
  <c r="AC121" i="266" s="1"/>
  <c r="AQ120" i="266"/>
  <c r="AJ120" i="266"/>
  <c r="AU120" i="266" s="1"/>
  <c r="AI120" i="266"/>
  <c r="AG120" i="266"/>
  <c r="AF120" i="266"/>
  <c r="AB120" i="266"/>
  <c r="AA120" i="266"/>
  <c r="Z120" i="266"/>
  <c r="Y120" i="266"/>
  <c r="X120" i="266"/>
  <c r="P120" i="266"/>
  <c r="O120" i="266"/>
  <c r="N120" i="266"/>
  <c r="AD120" i="266" s="1"/>
  <c r="M120" i="266"/>
  <c r="AC120" i="266" s="1"/>
  <c r="AQ119" i="266"/>
  <c r="AP119" i="266"/>
  <c r="AW119" i="266" s="1"/>
  <c r="AJ119" i="266"/>
  <c r="AU119" i="266" s="1"/>
  <c r="AI119" i="266"/>
  <c r="AG119" i="266"/>
  <c r="AF119" i="266"/>
  <c r="AB119" i="266"/>
  <c r="AA119" i="266"/>
  <c r="Z119" i="266"/>
  <c r="Y119" i="266"/>
  <c r="X119" i="266"/>
  <c r="P119" i="266"/>
  <c r="O119" i="266"/>
  <c r="AE119" i="266" s="1"/>
  <c r="N119" i="266"/>
  <c r="AD119" i="266" s="1"/>
  <c r="M119" i="266"/>
  <c r="AQ118" i="266"/>
  <c r="AJ118" i="266"/>
  <c r="AU118" i="266" s="1"/>
  <c r="AI118" i="266"/>
  <c r="AG118" i="266"/>
  <c r="AF118" i="266"/>
  <c r="AB118" i="266"/>
  <c r="AA118" i="266"/>
  <c r="Z118" i="266"/>
  <c r="Y118" i="266"/>
  <c r="X118" i="266"/>
  <c r="P118" i="266"/>
  <c r="O118" i="266"/>
  <c r="AE118" i="266" s="1"/>
  <c r="N118" i="266"/>
  <c r="M118" i="266"/>
  <c r="AQ117" i="266"/>
  <c r="AJ117" i="266"/>
  <c r="AU117" i="266" s="1"/>
  <c r="AI117" i="266"/>
  <c r="AG117" i="266"/>
  <c r="AF117" i="266"/>
  <c r="AB117" i="266"/>
  <c r="AA117" i="266"/>
  <c r="Z117" i="266"/>
  <c r="Y117" i="266"/>
  <c r="X117" i="266"/>
  <c r="P117" i="266"/>
  <c r="O117" i="266"/>
  <c r="AE117" i="266" s="1"/>
  <c r="N117" i="266"/>
  <c r="AP117" i="266" s="1"/>
  <c r="AW117" i="266" s="1"/>
  <c r="M117" i="266"/>
  <c r="AC117" i="266" s="1"/>
  <c r="AQ116" i="266"/>
  <c r="AJ116" i="266"/>
  <c r="AI116" i="266"/>
  <c r="AG116" i="266"/>
  <c r="AF116" i="266"/>
  <c r="AD116" i="266"/>
  <c r="AB116" i="266"/>
  <c r="AA116" i="266"/>
  <c r="Z116" i="266"/>
  <c r="Y116" i="266"/>
  <c r="X116" i="266"/>
  <c r="P116" i="266"/>
  <c r="O116" i="266"/>
  <c r="N116" i="266"/>
  <c r="AP116" i="266" s="1"/>
  <c r="AW116" i="266" s="1"/>
  <c r="M116" i="266"/>
  <c r="AC116" i="266" s="1"/>
  <c r="AJ115" i="266"/>
  <c r="AI115" i="266"/>
  <c r="X115" i="266"/>
  <c r="AQ114" i="266"/>
  <c r="AJ114" i="266"/>
  <c r="AI114" i="266"/>
  <c r="AG114" i="266"/>
  <c r="AF114" i="266"/>
  <c r="AB114" i="266"/>
  <c r="AA114" i="266"/>
  <c r="Z114" i="266"/>
  <c r="Y114" i="266"/>
  <c r="X114" i="266"/>
  <c r="P114" i="266"/>
  <c r="O114" i="266"/>
  <c r="AE114" i="266" s="1"/>
  <c r="N114" i="266"/>
  <c r="AD114" i="266" s="1"/>
  <c r="M114" i="266"/>
  <c r="AC114" i="266" s="1"/>
  <c r="AQ113" i="266"/>
  <c r="AJ113" i="266"/>
  <c r="AI113" i="266"/>
  <c r="AG113" i="266"/>
  <c r="AF113" i="266"/>
  <c r="AB113" i="266"/>
  <c r="AA113" i="266"/>
  <c r="Z113" i="266"/>
  <c r="Y113" i="266"/>
  <c r="X113" i="266"/>
  <c r="P113" i="266"/>
  <c r="O113" i="266"/>
  <c r="N113" i="266"/>
  <c r="AP113" i="266" s="1"/>
  <c r="AW113" i="266" s="1"/>
  <c r="M113" i="266"/>
  <c r="AQ112" i="266"/>
  <c r="AJ112" i="266"/>
  <c r="AU112" i="266" s="1"/>
  <c r="AI112" i="266"/>
  <c r="AG112" i="266"/>
  <c r="AF112" i="266"/>
  <c r="AB112" i="266"/>
  <c r="AA112" i="266"/>
  <c r="Z112" i="266"/>
  <c r="Y112" i="266"/>
  <c r="X112" i="266"/>
  <c r="P112" i="266"/>
  <c r="O112" i="266"/>
  <c r="AE112" i="266" s="1"/>
  <c r="N112" i="266"/>
  <c r="M112" i="266"/>
  <c r="AC112" i="266" s="1"/>
  <c r="AQ111" i="266"/>
  <c r="AJ111" i="266"/>
  <c r="AI111" i="266"/>
  <c r="AG111" i="266"/>
  <c r="AF111" i="266"/>
  <c r="AB111" i="266"/>
  <c r="AA111" i="266"/>
  <c r="Z111" i="266"/>
  <c r="Y111" i="266"/>
  <c r="X111" i="266"/>
  <c r="P111" i="266"/>
  <c r="O111" i="266"/>
  <c r="AE111" i="266" s="1"/>
  <c r="N111" i="266"/>
  <c r="AD111" i="266" s="1"/>
  <c r="M111" i="266"/>
  <c r="AC111" i="266" s="1"/>
  <c r="AJ110" i="266"/>
  <c r="AI110" i="266"/>
  <c r="X110" i="266"/>
  <c r="AQ109" i="266"/>
  <c r="AJ109" i="266"/>
  <c r="AU109" i="266" s="1"/>
  <c r="AI109" i="266"/>
  <c r="AG109" i="266"/>
  <c r="AF109" i="266"/>
  <c r="AB109" i="266"/>
  <c r="AA109" i="266"/>
  <c r="Z109" i="266"/>
  <c r="Y109" i="266"/>
  <c r="X109" i="266"/>
  <c r="P109" i="266"/>
  <c r="O109" i="266"/>
  <c r="N109" i="266"/>
  <c r="AD109" i="266" s="1"/>
  <c r="M109" i="266"/>
  <c r="AC109" i="266" s="1"/>
  <c r="AQ108" i="266"/>
  <c r="AJ108" i="266"/>
  <c r="AU108" i="266" s="1"/>
  <c r="AI108" i="266"/>
  <c r="AG108" i="266"/>
  <c r="AF108" i="266"/>
  <c r="AB108" i="266"/>
  <c r="AA108" i="266"/>
  <c r="Z108" i="266"/>
  <c r="Y108" i="266"/>
  <c r="X108" i="266"/>
  <c r="P108" i="266"/>
  <c r="O108" i="266"/>
  <c r="AE108" i="266" s="1"/>
  <c r="N108" i="266"/>
  <c r="AP108" i="266" s="1"/>
  <c r="M108" i="266"/>
  <c r="AC108" i="266" s="1"/>
  <c r="AQ107" i="266"/>
  <c r="AJ107" i="266"/>
  <c r="AI107" i="266"/>
  <c r="AG107" i="266"/>
  <c r="AF107" i="266"/>
  <c r="AB107" i="266"/>
  <c r="AA107" i="266"/>
  <c r="Z107" i="266"/>
  <c r="Y107" i="266"/>
  <c r="X107" i="266"/>
  <c r="P107" i="266"/>
  <c r="O107" i="266"/>
  <c r="N107" i="266"/>
  <c r="AD107" i="266" s="1"/>
  <c r="M107" i="266"/>
  <c r="AQ106" i="266"/>
  <c r="AJ106" i="266"/>
  <c r="AU106" i="266" s="1"/>
  <c r="AI106" i="266"/>
  <c r="AG106" i="266"/>
  <c r="AF106" i="266"/>
  <c r="AB106" i="266"/>
  <c r="AA106" i="266"/>
  <c r="Z106" i="266"/>
  <c r="Y106" i="266"/>
  <c r="X106" i="266"/>
  <c r="P106" i="266"/>
  <c r="O106" i="266"/>
  <c r="AE106" i="266" s="1"/>
  <c r="N106" i="266"/>
  <c r="AP106" i="266" s="1"/>
  <c r="M106" i="266"/>
  <c r="AQ105" i="266"/>
  <c r="AO105" i="266"/>
  <c r="AJ105" i="266"/>
  <c r="AU105" i="266" s="1"/>
  <c r="AI105" i="266"/>
  <c r="AG105" i="266"/>
  <c r="AF105" i="266"/>
  <c r="AB105" i="266"/>
  <c r="AA105" i="266"/>
  <c r="Z105" i="266"/>
  <c r="Y105" i="266"/>
  <c r="X105" i="266"/>
  <c r="P105" i="266"/>
  <c r="O105" i="266"/>
  <c r="AE105" i="266" s="1"/>
  <c r="N105" i="266"/>
  <c r="M105" i="266"/>
  <c r="AC105" i="266" s="1"/>
  <c r="AQ104" i="266"/>
  <c r="AP104" i="266"/>
  <c r="AJ104" i="266"/>
  <c r="AI104" i="266"/>
  <c r="AG104" i="266"/>
  <c r="AF104" i="266"/>
  <c r="AB104" i="266"/>
  <c r="AA104" i="266"/>
  <c r="Z104" i="266"/>
  <c r="Y104" i="266"/>
  <c r="X104" i="266"/>
  <c r="P104" i="266"/>
  <c r="O104" i="266"/>
  <c r="N104" i="266"/>
  <c r="AD104" i="266" s="1"/>
  <c r="M104" i="266"/>
  <c r="AC104" i="266" s="1"/>
  <c r="AU103" i="266"/>
  <c r="AQ103" i="266"/>
  <c r="AJ103" i="266"/>
  <c r="AI103" i="266"/>
  <c r="AG103" i="266"/>
  <c r="AF103" i="266"/>
  <c r="AB103" i="266"/>
  <c r="AA103" i="266"/>
  <c r="Z103" i="266"/>
  <c r="Y103" i="266"/>
  <c r="X103" i="266"/>
  <c r="P103" i="266"/>
  <c r="O103" i="266"/>
  <c r="AE103" i="266" s="1"/>
  <c r="N103" i="266"/>
  <c r="AP103" i="266" s="1"/>
  <c r="M103" i="266"/>
  <c r="AC103" i="266" s="1"/>
  <c r="AQ102" i="266"/>
  <c r="AJ102" i="266"/>
  <c r="AI102" i="266"/>
  <c r="AG102" i="266"/>
  <c r="AF102" i="266"/>
  <c r="AB102" i="266"/>
  <c r="AA102" i="266"/>
  <c r="Z102" i="266"/>
  <c r="Y102" i="266"/>
  <c r="X102" i="266"/>
  <c r="P102" i="266"/>
  <c r="O102" i="266"/>
  <c r="AE102" i="266" s="1"/>
  <c r="N102" i="266"/>
  <c r="AP102" i="266" s="1"/>
  <c r="M102" i="266"/>
  <c r="AC102" i="266" s="1"/>
  <c r="AQ101" i="266"/>
  <c r="AJ101" i="266"/>
  <c r="AU101" i="266" s="1"/>
  <c r="AI101" i="266"/>
  <c r="AG101" i="266"/>
  <c r="AF101" i="266"/>
  <c r="AB101" i="266"/>
  <c r="AA101" i="266"/>
  <c r="Z101" i="266"/>
  <c r="Y101" i="266"/>
  <c r="X101" i="266"/>
  <c r="P101" i="266"/>
  <c r="O101" i="266"/>
  <c r="N101" i="266"/>
  <c r="AD101" i="266" s="1"/>
  <c r="M101" i="266"/>
  <c r="AC101" i="266" s="1"/>
  <c r="AU100" i="266"/>
  <c r="AQ100" i="266"/>
  <c r="AJ100" i="266"/>
  <c r="AI100" i="266"/>
  <c r="AG100" i="266"/>
  <c r="AF100" i="266"/>
  <c r="AB100" i="266"/>
  <c r="AA100" i="266"/>
  <c r="Z100" i="266"/>
  <c r="Y100" i="266"/>
  <c r="X100" i="266"/>
  <c r="P100" i="266"/>
  <c r="O100" i="266"/>
  <c r="AE100" i="266" s="1"/>
  <c r="N100" i="266"/>
  <c r="AP100" i="266" s="1"/>
  <c r="M100" i="266"/>
  <c r="AC100" i="266" s="1"/>
  <c r="AQ99" i="266"/>
  <c r="AJ99" i="266"/>
  <c r="AI99" i="266"/>
  <c r="AG99" i="266"/>
  <c r="AF99" i="266"/>
  <c r="AB99" i="266"/>
  <c r="AA99" i="266"/>
  <c r="Z99" i="266"/>
  <c r="Y99" i="266"/>
  <c r="X99" i="266"/>
  <c r="P99" i="266"/>
  <c r="O99" i="266"/>
  <c r="N99" i="266"/>
  <c r="AD99" i="266" s="1"/>
  <c r="M99" i="266"/>
  <c r="AU98" i="266"/>
  <c r="AQ98" i="266"/>
  <c r="AJ98" i="266"/>
  <c r="AI98" i="266"/>
  <c r="AG98" i="266"/>
  <c r="AF98" i="266"/>
  <c r="AB98" i="266"/>
  <c r="AA98" i="266"/>
  <c r="Z98" i="266"/>
  <c r="Y98" i="266"/>
  <c r="X98" i="266"/>
  <c r="P98" i="266"/>
  <c r="O98" i="266"/>
  <c r="AE98" i="266" s="1"/>
  <c r="N98" i="266"/>
  <c r="AP98" i="266" s="1"/>
  <c r="M98" i="266"/>
  <c r="AU97" i="266"/>
  <c r="AQ97" i="266"/>
  <c r="AJ97" i="266"/>
  <c r="AI97" i="266"/>
  <c r="AG97" i="266"/>
  <c r="AF97" i="266"/>
  <c r="AB97" i="266"/>
  <c r="AA97" i="266"/>
  <c r="Z97" i="266"/>
  <c r="Y97" i="266"/>
  <c r="X97" i="266"/>
  <c r="P97" i="266"/>
  <c r="O97" i="266"/>
  <c r="AE97" i="266" s="1"/>
  <c r="N97" i="266"/>
  <c r="M97" i="266"/>
  <c r="AC97" i="266" s="1"/>
  <c r="AQ96" i="266"/>
  <c r="AJ96" i="266"/>
  <c r="AI96" i="266"/>
  <c r="AG96" i="266"/>
  <c r="AF96" i="266"/>
  <c r="AB96" i="266"/>
  <c r="AA96" i="266"/>
  <c r="Z96" i="266"/>
  <c r="Y96" i="266"/>
  <c r="X96" i="266"/>
  <c r="P96" i="266"/>
  <c r="O96" i="266"/>
  <c r="N96" i="266"/>
  <c r="AD96" i="266" s="1"/>
  <c r="M96" i="266"/>
  <c r="AC96" i="266" s="1"/>
  <c r="AJ95" i="266"/>
  <c r="AI95" i="266"/>
  <c r="X95" i="266"/>
  <c r="AQ94" i="266"/>
  <c r="AJ94" i="266"/>
  <c r="AU94" i="266" s="1"/>
  <c r="AI94" i="266"/>
  <c r="AG94" i="266"/>
  <c r="AF94" i="266"/>
  <c r="AB94" i="266"/>
  <c r="AA94" i="266"/>
  <c r="Z94" i="266"/>
  <c r="Y94" i="266"/>
  <c r="X94" i="266"/>
  <c r="P94" i="266"/>
  <c r="O94" i="266"/>
  <c r="AE94" i="266" s="1"/>
  <c r="N94" i="266"/>
  <c r="AP94" i="266" s="1"/>
  <c r="M94" i="266"/>
  <c r="AC94" i="266" s="1"/>
  <c r="AQ93" i="266"/>
  <c r="AJ93" i="266"/>
  <c r="AI93" i="266"/>
  <c r="AG93" i="266"/>
  <c r="AF93" i="266"/>
  <c r="AB93" i="266"/>
  <c r="AA93" i="266"/>
  <c r="Z93" i="266"/>
  <c r="Y93" i="266"/>
  <c r="X93" i="266"/>
  <c r="P93" i="266"/>
  <c r="O93" i="266"/>
  <c r="N93" i="266"/>
  <c r="AD93" i="266" s="1"/>
  <c r="M93" i="266"/>
  <c r="AU92" i="266"/>
  <c r="AQ92" i="266"/>
  <c r="AJ92" i="266"/>
  <c r="AI92" i="266"/>
  <c r="AG92" i="266"/>
  <c r="AF92" i="266"/>
  <c r="AB92" i="266"/>
  <c r="AA92" i="266"/>
  <c r="Z92" i="266"/>
  <c r="Y92" i="266"/>
  <c r="X92" i="266"/>
  <c r="P92" i="266"/>
  <c r="O92" i="266"/>
  <c r="AE92" i="266" s="1"/>
  <c r="N92" i="266"/>
  <c r="AP92" i="266" s="1"/>
  <c r="M92" i="266"/>
  <c r="AJ91" i="266"/>
  <c r="AI91" i="266"/>
  <c r="X91" i="266"/>
  <c r="AQ90" i="266"/>
  <c r="AJ90" i="266"/>
  <c r="AI90" i="266"/>
  <c r="AG90" i="266"/>
  <c r="AF90" i="266"/>
  <c r="AB90" i="266"/>
  <c r="AA90" i="266"/>
  <c r="Z90" i="266"/>
  <c r="Y90" i="266"/>
  <c r="X90" i="266"/>
  <c r="P90" i="266"/>
  <c r="O90" i="266"/>
  <c r="AE90" i="266" s="1"/>
  <c r="N90" i="266"/>
  <c r="AP90" i="266" s="1"/>
  <c r="M90" i="266"/>
  <c r="AC90" i="266" s="1"/>
  <c r="AU89" i="266"/>
  <c r="AQ89" i="266"/>
  <c r="AJ89" i="266"/>
  <c r="AI89" i="266"/>
  <c r="AG89" i="266"/>
  <c r="AF89" i="266"/>
  <c r="AB89" i="266"/>
  <c r="AA89" i="266"/>
  <c r="Z89" i="266"/>
  <c r="Y89" i="266"/>
  <c r="X89" i="266"/>
  <c r="P89" i="266"/>
  <c r="O89" i="266"/>
  <c r="N89" i="266"/>
  <c r="AD89" i="266" s="1"/>
  <c r="M89" i="266"/>
  <c r="AC89" i="266" s="1"/>
  <c r="AU88" i="266"/>
  <c r="AQ88" i="266"/>
  <c r="AJ88" i="266"/>
  <c r="AO88" i="266" s="1"/>
  <c r="AI88" i="266"/>
  <c r="AG88" i="266"/>
  <c r="AF88" i="266"/>
  <c r="AB88" i="266"/>
  <c r="AA88" i="266"/>
  <c r="Z88" i="266"/>
  <c r="Y88" i="266"/>
  <c r="X88" i="266"/>
  <c r="P88" i="266"/>
  <c r="O88" i="266"/>
  <c r="AE88" i="266" s="1"/>
  <c r="N88" i="266"/>
  <c r="M88" i="266"/>
  <c r="AC88" i="266" s="1"/>
  <c r="AQ87" i="266"/>
  <c r="AJ87" i="266"/>
  <c r="AI87" i="266"/>
  <c r="AG87" i="266"/>
  <c r="AF87" i="266"/>
  <c r="AB87" i="266"/>
  <c r="AA87" i="266"/>
  <c r="Z87" i="266"/>
  <c r="Y87" i="266"/>
  <c r="X87" i="266"/>
  <c r="P87" i="266"/>
  <c r="O87" i="266"/>
  <c r="N87" i="266"/>
  <c r="AP87" i="266" s="1"/>
  <c r="M87" i="266"/>
  <c r="AQ86" i="266"/>
  <c r="AJ86" i="266"/>
  <c r="AU86" i="266" s="1"/>
  <c r="AI86" i="266"/>
  <c r="AG86" i="266"/>
  <c r="AF86" i="266"/>
  <c r="AE86" i="266"/>
  <c r="AB86" i="266"/>
  <c r="AA86" i="266"/>
  <c r="Z86" i="266"/>
  <c r="Y86" i="266"/>
  <c r="X86" i="266"/>
  <c r="P86" i="266"/>
  <c r="O86" i="266"/>
  <c r="N86" i="266"/>
  <c r="AP86" i="266" s="1"/>
  <c r="M86" i="266"/>
  <c r="AC86" i="266" s="1"/>
  <c r="AQ85" i="266"/>
  <c r="AJ85" i="266"/>
  <c r="AU85" i="266" s="1"/>
  <c r="AI85" i="266"/>
  <c r="AG85" i="266"/>
  <c r="AF85" i="266"/>
  <c r="AB85" i="266"/>
  <c r="AA85" i="266"/>
  <c r="Z85" i="266"/>
  <c r="Y85" i="266"/>
  <c r="X85" i="266"/>
  <c r="P85" i="266"/>
  <c r="O85" i="266"/>
  <c r="AE85" i="266" s="1"/>
  <c r="N85" i="266"/>
  <c r="AD85" i="266" s="1"/>
  <c r="M85" i="266"/>
  <c r="AC85" i="266" s="1"/>
  <c r="AQ84" i="266"/>
  <c r="AJ84" i="266"/>
  <c r="AI84" i="266"/>
  <c r="AG84" i="266"/>
  <c r="AF84" i="266"/>
  <c r="AB84" i="266"/>
  <c r="AA84" i="266"/>
  <c r="Z84" i="266"/>
  <c r="Y84" i="266"/>
  <c r="X84" i="266"/>
  <c r="P84" i="266"/>
  <c r="O84" i="266"/>
  <c r="N84" i="266"/>
  <c r="AP84" i="266" s="1"/>
  <c r="M84" i="266"/>
  <c r="AC84" i="266" s="1"/>
  <c r="AQ83" i="266"/>
  <c r="AJ83" i="266"/>
  <c r="AI83" i="266"/>
  <c r="AG83" i="266"/>
  <c r="AF83" i="266"/>
  <c r="AB83" i="266"/>
  <c r="AA83" i="266"/>
  <c r="Z83" i="266"/>
  <c r="Y83" i="266"/>
  <c r="X83" i="266"/>
  <c r="P83" i="266"/>
  <c r="O83" i="266"/>
  <c r="AE83" i="266" s="1"/>
  <c r="N83" i="266"/>
  <c r="AP83" i="266" s="1"/>
  <c r="M83" i="266"/>
  <c r="AQ82" i="266"/>
  <c r="AJ82" i="266"/>
  <c r="AU82" i="266" s="1"/>
  <c r="AI82" i="266"/>
  <c r="AG82" i="266"/>
  <c r="AF82" i="266"/>
  <c r="AB82" i="266"/>
  <c r="AA82" i="266"/>
  <c r="Z82" i="266"/>
  <c r="Y82" i="266"/>
  <c r="X82" i="266"/>
  <c r="P82" i="266"/>
  <c r="O82" i="266"/>
  <c r="AE82" i="266" s="1"/>
  <c r="N82" i="266"/>
  <c r="M82" i="266"/>
  <c r="AJ81" i="266"/>
  <c r="AI81" i="266"/>
  <c r="X81" i="266"/>
  <c r="AQ80" i="266"/>
  <c r="AJ80" i="266"/>
  <c r="AU80" i="266" s="1"/>
  <c r="AI80" i="266"/>
  <c r="AG80" i="266"/>
  <c r="AF80" i="266"/>
  <c r="AB80" i="266"/>
  <c r="AA80" i="266"/>
  <c r="Z80" i="266"/>
  <c r="Y80" i="266"/>
  <c r="X80" i="266"/>
  <c r="P80" i="266"/>
  <c r="O80" i="266"/>
  <c r="AE80" i="266" s="1"/>
  <c r="N80" i="266"/>
  <c r="M80" i="266"/>
  <c r="AU79" i="266"/>
  <c r="AQ79" i="266"/>
  <c r="AJ79" i="266"/>
  <c r="AI79" i="266"/>
  <c r="AG79" i="266"/>
  <c r="AF79" i="266"/>
  <c r="AB79" i="266"/>
  <c r="AA79" i="266"/>
  <c r="Z79" i="266"/>
  <c r="Y79" i="266"/>
  <c r="X79" i="266"/>
  <c r="P79" i="266"/>
  <c r="O79" i="266"/>
  <c r="AE79" i="266" s="1"/>
  <c r="N79" i="266"/>
  <c r="AD79" i="266" s="1"/>
  <c r="M79" i="266"/>
  <c r="AC79" i="266" s="1"/>
  <c r="AQ78" i="266"/>
  <c r="AJ78" i="266"/>
  <c r="AU78" i="266" s="1"/>
  <c r="AI78" i="266"/>
  <c r="AG78" i="266"/>
  <c r="AF78" i="266"/>
  <c r="AB78" i="266"/>
  <c r="AA78" i="266"/>
  <c r="Z78" i="266"/>
  <c r="Y78" i="266"/>
  <c r="X78" i="266"/>
  <c r="P78" i="266"/>
  <c r="O78" i="266"/>
  <c r="N78" i="266"/>
  <c r="AD78" i="266" s="1"/>
  <c r="M78" i="266"/>
  <c r="AC78" i="266" s="1"/>
  <c r="AU77" i="266"/>
  <c r="AQ77" i="266"/>
  <c r="AJ77" i="266"/>
  <c r="AI77" i="266"/>
  <c r="AG77" i="266"/>
  <c r="AF77" i="266"/>
  <c r="AB77" i="266"/>
  <c r="AA77" i="266"/>
  <c r="Z77" i="266"/>
  <c r="Y77" i="266"/>
  <c r="X77" i="266"/>
  <c r="P77" i="266"/>
  <c r="O77" i="266"/>
  <c r="N77" i="266"/>
  <c r="AD77" i="266" s="1"/>
  <c r="M77" i="266"/>
  <c r="AC77" i="266" s="1"/>
  <c r="AJ76" i="266"/>
  <c r="AI76" i="266"/>
  <c r="X76" i="266"/>
  <c r="AQ75" i="266"/>
  <c r="AJ75" i="266"/>
  <c r="AI75" i="266"/>
  <c r="AG75" i="266"/>
  <c r="AF75" i="266"/>
  <c r="AB75" i="266"/>
  <c r="AA75" i="266"/>
  <c r="Z75" i="266"/>
  <c r="Y75" i="266"/>
  <c r="X75" i="266"/>
  <c r="P75" i="266"/>
  <c r="O75" i="266"/>
  <c r="AE75" i="266" s="1"/>
  <c r="N75" i="266"/>
  <c r="AP75" i="266" s="1"/>
  <c r="AW75" i="266" s="1"/>
  <c r="M75" i="266"/>
  <c r="AS75" i="266" s="1"/>
  <c r="AQ74" i="266"/>
  <c r="AJ74" i="266"/>
  <c r="AI74" i="266"/>
  <c r="AG74" i="266"/>
  <c r="AF74" i="266"/>
  <c r="AB74" i="266"/>
  <c r="AA74" i="266"/>
  <c r="Z74" i="266"/>
  <c r="Y74" i="266"/>
  <c r="X74" i="266"/>
  <c r="P74" i="266"/>
  <c r="O74" i="266"/>
  <c r="N74" i="266"/>
  <c r="AP74" i="266" s="1"/>
  <c r="M74" i="266"/>
  <c r="AQ73" i="266"/>
  <c r="AJ73" i="266"/>
  <c r="AU73" i="266" s="1"/>
  <c r="AI73" i="266"/>
  <c r="AG73" i="266"/>
  <c r="AF73" i="266"/>
  <c r="AB73" i="266"/>
  <c r="AA73" i="266"/>
  <c r="Z73" i="266"/>
  <c r="Y73" i="266"/>
  <c r="X73" i="266"/>
  <c r="P73" i="266"/>
  <c r="O73" i="266"/>
  <c r="AE73" i="266" s="1"/>
  <c r="N73" i="266"/>
  <c r="M73" i="266"/>
  <c r="AQ72" i="266"/>
  <c r="AJ72" i="266"/>
  <c r="AI72" i="266"/>
  <c r="AG72" i="266"/>
  <c r="AF72" i="266"/>
  <c r="AB72" i="266"/>
  <c r="AA72" i="266"/>
  <c r="Z72" i="266"/>
  <c r="Y72" i="266"/>
  <c r="X72" i="266"/>
  <c r="P72" i="266"/>
  <c r="O72" i="266"/>
  <c r="N72" i="266"/>
  <c r="AD72" i="266" s="1"/>
  <c r="M72" i="266"/>
  <c r="AC72" i="266" s="1"/>
  <c r="AQ71" i="266"/>
  <c r="AP71" i="266"/>
  <c r="AJ71" i="266"/>
  <c r="AI71" i="266"/>
  <c r="AG71" i="266"/>
  <c r="AF71" i="266"/>
  <c r="AB71" i="266"/>
  <c r="AA71" i="266"/>
  <c r="Z71" i="266"/>
  <c r="Y71" i="266"/>
  <c r="X71" i="266"/>
  <c r="P71" i="266"/>
  <c r="O71" i="266"/>
  <c r="N71" i="266"/>
  <c r="AD71" i="266" s="1"/>
  <c r="M71" i="266"/>
  <c r="AC71" i="266" s="1"/>
  <c r="AQ70" i="266"/>
  <c r="AJ70" i="266"/>
  <c r="AI70" i="266"/>
  <c r="AG70" i="266"/>
  <c r="AF70" i="266"/>
  <c r="AB70" i="266"/>
  <c r="AA70" i="266"/>
  <c r="Z70" i="266"/>
  <c r="Y70" i="266"/>
  <c r="X70" i="266"/>
  <c r="P70" i="266"/>
  <c r="O70" i="266"/>
  <c r="AE70" i="266" s="1"/>
  <c r="N70" i="266"/>
  <c r="AP70" i="266" s="1"/>
  <c r="M70" i="266"/>
  <c r="AC70" i="266" s="1"/>
  <c r="AJ69" i="266"/>
  <c r="AI69" i="266"/>
  <c r="X69" i="266"/>
  <c r="AQ68" i="266"/>
  <c r="AP68" i="266"/>
  <c r="AW68" i="266" s="1"/>
  <c r="AJ68" i="266"/>
  <c r="AI68" i="266"/>
  <c r="AG68" i="266"/>
  <c r="AF68" i="266"/>
  <c r="AB68" i="266"/>
  <c r="AA68" i="266"/>
  <c r="Z68" i="266"/>
  <c r="Y68" i="266"/>
  <c r="X68" i="266"/>
  <c r="P68" i="266"/>
  <c r="O68" i="266"/>
  <c r="N68" i="266"/>
  <c r="AD68" i="266" s="1"/>
  <c r="M68" i="266"/>
  <c r="AQ67" i="266"/>
  <c r="AJ67" i="266"/>
  <c r="AU67" i="266" s="1"/>
  <c r="AI67" i="266"/>
  <c r="AG67" i="266"/>
  <c r="AF67" i="266"/>
  <c r="AB67" i="266"/>
  <c r="AA67" i="266"/>
  <c r="Z67" i="266"/>
  <c r="Y67" i="266"/>
  <c r="X67" i="266"/>
  <c r="P67" i="266"/>
  <c r="O67" i="266"/>
  <c r="AE67" i="266" s="1"/>
  <c r="N67" i="266"/>
  <c r="M67" i="266"/>
  <c r="AQ66" i="266"/>
  <c r="AP66" i="266"/>
  <c r="AW66" i="266" s="1"/>
  <c r="AJ66" i="266"/>
  <c r="AI66" i="266"/>
  <c r="AG66" i="266"/>
  <c r="AF66" i="266"/>
  <c r="AC66" i="266"/>
  <c r="AB66" i="266"/>
  <c r="AA66" i="266"/>
  <c r="Z66" i="266"/>
  <c r="Y66" i="266"/>
  <c r="X66" i="266"/>
  <c r="P66" i="266"/>
  <c r="O66" i="266"/>
  <c r="N66" i="266"/>
  <c r="AD66" i="266" s="1"/>
  <c r="M66" i="266"/>
  <c r="AU65" i="266"/>
  <c r="AQ65" i="266"/>
  <c r="AJ65" i="266"/>
  <c r="AI65" i="266"/>
  <c r="AG65" i="266"/>
  <c r="AF65" i="266"/>
  <c r="AB65" i="266"/>
  <c r="AA65" i="266"/>
  <c r="Z65" i="266"/>
  <c r="Y65" i="266"/>
  <c r="X65" i="266"/>
  <c r="P65" i="266"/>
  <c r="O65" i="266"/>
  <c r="N65" i="266"/>
  <c r="AP65" i="266" s="1"/>
  <c r="AW65" i="266" s="1"/>
  <c r="M65" i="266"/>
  <c r="AC65" i="266" s="1"/>
  <c r="AQ64" i="266"/>
  <c r="AJ64" i="266"/>
  <c r="AI64" i="266"/>
  <c r="AG64" i="266"/>
  <c r="AF64" i="266"/>
  <c r="AB64" i="266"/>
  <c r="AA64" i="266"/>
  <c r="Z64" i="266"/>
  <c r="Y64" i="266"/>
  <c r="X64" i="266"/>
  <c r="P64" i="266"/>
  <c r="O64" i="266"/>
  <c r="AE64" i="266" s="1"/>
  <c r="N64" i="266"/>
  <c r="AP64" i="266" s="1"/>
  <c r="AW64" i="266" s="1"/>
  <c r="M64" i="266"/>
  <c r="AC64" i="266" s="1"/>
  <c r="AQ63" i="266"/>
  <c r="AJ63" i="266"/>
  <c r="AI63" i="266"/>
  <c r="AG63" i="266"/>
  <c r="AF63" i="266"/>
  <c r="AB63" i="266"/>
  <c r="AA63" i="266"/>
  <c r="Z63" i="266"/>
  <c r="Y63" i="266"/>
  <c r="X63" i="266"/>
  <c r="P63" i="266"/>
  <c r="O63" i="266"/>
  <c r="AE63" i="266" s="1"/>
  <c r="N63" i="266"/>
  <c r="AP63" i="266" s="1"/>
  <c r="AW63" i="266" s="1"/>
  <c r="M63" i="266"/>
  <c r="AC63" i="266" s="1"/>
  <c r="AQ62" i="266"/>
  <c r="AJ62" i="266"/>
  <c r="AU62" i="266" s="1"/>
  <c r="AI62" i="266"/>
  <c r="AG62" i="266"/>
  <c r="AF62" i="266"/>
  <c r="AC62" i="266"/>
  <c r="AB62" i="266"/>
  <c r="AA62" i="266"/>
  <c r="Z62" i="266"/>
  <c r="Y62" i="266"/>
  <c r="X62" i="266"/>
  <c r="P62" i="266"/>
  <c r="O62" i="266"/>
  <c r="AE62" i="266" s="1"/>
  <c r="N62" i="266"/>
  <c r="AP62" i="266" s="1"/>
  <c r="AW62" i="266" s="1"/>
  <c r="M62" i="266"/>
  <c r="AQ61" i="266"/>
  <c r="AP61" i="266"/>
  <c r="AW61" i="266" s="1"/>
  <c r="AJ61" i="266"/>
  <c r="AI61" i="266"/>
  <c r="AG61" i="266"/>
  <c r="AF61" i="266"/>
  <c r="AD61" i="266"/>
  <c r="AB61" i="266"/>
  <c r="AA61" i="266"/>
  <c r="Z61" i="266"/>
  <c r="Y61" i="266"/>
  <c r="X61" i="266"/>
  <c r="P61" i="266"/>
  <c r="O61" i="266"/>
  <c r="AE61" i="266" s="1"/>
  <c r="N61" i="266"/>
  <c r="M61" i="266"/>
  <c r="AQ60" i="266"/>
  <c r="AP60" i="266"/>
  <c r="AW60" i="266" s="1"/>
  <c r="AJ60" i="266"/>
  <c r="AI60" i="266"/>
  <c r="AG60" i="266"/>
  <c r="AF60" i="266"/>
  <c r="AB60" i="266"/>
  <c r="AA60" i="266"/>
  <c r="Z60" i="266"/>
  <c r="Y60" i="266"/>
  <c r="X60" i="266"/>
  <c r="P60" i="266"/>
  <c r="O60" i="266"/>
  <c r="AE60" i="266" s="1"/>
  <c r="N60" i="266"/>
  <c r="AD60" i="266" s="1"/>
  <c r="M60" i="266"/>
  <c r="AU59" i="266"/>
  <c r="AQ59" i="266"/>
  <c r="AJ59" i="266"/>
  <c r="AI59" i="266"/>
  <c r="AG59" i="266"/>
  <c r="AF59" i="266"/>
  <c r="AC59" i="266"/>
  <c r="AB59" i="266"/>
  <c r="AA59" i="266"/>
  <c r="Z59" i="266"/>
  <c r="Y59" i="266"/>
  <c r="X59" i="266"/>
  <c r="P59" i="266"/>
  <c r="O59" i="266"/>
  <c r="AE59" i="266" s="1"/>
  <c r="N59" i="266"/>
  <c r="M59" i="266"/>
  <c r="AJ58" i="266"/>
  <c r="AI58" i="266"/>
  <c r="X58" i="266"/>
  <c r="AQ57" i="266"/>
  <c r="AJ57" i="266"/>
  <c r="AI57" i="266"/>
  <c r="AG57" i="266"/>
  <c r="AF57" i="266"/>
  <c r="AB57" i="266"/>
  <c r="AA57" i="266"/>
  <c r="Z57" i="266"/>
  <c r="Y57" i="266"/>
  <c r="X57" i="266"/>
  <c r="P57" i="266"/>
  <c r="O57" i="266"/>
  <c r="AE57" i="266" s="1"/>
  <c r="N57" i="266"/>
  <c r="AP57" i="266" s="1"/>
  <c r="M57" i="266"/>
  <c r="AC57" i="266" s="1"/>
  <c r="AU56" i="266"/>
  <c r="AQ56" i="266"/>
  <c r="AJ56" i="266"/>
  <c r="AI56" i="266"/>
  <c r="AG56" i="266"/>
  <c r="AF56" i="266"/>
  <c r="AB56" i="266"/>
  <c r="AA56" i="266"/>
  <c r="Z56" i="266"/>
  <c r="Y56" i="266"/>
  <c r="X56" i="266"/>
  <c r="P56" i="266"/>
  <c r="O56" i="266"/>
  <c r="AE56" i="266" s="1"/>
  <c r="N56" i="266"/>
  <c r="AP56" i="266" s="1"/>
  <c r="M56" i="266"/>
  <c r="AC56" i="266" s="1"/>
  <c r="AJ55" i="266"/>
  <c r="AI55" i="266"/>
  <c r="X55" i="266"/>
  <c r="AQ54" i="266"/>
  <c r="AJ54" i="266"/>
  <c r="AI54" i="266"/>
  <c r="AG54" i="266"/>
  <c r="AF54" i="266"/>
  <c r="AB54" i="266"/>
  <c r="AA54" i="266"/>
  <c r="Z54" i="266"/>
  <c r="Y54" i="266"/>
  <c r="X54" i="266"/>
  <c r="P54" i="266"/>
  <c r="O54" i="266"/>
  <c r="N54" i="266"/>
  <c r="AP54" i="266" s="1"/>
  <c r="M54" i="266"/>
  <c r="AC54" i="266" s="1"/>
  <c r="AQ53" i="266"/>
  <c r="AJ53" i="266"/>
  <c r="AU53" i="266" s="1"/>
  <c r="AI53" i="266"/>
  <c r="AG53" i="266"/>
  <c r="AF53" i="266"/>
  <c r="AB53" i="266"/>
  <c r="AA53" i="266"/>
  <c r="Z53" i="266"/>
  <c r="Y53" i="266"/>
  <c r="X53" i="266"/>
  <c r="P53" i="266"/>
  <c r="O53" i="266"/>
  <c r="N53" i="266"/>
  <c r="AD53" i="266" s="1"/>
  <c r="M53" i="266"/>
  <c r="AC53" i="266" s="1"/>
  <c r="AQ52" i="266"/>
  <c r="AJ52" i="266"/>
  <c r="AI52" i="266"/>
  <c r="AG52" i="266"/>
  <c r="AF52" i="266"/>
  <c r="AB52" i="266"/>
  <c r="AA52" i="266"/>
  <c r="Z52" i="266"/>
  <c r="Y52" i="266"/>
  <c r="X52" i="266"/>
  <c r="P52" i="266"/>
  <c r="O52" i="266"/>
  <c r="AE52" i="266" s="1"/>
  <c r="N52" i="266"/>
  <c r="AP52" i="266" s="1"/>
  <c r="M52" i="266"/>
  <c r="AC52" i="266" s="1"/>
  <c r="AQ51" i="266"/>
  <c r="AJ51" i="266"/>
  <c r="AI51" i="266"/>
  <c r="AG51" i="266"/>
  <c r="AF51" i="266"/>
  <c r="AB51" i="266"/>
  <c r="AA51" i="266"/>
  <c r="Z51" i="266"/>
  <c r="Y51" i="266"/>
  <c r="X51" i="266"/>
  <c r="P51" i="266"/>
  <c r="O51" i="266"/>
  <c r="AE51" i="266" s="1"/>
  <c r="N51" i="266"/>
  <c r="AD51" i="266" s="1"/>
  <c r="M51" i="266"/>
  <c r="AC51" i="266" s="1"/>
  <c r="AQ50" i="266"/>
  <c r="AJ50" i="266"/>
  <c r="AU50" i="266" s="1"/>
  <c r="AI50" i="266"/>
  <c r="AG50" i="266"/>
  <c r="AF50" i="266"/>
  <c r="AB50" i="266"/>
  <c r="AA50" i="266"/>
  <c r="Z50" i="266"/>
  <c r="Y50" i="266"/>
  <c r="X50" i="266"/>
  <c r="P50" i="266"/>
  <c r="O50" i="266"/>
  <c r="AE50" i="266" s="1"/>
  <c r="N50" i="266"/>
  <c r="AP50" i="266" s="1"/>
  <c r="M50" i="266"/>
  <c r="AC50" i="266" s="1"/>
  <c r="AJ49" i="266"/>
  <c r="AI49" i="266"/>
  <c r="X49" i="266"/>
  <c r="AQ48" i="266"/>
  <c r="AJ48" i="266"/>
  <c r="AI48" i="266"/>
  <c r="AG48" i="266"/>
  <c r="AF48" i="266"/>
  <c r="AB48" i="266"/>
  <c r="AA48" i="266"/>
  <c r="Z48" i="266"/>
  <c r="Y48" i="266"/>
  <c r="X48" i="266"/>
  <c r="P48" i="266"/>
  <c r="O48" i="266"/>
  <c r="N48" i="266"/>
  <c r="AP48" i="266" s="1"/>
  <c r="M48" i="266"/>
  <c r="AC48" i="266" s="1"/>
  <c r="AU47" i="266"/>
  <c r="AQ47" i="266"/>
  <c r="AJ47" i="266"/>
  <c r="AI47" i="266"/>
  <c r="AG47" i="266"/>
  <c r="AF47" i="266"/>
  <c r="AB47" i="266"/>
  <c r="AA47" i="266"/>
  <c r="Z47" i="266"/>
  <c r="Y47" i="266"/>
  <c r="X47" i="266"/>
  <c r="P47" i="266"/>
  <c r="O47" i="266"/>
  <c r="N47" i="266"/>
  <c r="AD47" i="266" s="1"/>
  <c r="M47" i="266"/>
  <c r="AC47" i="266" s="1"/>
  <c r="AQ46" i="266"/>
  <c r="AJ46" i="266"/>
  <c r="AI46" i="266"/>
  <c r="AG46" i="266"/>
  <c r="AF46" i="266"/>
  <c r="AB46" i="266"/>
  <c r="AA46" i="266"/>
  <c r="Z46" i="266"/>
  <c r="Y46" i="266"/>
  <c r="X46" i="266"/>
  <c r="P46" i="266"/>
  <c r="O46" i="266"/>
  <c r="AE46" i="266" s="1"/>
  <c r="N46" i="266"/>
  <c r="AP46" i="266" s="1"/>
  <c r="M46" i="266"/>
  <c r="AC46" i="266" s="1"/>
  <c r="AU45" i="266"/>
  <c r="AQ45" i="266"/>
  <c r="AJ45" i="266"/>
  <c r="AI45" i="266"/>
  <c r="AG45" i="266"/>
  <c r="AF45" i="266"/>
  <c r="AB45" i="266"/>
  <c r="AA45" i="266"/>
  <c r="Z45" i="266"/>
  <c r="Y45" i="266"/>
  <c r="X45" i="266"/>
  <c r="P45" i="266"/>
  <c r="O45" i="266"/>
  <c r="AE45" i="266" s="1"/>
  <c r="N45" i="266"/>
  <c r="AD45" i="266" s="1"/>
  <c r="M45" i="266"/>
  <c r="AC45" i="266" s="1"/>
  <c r="AU44" i="266"/>
  <c r="AQ44" i="266"/>
  <c r="AJ44" i="266"/>
  <c r="AI44" i="266"/>
  <c r="AG44" i="266"/>
  <c r="AF44" i="266"/>
  <c r="AB44" i="266"/>
  <c r="AA44" i="266"/>
  <c r="Z44" i="266"/>
  <c r="Y44" i="266"/>
  <c r="X44" i="266"/>
  <c r="P44" i="266"/>
  <c r="O44" i="266"/>
  <c r="AE44" i="266" s="1"/>
  <c r="N44" i="266"/>
  <c r="AP44" i="266" s="1"/>
  <c r="M44" i="266"/>
  <c r="AC44" i="266" s="1"/>
  <c r="AQ43" i="266"/>
  <c r="AJ43" i="266"/>
  <c r="AI43" i="266"/>
  <c r="AG43" i="266"/>
  <c r="AF43" i="266"/>
  <c r="AB43" i="266"/>
  <c r="AA43" i="266"/>
  <c r="Z43" i="266"/>
  <c r="Y43" i="266"/>
  <c r="X43" i="266"/>
  <c r="P43" i="266"/>
  <c r="O43" i="266"/>
  <c r="N43" i="266"/>
  <c r="AP43" i="266" s="1"/>
  <c r="M43" i="266"/>
  <c r="AJ42" i="266"/>
  <c r="AI42" i="266"/>
  <c r="X42" i="266"/>
  <c r="AQ41" i="266"/>
  <c r="AJ41" i="266"/>
  <c r="AU41" i="266" s="1"/>
  <c r="AI41" i="266"/>
  <c r="AG41" i="266"/>
  <c r="AF41" i="266"/>
  <c r="AB41" i="266"/>
  <c r="AA41" i="266"/>
  <c r="Z41" i="266"/>
  <c r="Y41" i="266"/>
  <c r="X41" i="266"/>
  <c r="P41" i="266"/>
  <c r="O41" i="266"/>
  <c r="N41" i="266"/>
  <c r="AD41" i="266" s="1"/>
  <c r="M41" i="266"/>
  <c r="AC41" i="266" s="1"/>
  <c r="AQ40" i="266"/>
  <c r="AJ40" i="266"/>
  <c r="AI40" i="266"/>
  <c r="AG40" i="266"/>
  <c r="AF40" i="266"/>
  <c r="AB40" i="266"/>
  <c r="AA40" i="266"/>
  <c r="Z40" i="266"/>
  <c r="Y40" i="266"/>
  <c r="X40" i="266"/>
  <c r="P40" i="266"/>
  <c r="O40" i="266"/>
  <c r="AE40" i="266" s="1"/>
  <c r="N40" i="266"/>
  <c r="AP40" i="266" s="1"/>
  <c r="M40" i="266"/>
  <c r="AC40" i="266" s="1"/>
  <c r="AU39" i="266"/>
  <c r="AQ39" i="266"/>
  <c r="AJ39" i="266"/>
  <c r="AI39" i="266"/>
  <c r="AG39" i="266"/>
  <c r="AF39" i="266"/>
  <c r="AB39" i="266"/>
  <c r="AA39" i="266"/>
  <c r="Z39" i="266"/>
  <c r="Y39" i="266"/>
  <c r="X39" i="266"/>
  <c r="P39" i="266"/>
  <c r="O39" i="266"/>
  <c r="AE39" i="266" s="1"/>
  <c r="N39" i="266"/>
  <c r="AP39" i="266" s="1"/>
  <c r="M39" i="266"/>
  <c r="AC39" i="266" s="1"/>
  <c r="AQ38" i="266"/>
  <c r="AJ38" i="266"/>
  <c r="AU38" i="266" s="1"/>
  <c r="AI38" i="266"/>
  <c r="AG38" i="266"/>
  <c r="AF38" i="266"/>
  <c r="AB38" i="266"/>
  <c r="AA38" i="266"/>
  <c r="Z38" i="266"/>
  <c r="Y38" i="266"/>
  <c r="X38" i="266"/>
  <c r="P38" i="266"/>
  <c r="O38" i="266"/>
  <c r="AE38" i="266" s="1"/>
  <c r="N38" i="266"/>
  <c r="AP38" i="266" s="1"/>
  <c r="M38" i="266"/>
  <c r="AC38" i="266" s="1"/>
  <c r="AJ37" i="266"/>
  <c r="AI37" i="266"/>
  <c r="X37" i="266"/>
  <c r="AQ36" i="266"/>
  <c r="AJ36" i="266"/>
  <c r="AI36" i="266"/>
  <c r="AG36" i="266"/>
  <c r="AF36" i="266"/>
  <c r="AB36" i="266"/>
  <c r="AA36" i="266"/>
  <c r="Z36" i="266"/>
  <c r="Y36" i="266"/>
  <c r="X36" i="266"/>
  <c r="P36" i="266"/>
  <c r="O36" i="266"/>
  <c r="N36" i="266"/>
  <c r="AP36" i="266" s="1"/>
  <c r="M36" i="266"/>
  <c r="AC36" i="266" s="1"/>
  <c r="AQ35" i="266"/>
  <c r="AJ35" i="266"/>
  <c r="AU35" i="266" s="1"/>
  <c r="AI35" i="266"/>
  <c r="AG35" i="266"/>
  <c r="AF35" i="266"/>
  <c r="AB35" i="266"/>
  <c r="AA35" i="266"/>
  <c r="Z35" i="266"/>
  <c r="Y35" i="266"/>
  <c r="X35" i="266"/>
  <c r="P35" i="266"/>
  <c r="O35" i="266"/>
  <c r="N35" i="266"/>
  <c r="AD35" i="266" s="1"/>
  <c r="M35" i="266"/>
  <c r="AC35" i="266" s="1"/>
  <c r="AQ34" i="266"/>
  <c r="AJ34" i="266"/>
  <c r="AI34" i="266"/>
  <c r="AG34" i="266"/>
  <c r="AF34" i="266"/>
  <c r="AB34" i="266"/>
  <c r="AA34" i="266"/>
  <c r="Z34" i="266"/>
  <c r="Y34" i="266"/>
  <c r="X34" i="266"/>
  <c r="P34" i="266"/>
  <c r="O34" i="266"/>
  <c r="AE34" i="266" s="1"/>
  <c r="N34" i="266"/>
  <c r="AP34" i="266" s="1"/>
  <c r="M34" i="266"/>
  <c r="AC34" i="266" s="1"/>
  <c r="AU33" i="266"/>
  <c r="AQ33" i="266"/>
  <c r="AJ33" i="266"/>
  <c r="AI33" i="266"/>
  <c r="AG33" i="266"/>
  <c r="AF33" i="266"/>
  <c r="AB33" i="266"/>
  <c r="AA33" i="266"/>
  <c r="Z33" i="266"/>
  <c r="Y33" i="266"/>
  <c r="X33" i="266"/>
  <c r="P33" i="266"/>
  <c r="O33" i="266"/>
  <c r="AE33" i="266" s="1"/>
  <c r="N33" i="266"/>
  <c r="AP33" i="266" s="1"/>
  <c r="M33" i="266"/>
  <c r="AC33" i="266" s="1"/>
  <c r="AQ32" i="266"/>
  <c r="AJ32" i="266"/>
  <c r="AU32" i="266" s="1"/>
  <c r="AI32" i="266"/>
  <c r="AG32" i="266"/>
  <c r="AF32" i="266"/>
  <c r="AB32" i="266"/>
  <c r="AA32" i="266"/>
  <c r="Z32" i="266"/>
  <c r="Y32" i="266"/>
  <c r="X32" i="266"/>
  <c r="P32" i="266"/>
  <c r="O32" i="266"/>
  <c r="AE32" i="266" s="1"/>
  <c r="N32" i="266"/>
  <c r="AP32" i="266" s="1"/>
  <c r="M32" i="266"/>
  <c r="AC32" i="266" s="1"/>
  <c r="AQ31" i="266"/>
  <c r="AJ31" i="266"/>
  <c r="AU31" i="266" s="1"/>
  <c r="AI31" i="266"/>
  <c r="AG31" i="266"/>
  <c r="AF31" i="266"/>
  <c r="AB31" i="266"/>
  <c r="AA31" i="266"/>
  <c r="Z31" i="266"/>
  <c r="Y31" i="266"/>
  <c r="X31" i="266"/>
  <c r="P31" i="266"/>
  <c r="O31" i="266"/>
  <c r="N31" i="266"/>
  <c r="AD31" i="266" s="1"/>
  <c r="M31" i="266"/>
  <c r="AQ30" i="266"/>
  <c r="AJ30" i="266"/>
  <c r="AI30" i="266"/>
  <c r="AG30" i="266"/>
  <c r="AF30" i="266"/>
  <c r="AB30" i="266"/>
  <c r="AA30" i="266"/>
  <c r="Z30" i="266"/>
  <c r="Y30" i="266"/>
  <c r="X30" i="266"/>
  <c r="P30" i="266"/>
  <c r="O30" i="266"/>
  <c r="AE30" i="266" s="1"/>
  <c r="N30" i="266"/>
  <c r="AP30" i="266" s="1"/>
  <c r="M30" i="266"/>
  <c r="AU29" i="266"/>
  <c r="AQ29" i="266"/>
  <c r="AJ29" i="266"/>
  <c r="AI29" i="266"/>
  <c r="AG29" i="266"/>
  <c r="AF29" i="266"/>
  <c r="AB29" i="266"/>
  <c r="AA29" i="266"/>
  <c r="Z29" i="266"/>
  <c r="Y29" i="266"/>
  <c r="X29" i="266"/>
  <c r="P29" i="266"/>
  <c r="O29" i="266"/>
  <c r="AE29" i="266" s="1"/>
  <c r="N29" i="266"/>
  <c r="M29" i="266"/>
  <c r="AJ28" i="266"/>
  <c r="AI28" i="266"/>
  <c r="X28" i="266"/>
  <c r="AQ27" i="266"/>
  <c r="AJ27" i="266"/>
  <c r="AU27" i="266" s="1"/>
  <c r="AI27" i="266"/>
  <c r="AG27" i="266"/>
  <c r="AF27" i="266"/>
  <c r="AB27" i="266"/>
  <c r="AA27" i="266"/>
  <c r="Z27" i="266"/>
  <c r="Y27" i="266"/>
  <c r="X27" i="266"/>
  <c r="P27" i="266"/>
  <c r="O27" i="266"/>
  <c r="AE27" i="266" s="1"/>
  <c r="N27" i="266"/>
  <c r="AP27" i="266" s="1"/>
  <c r="M27" i="266"/>
  <c r="AC27" i="266" s="1"/>
  <c r="AQ26" i="266"/>
  <c r="AJ26" i="266"/>
  <c r="AU26" i="266" s="1"/>
  <c r="AI26" i="266"/>
  <c r="AG26" i="266"/>
  <c r="AF26" i="266"/>
  <c r="AB26" i="266"/>
  <c r="AA26" i="266"/>
  <c r="Z26" i="266"/>
  <c r="Y26" i="266"/>
  <c r="X26" i="266"/>
  <c r="P26" i="266"/>
  <c r="O26" i="266"/>
  <c r="AE26" i="266" s="1"/>
  <c r="N26" i="266"/>
  <c r="AP26" i="266" s="1"/>
  <c r="M26" i="266"/>
  <c r="AC26" i="266" s="1"/>
  <c r="AQ25" i="266"/>
  <c r="AP25" i="266"/>
  <c r="AJ25" i="266"/>
  <c r="AI25" i="266"/>
  <c r="AG25" i="266"/>
  <c r="AF25" i="266"/>
  <c r="AB25" i="266"/>
  <c r="AA25" i="266"/>
  <c r="Z25" i="266"/>
  <c r="Y25" i="266"/>
  <c r="X25" i="266"/>
  <c r="P25" i="266"/>
  <c r="O25" i="266"/>
  <c r="N25" i="266"/>
  <c r="AD25" i="266" s="1"/>
  <c r="M25" i="266"/>
  <c r="AQ24" i="266"/>
  <c r="AJ24" i="266"/>
  <c r="AI24" i="266"/>
  <c r="AG24" i="266"/>
  <c r="AF24" i="266"/>
  <c r="AB24" i="266"/>
  <c r="AA24" i="266"/>
  <c r="Z24" i="266"/>
  <c r="Y24" i="266"/>
  <c r="X24" i="266"/>
  <c r="P24" i="266"/>
  <c r="O24" i="266"/>
  <c r="AE24" i="266" s="1"/>
  <c r="N24" i="266"/>
  <c r="AP24" i="266" s="1"/>
  <c r="M24" i="266"/>
  <c r="AJ23" i="266"/>
  <c r="AI23" i="266"/>
  <c r="X23" i="266"/>
  <c r="AQ22" i="266"/>
  <c r="AJ22" i="266"/>
  <c r="AI22" i="266"/>
  <c r="AG22" i="266"/>
  <c r="AF22" i="266"/>
  <c r="AB22" i="266"/>
  <c r="AA22" i="266"/>
  <c r="Z22" i="266"/>
  <c r="Y22" i="266"/>
  <c r="X22" i="266"/>
  <c r="P22" i="266"/>
  <c r="O22" i="266"/>
  <c r="AE22" i="266" s="1"/>
  <c r="N22" i="266"/>
  <c r="AP22" i="266" s="1"/>
  <c r="M22" i="266"/>
  <c r="AC22" i="266" s="1"/>
  <c r="AQ21" i="266"/>
  <c r="AP21" i="266"/>
  <c r="AJ21" i="266"/>
  <c r="AU21" i="266" s="1"/>
  <c r="AI21" i="266"/>
  <c r="AG21" i="266"/>
  <c r="AF21" i="266"/>
  <c r="AB21" i="266"/>
  <c r="AA21" i="266"/>
  <c r="Z21" i="266"/>
  <c r="Y21" i="266"/>
  <c r="X21" i="266"/>
  <c r="P21" i="266"/>
  <c r="O21" i="266"/>
  <c r="AE21" i="266" s="1"/>
  <c r="N21" i="266"/>
  <c r="AD21" i="266" s="1"/>
  <c r="M21" i="266"/>
  <c r="AC21" i="266" s="1"/>
  <c r="AJ20" i="266"/>
  <c r="AI20" i="266"/>
  <c r="X20" i="266"/>
  <c r="AJ19" i="266"/>
  <c r="AU19" i="266" s="1"/>
  <c r="AI19" i="266"/>
  <c r="AG19" i="266"/>
  <c r="AF19" i="266"/>
  <c r="AB19" i="266"/>
  <c r="AA19" i="266"/>
  <c r="Z19" i="266"/>
  <c r="Y19" i="266"/>
  <c r="X19" i="266"/>
  <c r="P19" i="266"/>
  <c r="O19" i="266"/>
  <c r="AE19" i="266" s="1"/>
  <c r="N19" i="266"/>
  <c r="M19" i="266"/>
  <c r="AJ17" i="266"/>
  <c r="AI17" i="266"/>
  <c r="AG17" i="266"/>
  <c r="AF17" i="266"/>
  <c r="AC17" i="266"/>
  <c r="AB17" i="266"/>
  <c r="AA17" i="266"/>
  <c r="Z17" i="266"/>
  <c r="Y17" i="266"/>
  <c r="X17" i="266"/>
  <c r="P17" i="266"/>
  <c r="O17" i="266"/>
  <c r="N17" i="266"/>
  <c r="AD17" i="266" s="1"/>
  <c r="M17" i="266"/>
  <c r="AJ16" i="266"/>
  <c r="AU16" i="266" s="1"/>
  <c r="AI16" i="266"/>
  <c r="AG16" i="266"/>
  <c r="AF16" i="266"/>
  <c r="AB16" i="266"/>
  <c r="AA16" i="266"/>
  <c r="Z16" i="266"/>
  <c r="Y16" i="266"/>
  <c r="X16" i="266"/>
  <c r="P16" i="266"/>
  <c r="O16" i="266"/>
  <c r="N16" i="266"/>
  <c r="AD16" i="266" s="1"/>
  <c r="M16" i="266"/>
  <c r="AC16" i="266" s="1"/>
  <c r="AJ15" i="266"/>
  <c r="AI15" i="266"/>
  <c r="X15" i="266"/>
  <c r="AJ14" i="266"/>
  <c r="AU14" i="266" s="1"/>
  <c r="AI14" i="266"/>
  <c r="AG14" i="266"/>
  <c r="AF14" i="266"/>
  <c r="AB14" i="266"/>
  <c r="AA14" i="266"/>
  <c r="Z14" i="266"/>
  <c r="Y14" i="266"/>
  <c r="X14" i="266"/>
  <c r="P14" i="266"/>
  <c r="O14" i="266"/>
  <c r="N14" i="266"/>
  <c r="AD14" i="266" s="1"/>
  <c r="M14" i="266"/>
  <c r="AJ13" i="266"/>
  <c r="AI13" i="266"/>
  <c r="AG13" i="266"/>
  <c r="AF13" i="266"/>
  <c r="AB13" i="266"/>
  <c r="AA13" i="266"/>
  <c r="Z13" i="266"/>
  <c r="Y13" i="266"/>
  <c r="X13" i="266"/>
  <c r="P13" i="266"/>
  <c r="O13" i="266"/>
  <c r="N13" i="266"/>
  <c r="M13" i="266"/>
  <c r="AU12" i="266"/>
  <c r="AJ12" i="266"/>
  <c r="AI12" i="266"/>
  <c r="AG12" i="266"/>
  <c r="AF12" i="266"/>
  <c r="AB12" i="266"/>
  <c r="AA12" i="266"/>
  <c r="Z12" i="266"/>
  <c r="Y12" i="266"/>
  <c r="X12" i="266"/>
  <c r="P12" i="266"/>
  <c r="O12" i="266"/>
  <c r="AE12" i="266" s="1"/>
  <c r="N12" i="266"/>
  <c r="M12" i="266"/>
  <c r="AJ11" i="266"/>
  <c r="AI11" i="266"/>
  <c r="AG11" i="266"/>
  <c r="AF11" i="266"/>
  <c r="AB11" i="266"/>
  <c r="AA11" i="266"/>
  <c r="Z11" i="266"/>
  <c r="Y11" i="266"/>
  <c r="X11" i="266"/>
  <c r="P11" i="266"/>
  <c r="O11" i="266"/>
  <c r="N11" i="266"/>
  <c r="AD11" i="266" s="1"/>
  <c r="M11" i="266"/>
  <c r="AC11" i="266" s="1"/>
  <c r="AJ10" i="266"/>
  <c r="AI10" i="266"/>
  <c r="X10" i="266"/>
  <c r="AU9" i="266"/>
  <c r="AQ9" i="266"/>
  <c r="AJ9" i="266"/>
  <c r="AI9" i="266"/>
  <c r="AG9" i="266"/>
  <c r="AF9" i="266"/>
  <c r="AC9" i="266"/>
  <c r="AB9" i="266"/>
  <c r="AA9" i="266"/>
  <c r="Z9" i="266"/>
  <c r="Y9" i="266"/>
  <c r="X9" i="266"/>
  <c r="P9" i="266"/>
  <c r="O9" i="266"/>
  <c r="N9" i="266"/>
  <c r="M9" i="266"/>
  <c r="AJ8" i="266"/>
  <c r="AU8" i="266" s="1"/>
  <c r="AI8" i="266"/>
  <c r="AG8" i="266"/>
  <c r="AF8" i="266"/>
  <c r="AB8" i="266"/>
  <c r="AA8" i="266"/>
  <c r="Z8" i="266"/>
  <c r="Y8" i="266"/>
  <c r="X8" i="266"/>
  <c r="P8" i="266"/>
  <c r="O8" i="266"/>
  <c r="N8" i="266"/>
  <c r="M8" i="266"/>
  <c r="AJ7" i="266"/>
  <c r="AI7" i="266"/>
  <c r="AG7" i="266"/>
  <c r="AF7" i="266"/>
  <c r="AB7" i="266"/>
  <c r="AA7" i="266"/>
  <c r="Z7" i="266"/>
  <c r="Y7" i="266"/>
  <c r="X7" i="266"/>
  <c r="P7" i="266"/>
  <c r="O7" i="266"/>
  <c r="AE7" i="266" s="1"/>
  <c r="N7" i="266"/>
  <c r="M7" i="266"/>
  <c r="AJ6" i="266"/>
  <c r="AU6" i="266" s="1"/>
  <c r="AI6" i="266"/>
  <c r="AG6" i="266"/>
  <c r="AF6" i="266"/>
  <c r="AB6" i="266"/>
  <c r="AA6" i="266"/>
  <c r="Z6" i="266"/>
  <c r="Y6" i="266"/>
  <c r="X6" i="266"/>
  <c r="P6" i="266"/>
  <c r="O6" i="266"/>
  <c r="AE6" i="266" s="1"/>
  <c r="N6" i="266"/>
  <c r="M6" i="266"/>
  <c r="AJ5" i="266"/>
  <c r="AI5" i="266"/>
  <c r="X5" i="266"/>
  <c r="AJ4" i="266"/>
  <c r="AJ3" i="266"/>
  <c r="AI3" i="266"/>
  <c r="AO2" i="266"/>
  <c r="AO18" i="266" s="1"/>
  <c r="AN2" i="266"/>
  <c r="AM2" i="266"/>
  <c r="AL2" i="266"/>
  <c r="AK2" i="266"/>
  <c r="AK18" i="266" s="1"/>
  <c r="AB2" i="266"/>
  <c r="A2" i="266"/>
  <c r="AV1" i="266"/>
  <c r="AV31" i="266" s="1"/>
  <c r="AS1" i="266"/>
  <c r="AR1" i="266"/>
  <c r="AR18" i="266" s="1"/>
  <c r="AQ1" i="266"/>
  <c r="AQ12" i="266" s="1"/>
  <c r="AP1" i="266"/>
  <c r="AB1" i="266"/>
  <c r="A1" i="266"/>
  <c r="AK1" i="266" s="1"/>
  <c r="AU82" i="265"/>
  <c r="AQ82" i="265"/>
  <c r="AJ82" i="265"/>
  <c r="AI82" i="265"/>
  <c r="AG82" i="265"/>
  <c r="AF82" i="265"/>
  <c r="AB82" i="265"/>
  <c r="AA82" i="265"/>
  <c r="Z82" i="265"/>
  <c r="Y82" i="265"/>
  <c r="X82" i="265"/>
  <c r="P82" i="265"/>
  <c r="O82" i="265"/>
  <c r="AE82" i="265" s="1"/>
  <c r="N82" i="265"/>
  <c r="AP82" i="265" s="1"/>
  <c r="M82" i="265"/>
  <c r="AC82" i="265" s="1"/>
  <c r="AU81" i="265"/>
  <c r="AQ81" i="265"/>
  <c r="AJ81" i="265"/>
  <c r="AI81" i="265"/>
  <c r="AG81" i="265"/>
  <c r="AF81" i="265"/>
  <c r="AB81" i="265"/>
  <c r="AA81" i="265"/>
  <c r="Z81" i="265"/>
  <c r="Y81" i="265"/>
  <c r="X81" i="265"/>
  <c r="P81" i="265"/>
  <c r="O81" i="265"/>
  <c r="N81" i="265"/>
  <c r="AD81" i="265" s="1"/>
  <c r="M81" i="265"/>
  <c r="AC81" i="265" s="1"/>
  <c r="AQ80" i="265"/>
  <c r="AJ80" i="265"/>
  <c r="AI80" i="265"/>
  <c r="AG80" i="265"/>
  <c r="AF80" i="265"/>
  <c r="AB80" i="265"/>
  <c r="AA80" i="265"/>
  <c r="Z80" i="265"/>
  <c r="Y80" i="265"/>
  <c r="X80" i="265"/>
  <c r="P80" i="265"/>
  <c r="O80" i="265"/>
  <c r="AE80" i="265" s="1"/>
  <c r="N80" i="265"/>
  <c r="AP80" i="265" s="1"/>
  <c r="M80" i="265"/>
  <c r="AU79" i="265"/>
  <c r="AQ79" i="265"/>
  <c r="AJ79" i="265"/>
  <c r="AI79" i="265"/>
  <c r="AG79" i="265"/>
  <c r="AF79" i="265"/>
  <c r="AB79" i="265"/>
  <c r="AA79" i="265"/>
  <c r="Z79" i="265"/>
  <c r="Y79" i="265"/>
  <c r="X79" i="265"/>
  <c r="P79" i="265"/>
  <c r="O79" i="265"/>
  <c r="AE79" i="265" s="1"/>
  <c r="N79" i="265"/>
  <c r="M79" i="265"/>
  <c r="AQ78" i="265"/>
  <c r="AJ78" i="265"/>
  <c r="AK78" i="265" s="1"/>
  <c r="AI78" i="265"/>
  <c r="AG78" i="265"/>
  <c r="AF78" i="265"/>
  <c r="AB78" i="265"/>
  <c r="AA78" i="265"/>
  <c r="Z78" i="265"/>
  <c r="Y78" i="265"/>
  <c r="X78" i="265"/>
  <c r="P78" i="265"/>
  <c r="O78" i="265"/>
  <c r="N78" i="265"/>
  <c r="AP78" i="265" s="1"/>
  <c r="M78" i="265"/>
  <c r="AC78" i="265" s="1"/>
  <c r="AU77" i="265"/>
  <c r="AQ77" i="265"/>
  <c r="AJ77" i="265"/>
  <c r="AI77" i="265"/>
  <c r="AG77" i="265"/>
  <c r="AF77" i="265"/>
  <c r="AB77" i="265"/>
  <c r="AA77" i="265"/>
  <c r="Z77" i="265"/>
  <c r="Y77" i="265"/>
  <c r="X77" i="265"/>
  <c r="P77" i="265"/>
  <c r="O77" i="265"/>
  <c r="N77" i="265"/>
  <c r="AD77" i="265" s="1"/>
  <c r="M77" i="265"/>
  <c r="AC77" i="265" s="1"/>
  <c r="AQ76" i="265"/>
  <c r="AJ76" i="265"/>
  <c r="AI76" i="265"/>
  <c r="AG76" i="265"/>
  <c r="AF76" i="265"/>
  <c r="AB76" i="265"/>
  <c r="AA76" i="265"/>
  <c r="Z76" i="265"/>
  <c r="Y76" i="265"/>
  <c r="X76" i="265"/>
  <c r="P76" i="265"/>
  <c r="O76" i="265"/>
  <c r="AE76" i="265" s="1"/>
  <c r="N76" i="265"/>
  <c r="AP76" i="265" s="1"/>
  <c r="M76" i="265"/>
  <c r="AC76" i="265" s="1"/>
  <c r="AQ75" i="265"/>
  <c r="AJ75" i="265"/>
  <c r="AI75" i="265"/>
  <c r="AG75" i="265"/>
  <c r="AF75" i="265"/>
  <c r="AB75" i="265"/>
  <c r="AA75" i="265"/>
  <c r="Z75" i="265"/>
  <c r="Y75" i="265"/>
  <c r="X75" i="265"/>
  <c r="P75" i="265"/>
  <c r="O75" i="265"/>
  <c r="AE75" i="265" s="1"/>
  <c r="N75" i="265"/>
  <c r="AD75" i="265" s="1"/>
  <c r="M75" i="265"/>
  <c r="AC75" i="265" s="1"/>
  <c r="AU74" i="265"/>
  <c r="AQ74" i="265"/>
  <c r="AJ74" i="265"/>
  <c r="AK74" i="265" s="1"/>
  <c r="AI74" i="265"/>
  <c r="AG74" i="265"/>
  <c r="AF74" i="265"/>
  <c r="AB74" i="265"/>
  <c r="AA74" i="265"/>
  <c r="Z74" i="265"/>
  <c r="Y74" i="265"/>
  <c r="X74" i="265"/>
  <c r="P74" i="265"/>
  <c r="O74" i="265"/>
  <c r="AE74" i="265" s="1"/>
  <c r="N74" i="265"/>
  <c r="AP74" i="265" s="1"/>
  <c r="M74" i="265"/>
  <c r="AC74" i="265" s="1"/>
  <c r="AU73" i="265"/>
  <c r="AQ73" i="265"/>
  <c r="AJ73" i="265"/>
  <c r="AI73" i="265"/>
  <c r="AG73" i="265"/>
  <c r="AF73" i="265"/>
  <c r="AB73" i="265"/>
  <c r="AA73" i="265"/>
  <c r="Z73" i="265"/>
  <c r="Y73" i="265"/>
  <c r="X73" i="265"/>
  <c r="P73" i="265"/>
  <c r="O73" i="265"/>
  <c r="N73" i="265"/>
  <c r="AD73" i="265" s="1"/>
  <c r="M73" i="265"/>
  <c r="AC73" i="265" s="1"/>
  <c r="AQ72" i="265"/>
  <c r="AJ72" i="265"/>
  <c r="AI72" i="265"/>
  <c r="AG72" i="265"/>
  <c r="AF72" i="265"/>
  <c r="AB72" i="265"/>
  <c r="AA72" i="265"/>
  <c r="Z72" i="265"/>
  <c r="Y72" i="265"/>
  <c r="X72" i="265"/>
  <c r="P72" i="265"/>
  <c r="O72" i="265"/>
  <c r="AR72" i="265" s="1"/>
  <c r="N72" i="265"/>
  <c r="AP72" i="265" s="1"/>
  <c r="M72" i="265"/>
  <c r="AU71" i="265"/>
  <c r="AQ71" i="265"/>
  <c r="AJ71" i="265"/>
  <c r="AI71" i="265"/>
  <c r="AG71" i="265"/>
  <c r="AF71" i="265"/>
  <c r="AB71" i="265"/>
  <c r="AA71" i="265"/>
  <c r="Z71" i="265"/>
  <c r="Y71" i="265"/>
  <c r="X71" i="265"/>
  <c r="P71" i="265"/>
  <c r="O71" i="265"/>
  <c r="AE71" i="265" s="1"/>
  <c r="N71" i="265"/>
  <c r="M71" i="265"/>
  <c r="AC71" i="265" s="1"/>
  <c r="AJ70" i="265"/>
  <c r="AI70" i="265"/>
  <c r="X70" i="265"/>
  <c r="AQ69" i="265"/>
  <c r="AJ69" i="265"/>
  <c r="AU69" i="265" s="1"/>
  <c r="AI69" i="265"/>
  <c r="AG69" i="265"/>
  <c r="AF69" i="265"/>
  <c r="AB69" i="265"/>
  <c r="AA69" i="265"/>
  <c r="Z69" i="265"/>
  <c r="Y69" i="265"/>
  <c r="X69" i="265"/>
  <c r="P69" i="265"/>
  <c r="O69" i="265"/>
  <c r="AE69" i="265" s="1"/>
  <c r="N69" i="265"/>
  <c r="AP69" i="265" s="1"/>
  <c r="M69" i="265"/>
  <c r="AC69" i="265" s="1"/>
  <c r="AU68" i="265"/>
  <c r="AQ68" i="265"/>
  <c r="AJ68" i="265"/>
  <c r="AI68" i="265"/>
  <c r="AG68" i="265"/>
  <c r="AF68" i="265"/>
  <c r="AB68" i="265"/>
  <c r="AA68" i="265"/>
  <c r="Z68" i="265"/>
  <c r="Y68" i="265"/>
  <c r="X68" i="265"/>
  <c r="P68" i="265"/>
  <c r="O68" i="265"/>
  <c r="AE68" i="265" s="1"/>
  <c r="N68" i="265"/>
  <c r="AP68" i="265" s="1"/>
  <c r="M68" i="265"/>
  <c r="AC68" i="265" s="1"/>
  <c r="AJ67" i="265"/>
  <c r="AI67" i="265"/>
  <c r="X67" i="265"/>
  <c r="AQ66" i="265"/>
  <c r="AJ66" i="265"/>
  <c r="AI66" i="265"/>
  <c r="AG66" i="265"/>
  <c r="AF66" i="265"/>
  <c r="AB66" i="265"/>
  <c r="AA66" i="265"/>
  <c r="Z66" i="265"/>
  <c r="Y66" i="265"/>
  <c r="X66" i="265"/>
  <c r="P66" i="265"/>
  <c r="O66" i="265"/>
  <c r="N66" i="265"/>
  <c r="AP66" i="265" s="1"/>
  <c r="M66" i="265"/>
  <c r="AC66" i="265" s="1"/>
  <c r="AU65" i="265"/>
  <c r="AQ65" i="265"/>
  <c r="AJ65" i="265"/>
  <c r="AI65" i="265"/>
  <c r="AG65" i="265"/>
  <c r="AF65" i="265"/>
  <c r="AB65" i="265"/>
  <c r="AA65" i="265"/>
  <c r="Z65" i="265"/>
  <c r="Y65" i="265"/>
  <c r="X65" i="265"/>
  <c r="P65" i="265"/>
  <c r="O65" i="265"/>
  <c r="N65" i="265"/>
  <c r="AD65" i="265" s="1"/>
  <c r="M65" i="265"/>
  <c r="AC65" i="265" s="1"/>
  <c r="AQ64" i="265"/>
  <c r="AJ64" i="265"/>
  <c r="AI64" i="265"/>
  <c r="AG64" i="265"/>
  <c r="AF64" i="265"/>
  <c r="AB64" i="265"/>
  <c r="AA64" i="265"/>
  <c r="Z64" i="265"/>
  <c r="Y64" i="265"/>
  <c r="X64" i="265"/>
  <c r="P64" i="265"/>
  <c r="O64" i="265"/>
  <c r="AE64" i="265" s="1"/>
  <c r="N64" i="265"/>
  <c r="AP64" i="265" s="1"/>
  <c r="M64" i="265"/>
  <c r="AC64" i="265" s="1"/>
  <c r="AR63" i="265"/>
  <c r="AQ63" i="265"/>
  <c r="AJ63" i="265"/>
  <c r="AI63" i="265"/>
  <c r="AG63" i="265"/>
  <c r="AF63" i="265"/>
  <c r="AB63" i="265"/>
  <c r="AA63" i="265"/>
  <c r="Z63" i="265"/>
  <c r="Y63" i="265"/>
  <c r="X63" i="265"/>
  <c r="P63" i="265"/>
  <c r="O63" i="265"/>
  <c r="AE63" i="265" s="1"/>
  <c r="N63" i="265"/>
  <c r="AP63" i="265" s="1"/>
  <c r="M63" i="265"/>
  <c r="AC63" i="265" s="1"/>
  <c r="AU62" i="265"/>
  <c r="AQ62" i="265"/>
  <c r="AJ62" i="265"/>
  <c r="AI62" i="265"/>
  <c r="AG62" i="265"/>
  <c r="AF62" i="265"/>
  <c r="AB62" i="265"/>
  <c r="AA62" i="265"/>
  <c r="Z62" i="265"/>
  <c r="Y62" i="265"/>
  <c r="X62" i="265"/>
  <c r="P62" i="265"/>
  <c r="O62" i="265"/>
  <c r="AR62" i="265" s="1"/>
  <c r="N62" i="265"/>
  <c r="AP62" i="265" s="1"/>
  <c r="M62" i="265"/>
  <c r="AC62" i="265" s="1"/>
  <c r="AJ61" i="265"/>
  <c r="AI61" i="265"/>
  <c r="X61" i="265"/>
  <c r="AQ60" i="265"/>
  <c r="AO60" i="265"/>
  <c r="AJ60" i="265"/>
  <c r="AI60" i="265"/>
  <c r="AG60" i="265"/>
  <c r="AF60" i="265"/>
  <c r="AB60" i="265"/>
  <c r="AA60" i="265"/>
  <c r="Z60" i="265"/>
  <c r="Y60" i="265"/>
  <c r="X60" i="265"/>
  <c r="P60" i="265"/>
  <c r="O60" i="265"/>
  <c r="N60" i="265"/>
  <c r="AD60" i="265" s="1"/>
  <c r="M60" i="265"/>
  <c r="AC60" i="265" s="1"/>
  <c r="AU59" i="265"/>
  <c r="AQ59" i="265"/>
  <c r="AJ59" i="265"/>
  <c r="AI59" i="265"/>
  <c r="AG59" i="265"/>
  <c r="AF59" i="265"/>
  <c r="AB59" i="265"/>
  <c r="AA59" i="265"/>
  <c r="Z59" i="265"/>
  <c r="Y59" i="265"/>
  <c r="X59" i="265"/>
  <c r="P59" i="265"/>
  <c r="O59" i="265"/>
  <c r="N59" i="265"/>
  <c r="AP59" i="265" s="1"/>
  <c r="M59" i="265"/>
  <c r="AC59" i="265" s="1"/>
  <c r="AQ58" i="265"/>
  <c r="AJ58" i="265"/>
  <c r="AI58" i="265"/>
  <c r="AG58" i="265"/>
  <c r="AF58" i="265"/>
  <c r="AB58" i="265"/>
  <c r="AA58" i="265"/>
  <c r="Z58" i="265"/>
  <c r="Y58" i="265"/>
  <c r="X58" i="265"/>
  <c r="P58" i="265"/>
  <c r="O58" i="265"/>
  <c r="AE58" i="265" s="1"/>
  <c r="N58" i="265"/>
  <c r="AP58" i="265" s="1"/>
  <c r="M58" i="265"/>
  <c r="AC58" i="265" s="1"/>
  <c r="AJ57" i="265"/>
  <c r="AI57" i="265"/>
  <c r="X57" i="265"/>
  <c r="AQ56" i="265"/>
  <c r="AJ56" i="265"/>
  <c r="AI56" i="265"/>
  <c r="AG56" i="265"/>
  <c r="AF56" i="265"/>
  <c r="AE56" i="265"/>
  <c r="AB56" i="265"/>
  <c r="AA56" i="265"/>
  <c r="Z56" i="265"/>
  <c r="Y56" i="265"/>
  <c r="X56" i="265"/>
  <c r="P56" i="265"/>
  <c r="O56" i="265"/>
  <c r="N56" i="265"/>
  <c r="AP56" i="265" s="1"/>
  <c r="M56" i="265"/>
  <c r="AU55" i="265"/>
  <c r="AQ55" i="265"/>
  <c r="AJ55" i="265"/>
  <c r="AI55" i="265"/>
  <c r="AG55" i="265"/>
  <c r="AF55" i="265"/>
  <c r="AC55" i="265"/>
  <c r="AB55" i="265"/>
  <c r="AA55" i="265"/>
  <c r="Z55" i="265"/>
  <c r="Y55" i="265"/>
  <c r="X55" i="265"/>
  <c r="P55" i="265"/>
  <c r="O55" i="265"/>
  <c r="AE55" i="265" s="1"/>
  <c r="N55" i="265"/>
  <c r="M55" i="265"/>
  <c r="AJ54" i="265"/>
  <c r="AI54" i="265"/>
  <c r="X54" i="265"/>
  <c r="AU53" i="265"/>
  <c r="AQ53" i="265"/>
  <c r="AJ53" i="265"/>
  <c r="AI53" i="265"/>
  <c r="AG53" i="265"/>
  <c r="AF53" i="265"/>
  <c r="AB53" i="265"/>
  <c r="AA53" i="265"/>
  <c r="Z53" i="265"/>
  <c r="Y53" i="265"/>
  <c r="X53" i="265"/>
  <c r="P53" i="265"/>
  <c r="O53" i="265"/>
  <c r="AE53" i="265" s="1"/>
  <c r="N53" i="265"/>
  <c r="AP53" i="265" s="1"/>
  <c r="M53" i="265"/>
  <c r="AC53" i="265" s="1"/>
  <c r="AU52" i="265"/>
  <c r="AQ52" i="265"/>
  <c r="AJ52" i="265"/>
  <c r="AI52" i="265"/>
  <c r="AG52" i="265"/>
  <c r="AF52" i="265"/>
  <c r="AB52" i="265"/>
  <c r="AA52" i="265"/>
  <c r="Z52" i="265"/>
  <c r="Y52" i="265"/>
  <c r="X52" i="265"/>
  <c r="P52" i="265"/>
  <c r="O52" i="265"/>
  <c r="AE52" i="265" s="1"/>
  <c r="N52" i="265"/>
  <c r="AP52" i="265" s="1"/>
  <c r="M52" i="265"/>
  <c r="AC52" i="265" s="1"/>
  <c r="AQ51" i="265"/>
  <c r="AJ51" i="265"/>
  <c r="AU51" i="265" s="1"/>
  <c r="AI51" i="265"/>
  <c r="AG51" i="265"/>
  <c r="AF51" i="265"/>
  <c r="AB51" i="265"/>
  <c r="AA51" i="265"/>
  <c r="Z51" i="265"/>
  <c r="Y51" i="265"/>
  <c r="X51" i="265"/>
  <c r="P51" i="265"/>
  <c r="O51" i="265"/>
  <c r="N51" i="265"/>
  <c r="AP51" i="265" s="1"/>
  <c r="M51" i="265"/>
  <c r="AJ50" i="265"/>
  <c r="AI50" i="265"/>
  <c r="X50" i="265"/>
  <c r="AU49" i="265"/>
  <c r="AQ49" i="265"/>
  <c r="AJ49" i="265"/>
  <c r="AI49" i="265"/>
  <c r="AG49" i="265"/>
  <c r="AF49" i="265"/>
  <c r="AB49" i="265"/>
  <c r="AA49" i="265"/>
  <c r="Z49" i="265"/>
  <c r="Y49" i="265"/>
  <c r="X49" i="265"/>
  <c r="P49" i="265"/>
  <c r="O49" i="265"/>
  <c r="AR49" i="265" s="1"/>
  <c r="N49" i="265"/>
  <c r="AD49" i="265" s="1"/>
  <c r="M49" i="265"/>
  <c r="AC49" i="265" s="1"/>
  <c r="AQ48" i="265"/>
  <c r="AJ48" i="265"/>
  <c r="AI48" i="265"/>
  <c r="AG48" i="265"/>
  <c r="AF48" i="265"/>
  <c r="AC48" i="265"/>
  <c r="AB48" i="265"/>
  <c r="AA48" i="265"/>
  <c r="Z48" i="265"/>
  <c r="Y48" i="265"/>
  <c r="X48" i="265"/>
  <c r="P48" i="265"/>
  <c r="O48" i="265"/>
  <c r="AE48" i="265" s="1"/>
  <c r="N48" i="265"/>
  <c r="AP48" i="265" s="1"/>
  <c r="AU47" i="265"/>
  <c r="AQ47" i="265"/>
  <c r="AJ47" i="265"/>
  <c r="AI47" i="265"/>
  <c r="AG47" i="265"/>
  <c r="AF47" i="265"/>
  <c r="AB47" i="265"/>
  <c r="AA47" i="265"/>
  <c r="Z47" i="265"/>
  <c r="Y47" i="265"/>
  <c r="X47" i="265"/>
  <c r="P47" i="265"/>
  <c r="O47" i="265"/>
  <c r="AE47" i="265" s="1"/>
  <c r="N47" i="265"/>
  <c r="AP47" i="265" s="1"/>
  <c r="M47" i="265"/>
  <c r="AC47" i="265" s="1"/>
  <c r="AU46" i="265"/>
  <c r="AQ46" i="265"/>
  <c r="AJ46" i="265"/>
  <c r="AI46" i="265"/>
  <c r="AG46" i="265"/>
  <c r="AF46" i="265"/>
  <c r="AB46" i="265"/>
  <c r="AA46" i="265"/>
  <c r="Z46" i="265"/>
  <c r="Y46" i="265"/>
  <c r="X46" i="265"/>
  <c r="P46" i="265"/>
  <c r="O46" i="265"/>
  <c r="AE46" i="265" s="1"/>
  <c r="N46" i="265"/>
  <c r="AP46" i="265" s="1"/>
  <c r="M46" i="265"/>
  <c r="AC46" i="265" s="1"/>
  <c r="AJ45" i="265"/>
  <c r="AI45" i="265"/>
  <c r="X45" i="265"/>
  <c r="AQ44" i="265"/>
  <c r="AJ44" i="265"/>
  <c r="AK44" i="265" s="1"/>
  <c r="AI44" i="265"/>
  <c r="AG44" i="265"/>
  <c r="AF44" i="265"/>
  <c r="AB44" i="265"/>
  <c r="AA44" i="265"/>
  <c r="Z44" i="265"/>
  <c r="Y44" i="265"/>
  <c r="X44" i="265"/>
  <c r="P44" i="265"/>
  <c r="O44" i="265"/>
  <c r="N44" i="265"/>
  <c r="AP44" i="265" s="1"/>
  <c r="M44" i="265"/>
  <c r="AC44" i="265" s="1"/>
  <c r="AU43" i="265"/>
  <c r="AQ43" i="265"/>
  <c r="AJ43" i="265"/>
  <c r="AI43" i="265"/>
  <c r="AG43" i="265"/>
  <c r="AF43" i="265"/>
  <c r="AB43" i="265"/>
  <c r="AA43" i="265"/>
  <c r="Z43" i="265"/>
  <c r="Y43" i="265"/>
  <c r="X43" i="265"/>
  <c r="P43" i="265"/>
  <c r="O43" i="265"/>
  <c r="N43" i="265"/>
  <c r="AD43" i="265" s="1"/>
  <c r="M43" i="265"/>
  <c r="AC43" i="265" s="1"/>
  <c r="AQ42" i="265"/>
  <c r="AJ42" i="265"/>
  <c r="AI42" i="265"/>
  <c r="AG42" i="265"/>
  <c r="AF42" i="265"/>
  <c r="AB42" i="265"/>
  <c r="AA42" i="265"/>
  <c r="Z42" i="265"/>
  <c r="Y42" i="265"/>
  <c r="X42" i="265"/>
  <c r="P42" i="265"/>
  <c r="O42" i="265"/>
  <c r="AE42" i="265" s="1"/>
  <c r="N42" i="265"/>
  <c r="AP42" i="265" s="1"/>
  <c r="M42" i="265"/>
  <c r="AC42" i="265" s="1"/>
  <c r="AU41" i="265"/>
  <c r="AQ41" i="265"/>
  <c r="AJ41" i="265"/>
  <c r="AI41" i="265"/>
  <c r="AG41" i="265"/>
  <c r="AF41" i="265"/>
  <c r="AB41" i="265"/>
  <c r="AA41" i="265"/>
  <c r="Z41" i="265"/>
  <c r="Y41" i="265"/>
  <c r="X41" i="265"/>
  <c r="P41" i="265"/>
  <c r="O41" i="265"/>
  <c r="AE41" i="265" s="1"/>
  <c r="N41" i="265"/>
  <c r="AD41" i="265" s="1"/>
  <c r="M41" i="265"/>
  <c r="AC41" i="265" s="1"/>
  <c r="AU40" i="265"/>
  <c r="AQ40" i="265"/>
  <c r="AJ40" i="265"/>
  <c r="AI40" i="265"/>
  <c r="AG40" i="265"/>
  <c r="AF40" i="265"/>
  <c r="AB40" i="265"/>
  <c r="AA40" i="265"/>
  <c r="Z40" i="265"/>
  <c r="Y40" i="265"/>
  <c r="X40" i="265"/>
  <c r="P40" i="265"/>
  <c r="O40" i="265"/>
  <c r="AR40" i="265" s="1"/>
  <c r="N40" i="265"/>
  <c r="M40" i="265"/>
  <c r="AC40" i="265" s="1"/>
  <c r="AU39" i="265"/>
  <c r="AQ39" i="265"/>
  <c r="AJ39" i="265"/>
  <c r="AI39" i="265"/>
  <c r="AG39" i="265"/>
  <c r="AF39" i="265"/>
  <c r="AB39" i="265"/>
  <c r="AA39" i="265"/>
  <c r="Z39" i="265"/>
  <c r="Y39" i="265"/>
  <c r="X39" i="265"/>
  <c r="P39" i="265"/>
  <c r="O39" i="265"/>
  <c r="N39" i="265"/>
  <c r="AP39" i="265" s="1"/>
  <c r="M39" i="265"/>
  <c r="AJ38" i="265"/>
  <c r="AI38" i="265"/>
  <c r="X38" i="265"/>
  <c r="AU37" i="265"/>
  <c r="AQ37" i="265"/>
  <c r="AJ37" i="265"/>
  <c r="AI37" i="265"/>
  <c r="AG37" i="265"/>
  <c r="AF37" i="265"/>
  <c r="AB37" i="265"/>
  <c r="AA37" i="265"/>
  <c r="Z37" i="265"/>
  <c r="Y37" i="265"/>
  <c r="X37" i="265"/>
  <c r="P37" i="265"/>
  <c r="O37" i="265"/>
  <c r="N37" i="265"/>
  <c r="AD37" i="265" s="1"/>
  <c r="M37" i="265"/>
  <c r="AC37" i="265" s="1"/>
  <c r="AQ36" i="265"/>
  <c r="AJ36" i="265"/>
  <c r="AI36" i="265"/>
  <c r="AG36" i="265"/>
  <c r="AF36" i="265"/>
  <c r="AB36" i="265"/>
  <c r="AA36" i="265"/>
  <c r="Z36" i="265"/>
  <c r="Y36" i="265"/>
  <c r="X36" i="265"/>
  <c r="P36" i="265"/>
  <c r="O36" i="265"/>
  <c r="AE36" i="265" s="1"/>
  <c r="N36" i="265"/>
  <c r="AP36" i="265" s="1"/>
  <c r="M36" i="265"/>
  <c r="AC36" i="265" s="1"/>
  <c r="AU35" i="265"/>
  <c r="AQ35" i="265"/>
  <c r="AJ35" i="265"/>
  <c r="AI35" i="265"/>
  <c r="AG35" i="265"/>
  <c r="AF35" i="265"/>
  <c r="AB35" i="265"/>
  <c r="AA35" i="265"/>
  <c r="Z35" i="265"/>
  <c r="Y35" i="265"/>
  <c r="X35" i="265"/>
  <c r="P35" i="265"/>
  <c r="O35" i="265"/>
  <c r="AE35" i="265" s="1"/>
  <c r="N35" i="265"/>
  <c r="AD35" i="265" s="1"/>
  <c r="M35" i="265"/>
  <c r="AC35" i="265" s="1"/>
  <c r="AJ34" i="265"/>
  <c r="AI34" i="265"/>
  <c r="X34" i="265"/>
  <c r="AU33" i="265"/>
  <c r="AQ33" i="265"/>
  <c r="AO33" i="265"/>
  <c r="AJ33" i="265"/>
  <c r="AI33" i="265"/>
  <c r="AG33" i="265"/>
  <c r="AF33" i="265"/>
  <c r="AB33" i="265"/>
  <c r="AA33" i="265"/>
  <c r="Z33" i="265"/>
  <c r="Y33" i="265"/>
  <c r="X33" i="265"/>
  <c r="P33" i="265"/>
  <c r="O33" i="265"/>
  <c r="AE33" i="265" s="1"/>
  <c r="N33" i="265"/>
  <c r="M33" i="265"/>
  <c r="AV32" i="265"/>
  <c r="AQ32" i="265"/>
  <c r="AJ32" i="265"/>
  <c r="AI32" i="265"/>
  <c r="AG32" i="265"/>
  <c r="AF32" i="265"/>
  <c r="AB32" i="265"/>
  <c r="AA32" i="265"/>
  <c r="Z32" i="265"/>
  <c r="Y32" i="265"/>
  <c r="X32" i="265"/>
  <c r="P32" i="265"/>
  <c r="O32" i="265"/>
  <c r="N32" i="265"/>
  <c r="AD32" i="265" s="1"/>
  <c r="M32" i="265"/>
  <c r="AC32" i="265" s="1"/>
  <c r="AU31" i="265"/>
  <c r="AQ31" i="265"/>
  <c r="AK31" i="265"/>
  <c r="AJ31" i="265"/>
  <c r="AI31" i="265"/>
  <c r="AG31" i="265"/>
  <c r="AF31" i="265"/>
  <c r="AB31" i="265"/>
  <c r="AA31" i="265"/>
  <c r="Z31" i="265"/>
  <c r="Y31" i="265"/>
  <c r="X31" i="265"/>
  <c r="P31" i="265"/>
  <c r="O31" i="265"/>
  <c r="N31" i="265"/>
  <c r="AD31" i="265" s="1"/>
  <c r="M31" i="265"/>
  <c r="AV30" i="265"/>
  <c r="AQ30" i="265"/>
  <c r="AJ30" i="265"/>
  <c r="AI30" i="265"/>
  <c r="AG30" i="265"/>
  <c r="AF30" i="265"/>
  <c r="AB30" i="265"/>
  <c r="AA30" i="265"/>
  <c r="Z30" i="265"/>
  <c r="Y30" i="265"/>
  <c r="X30" i="265"/>
  <c r="P30" i="265"/>
  <c r="O30" i="265"/>
  <c r="AE30" i="265" s="1"/>
  <c r="N30" i="265"/>
  <c r="M30" i="265"/>
  <c r="AC30" i="265" s="1"/>
  <c r="AJ29" i="265"/>
  <c r="AI29" i="265"/>
  <c r="X29" i="265"/>
  <c r="AQ28" i="265"/>
  <c r="AJ28" i="265"/>
  <c r="AI28" i="265"/>
  <c r="AG28" i="265"/>
  <c r="AF28" i="265"/>
  <c r="AE28" i="265"/>
  <c r="AB28" i="265"/>
  <c r="AA28" i="265"/>
  <c r="Z28" i="265"/>
  <c r="Y28" i="265"/>
  <c r="X28" i="265"/>
  <c r="P28" i="265"/>
  <c r="O28" i="265"/>
  <c r="N28" i="265"/>
  <c r="AP28" i="265" s="1"/>
  <c r="M28" i="265"/>
  <c r="AC28" i="265" s="1"/>
  <c r="AU27" i="265"/>
  <c r="AQ27" i="265"/>
  <c r="AJ27" i="265"/>
  <c r="AI27" i="265"/>
  <c r="AG27" i="265"/>
  <c r="AF27" i="265"/>
  <c r="AB27" i="265"/>
  <c r="AA27" i="265"/>
  <c r="Z27" i="265"/>
  <c r="Y27" i="265"/>
  <c r="X27" i="265"/>
  <c r="P27" i="265"/>
  <c r="O27" i="265"/>
  <c r="AE27" i="265" s="1"/>
  <c r="N27" i="265"/>
  <c r="M27" i="265"/>
  <c r="AJ26" i="265"/>
  <c r="AI26" i="265"/>
  <c r="X26" i="265"/>
  <c r="AQ25" i="265"/>
  <c r="AJ25" i="265"/>
  <c r="AO25" i="265" s="1"/>
  <c r="AI25" i="265"/>
  <c r="AG25" i="265"/>
  <c r="AF25" i="265"/>
  <c r="AB25" i="265"/>
  <c r="AA25" i="265"/>
  <c r="Z25" i="265"/>
  <c r="Y25" i="265"/>
  <c r="X25" i="265"/>
  <c r="P25" i="265"/>
  <c r="O25" i="265"/>
  <c r="AE25" i="265" s="1"/>
  <c r="N25" i="265"/>
  <c r="AD25" i="265" s="1"/>
  <c r="M25" i="265"/>
  <c r="AC25" i="265" s="1"/>
  <c r="AU24" i="265"/>
  <c r="AQ24" i="265"/>
  <c r="AJ24" i="265"/>
  <c r="AO24" i="265" s="1"/>
  <c r="AI24" i="265"/>
  <c r="AG24" i="265"/>
  <c r="AF24" i="265"/>
  <c r="AB24" i="265"/>
  <c r="AA24" i="265"/>
  <c r="Z24" i="265"/>
  <c r="Y24" i="265"/>
  <c r="X24" i="265"/>
  <c r="P24" i="265"/>
  <c r="O24" i="265"/>
  <c r="N24" i="265"/>
  <c r="M24" i="265"/>
  <c r="AC24" i="265" s="1"/>
  <c r="AQ23" i="265"/>
  <c r="AJ23" i="265"/>
  <c r="AO23" i="265" s="1"/>
  <c r="AI23" i="265"/>
  <c r="AG23" i="265"/>
  <c r="AF23" i="265"/>
  <c r="AB23" i="265"/>
  <c r="AA23" i="265"/>
  <c r="Z23" i="265"/>
  <c r="Y23" i="265"/>
  <c r="X23" i="265"/>
  <c r="P23" i="265"/>
  <c r="O23" i="265"/>
  <c r="AE23" i="265" s="1"/>
  <c r="N23" i="265"/>
  <c r="AP23" i="265" s="1"/>
  <c r="M23" i="265"/>
  <c r="AC23" i="265" s="1"/>
  <c r="AJ22" i="265"/>
  <c r="AI22" i="265"/>
  <c r="X22" i="265"/>
  <c r="AQ21" i="265"/>
  <c r="AK21" i="265"/>
  <c r="AJ21" i="265"/>
  <c r="AU21" i="265" s="1"/>
  <c r="AI21" i="265"/>
  <c r="AG21" i="265"/>
  <c r="AF21" i="265"/>
  <c r="AB21" i="265"/>
  <c r="AA21" i="265"/>
  <c r="Z21" i="265"/>
  <c r="Y21" i="265"/>
  <c r="X21" i="265"/>
  <c r="P21" i="265"/>
  <c r="O21" i="265"/>
  <c r="AE21" i="265" s="1"/>
  <c r="N21" i="265"/>
  <c r="AP21" i="265" s="1"/>
  <c r="M21" i="265"/>
  <c r="AS21" i="265" s="1"/>
  <c r="AJ20" i="265"/>
  <c r="AI20" i="265"/>
  <c r="X20" i="265"/>
  <c r="AQ19" i="265"/>
  <c r="AJ19" i="265"/>
  <c r="AO19" i="265" s="1"/>
  <c r="AI19" i="265"/>
  <c r="AG19" i="265"/>
  <c r="AF19" i="265"/>
  <c r="AB19" i="265"/>
  <c r="AA19" i="265"/>
  <c r="Z19" i="265"/>
  <c r="Y19" i="265"/>
  <c r="X19" i="265"/>
  <c r="P19" i="265"/>
  <c r="O19" i="265"/>
  <c r="AE19" i="265" s="1"/>
  <c r="N19" i="265"/>
  <c r="AP19" i="265" s="1"/>
  <c r="M19" i="265"/>
  <c r="AC19" i="265" s="1"/>
  <c r="AU18" i="265"/>
  <c r="AQ18" i="265"/>
  <c r="AO18" i="265"/>
  <c r="AJ18" i="265"/>
  <c r="AI18" i="265"/>
  <c r="AG18" i="265"/>
  <c r="AF18" i="265"/>
  <c r="AB18" i="265"/>
  <c r="AA18" i="265"/>
  <c r="Z18" i="265"/>
  <c r="Y18" i="265"/>
  <c r="X18" i="265"/>
  <c r="P18" i="265"/>
  <c r="O18" i="265"/>
  <c r="AE18" i="265" s="1"/>
  <c r="N18" i="265"/>
  <c r="AP18" i="265" s="1"/>
  <c r="M18" i="265"/>
  <c r="AC18" i="265" s="1"/>
  <c r="AU17" i="265"/>
  <c r="AQ17" i="265"/>
  <c r="AJ17" i="265"/>
  <c r="AO17" i="265" s="1"/>
  <c r="AI17" i="265"/>
  <c r="AG17" i="265"/>
  <c r="AF17" i="265"/>
  <c r="AB17" i="265"/>
  <c r="AA17" i="265"/>
  <c r="Z17" i="265"/>
  <c r="Y17" i="265"/>
  <c r="X17" i="265"/>
  <c r="P17" i="265"/>
  <c r="O17" i="265"/>
  <c r="AR17" i="265" s="1"/>
  <c r="N17" i="265"/>
  <c r="AD17" i="265" s="1"/>
  <c r="M17" i="265"/>
  <c r="AC17" i="265" s="1"/>
  <c r="AV16" i="265"/>
  <c r="AQ16" i="265"/>
  <c r="AJ16" i="265"/>
  <c r="AU16" i="265" s="1"/>
  <c r="AI16" i="265"/>
  <c r="AG16" i="265"/>
  <c r="AF16" i="265"/>
  <c r="AB16" i="265"/>
  <c r="AA16" i="265"/>
  <c r="Z16" i="265"/>
  <c r="Y16" i="265"/>
  <c r="X16" i="265"/>
  <c r="P16" i="265"/>
  <c r="O16" i="265"/>
  <c r="AR16" i="265" s="1"/>
  <c r="N16" i="265"/>
  <c r="AP16" i="265" s="1"/>
  <c r="AW16" i="265" s="1"/>
  <c r="M16" i="265"/>
  <c r="AS16" i="265" s="1"/>
  <c r="AQ15" i="265"/>
  <c r="AK15" i="265"/>
  <c r="AJ15" i="265"/>
  <c r="AU15" i="265" s="1"/>
  <c r="AI15" i="265"/>
  <c r="AG15" i="265"/>
  <c r="AF15" i="265"/>
  <c r="AB15" i="265"/>
  <c r="AA15" i="265"/>
  <c r="Z15" i="265"/>
  <c r="Y15" i="265"/>
  <c r="X15" i="265"/>
  <c r="P15" i="265"/>
  <c r="O15" i="265"/>
  <c r="AE15" i="265" s="1"/>
  <c r="N15" i="265"/>
  <c r="AP15" i="265" s="1"/>
  <c r="AW15" i="265" s="1"/>
  <c r="M15" i="265"/>
  <c r="AS15" i="265" s="1"/>
  <c r="AU14" i="265"/>
  <c r="AQ14" i="265"/>
  <c r="AO14" i="265"/>
  <c r="AJ14" i="265"/>
  <c r="AI14" i="265"/>
  <c r="AG14" i="265"/>
  <c r="AF14" i="265"/>
  <c r="AB14" i="265"/>
  <c r="AA14" i="265"/>
  <c r="Z14" i="265"/>
  <c r="Y14" i="265"/>
  <c r="X14" i="265"/>
  <c r="P14" i="265"/>
  <c r="O14" i="265"/>
  <c r="AR14" i="265" s="1"/>
  <c r="N14" i="265"/>
  <c r="AP14" i="265" s="1"/>
  <c r="M14" i="265"/>
  <c r="AC14" i="265" s="1"/>
  <c r="AU13" i="265"/>
  <c r="AQ13" i="265"/>
  <c r="AJ13" i="265"/>
  <c r="AO13" i="265" s="1"/>
  <c r="AI13" i="265"/>
  <c r="AG13" i="265"/>
  <c r="AF13" i="265"/>
  <c r="AB13" i="265"/>
  <c r="AA13" i="265"/>
  <c r="Z13" i="265"/>
  <c r="Y13" i="265"/>
  <c r="X13" i="265"/>
  <c r="P13" i="265"/>
  <c r="O13" i="265"/>
  <c r="AR13" i="265" s="1"/>
  <c r="N13" i="265"/>
  <c r="AD13" i="265" s="1"/>
  <c r="M13" i="265"/>
  <c r="AC13" i="265" s="1"/>
  <c r="AV12" i="265"/>
  <c r="AQ12" i="265"/>
  <c r="AJ12" i="265"/>
  <c r="AO12" i="265" s="1"/>
  <c r="AI12" i="265"/>
  <c r="AG12" i="265"/>
  <c r="AF12" i="265"/>
  <c r="AB12" i="265"/>
  <c r="AA12" i="265"/>
  <c r="Z12" i="265"/>
  <c r="Y12" i="265"/>
  <c r="X12" i="265"/>
  <c r="P12" i="265"/>
  <c r="O12" i="265"/>
  <c r="AE12" i="265" s="1"/>
  <c r="N12" i="265"/>
  <c r="AD12" i="265" s="1"/>
  <c r="M12" i="265"/>
  <c r="AC12" i="265" s="1"/>
  <c r="AR11" i="265"/>
  <c r="AQ11" i="265"/>
  <c r="AK11" i="265"/>
  <c r="AJ11" i="265"/>
  <c r="AU11" i="265" s="1"/>
  <c r="AI11" i="265"/>
  <c r="AG11" i="265"/>
  <c r="AF11" i="265"/>
  <c r="AB11" i="265"/>
  <c r="AA11" i="265"/>
  <c r="Z11" i="265"/>
  <c r="Y11" i="265"/>
  <c r="X11" i="265"/>
  <c r="P11" i="265"/>
  <c r="O11" i="265"/>
  <c r="AE11" i="265" s="1"/>
  <c r="N11" i="265"/>
  <c r="AP11" i="265" s="1"/>
  <c r="M11" i="265"/>
  <c r="AC11" i="265" s="1"/>
  <c r="AU10" i="265"/>
  <c r="AQ10" i="265"/>
  <c r="AO10" i="265"/>
  <c r="AJ10" i="265"/>
  <c r="AI10" i="265"/>
  <c r="AG10" i="265"/>
  <c r="AF10" i="265"/>
  <c r="AB10" i="265"/>
  <c r="AA10" i="265"/>
  <c r="Z10" i="265"/>
  <c r="Y10" i="265"/>
  <c r="X10" i="265"/>
  <c r="P10" i="265"/>
  <c r="O10" i="265"/>
  <c r="AR10" i="265" s="1"/>
  <c r="N10" i="265"/>
  <c r="AP10" i="265" s="1"/>
  <c r="M10" i="265"/>
  <c r="AC10" i="265" s="1"/>
  <c r="AV9" i="265"/>
  <c r="AU9" i="265"/>
  <c r="AQ9" i="265"/>
  <c r="AJ9" i="265"/>
  <c r="AO9" i="265" s="1"/>
  <c r="AI9" i="265"/>
  <c r="AG9" i="265"/>
  <c r="AF9" i="265"/>
  <c r="AB9" i="265"/>
  <c r="AA9" i="265"/>
  <c r="Z9" i="265"/>
  <c r="Y9" i="265"/>
  <c r="X9" i="265"/>
  <c r="P9" i="265"/>
  <c r="O9" i="265"/>
  <c r="AR9" i="265" s="1"/>
  <c r="N9" i="265"/>
  <c r="AD9" i="265" s="1"/>
  <c r="M9" i="265"/>
  <c r="AC9" i="265" s="1"/>
  <c r="AV8" i="265"/>
  <c r="AQ8" i="265"/>
  <c r="AJ8" i="265"/>
  <c r="AU8" i="265" s="1"/>
  <c r="AI8" i="265"/>
  <c r="AG8" i="265"/>
  <c r="AF8" i="265"/>
  <c r="AB8" i="265"/>
  <c r="AA8" i="265"/>
  <c r="Z8" i="265"/>
  <c r="Y8" i="265"/>
  <c r="X8" i="265"/>
  <c r="P8" i="265"/>
  <c r="O8" i="265"/>
  <c r="AR8" i="265" s="1"/>
  <c r="N8" i="265"/>
  <c r="AP8" i="265" s="1"/>
  <c r="AW8" i="265" s="1"/>
  <c r="M8" i="265"/>
  <c r="AS8" i="265" s="1"/>
  <c r="AQ7" i="265"/>
  <c r="AO7" i="265"/>
  <c r="AK7" i="265"/>
  <c r="AJ7" i="265"/>
  <c r="AU7" i="265" s="1"/>
  <c r="AI7" i="265"/>
  <c r="AG7" i="265"/>
  <c r="AF7" i="265"/>
  <c r="AB7" i="265"/>
  <c r="AA7" i="265"/>
  <c r="Z7" i="265"/>
  <c r="Y7" i="265"/>
  <c r="X7" i="265"/>
  <c r="P7" i="265"/>
  <c r="O7" i="265"/>
  <c r="AR7" i="265" s="1"/>
  <c r="N7" i="265"/>
  <c r="AP7" i="265" s="1"/>
  <c r="AW7" i="265" s="1"/>
  <c r="M7" i="265"/>
  <c r="AS7" i="265" s="1"/>
  <c r="AU6" i="265"/>
  <c r="AQ6" i="265"/>
  <c r="AO6" i="265"/>
  <c r="AJ6" i="265"/>
  <c r="AI6" i="265"/>
  <c r="AG6" i="265"/>
  <c r="AF6" i="265"/>
  <c r="AB6" i="265"/>
  <c r="AA6" i="265"/>
  <c r="Z6" i="265"/>
  <c r="Y6" i="265"/>
  <c r="X6" i="265"/>
  <c r="P6" i="265"/>
  <c r="O6" i="265"/>
  <c r="AR6" i="265" s="1"/>
  <c r="N6" i="265"/>
  <c r="AP6" i="265" s="1"/>
  <c r="M6" i="265"/>
  <c r="AC6" i="265" s="1"/>
  <c r="AJ5" i="265"/>
  <c r="AI5" i="265"/>
  <c r="X5" i="265"/>
  <c r="AJ4" i="265"/>
  <c r="AS3" i="265"/>
  <c r="AR3" i="265"/>
  <c r="AJ3" i="265"/>
  <c r="AI3" i="265"/>
  <c r="AO2" i="265"/>
  <c r="AO71" i="265" s="1"/>
  <c r="AN2" i="265"/>
  <c r="AM2" i="265"/>
  <c r="AL2" i="265"/>
  <c r="AK2" i="265"/>
  <c r="AK35" i="265" s="1"/>
  <c r="AB2" i="265"/>
  <c r="A2" i="265"/>
  <c r="AV1" i="265"/>
  <c r="AV81" i="265" s="1"/>
  <c r="AS1" i="265"/>
  <c r="AR1" i="265"/>
  <c r="AQ1" i="265"/>
  <c r="AQ3" i="265" s="1"/>
  <c r="AP1" i="265"/>
  <c r="AP3" i="265" s="1"/>
  <c r="AB1" i="265"/>
  <c r="A1" i="265"/>
  <c r="AK1" i="265" s="1"/>
  <c r="AW218" i="266" l="1"/>
  <c r="AP209" i="266"/>
  <c r="AP187" i="266"/>
  <c r="AP175" i="266"/>
  <c r="AP96" i="266"/>
  <c r="AP107" i="266"/>
  <c r="AP101" i="266"/>
  <c r="AP99" i="266"/>
  <c r="AP93" i="266"/>
  <c r="AP89" i="266"/>
  <c r="AP79" i="266"/>
  <c r="AP78" i="266"/>
  <c r="AP77" i="266"/>
  <c r="AP51" i="266"/>
  <c r="AP47" i="266"/>
  <c r="AP45" i="266"/>
  <c r="AS44" i="266"/>
  <c r="AW44" i="266" s="1"/>
  <c r="AD48" i="266"/>
  <c r="AP41" i="266"/>
  <c r="AP35" i="266"/>
  <c r="AD36" i="266"/>
  <c r="AR3" i="266"/>
  <c r="AO40" i="266"/>
  <c r="AS67" i="266"/>
  <c r="AV82" i="266"/>
  <c r="AV18" i="266"/>
  <c r="AR27" i="266"/>
  <c r="AO36" i="266"/>
  <c r="AP3" i="266"/>
  <c r="AP18" i="266"/>
  <c r="AQ3" i="266"/>
  <c r="AQ18" i="266"/>
  <c r="AS26" i="266"/>
  <c r="AW26" i="266" s="1"/>
  <c r="AO71" i="266"/>
  <c r="AP13" i="266"/>
  <c r="AS124" i="266"/>
  <c r="AS18" i="266"/>
  <c r="AS17" i="266"/>
  <c r="AR26" i="266"/>
  <c r="AO51" i="266"/>
  <c r="AO66" i="266"/>
  <c r="AS39" i="266"/>
  <c r="AW39" i="266" s="1"/>
  <c r="AD113" i="266"/>
  <c r="AD145" i="266"/>
  <c r="AD205" i="266"/>
  <c r="AD239" i="266"/>
  <c r="AD63" i="266"/>
  <c r="AD147" i="266"/>
  <c r="AO6" i="266"/>
  <c r="AS9" i="266"/>
  <c r="AQ11" i="266"/>
  <c r="AP31" i="266"/>
  <c r="AW31" i="266" s="1"/>
  <c r="AS45" i="266"/>
  <c r="AW45" i="266" s="1"/>
  <c r="AP53" i="266"/>
  <c r="AD57" i="266"/>
  <c r="AD65" i="266"/>
  <c r="AR74" i="266"/>
  <c r="AP109" i="266"/>
  <c r="AP127" i="266"/>
  <c r="AW127" i="266" s="1"/>
  <c r="AD155" i="266"/>
  <c r="AD161" i="266"/>
  <c r="AP181" i="266"/>
  <c r="AD201" i="266"/>
  <c r="AD207" i="266"/>
  <c r="AD227" i="266"/>
  <c r="AP235" i="266"/>
  <c r="AW235" i="266" s="1"/>
  <c r="AD33" i="266"/>
  <c r="AD43" i="266"/>
  <c r="AD139" i="266"/>
  <c r="AD84" i="266"/>
  <c r="AQ6" i="266"/>
  <c r="AS78" i="266"/>
  <c r="AP225" i="266"/>
  <c r="AP231" i="266"/>
  <c r="AW231" i="266" s="1"/>
  <c r="AD87" i="266"/>
  <c r="AK67" i="266"/>
  <c r="AS21" i="266"/>
  <c r="AW21" i="266" s="1"/>
  <c r="AD27" i="266"/>
  <c r="AR21" i="266"/>
  <c r="AS8" i="266"/>
  <c r="AR9" i="266"/>
  <c r="AQ14" i="266"/>
  <c r="AQ19" i="266"/>
  <c r="AS31" i="266"/>
  <c r="AO33" i="266"/>
  <c r="AS59" i="266"/>
  <c r="AO83" i="266"/>
  <c r="AD117" i="266"/>
  <c r="AP237" i="266"/>
  <c r="AW237" i="266" s="1"/>
  <c r="AD159" i="266"/>
  <c r="AD199" i="266"/>
  <c r="AD153" i="266"/>
  <c r="AD217" i="266"/>
  <c r="AS51" i="266"/>
  <c r="AO118" i="266"/>
  <c r="AQ17" i="266"/>
  <c r="AS32" i="266"/>
  <c r="AW32" i="266" s="1"/>
  <c r="AO63" i="266"/>
  <c r="AO72" i="266"/>
  <c r="AO73" i="266"/>
  <c r="AD125" i="266"/>
  <c r="AP131" i="266"/>
  <c r="AW131" i="266" s="1"/>
  <c r="AP169" i="266"/>
  <c r="AW169" i="266" s="1"/>
  <c r="AP193" i="266"/>
  <c r="AP242" i="266"/>
  <c r="AW242" i="266" s="1"/>
  <c r="AS63" i="266"/>
  <c r="AS27" i="266"/>
  <c r="AW27" i="266" s="1"/>
  <c r="AD39" i="266"/>
  <c r="AD74" i="266"/>
  <c r="AC75" i="266"/>
  <c r="AQ7" i="266"/>
  <c r="AR8" i="266"/>
  <c r="AO57" i="266"/>
  <c r="AS61" i="266"/>
  <c r="AU71" i="266"/>
  <c r="AR82" i="266"/>
  <c r="AU83" i="266"/>
  <c r="AO16" i="266"/>
  <c r="AO39" i="266"/>
  <c r="AO48" i="266"/>
  <c r="AR7" i="266"/>
  <c r="AS33" i="266"/>
  <c r="AW33" i="266" s="1"/>
  <c r="AS43" i="266"/>
  <c r="AW43" i="266" s="1"/>
  <c r="AV43" i="266"/>
  <c r="AO45" i="266"/>
  <c r="AD54" i="266"/>
  <c r="AC61" i="266"/>
  <c r="AS87" i="266"/>
  <c r="AW87" i="266" s="1"/>
  <c r="AD128" i="266"/>
  <c r="AV13" i="266"/>
  <c r="AV14" i="266"/>
  <c r="AR41" i="266"/>
  <c r="AV68" i="266"/>
  <c r="AR71" i="266"/>
  <c r="AV74" i="266"/>
  <c r="AR78" i="266"/>
  <c r="AR108" i="266"/>
  <c r="AP7" i="266"/>
  <c r="AP8" i="266"/>
  <c r="AP9" i="266"/>
  <c r="AS12" i="266"/>
  <c r="AS14" i="266"/>
  <c r="AQ16" i="266"/>
  <c r="AO17" i="266"/>
  <c r="AO19" i="266"/>
  <c r="AO22" i="266"/>
  <c r="AR24" i="266"/>
  <c r="AR25" i="266"/>
  <c r="AS29" i="266"/>
  <c r="AV30" i="266"/>
  <c r="AR34" i="266"/>
  <c r="AR39" i="266"/>
  <c r="AR46" i="266"/>
  <c r="AK48" i="266"/>
  <c r="AR50" i="266"/>
  <c r="AR51" i="266"/>
  <c r="AO53" i="266"/>
  <c r="AS56" i="266"/>
  <c r="AW56" i="266" s="1"/>
  <c r="AR62" i="266"/>
  <c r="AR63" i="266"/>
  <c r="AO65" i="266"/>
  <c r="AR68" i="266"/>
  <c r="AV75" i="266"/>
  <c r="AR109" i="266"/>
  <c r="AR14" i="266"/>
  <c r="AR22" i="266"/>
  <c r="AR64" i="266"/>
  <c r="AR52" i="266"/>
  <c r="AR57" i="266"/>
  <c r="AV60" i="266"/>
  <c r="AK85" i="266"/>
  <c r="AK6" i="266"/>
  <c r="AR13" i="266"/>
  <c r="AS19" i="266"/>
  <c r="AO21" i="266"/>
  <c r="AR30" i="266"/>
  <c r="AR31" i="266"/>
  <c r="AR35" i="266"/>
  <c r="AR43" i="266"/>
  <c r="AR47" i="266"/>
  <c r="AO54" i="266"/>
  <c r="AS57" i="266"/>
  <c r="AW57" i="266" s="1"/>
  <c r="AR60" i="266"/>
  <c r="AO67" i="266"/>
  <c r="AS84" i="266"/>
  <c r="AW84" i="266" s="1"/>
  <c r="AO85" i="266"/>
  <c r="AR100" i="266"/>
  <c r="AR102" i="266"/>
  <c r="AR56" i="266"/>
  <c r="AQ8" i="266"/>
  <c r="AK9" i="266"/>
  <c r="AR32" i="266"/>
  <c r="AR33" i="266"/>
  <c r="AR40" i="266"/>
  <c r="AR44" i="266"/>
  <c r="AR45" i="266"/>
  <c r="AK68" i="266"/>
  <c r="AR70" i="266"/>
  <c r="AV84" i="266"/>
  <c r="AR101" i="266"/>
  <c r="AK12" i="266"/>
  <c r="AR16" i="266"/>
  <c r="AR65" i="266"/>
  <c r="AR84" i="266"/>
  <c r="AV87" i="266"/>
  <c r="AV24" i="266"/>
  <c r="AK29" i="266"/>
  <c r="AR53" i="266"/>
  <c r="AV61" i="266"/>
  <c r="AS6" i="266"/>
  <c r="AV7" i="266"/>
  <c r="AV8" i="266"/>
  <c r="AO11" i="266"/>
  <c r="AO12" i="266"/>
  <c r="AQ13" i="266"/>
  <c r="AS25" i="266"/>
  <c r="AW25" i="266" s="1"/>
  <c r="AV25" i="266"/>
  <c r="AO27" i="266"/>
  <c r="AO29" i="266"/>
  <c r="AO34" i="266"/>
  <c r="AS38" i="266"/>
  <c r="AW38" i="266" s="1"/>
  <c r="AO46" i="266"/>
  <c r="AO47" i="266"/>
  <c r="AS50" i="266"/>
  <c r="AW50" i="266" s="1"/>
  <c r="AO59" i="266"/>
  <c r="AS62" i="266"/>
  <c r="AS73" i="266"/>
  <c r="AR77" i="266"/>
  <c r="AO80" i="266"/>
  <c r="AS88" i="266"/>
  <c r="AR94" i="266"/>
  <c r="AO97" i="266"/>
  <c r="AS121" i="266"/>
  <c r="AS122" i="266"/>
  <c r="AV172" i="266"/>
  <c r="AR176" i="266"/>
  <c r="AC19" i="266"/>
  <c r="AP17" i="266"/>
  <c r="AE16" i="266"/>
  <c r="AP16" i="266"/>
  <c r="AP14" i="266"/>
  <c r="AW14" i="266" s="1"/>
  <c r="AE13" i="266"/>
  <c r="AC12" i="266"/>
  <c r="AR12" i="266"/>
  <c r="AP11" i="266"/>
  <c r="AS11" i="266"/>
  <c r="AE9" i="266"/>
  <c r="AD8" i="266"/>
  <c r="AC6" i="266"/>
  <c r="AR6" i="266"/>
  <c r="AP81" i="265"/>
  <c r="AD78" i="265"/>
  <c r="AP73" i="265"/>
  <c r="AP77" i="265"/>
  <c r="AP75" i="265"/>
  <c r="AE72" i="265"/>
  <c r="AD69" i="265"/>
  <c r="AD66" i="265"/>
  <c r="AP65" i="265"/>
  <c r="AW63" i="265"/>
  <c r="AD63" i="265"/>
  <c r="AS63" i="265"/>
  <c r="AE62" i="265"/>
  <c r="AP60" i="265"/>
  <c r="AD59" i="265"/>
  <c r="AD53" i="265"/>
  <c r="AS53" i="265"/>
  <c r="AW53" i="265" s="1"/>
  <c r="AD51" i="265"/>
  <c r="AP49" i="265"/>
  <c r="AE49" i="265"/>
  <c r="AD47" i="265"/>
  <c r="AD44" i="265"/>
  <c r="AP43" i="265"/>
  <c r="AP41" i="265"/>
  <c r="AE40" i="265"/>
  <c r="AD39" i="265"/>
  <c r="AP37" i="265"/>
  <c r="AP35" i="265"/>
  <c r="AW35" i="265" s="1"/>
  <c r="AP31" i="265"/>
  <c r="AP32" i="265"/>
  <c r="AS28" i="265"/>
  <c r="AW28" i="265" s="1"/>
  <c r="AP25" i="265"/>
  <c r="AR23" i="265"/>
  <c r="AW21" i="265"/>
  <c r="AP17" i="265"/>
  <c r="AR19" i="265"/>
  <c r="AS18" i="265"/>
  <c r="AW18" i="265" s="1"/>
  <c r="AD16" i="265"/>
  <c r="AE16" i="265"/>
  <c r="AS14" i="265"/>
  <c r="AW14" i="265"/>
  <c r="AP13" i="265"/>
  <c r="AP12" i="265"/>
  <c r="AW12" i="265" s="1"/>
  <c r="AS10" i="265"/>
  <c r="AW10" i="265" s="1"/>
  <c r="AP9" i="265"/>
  <c r="AD8" i="265"/>
  <c r="AE8" i="265"/>
  <c r="AE7" i="265"/>
  <c r="AW6" i="265"/>
  <c r="AS6" i="265"/>
  <c r="AD85" i="267"/>
  <c r="AE80" i="267"/>
  <c r="AD78" i="267"/>
  <c r="AE78" i="267"/>
  <c r="AD77" i="267"/>
  <c r="AP73" i="267"/>
  <c r="AD71" i="267"/>
  <c r="AE70" i="267"/>
  <c r="AE68" i="267"/>
  <c r="AD67" i="267"/>
  <c r="AW64" i="267"/>
  <c r="AD61" i="267"/>
  <c r="AE60" i="267"/>
  <c r="AD57" i="267"/>
  <c r="AE56" i="267"/>
  <c r="AS54" i="267"/>
  <c r="AW54" i="267" s="1"/>
  <c r="AE54" i="267"/>
  <c r="AP53" i="267"/>
  <c r="AD51" i="267"/>
  <c r="AE50" i="267"/>
  <c r="AD49" i="267"/>
  <c r="AR49" i="267"/>
  <c r="AP47" i="267"/>
  <c r="AE46" i="267"/>
  <c r="AP45" i="267"/>
  <c r="AD43" i="267"/>
  <c r="AE42" i="267"/>
  <c r="AD41" i="267"/>
  <c r="AP39" i="267"/>
  <c r="AR39" i="267"/>
  <c r="AE38" i="267"/>
  <c r="AD35" i="267"/>
  <c r="AE34" i="267"/>
  <c r="AD31" i="267"/>
  <c r="AS28" i="267"/>
  <c r="AW28" i="267"/>
  <c r="AE28" i="267"/>
  <c r="AP27" i="267"/>
  <c r="AP23" i="267"/>
  <c r="AE22" i="267"/>
  <c r="AP19" i="267"/>
  <c r="AE20" i="267"/>
  <c r="AE18" i="267"/>
  <c r="AD13" i="267"/>
  <c r="AD15" i="267"/>
  <c r="AE14" i="267"/>
  <c r="AP11" i="267"/>
  <c r="AD7" i="267"/>
  <c r="AC6" i="267"/>
  <c r="AE8" i="267"/>
  <c r="AE6" i="267"/>
  <c r="AP238" i="268"/>
  <c r="AD237" i="268"/>
  <c r="AD239" i="268"/>
  <c r="AE238" i="268"/>
  <c r="AP233" i="268"/>
  <c r="AP235" i="268"/>
  <c r="AD231" i="268"/>
  <c r="AD225" i="268"/>
  <c r="AP222" i="268"/>
  <c r="AD221" i="268"/>
  <c r="AD217" i="268"/>
  <c r="AD216" i="268"/>
  <c r="AP213" i="268"/>
  <c r="AP211" i="268"/>
  <c r="AP210" i="268"/>
  <c r="AD207" i="268"/>
  <c r="AP205" i="268"/>
  <c r="AD203" i="268"/>
  <c r="AP200" i="268"/>
  <c r="AD199" i="268"/>
  <c r="AD195" i="268"/>
  <c r="AP191" i="268"/>
  <c r="AP193" i="268"/>
  <c r="AD187" i="268"/>
  <c r="AP185" i="268"/>
  <c r="AP184" i="268"/>
  <c r="AP179" i="268"/>
  <c r="AW179" i="268" s="1"/>
  <c r="AP181" i="268"/>
  <c r="AP178" i="268"/>
  <c r="AP175" i="268"/>
  <c r="AP173" i="268"/>
  <c r="AD167" i="268"/>
  <c r="AD165" i="268"/>
  <c r="AP164" i="268"/>
  <c r="AD159" i="268"/>
  <c r="AP157" i="268"/>
  <c r="AP155" i="268"/>
  <c r="AD153" i="268"/>
  <c r="AP149" i="268"/>
  <c r="AP146" i="268"/>
  <c r="AD145" i="268"/>
  <c r="AD143" i="268"/>
  <c r="AP110" i="268"/>
  <c r="AD131" i="268"/>
  <c r="AP126" i="268"/>
  <c r="AD118" i="268"/>
  <c r="AP117" i="268"/>
  <c r="AD112" i="268"/>
  <c r="AD109" i="268"/>
  <c r="AD103" i="268"/>
  <c r="AP100" i="268"/>
  <c r="AP99" i="268"/>
  <c r="AP93" i="268"/>
  <c r="AP91" i="268"/>
  <c r="AP89" i="268"/>
  <c r="AW89" i="268" s="1"/>
  <c r="AP97" i="268"/>
  <c r="AP96" i="268"/>
  <c r="AD94" i="268"/>
  <c r="AE93" i="268"/>
  <c r="AC89" i="268"/>
  <c r="AD88" i="268"/>
  <c r="AP85" i="268"/>
  <c r="AC84" i="268"/>
  <c r="AP83" i="268"/>
  <c r="AD82" i="268"/>
  <c r="AP76" i="268"/>
  <c r="AP79" i="268"/>
  <c r="AP77" i="268"/>
  <c r="AP73" i="268"/>
  <c r="AP71" i="268"/>
  <c r="AD70" i="268"/>
  <c r="AW59" i="268"/>
  <c r="AW56" i="268"/>
  <c r="AD56" i="268"/>
  <c r="AC56" i="268"/>
  <c r="AP55" i="268"/>
  <c r="AW55" i="268" s="1"/>
  <c r="AW54" i="268"/>
  <c r="AP51" i="268"/>
  <c r="AC49" i="268"/>
  <c r="AW30" i="268"/>
  <c r="AP45" i="268"/>
  <c r="AD42" i="268"/>
  <c r="AP49" i="268"/>
  <c r="AW49" i="268" s="1"/>
  <c r="AW48" i="268"/>
  <c r="AD48" i="268"/>
  <c r="AC42" i="268"/>
  <c r="AP41" i="268"/>
  <c r="AW41" i="268" s="1"/>
  <c r="AP39" i="268"/>
  <c r="AP36" i="268"/>
  <c r="AW36" i="268" s="1"/>
  <c r="AC36" i="268"/>
  <c r="AP33" i="268"/>
  <c r="AP26" i="268"/>
  <c r="AW26" i="268" s="1"/>
  <c r="AC26" i="268"/>
  <c r="AP25" i="268"/>
  <c r="AW25" i="268" s="1"/>
  <c r="AW24" i="268"/>
  <c r="AW20" i="268"/>
  <c r="AD20" i="268"/>
  <c r="AC20" i="268"/>
  <c r="AP17" i="268"/>
  <c r="AP11" i="268"/>
  <c r="AW8" i="268"/>
  <c r="AO25" i="266"/>
  <c r="AK25" i="266"/>
  <c r="AS62" i="268"/>
  <c r="AC62" i="268"/>
  <c r="AR82" i="265"/>
  <c r="AR74" i="265"/>
  <c r="AR46" i="265"/>
  <c r="AR79" i="265"/>
  <c r="AR71" i="265"/>
  <c r="AR55" i="265"/>
  <c r="AS11" i="265"/>
  <c r="AW11" i="265" s="1"/>
  <c r="AR12" i="265"/>
  <c r="AE13" i="265"/>
  <c r="AD14" i="265"/>
  <c r="AC15" i="265"/>
  <c r="AV17" i="265"/>
  <c r="AS19" i="265"/>
  <c r="AW19" i="265" s="1"/>
  <c r="AC21" i="265"/>
  <c r="AO21" i="265"/>
  <c r="AS23" i="265"/>
  <c r="AW23" i="265" s="1"/>
  <c r="AV24" i="265"/>
  <c r="AK25" i="265"/>
  <c r="AV28" i="265"/>
  <c r="AC31" i="265"/>
  <c r="AS31" i="265"/>
  <c r="AS33" i="265"/>
  <c r="AR35" i="265"/>
  <c r="AR37" i="265"/>
  <c r="AE37" i="265"/>
  <c r="AO39" i="265"/>
  <c r="AK39" i="265"/>
  <c r="AO44" i="265"/>
  <c r="AR47" i="265"/>
  <c r="AS56" i="265"/>
  <c r="AW56" i="265" s="1"/>
  <c r="AC56" i="265"/>
  <c r="AV56" i="265"/>
  <c r="AR59" i="265"/>
  <c r="AE59" i="265"/>
  <c r="AO64" i="265"/>
  <c r="AK68" i="265"/>
  <c r="AK71" i="265"/>
  <c r="AV73" i="265"/>
  <c r="AO75" i="265"/>
  <c r="AO78" i="265"/>
  <c r="AR80" i="265"/>
  <c r="AK82" i="265"/>
  <c r="AK19" i="266"/>
  <c r="AS24" i="266"/>
  <c r="AW24" i="266" s="1"/>
  <c r="AC24" i="266"/>
  <c r="AS30" i="266"/>
  <c r="AW30" i="266" s="1"/>
  <c r="AC30" i="266"/>
  <c r="AK38" i="266"/>
  <c r="AK52" i="266"/>
  <c r="AK59" i="266"/>
  <c r="AK72" i="266"/>
  <c r="AS74" i="266"/>
  <c r="AW74" i="266" s="1"/>
  <c r="AC74" i="266"/>
  <c r="AO75" i="266"/>
  <c r="AK75" i="266"/>
  <c r="AS82" i="266"/>
  <c r="AC82" i="266"/>
  <c r="AR36" i="266"/>
  <c r="AE36" i="266"/>
  <c r="AO61" i="266"/>
  <c r="AK61" i="266"/>
  <c r="AD6" i="265"/>
  <c r="AC7" i="265"/>
  <c r="AK8" i="265"/>
  <c r="AO15" i="265"/>
  <c r="AK16" i="265"/>
  <c r="AS81" i="265"/>
  <c r="AW81" i="265" s="1"/>
  <c r="AS73" i="265"/>
  <c r="AW73" i="265" s="1"/>
  <c r="AS78" i="265"/>
  <c r="AW78" i="265" s="1"/>
  <c r="AS66" i="265"/>
  <c r="AW66" i="265" s="1"/>
  <c r="AS60" i="265"/>
  <c r="AS44" i="265"/>
  <c r="AW44" i="265" s="1"/>
  <c r="AS48" i="265"/>
  <c r="AW48" i="265" s="1"/>
  <c r="AS42" i="265"/>
  <c r="AW42" i="265" s="1"/>
  <c r="AS36" i="265"/>
  <c r="AW36" i="265" s="1"/>
  <c r="AS30" i="265"/>
  <c r="AV3" i="265"/>
  <c r="AE6" i="265"/>
  <c r="AD7" i="265"/>
  <c r="AC8" i="265"/>
  <c r="AO8" i="265"/>
  <c r="AK9" i="265"/>
  <c r="AV10" i="265"/>
  <c r="AS12" i="265"/>
  <c r="AE14" i="265"/>
  <c r="AD15" i="265"/>
  <c r="AC16" i="265"/>
  <c r="AO16" i="265"/>
  <c r="AK17" i="265"/>
  <c r="AV18" i="265"/>
  <c r="AU19" i="265"/>
  <c r="AD21" i="265"/>
  <c r="AU23" i="265"/>
  <c r="AK27" i="265"/>
  <c r="AR28" i="265"/>
  <c r="AP33" i="265"/>
  <c r="AW33" i="265" s="1"/>
  <c r="AD33" i="265"/>
  <c r="AC33" i="265"/>
  <c r="AR33" i="265"/>
  <c r="AS35" i="265"/>
  <c r="AR41" i="265"/>
  <c r="AR43" i="265"/>
  <c r="AE43" i="265"/>
  <c r="AS47" i="265"/>
  <c r="AW47" i="265" s="1"/>
  <c r="AO65" i="265"/>
  <c r="AR73" i="265"/>
  <c r="AS74" i="265"/>
  <c r="AW74" i="265" s="1"/>
  <c r="AR77" i="265"/>
  <c r="AE77" i="265"/>
  <c r="AK79" i="265"/>
  <c r="AR11" i="266"/>
  <c r="AE11" i="266"/>
  <c r="AR17" i="266"/>
  <c r="AE17" i="266"/>
  <c r="AE47" i="266"/>
  <c r="AK66" i="266"/>
  <c r="AS68" i="266"/>
  <c r="AC68" i="266"/>
  <c r="AE77" i="266"/>
  <c r="AV79" i="265"/>
  <c r="AV71" i="265"/>
  <c r="AV55" i="265"/>
  <c r="AV33" i="265"/>
  <c r="AV27" i="265"/>
  <c r="AV78" i="265"/>
  <c r="AV66" i="265"/>
  <c r="AV60" i="265"/>
  <c r="AV44" i="265"/>
  <c r="AV77" i="265"/>
  <c r="AV65" i="265"/>
  <c r="AV59" i="265"/>
  <c r="AV49" i="265"/>
  <c r="AV43" i="265"/>
  <c r="AV37" i="265"/>
  <c r="AV31" i="265"/>
  <c r="AV76" i="265"/>
  <c r="AV64" i="265"/>
  <c r="AV58" i="265"/>
  <c r="AV48" i="265"/>
  <c r="AV75" i="265"/>
  <c r="AV69" i="265"/>
  <c r="AV63" i="265"/>
  <c r="AV53" i="265"/>
  <c r="AV47" i="265"/>
  <c r="AV41" i="265"/>
  <c r="AV35" i="265"/>
  <c r="AV82" i="265"/>
  <c r="AV74" i="265"/>
  <c r="AV68" i="265"/>
  <c r="AV62" i="265"/>
  <c r="AV52" i="265"/>
  <c r="AV46" i="265"/>
  <c r="AV40" i="265"/>
  <c r="AO77" i="265"/>
  <c r="AO49" i="265"/>
  <c r="AO37" i="265"/>
  <c r="AO69" i="265"/>
  <c r="AO53" i="265"/>
  <c r="AO82" i="265"/>
  <c r="AO74" i="265"/>
  <c r="AO68" i="265"/>
  <c r="AO62" i="265"/>
  <c r="AO52" i="265"/>
  <c r="AO46" i="265"/>
  <c r="AK10" i="265"/>
  <c r="AV11" i="265"/>
  <c r="AU12" i="265"/>
  <c r="AS13" i="265"/>
  <c r="AK18" i="265"/>
  <c r="AV19" i="265"/>
  <c r="AV23" i="265"/>
  <c r="AO27" i="265"/>
  <c r="AR31" i="265"/>
  <c r="AE31" i="265"/>
  <c r="AK32" i="265"/>
  <c r="AU32" i="265"/>
  <c r="AO36" i="265"/>
  <c r="AK36" i="265"/>
  <c r="AU36" i="265"/>
  <c r="AS41" i="265"/>
  <c r="AO48" i="265"/>
  <c r="AS51" i="265"/>
  <c r="AW51" i="265" s="1"/>
  <c r="AK52" i="265"/>
  <c r="AR56" i="265"/>
  <c r="AR60" i="265"/>
  <c r="AE60" i="265"/>
  <c r="AS64" i="265"/>
  <c r="AW64" i="265" s="1"/>
  <c r="AR64" i="265"/>
  <c r="AS68" i="265"/>
  <c r="AW68" i="265" s="1"/>
  <c r="AS71" i="265"/>
  <c r="AU72" i="265"/>
  <c r="AO72" i="265"/>
  <c r="AO79" i="265"/>
  <c r="AR81" i="265"/>
  <c r="AS82" i="265"/>
  <c r="AW82" i="265" s="1"/>
  <c r="AU25" i="266"/>
  <c r="AK26" i="266"/>
  <c r="AK32" i="266"/>
  <c r="AP59" i="266"/>
  <c r="AW59" i="266" s="1"/>
  <c r="AD59" i="266"/>
  <c r="AU61" i="266"/>
  <c r="AE71" i="266"/>
  <c r="AP72" i="266"/>
  <c r="AW72" i="266" s="1"/>
  <c r="AU75" i="266"/>
  <c r="AK19" i="265"/>
  <c r="AR21" i="265"/>
  <c r="AK23" i="265"/>
  <c r="AK24" i="265"/>
  <c r="AR25" i="265"/>
  <c r="AS27" i="265"/>
  <c r="AK30" i="265"/>
  <c r="AU30" i="265"/>
  <c r="AO32" i="265"/>
  <c r="AS39" i="265"/>
  <c r="AW39" i="265" s="1"/>
  <c r="AK40" i="265"/>
  <c r="AO42" i="265"/>
  <c r="AK42" i="265"/>
  <c r="AU42" i="265"/>
  <c r="AR44" i="265"/>
  <c r="AE44" i="265"/>
  <c r="AV51" i="265"/>
  <c r="AK55" i="265"/>
  <c r="AO58" i="265"/>
  <c r="AK62" i="265"/>
  <c r="AK66" i="265"/>
  <c r="AP71" i="265"/>
  <c r="AD71" i="265"/>
  <c r="AK72" i="265"/>
  <c r="AR75" i="265"/>
  <c r="AR78" i="265"/>
  <c r="AE78" i="265"/>
  <c r="AS79" i="265"/>
  <c r="AU80" i="265"/>
  <c r="AO80" i="265"/>
  <c r="AP6" i="266"/>
  <c r="AD6" i="266"/>
  <c r="AU7" i="266"/>
  <c r="AO7" i="266"/>
  <c r="AP12" i="266"/>
  <c r="AD12" i="266"/>
  <c r="AU13" i="266"/>
  <c r="AO13" i="266"/>
  <c r="AP19" i="266"/>
  <c r="AD19" i="266"/>
  <c r="AK36" i="266"/>
  <c r="AE41" i="266"/>
  <c r="AO43" i="266"/>
  <c r="AK43" i="266"/>
  <c r="AR48" i="266"/>
  <c r="AE48" i="266"/>
  <c r="AK54" i="266"/>
  <c r="AU60" i="266"/>
  <c r="AO60" i="266"/>
  <c r="AE65" i="266"/>
  <c r="AK73" i="266"/>
  <c r="AE78" i="266"/>
  <c r="AO51" i="265"/>
  <c r="AK51" i="265"/>
  <c r="AR66" i="265"/>
  <c r="AE66" i="265"/>
  <c r="AR54" i="266"/>
  <c r="AE54" i="266"/>
  <c r="AR15" i="265"/>
  <c r="AE9" i="265"/>
  <c r="AD10" i="265"/>
  <c r="AO11" i="265"/>
  <c r="AK12" i="265"/>
  <c r="AV13" i="265"/>
  <c r="AE17" i="265"/>
  <c r="AD18" i="265"/>
  <c r="AS25" i="265"/>
  <c r="AP27" i="265"/>
  <c r="AD27" i="265"/>
  <c r="AC27" i="265"/>
  <c r="AR27" i="265"/>
  <c r="AU28" i="265"/>
  <c r="AO28" i="265"/>
  <c r="AO30" i="265"/>
  <c r="AO35" i="265"/>
  <c r="AR36" i="265"/>
  <c r="AV39" i="265"/>
  <c r="AO40" i="265"/>
  <c r="AK46" i="265"/>
  <c r="AR48" i="265"/>
  <c r="AR51" i="265"/>
  <c r="AS52" i="265"/>
  <c r="AW52" i="265" s="1"/>
  <c r="AO55" i="265"/>
  <c r="AO59" i="265"/>
  <c r="AO63" i="265"/>
  <c r="AO66" i="265"/>
  <c r="AR68" i="265"/>
  <c r="AR69" i="265"/>
  <c r="AO73" i="265"/>
  <c r="AK73" i="265"/>
  <c r="AS75" i="265"/>
  <c r="AW75" i="265" s="1"/>
  <c r="AO76" i="265"/>
  <c r="AP79" i="265"/>
  <c r="AW79" i="265" s="1"/>
  <c r="AD79" i="265"/>
  <c r="AC79" i="265"/>
  <c r="AK80" i="265"/>
  <c r="AK7" i="266"/>
  <c r="AK13" i="266"/>
  <c r="AK60" i="266"/>
  <c r="AR72" i="266"/>
  <c r="AE72" i="266"/>
  <c r="AI1" i="265"/>
  <c r="AI2" i="265" s="1"/>
  <c r="AV6" i="265"/>
  <c r="AE10" i="265"/>
  <c r="AD11" i="265"/>
  <c r="AK13" i="265"/>
  <c r="AV14" i="265"/>
  <c r="AD19" i="265"/>
  <c r="AD23" i="265"/>
  <c r="AP24" i="265"/>
  <c r="AW24" i="265" s="1"/>
  <c r="AD24" i="265"/>
  <c r="AU25" i="265"/>
  <c r="AK28" i="265"/>
  <c r="AV36" i="265"/>
  <c r="AR39" i="265"/>
  <c r="AE39" i="265"/>
  <c r="AO41" i="265"/>
  <c r="AR42" i="265"/>
  <c r="AO43" i="265"/>
  <c r="AO47" i="265"/>
  <c r="AS55" i="265"/>
  <c r="AU56" i="265"/>
  <c r="AO56" i="265"/>
  <c r="AS58" i="265"/>
  <c r="AW58" i="265" s="1"/>
  <c r="AR58" i="265"/>
  <c r="AS62" i="265"/>
  <c r="AW62" i="265" s="1"/>
  <c r="AR65" i="265"/>
  <c r="AE65" i="265"/>
  <c r="AS69" i="265"/>
  <c r="AW69" i="265" s="1"/>
  <c r="AS72" i="265"/>
  <c r="AW72" i="265" s="1"/>
  <c r="AC72" i="265"/>
  <c r="AV72" i="265"/>
  <c r="AO81" i="265"/>
  <c r="AK81" i="265"/>
  <c r="AK240" i="266"/>
  <c r="AK239" i="266"/>
  <c r="AK231" i="266"/>
  <c r="AK225" i="266"/>
  <c r="AK209" i="266"/>
  <c r="AK201" i="266"/>
  <c r="AK193" i="266"/>
  <c r="AK187" i="266"/>
  <c r="AK181" i="266"/>
  <c r="AK175" i="266"/>
  <c r="AK169" i="266"/>
  <c r="AK237" i="266"/>
  <c r="AK229" i="266"/>
  <c r="AK223" i="266"/>
  <c r="AK213" i="266"/>
  <c r="AK207" i="266"/>
  <c r="AK199" i="266"/>
  <c r="AK167" i="266"/>
  <c r="AK161" i="266"/>
  <c r="AK153" i="266"/>
  <c r="AK145" i="266"/>
  <c r="AK149" i="266"/>
  <c r="AK189" i="266"/>
  <c r="AK171" i="266"/>
  <c r="AK163" i="266"/>
  <c r="AK119" i="266"/>
  <c r="AK112" i="266"/>
  <c r="AK103" i="266"/>
  <c r="AK147" i="266"/>
  <c r="AK133" i="266"/>
  <c r="AK131" i="266"/>
  <c r="AK177" i="266"/>
  <c r="AK157" i="266"/>
  <c r="AK113" i="266"/>
  <c r="AK109" i="266"/>
  <c r="AK101" i="266"/>
  <c r="AK242" i="266"/>
  <c r="AK221" i="266"/>
  <c r="AK211" i="266"/>
  <c r="AK203" i="266"/>
  <c r="AK195" i="266"/>
  <c r="AK139" i="266"/>
  <c r="AK129" i="266"/>
  <c r="AK125" i="266"/>
  <c r="AK155" i="266"/>
  <c r="AK137" i="266"/>
  <c r="AK121" i="266"/>
  <c r="AK122" i="266"/>
  <c r="AK80" i="266"/>
  <c r="AK233" i="266"/>
  <c r="AK141" i="266"/>
  <c r="AK82" i="266"/>
  <c r="AK77" i="266"/>
  <c r="AK71" i="266"/>
  <c r="AK65" i="266"/>
  <c r="AK53" i="266"/>
  <c r="AK47" i="266"/>
  <c r="AK41" i="266"/>
  <c r="AK35" i="266"/>
  <c r="AK16" i="266"/>
  <c r="AK183" i="266"/>
  <c r="AK134" i="266"/>
  <c r="AK86" i="266"/>
  <c r="AK63" i="266"/>
  <c r="AK57" i="266"/>
  <c r="AK51" i="266"/>
  <c r="AK45" i="266"/>
  <c r="AK39" i="266"/>
  <c r="AK33" i="266"/>
  <c r="AK27" i="266"/>
  <c r="AK21" i="266"/>
  <c r="AK62" i="266"/>
  <c r="AK56" i="266"/>
  <c r="AK50" i="266"/>
  <c r="AK83" i="266"/>
  <c r="AK117" i="266"/>
  <c r="AK106" i="266"/>
  <c r="AK98" i="266"/>
  <c r="AK92" i="266"/>
  <c r="AK89" i="266"/>
  <c r="AO8" i="266"/>
  <c r="AK8" i="266"/>
  <c r="AK11" i="266"/>
  <c r="AO14" i="266"/>
  <c r="AK14" i="266"/>
  <c r="AK17" i="266"/>
  <c r="AU24" i="266"/>
  <c r="AO24" i="266"/>
  <c r="AU30" i="266"/>
  <c r="AO30" i="266"/>
  <c r="AE35" i="266"/>
  <c r="AE53" i="266"/>
  <c r="AS60" i="266"/>
  <c r="AC60" i="266"/>
  <c r="AR66" i="266"/>
  <c r="AE66" i="266"/>
  <c r="AK70" i="266"/>
  <c r="AP73" i="266"/>
  <c r="AW73" i="266" s="1"/>
  <c r="AD73" i="266"/>
  <c r="AC73" i="266"/>
  <c r="AU74" i="266"/>
  <c r="AO74" i="266"/>
  <c r="AS80" i="266"/>
  <c r="AC80" i="266"/>
  <c r="AO31" i="266"/>
  <c r="AK31" i="266"/>
  <c r="AP6" i="267"/>
  <c r="AW6" i="267" s="1"/>
  <c r="AD6" i="267"/>
  <c r="AK77" i="265"/>
  <c r="AK65" i="265"/>
  <c r="AK59" i="265"/>
  <c r="AK49" i="265"/>
  <c r="AK43" i="265"/>
  <c r="AK37" i="265"/>
  <c r="AK75" i="265"/>
  <c r="AK69" i="265"/>
  <c r="AK63" i="265"/>
  <c r="AK53" i="265"/>
  <c r="AK47" i="265"/>
  <c r="AK6" i="265"/>
  <c r="AV7" i="265"/>
  <c r="AS9" i="265"/>
  <c r="AK14" i="265"/>
  <c r="AV15" i="265"/>
  <c r="AS17" i="265"/>
  <c r="AW17" i="265" s="1"/>
  <c r="AR18" i="265"/>
  <c r="AV21" i="265"/>
  <c r="AR24" i="265"/>
  <c r="AE24" i="265"/>
  <c r="AS24" i="265"/>
  <c r="AV25" i="265"/>
  <c r="AP30" i="265"/>
  <c r="AW30" i="265" s="1"/>
  <c r="AD30" i="265"/>
  <c r="AR30" i="265"/>
  <c r="AO31" i="265"/>
  <c r="AR32" i="265"/>
  <c r="AE32" i="265"/>
  <c r="AS32" i="265"/>
  <c r="AK33" i="265"/>
  <c r="AP40" i="265"/>
  <c r="AW40" i="265" s="1"/>
  <c r="AD40" i="265"/>
  <c r="AS40" i="265"/>
  <c r="AK41" i="265"/>
  <c r="AV42" i="265"/>
  <c r="AS46" i="265"/>
  <c r="AW46" i="265" s="1"/>
  <c r="AR52" i="265"/>
  <c r="AR53" i="265"/>
  <c r="AP55" i="265"/>
  <c r="AW55" i="265" s="1"/>
  <c r="AD55" i="265"/>
  <c r="AK56" i="265"/>
  <c r="AK60" i="265"/>
  <c r="AS76" i="265"/>
  <c r="AW76" i="265" s="1"/>
  <c r="AR76" i="265"/>
  <c r="AS80" i="265"/>
  <c r="AW80" i="265" s="1"/>
  <c r="AC80" i="265"/>
  <c r="AV80" i="265"/>
  <c r="AS7" i="266"/>
  <c r="AW7" i="266" s="1"/>
  <c r="AC7" i="266"/>
  <c r="AS13" i="266"/>
  <c r="AC13" i="266"/>
  <c r="AK24" i="266"/>
  <c r="AP29" i="266"/>
  <c r="AD29" i="266"/>
  <c r="AC29" i="266"/>
  <c r="AK30" i="266"/>
  <c r="AU43" i="266"/>
  <c r="AK44" i="266"/>
  <c r="AK64" i="266"/>
  <c r="AP67" i="266"/>
  <c r="AW67" i="266" s="1"/>
  <c r="AD67" i="266"/>
  <c r="AC67" i="266"/>
  <c r="AU68" i="266"/>
  <c r="AO68" i="266"/>
  <c r="AK74" i="266"/>
  <c r="AU150" i="266"/>
  <c r="AO150" i="266"/>
  <c r="AK150" i="266"/>
  <c r="AK79" i="266"/>
  <c r="AP80" i="266"/>
  <c r="AD80" i="266"/>
  <c r="AP82" i="266"/>
  <c r="AD82" i="266"/>
  <c r="AE84" i="266"/>
  <c r="AU63" i="265"/>
  <c r="AU75" i="265"/>
  <c r="AR234" i="266"/>
  <c r="AR216" i="266"/>
  <c r="AR204" i="266"/>
  <c r="AR196" i="266"/>
  <c r="AR190" i="266"/>
  <c r="AR184" i="266"/>
  <c r="AR178" i="266"/>
  <c r="AR172" i="266"/>
  <c r="AR164" i="266"/>
  <c r="AR158" i="266"/>
  <c r="AR150" i="266"/>
  <c r="AR142" i="266"/>
  <c r="AR134" i="266"/>
  <c r="AR233" i="266"/>
  <c r="AR221" i="266"/>
  <c r="AR211" i="266"/>
  <c r="AR203" i="266"/>
  <c r="AR195" i="266"/>
  <c r="AR189" i="266"/>
  <c r="AR183" i="266"/>
  <c r="AR177" i="266"/>
  <c r="AR171" i="266"/>
  <c r="AR163" i="266"/>
  <c r="AR157" i="266"/>
  <c r="AR149" i="266"/>
  <c r="AR238" i="266"/>
  <c r="AR230" i="266"/>
  <c r="AR224" i="266"/>
  <c r="AR214" i="266"/>
  <c r="AR208" i="266"/>
  <c r="AR200" i="266"/>
  <c r="AR192" i="266"/>
  <c r="AR186" i="266"/>
  <c r="AR180" i="266"/>
  <c r="AR168" i="266"/>
  <c r="AR154" i="266"/>
  <c r="AR146" i="266"/>
  <c r="AR237" i="266"/>
  <c r="AR229" i="266"/>
  <c r="AR223" i="266"/>
  <c r="AR133" i="266"/>
  <c r="AR135" i="266"/>
  <c r="AR129" i="266"/>
  <c r="AR121" i="266"/>
  <c r="AR167" i="266"/>
  <c r="AR151" i="266"/>
  <c r="AR126" i="266"/>
  <c r="AR106" i="266"/>
  <c r="AR98" i="266"/>
  <c r="AR92" i="266"/>
  <c r="AR86" i="266"/>
  <c r="AR122" i="266"/>
  <c r="AR105" i="266"/>
  <c r="AR97" i="266"/>
  <c r="AR161" i="266"/>
  <c r="AR141" i="266"/>
  <c r="AR130" i="266"/>
  <c r="AR118" i="266"/>
  <c r="AR213" i="266"/>
  <c r="AR207" i="266"/>
  <c r="AR199" i="266"/>
  <c r="AR138" i="266"/>
  <c r="AR103" i="266"/>
  <c r="AS3" i="266"/>
  <c r="AV9" i="266"/>
  <c r="AW9" i="266" s="1"/>
  <c r="AS22" i="266"/>
  <c r="AW22" i="266" s="1"/>
  <c r="AV26" i="266"/>
  <c r="AV32" i="266"/>
  <c r="AS34" i="266"/>
  <c r="AW34" i="266" s="1"/>
  <c r="AV38" i="266"/>
  <c r="AS40" i="266"/>
  <c r="AW40" i="266" s="1"/>
  <c r="AV44" i="266"/>
  <c r="AS46" i="266"/>
  <c r="AW46" i="266" s="1"/>
  <c r="AV50" i="266"/>
  <c r="AU51" i="266"/>
  <c r="AS52" i="266"/>
  <c r="AW52" i="266" s="1"/>
  <c r="AV56" i="266"/>
  <c r="AU57" i="266"/>
  <c r="AV62" i="266"/>
  <c r="AU63" i="266"/>
  <c r="AS64" i="266"/>
  <c r="AS70" i="266"/>
  <c r="AW70" i="266" s="1"/>
  <c r="AV78" i="266"/>
  <c r="AO79" i="266"/>
  <c r="AR80" i="266"/>
  <c r="AP85" i="266"/>
  <c r="AW85" i="266" s="1"/>
  <c r="AR87" i="266"/>
  <c r="AE87" i="266"/>
  <c r="AP88" i="266"/>
  <c r="AW88" i="266" s="1"/>
  <c r="AD88" i="266"/>
  <c r="AU93" i="266"/>
  <c r="AO93" i="266"/>
  <c r="AK93" i="266"/>
  <c r="AU99" i="266"/>
  <c r="AO99" i="266"/>
  <c r="AK99" i="266"/>
  <c r="AU107" i="266"/>
  <c r="AO107" i="266"/>
  <c r="AK107" i="266"/>
  <c r="AO111" i="266"/>
  <c r="AV116" i="266"/>
  <c r="AU126" i="266"/>
  <c r="AO126" i="266"/>
  <c r="AK126" i="266"/>
  <c r="AR131" i="266"/>
  <c r="AE143" i="266"/>
  <c r="AR143" i="266"/>
  <c r="AR156" i="266"/>
  <c r="AS171" i="266"/>
  <c r="AC171" i="266"/>
  <c r="AV190" i="266"/>
  <c r="AR205" i="266"/>
  <c r="AD28" i="265"/>
  <c r="AS37" i="265"/>
  <c r="AW37" i="265" s="1"/>
  <c r="AC39" i="265"/>
  <c r="AS43" i="265"/>
  <c r="AU48" i="265"/>
  <c r="AS49" i="265"/>
  <c r="AC51" i="265"/>
  <c r="AD56" i="265"/>
  <c r="AU58" i="265"/>
  <c r="AS59" i="265"/>
  <c r="AW59" i="265" s="1"/>
  <c r="AU64" i="265"/>
  <c r="AS65" i="265"/>
  <c r="AD72" i="265"/>
  <c r="AU76" i="265"/>
  <c r="AS77" i="265"/>
  <c r="AD80" i="265"/>
  <c r="AS232" i="266"/>
  <c r="AS220" i="266"/>
  <c r="AS210" i="266"/>
  <c r="AS202" i="266"/>
  <c r="AS194" i="266"/>
  <c r="AS188" i="266"/>
  <c r="AS182" i="266"/>
  <c r="AS176" i="266"/>
  <c r="AS170" i="266"/>
  <c r="AS156" i="266"/>
  <c r="AS148" i="266"/>
  <c r="AS208" i="266"/>
  <c r="AW208" i="266" s="1"/>
  <c r="AS200" i="266"/>
  <c r="AW200" i="266" s="1"/>
  <c r="AS192" i="266"/>
  <c r="AW192" i="266" s="1"/>
  <c r="AS186" i="266"/>
  <c r="AW186" i="266" s="1"/>
  <c r="AS180" i="266"/>
  <c r="AW180" i="266" s="1"/>
  <c r="AS168" i="266"/>
  <c r="AS154" i="266"/>
  <c r="AS138" i="266"/>
  <c r="AS237" i="266"/>
  <c r="AS229" i="266"/>
  <c r="AS223" i="266"/>
  <c r="AW223" i="266" s="1"/>
  <c r="AS213" i="266"/>
  <c r="AW213" i="266" s="1"/>
  <c r="AS207" i="266"/>
  <c r="AW207" i="266" s="1"/>
  <c r="AS199" i="266"/>
  <c r="AW199" i="266" s="1"/>
  <c r="AS206" i="266"/>
  <c r="AW206" i="266" s="1"/>
  <c r="AS198" i="266"/>
  <c r="AW198" i="266" s="1"/>
  <c r="AS120" i="266"/>
  <c r="AS152" i="266"/>
  <c r="AS116" i="266"/>
  <c r="AS236" i="266"/>
  <c r="AS228" i="266"/>
  <c r="AS126" i="266"/>
  <c r="AS117" i="266"/>
  <c r="AS114" i="266"/>
  <c r="AS142" i="266"/>
  <c r="AS132" i="266"/>
  <c r="AS105" i="266"/>
  <c r="AS97" i="266"/>
  <c r="AS85" i="266"/>
  <c r="AS241" i="266"/>
  <c r="AS130" i="266"/>
  <c r="AS111" i="266"/>
  <c r="AS104" i="266"/>
  <c r="AW104" i="266" s="1"/>
  <c r="AS96" i="266"/>
  <c r="AW96" i="266" s="1"/>
  <c r="AS166" i="266"/>
  <c r="AW166" i="266" s="1"/>
  <c r="AS150" i="266"/>
  <c r="AS144" i="266"/>
  <c r="AS140" i="266"/>
  <c r="AS136" i="266"/>
  <c r="AS128" i="266"/>
  <c r="AS112" i="266"/>
  <c r="AS102" i="266"/>
  <c r="AW102" i="266" s="1"/>
  <c r="AS90" i="266"/>
  <c r="AW90" i="266" s="1"/>
  <c r="AV3" i="266"/>
  <c r="AD7" i="266"/>
  <c r="AC8" i="266"/>
  <c r="AD13" i="266"/>
  <c r="AC14" i="266"/>
  <c r="AS16" i="266"/>
  <c r="AV21" i="266"/>
  <c r="AU22" i="266"/>
  <c r="AD24" i="266"/>
  <c r="AC25" i="266"/>
  <c r="AV27" i="266"/>
  <c r="AD30" i="266"/>
  <c r="AC31" i="266"/>
  <c r="AV33" i="266"/>
  <c r="AU34" i="266"/>
  <c r="AS35" i="266"/>
  <c r="AW35" i="266" s="1"/>
  <c r="AV39" i="266"/>
  <c r="AU40" i="266"/>
  <c r="AS41" i="266"/>
  <c r="AC43" i="266"/>
  <c r="AV45" i="266"/>
  <c r="AU46" i="266"/>
  <c r="AS47" i="266"/>
  <c r="AV51" i="266"/>
  <c r="AU52" i="266"/>
  <c r="AS53" i="266"/>
  <c r="AV57" i="266"/>
  <c r="AV63" i="266"/>
  <c r="AU64" i="266"/>
  <c r="AS65" i="266"/>
  <c r="AU70" i="266"/>
  <c r="AS71" i="266"/>
  <c r="AW71" i="266" s="1"/>
  <c r="AS77" i="266"/>
  <c r="AR88" i="266"/>
  <c r="AS92" i="266"/>
  <c r="AW92" i="266" s="1"/>
  <c r="AC92" i="266"/>
  <c r="AP97" i="266"/>
  <c r="AD97" i="266"/>
  <c r="AS98" i="266"/>
  <c r="AW98" i="266" s="1"/>
  <c r="AC98" i="266"/>
  <c r="AP105" i="266"/>
  <c r="AW105" i="266" s="1"/>
  <c r="AD105" i="266"/>
  <c r="AS106" i="266"/>
  <c r="AW106" i="266" s="1"/>
  <c r="AC106" i="266"/>
  <c r="AP111" i="266"/>
  <c r="AW111" i="266" s="1"/>
  <c r="AR123" i="266"/>
  <c r="AP140" i="266"/>
  <c r="AW140" i="266" s="1"/>
  <c r="AD140" i="266"/>
  <c r="AO155" i="266"/>
  <c r="AS189" i="266"/>
  <c r="AW189" i="266" s="1"/>
  <c r="AC189" i="266"/>
  <c r="AO238" i="266"/>
  <c r="AV242" i="266"/>
  <c r="AV240" i="266"/>
  <c r="AV233" i="266"/>
  <c r="AV221" i="266"/>
  <c r="AV211" i="266"/>
  <c r="AV203" i="266"/>
  <c r="AV195" i="266"/>
  <c r="AV189" i="266"/>
  <c r="AV183" i="266"/>
  <c r="AV177" i="266"/>
  <c r="AV171" i="266"/>
  <c r="AV163" i="266"/>
  <c r="AV157" i="266"/>
  <c r="AV149" i="266"/>
  <c r="AV141" i="266"/>
  <c r="AV133" i="266"/>
  <c r="AV125" i="266"/>
  <c r="AV117" i="266"/>
  <c r="AV111" i="266"/>
  <c r="AV232" i="266"/>
  <c r="AV220" i="266"/>
  <c r="AV210" i="266"/>
  <c r="AV202" i="266"/>
  <c r="AV194" i="266"/>
  <c r="AV188" i="266"/>
  <c r="AV182" i="266"/>
  <c r="AV176" i="266"/>
  <c r="AV170" i="266"/>
  <c r="AV156" i="266"/>
  <c r="AV239" i="266"/>
  <c r="AV231" i="266"/>
  <c r="AV225" i="266"/>
  <c r="AV209" i="266"/>
  <c r="AV201" i="266"/>
  <c r="AV193" i="266"/>
  <c r="AV187" i="266"/>
  <c r="AV181" i="266"/>
  <c r="AV175" i="266"/>
  <c r="AV169" i="266"/>
  <c r="AV155" i="266"/>
  <c r="AV147" i="266"/>
  <c r="AV139" i="266"/>
  <c r="AV131" i="266"/>
  <c r="AV238" i="266"/>
  <c r="AV230" i="266"/>
  <c r="AV224" i="266"/>
  <c r="AV214" i="266"/>
  <c r="AV208" i="266"/>
  <c r="AV200" i="266"/>
  <c r="AV192" i="266"/>
  <c r="AV186" i="266"/>
  <c r="AV180" i="266"/>
  <c r="AV168" i="266"/>
  <c r="AV154" i="266"/>
  <c r="AV146" i="266"/>
  <c r="AV237" i="266"/>
  <c r="AV229" i="266"/>
  <c r="AV223" i="266"/>
  <c r="AV213" i="266"/>
  <c r="AV207" i="266"/>
  <c r="AV199" i="266"/>
  <c r="AV167" i="266"/>
  <c r="AV161" i="266"/>
  <c r="AV153" i="266"/>
  <c r="AV145" i="266"/>
  <c r="AV137" i="266"/>
  <c r="AV129" i="266"/>
  <c r="AV121" i="266"/>
  <c r="AV236" i="266"/>
  <c r="AV228" i="266"/>
  <c r="AV218" i="266"/>
  <c r="AV206" i="266"/>
  <c r="AV198" i="266"/>
  <c r="AV166" i="266"/>
  <c r="AV160" i="266"/>
  <c r="AV152" i="266"/>
  <c r="AV144" i="266"/>
  <c r="AV136" i="266"/>
  <c r="AV241" i="266"/>
  <c r="AV235" i="266"/>
  <c r="AV227" i="266"/>
  <c r="AV217" i="266"/>
  <c r="AV205" i="266"/>
  <c r="AV197" i="266"/>
  <c r="AV173" i="266"/>
  <c r="AV165" i="266"/>
  <c r="AV159" i="266"/>
  <c r="AV151" i="266"/>
  <c r="AV143" i="266"/>
  <c r="AV135" i="266"/>
  <c r="AV114" i="266"/>
  <c r="AV106" i="266"/>
  <c r="AV98" i="266"/>
  <c r="AV92" i="266"/>
  <c r="AV86" i="266"/>
  <c r="AV80" i="266"/>
  <c r="AV216" i="266"/>
  <c r="AV178" i="266"/>
  <c r="AV158" i="266"/>
  <c r="AV126" i="266"/>
  <c r="AV105" i="266"/>
  <c r="AV97" i="266"/>
  <c r="AV85" i="266"/>
  <c r="AV79" i="266"/>
  <c r="AV204" i="266"/>
  <c r="AV196" i="266"/>
  <c r="AV142" i="266"/>
  <c r="AV132" i="266"/>
  <c r="AV122" i="266"/>
  <c r="AV104" i="266"/>
  <c r="AV96" i="266"/>
  <c r="AV130" i="266"/>
  <c r="AV127" i="266"/>
  <c r="AV118" i="266"/>
  <c r="AV103" i="266"/>
  <c r="AV83" i="266"/>
  <c r="AV234" i="266"/>
  <c r="AV184" i="266"/>
  <c r="AV150" i="266"/>
  <c r="AV134" i="266"/>
  <c r="AV128" i="266"/>
  <c r="AV123" i="266"/>
  <c r="AV102" i="266"/>
  <c r="AV140" i="266"/>
  <c r="AV138" i="266"/>
  <c r="AV124" i="266"/>
  <c r="AV119" i="266"/>
  <c r="AV112" i="266"/>
  <c r="AV109" i="266"/>
  <c r="AV101" i="266"/>
  <c r="AV89" i="266"/>
  <c r="AV148" i="266"/>
  <c r="AV120" i="266"/>
  <c r="AV108" i="266"/>
  <c r="AV100" i="266"/>
  <c r="AV94" i="266"/>
  <c r="AV88" i="266"/>
  <c r="AO241" i="266"/>
  <c r="AO237" i="266"/>
  <c r="AO229" i="266"/>
  <c r="AO223" i="266"/>
  <c r="AO213" i="266"/>
  <c r="AO207" i="266"/>
  <c r="AO199" i="266"/>
  <c r="AO167" i="266"/>
  <c r="AO161" i="266"/>
  <c r="AO153" i="266"/>
  <c r="AO145" i="266"/>
  <c r="AO137" i="266"/>
  <c r="AO129" i="266"/>
  <c r="AO236" i="266"/>
  <c r="AO228" i="266"/>
  <c r="AO218" i="266"/>
  <c r="AO206" i="266"/>
  <c r="AO198" i="266"/>
  <c r="AO166" i="266"/>
  <c r="AO160" i="266"/>
  <c r="AO152" i="266"/>
  <c r="AO233" i="266"/>
  <c r="AO221" i="266"/>
  <c r="AO211" i="266"/>
  <c r="AO203" i="266"/>
  <c r="AO195" i="266"/>
  <c r="AO189" i="266"/>
  <c r="AO183" i="266"/>
  <c r="AO177" i="266"/>
  <c r="AO171" i="266"/>
  <c r="AO163" i="266"/>
  <c r="AO157" i="266"/>
  <c r="AO149" i="266"/>
  <c r="AO141" i="266"/>
  <c r="AO144" i="266"/>
  <c r="AO136" i="266"/>
  <c r="AO188" i="266"/>
  <c r="AO170" i="266"/>
  <c r="AO133" i="266"/>
  <c r="AO124" i="266"/>
  <c r="AO176" i="266"/>
  <c r="AO156" i="266"/>
  <c r="AO146" i="266"/>
  <c r="AO109" i="266"/>
  <c r="AO101" i="266"/>
  <c r="AO89" i="266"/>
  <c r="AO220" i="266"/>
  <c r="AO210" i="266"/>
  <c r="AO202" i="266"/>
  <c r="AO194" i="266"/>
  <c r="AO125" i="266"/>
  <c r="AO116" i="266"/>
  <c r="AO108" i="266"/>
  <c r="AO100" i="266"/>
  <c r="AO94" i="266"/>
  <c r="AO121" i="266"/>
  <c r="AO240" i="266"/>
  <c r="AO232" i="266"/>
  <c r="AO182" i="266"/>
  <c r="AO154" i="266"/>
  <c r="AO122" i="266"/>
  <c r="AO117" i="266"/>
  <c r="AO106" i="266"/>
  <c r="AO98" i="266"/>
  <c r="AO92" i="266"/>
  <c r="AO86" i="266"/>
  <c r="AO9" i="266"/>
  <c r="AR19" i="266"/>
  <c r="AV22" i="266"/>
  <c r="AO26" i="266"/>
  <c r="AR29" i="266"/>
  <c r="AO32" i="266"/>
  <c r="AV34" i="266"/>
  <c r="AS36" i="266"/>
  <c r="AW36" i="266" s="1"/>
  <c r="AO38" i="266"/>
  <c r="AV40" i="266"/>
  <c r="AO44" i="266"/>
  <c r="AV46" i="266"/>
  <c r="AS48" i="266"/>
  <c r="AW48" i="266" s="1"/>
  <c r="AO50" i="266"/>
  <c r="AV52" i="266"/>
  <c r="AS54" i="266"/>
  <c r="AW54" i="266" s="1"/>
  <c r="AO56" i="266"/>
  <c r="AR59" i="266"/>
  <c r="AO62" i="266"/>
  <c r="AV64" i="266"/>
  <c r="AS66" i="266"/>
  <c r="AR67" i="266"/>
  <c r="AE68" i="266"/>
  <c r="AV70" i="266"/>
  <c r="AS72" i="266"/>
  <c r="AR73" i="266"/>
  <c r="AE74" i="266"/>
  <c r="AD75" i="266"/>
  <c r="AC83" i="266"/>
  <c r="AS83" i="266"/>
  <c r="AW83" i="266" s="1"/>
  <c r="AR83" i="266"/>
  <c r="AR85" i="266"/>
  <c r="AS89" i="266"/>
  <c r="AO90" i="266"/>
  <c r="AK90" i="266"/>
  <c r="AU90" i="266"/>
  <c r="AK94" i="266"/>
  <c r="AR96" i="266"/>
  <c r="AE96" i="266"/>
  <c r="AK100" i="266"/>
  <c r="AR104" i="266"/>
  <c r="AE104" i="266"/>
  <c r="AK108" i="266"/>
  <c r="AR112" i="266"/>
  <c r="AS118" i="266"/>
  <c r="AC118" i="266"/>
  <c r="AS125" i="266"/>
  <c r="AS127" i="266"/>
  <c r="AC127" i="266"/>
  <c r="AR153" i="266"/>
  <c r="AK154" i="266"/>
  <c r="AS218" i="266"/>
  <c r="AU44" i="265"/>
  <c r="AD46" i="265"/>
  <c r="AK48" i="265"/>
  <c r="AE51" i="265"/>
  <c r="AD52" i="265"/>
  <c r="AK58" i="265"/>
  <c r="AU60" i="265"/>
  <c r="AD62" i="265"/>
  <c r="AK64" i="265"/>
  <c r="AU66" i="265"/>
  <c r="AD68" i="265"/>
  <c r="AE73" i="265"/>
  <c r="AD74" i="265"/>
  <c r="AK76" i="265"/>
  <c r="AU78" i="265"/>
  <c r="AE81" i="265"/>
  <c r="AD82" i="265"/>
  <c r="AE8" i="266"/>
  <c r="AD9" i="266"/>
  <c r="AU11" i="266"/>
  <c r="AE14" i="266"/>
  <c r="AV16" i="266"/>
  <c r="AU17" i="266"/>
  <c r="AK22" i="266"/>
  <c r="AE25" i="266"/>
  <c r="AD26" i="266"/>
  <c r="AE31" i="266"/>
  <c r="AD32" i="266"/>
  <c r="AK34" i="266"/>
  <c r="AV35" i="266"/>
  <c r="AU36" i="266"/>
  <c r="AD38" i="266"/>
  <c r="AK40" i="266"/>
  <c r="AV41" i="266"/>
  <c r="AE43" i="266"/>
  <c r="AD44" i="266"/>
  <c r="AK46" i="266"/>
  <c r="AV47" i="266"/>
  <c r="AU48" i="266"/>
  <c r="AD50" i="266"/>
  <c r="AV53" i="266"/>
  <c r="AU54" i="266"/>
  <c r="AD56" i="266"/>
  <c r="AD62" i="266"/>
  <c r="AV65" i="266"/>
  <c r="AU66" i="266"/>
  <c r="AV71" i="266"/>
  <c r="AU72" i="266"/>
  <c r="AV77" i="266"/>
  <c r="AO78" i="266"/>
  <c r="AK78" i="266"/>
  <c r="AR79" i="266"/>
  <c r="AO84" i="266"/>
  <c r="AK84" i="266"/>
  <c r="AU84" i="266"/>
  <c r="AU87" i="266"/>
  <c r="AO87" i="266"/>
  <c r="AK87" i="266"/>
  <c r="AR89" i="266"/>
  <c r="AS93" i="266"/>
  <c r="AW93" i="266" s="1"/>
  <c r="AV93" i="266"/>
  <c r="AS99" i="266"/>
  <c r="AV99" i="266"/>
  <c r="AS107" i="266"/>
  <c r="AV107" i="266"/>
  <c r="AV113" i="266"/>
  <c r="AR119" i="266"/>
  <c r="AR147" i="266"/>
  <c r="AE147" i="266"/>
  <c r="AR152" i="266"/>
  <c r="AV164" i="266"/>
  <c r="AK166" i="266"/>
  <c r="AI1" i="266"/>
  <c r="AI2" i="266" s="1"/>
  <c r="AV11" i="266"/>
  <c r="AV17" i="266"/>
  <c r="AV36" i="266"/>
  <c r="AV48" i="266"/>
  <c r="AO52" i="266"/>
  <c r="AV54" i="266"/>
  <c r="AR61" i="266"/>
  <c r="AO64" i="266"/>
  <c r="AV66" i="266"/>
  <c r="AO70" i="266"/>
  <c r="AV72" i="266"/>
  <c r="AR75" i="266"/>
  <c r="AS79" i="266"/>
  <c r="AS86" i="266"/>
  <c r="AW86" i="266" s="1"/>
  <c r="AR90" i="266"/>
  <c r="AS94" i="266"/>
  <c r="AW94" i="266" s="1"/>
  <c r="AS100" i="266"/>
  <c r="AW100" i="266" s="1"/>
  <c r="AS108" i="266"/>
  <c r="AW108" i="266" s="1"/>
  <c r="AR127" i="266"/>
  <c r="AO130" i="266"/>
  <c r="AK132" i="266"/>
  <c r="AU132" i="266"/>
  <c r="AO132" i="266"/>
  <c r="AS163" i="266"/>
  <c r="AW163" i="266" s="1"/>
  <c r="AC163" i="266"/>
  <c r="AO180" i="266"/>
  <c r="AK182" i="266"/>
  <c r="AD36" i="265"/>
  <c r="AD42" i="265"/>
  <c r="AD48" i="265"/>
  <c r="AD58" i="265"/>
  <c r="AD64" i="265"/>
  <c r="AD76" i="265"/>
  <c r="AV6" i="266"/>
  <c r="AV12" i="266"/>
  <c r="AV19" i="266"/>
  <c r="AD22" i="266"/>
  <c r="AV29" i="266"/>
  <c r="AD34" i="266"/>
  <c r="AO35" i="266"/>
  <c r="AR38" i="266"/>
  <c r="AD40" i="266"/>
  <c r="AO41" i="266"/>
  <c r="AD46" i="266"/>
  <c r="AD52" i="266"/>
  <c r="AV59" i="266"/>
  <c r="AD64" i="266"/>
  <c r="AV67" i="266"/>
  <c r="AD70" i="266"/>
  <c r="AV73" i="266"/>
  <c r="AO77" i="266"/>
  <c r="AO82" i="266"/>
  <c r="AK88" i="266"/>
  <c r="AV90" i="266"/>
  <c r="AR93" i="266"/>
  <c r="AO96" i="266"/>
  <c r="AK97" i="266"/>
  <c r="AR99" i="266"/>
  <c r="AS101" i="266"/>
  <c r="AO102" i="266"/>
  <c r="AO103" i="266"/>
  <c r="AO104" i="266"/>
  <c r="AK105" i="266"/>
  <c r="AR107" i="266"/>
  <c r="AS109" i="266"/>
  <c r="AR113" i="266"/>
  <c r="AR128" i="266"/>
  <c r="AE128" i="266"/>
  <c r="AS160" i="266"/>
  <c r="AR197" i="266"/>
  <c r="AO230" i="266"/>
  <c r="AK232" i="266"/>
  <c r="AK114" i="266"/>
  <c r="AP118" i="266"/>
  <c r="AW118" i="266" s="1"/>
  <c r="AD118" i="266"/>
  <c r="AE123" i="266"/>
  <c r="AP136" i="266"/>
  <c r="AW136" i="266" s="1"/>
  <c r="AD136" i="266"/>
  <c r="AP138" i="266"/>
  <c r="AW138" i="266" s="1"/>
  <c r="AD138" i="266"/>
  <c r="AO139" i="266"/>
  <c r="AR140" i="266"/>
  <c r="AE140" i="266"/>
  <c r="AP144" i="266"/>
  <c r="AW144" i="266" s="1"/>
  <c r="AD144" i="266"/>
  <c r="AO151" i="266"/>
  <c r="AR159" i="266"/>
  <c r="AS164" i="266"/>
  <c r="AS165" i="266"/>
  <c r="AR169" i="266"/>
  <c r="AE169" i="266"/>
  <c r="AP170" i="266"/>
  <c r="AW170" i="266" s="1"/>
  <c r="AD170" i="266"/>
  <c r="AS172" i="266"/>
  <c r="AS173" i="266"/>
  <c r="AU184" i="266"/>
  <c r="AO184" i="266"/>
  <c r="AK184" i="266"/>
  <c r="AR187" i="266"/>
  <c r="AE187" i="266"/>
  <c r="AP188" i="266"/>
  <c r="AW188" i="266" s="1"/>
  <c r="AD188" i="266"/>
  <c r="AS190" i="266"/>
  <c r="AW190" i="266" s="1"/>
  <c r="AO193" i="266"/>
  <c r="AR198" i="266"/>
  <c r="AO201" i="266"/>
  <c r="AR206" i="266"/>
  <c r="AO209" i="266"/>
  <c r="AR217" i="266"/>
  <c r="AO227" i="266"/>
  <c r="AU234" i="266"/>
  <c r="AO234" i="266"/>
  <c r="AK234" i="266"/>
  <c r="AO235" i="266"/>
  <c r="AD86" i="266"/>
  <c r="AC87" i="266"/>
  <c r="AD92" i="266"/>
  <c r="AC93" i="266"/>
  <c r="AD98" i="266"/>
  <c r="AC99" i="266"/>
  <c r="AU102" i="266"/>
  <c r="AS103" i="266"/>
  <c r="AW103" i="266" s="1"/>
  <c r="AD106" i="266"/>
  <c r="AC107" i="266"/>
  <c r="AR111" i="266"/>
  <c r="AO113" i="266"/>
  <c r="AO114" i="266"/>
  <c r="AK116" i="266"/>
  <c r="AP122" i="266"/>
  <c r="AW122" i="266" s="1"/>
  <c r="AD122" i="266"/>
  <c r="AC122" i="266"/>
  <c r="AE127" i="266"/>
  <c r="AP130" i="266"/>
  <c r="AW130" i="266" s="1"/>
  <c r="AD130" i="266"/>
  <c r="AP132" i="266"/>
  <c r="AW132" i="266" s="1"/>
  <c r="AS134" i="266"/>
  <c r="AO135" i="266"/>
  <c r="AK135" i="266"/>
  <c r="AR136" i="266"/>
  <c r="AU142" i="266"/>
  <c r="AO142" i="266"/>
  <c r="AK142" i="266"/>
  <c r="AR144" i="266"/>
  <c r="AP148" i="266"/>
  <c r="AW148" i="266" s="1"/>
  <c r="AD148" i="266"/>
  <c r="AS149" i="266"/>
  <c r="AC149" i="266"/>
  <c r="AR160" i="266"/>
  <c r="AR170" i="266"/>
  <c r="AO175" i="266"/>
  <c r="AR188" i="266"/>
  <c r="AO192" i="266"/>
  <c r="AK194" i="266"/>
  <c r="AO200" i="266"/>
  <c r="AK202" i="266"/>
  <c r="AO208" i="266"/>
  <c r="AK210" i="266"/>
  <c r="AO214" i="266"/>
  <c r="AR218" i="266"/>
  <c r="AK220" i="266"/>
  <c r="AR225" i="266"/>
  <c r="AE225" i="266"/>
  <c r="AS230" i="266"/>
  <c r="AS238" i="266"/>
  <c r="AP66" i="267"/>
  <c r="AW66" i="267" s="1"/>
  <c r="AD66" i="267"/>
  <c r="AS67" i="267"/>
  <c r="AW67" i="267" s="1"/>
  <c r="AC67" i="267"/>
  <c r="AP114" i="266"/>
  <c r="AW114" i="266" s="1"/>
  <c r="AK120" i="266"/>
  <c r="AP121" i="266"/>
  <c r="AW121" i="266" s="1"/>
  <c r="AP126" i="266"/>
  <c r="AW126" i="266" s="1"/>
  <c r="AD126" i="266"/>
  <c r="AO131" i="266"/>
  <c r="AC139" i="266"/>
  <c r="AS139" i="266"/>
  <c r="AS141" i="266"/>
  <c r="AC141" i="266"/>
  <c r="AO143" i="266"/>
  <c r="AR145" i="266"/>
  <c r="AK146" i="266"/>
  <c r="AO147" i="266"/>
  <c r="AR148" i="266"/>
  <c r="AP154" i="266"/>
  <c r="AW154" i="266" s="1"/>
  <c r="AD154" i="266"/>
  <c r="AC155" i="266"/>
  <c r="AS155" i="266"/>
  <c r="AK156" i="266"/>
  <c r="AR165" i="266"/>
  <c r="AR173" i="266"/>
  <c r="AK176" i="266"/>
  <c r="AS183" i="266"/>
  <c r="AW183" i="266" s="1"/>
  <c r="AC183" i="266"/>
  <c r="AU196" i="266"/>
  <c r="AO196" i="266"/>
  <c r="AK196" i="266"/>
  <c r="AO197" i="266"/>
  <c r="AU204" i="266"/>
  <c r="AO204" i="266"/>
  <c r="AK204" i="266"/>
  <c r="AO205" i="266"/>
  <c r="AK228" i="266"/>
  <c r="AS233" i="266"/>
  <c r="AC233" i="266"/>
  <c r="AK236" i="266"/>
  <c r="AS41" i="267"/>
  <c r="AW41" i="267" s="1"/>
  <c r="AC41" i="267"/>
  <c r="AR61" i="267"/>
  <c r="AE61" i="267"/>
  <c r="AP62" i="267"/>
  <c r="AW62" i="267" s="1"/>
  <c r="AD62" i="267"/>
  <c r="AE93" i="266"/>
  <c r="AD94" i="266"/>
  <c r="AU96" i="266"/>
  <c r="AE99" i="266"/>
  <c r="AD100" i="266"/>
  <c r="AK102" i="266"/>
  <c r="AU104" i="266"/>
  <c r="AE107" i="266"/>
  <c r="AD108" i="266"/>
  <c r="AU111" i="266"/>
  <c r="AS113" i="266"/>
  <c r="AC113" i="266"/>
  <c r="AR114" i="266"/>
  <c r="AR117" i="266"/>
  <c r="AO119" i="266"/>
  <c r="AO120" i="266"/>
  <c r="AK124" i="266"/>
  <c r="AC125" i="266"/>
  <c r="AR132" i="266"/>
  <c r="AE132" i="266"/>
  <c r="AR137" i="266"/>
  <c r="AS151" i="266"/>
  <c r="AK152" i="266"/>
  <c r="AU158" i="266"/>
  <c r="AO158" i="266"/>
  <c r="AK158" i="266"/>
  <c r="AO159" i="266"/>
  <c r="AR166" i="266"/>
  <c r="AO169" i="266"/>
  <c r="AU178" i="266"/>
  <c r="AO178" i="266"/>
  <c r="AK178" i="266"/>
  <c r="AR181" i="266"/>
  <c r="AE181" i="266"/>
  <c r="AP182" i="266"/>
  <c r="AW182" i="266" s="1"/>
  <c r="AD182" i="266"/>
  <c r="AS184" i="266"/>
  <c r="AW184" i="266" s="1"/>
  <c r="AO187" i="266"/>
  <c r="AS214" i="266"/>
  <c r="AW214" i="266" s="1"/>
  <c r="AU216" i="266"/>
  <c r="AO216" i="266"/>
  <c r="AK216" i="266"/>
  <c r="AO217" i="266"/>
  <c r="AS227" i="266"/>
  <c r="AR231" i="266"/>
  <c r="AE231" i="266"/>
  <c r="AP232" i="266"/>
  <c r="AW232" i="266" s="1"/>
  <c r="AD232" i="266"/>
  <c r="AS234" i="266"/>
  <c r="AS235" i="266"/>
  <c r="AR239" i="266"/>
  <c r="AE239" i="266"/>
  <c r="AP240" i="266"/>
  <c r="AW240" i="266" s="1"/>
  <c r="AD240" i="266"/>
  <c r="AR116" i="266"/>
  <c r="AP120" i="266"/>
  <c r="AW120" i="266" s="1"/>
  <c r="AO123" i="266"/>
  <c r="AK128" i="266"/>
  <c r="AC131" i="266"/>
  <c r="AS131" i="266"/>
  <c r="AS135" i="266"/>
  <c r="AS137" i="266"/>
  <c r="AR139" i="266"/>
  <c r="AE139" i="266"/>
  <c r="AK140" i="266"/>
  <c r="AU140" i="266"/>
  <c r="AS146" i="266"/>
  <c r="AR155" i="266"/>
  <c r="AE155" i="266"/>
  <c r="AO168" i="266"/>
  <c r="AK170" i="266"/>
  <c r="AR182" i="266"/>
  <c r="AO186" i="266"/>
  <c r="AK188" i="266"/>
  <c r="AS195" i="266"/>
  <c r="AW195" i="266" s="1"/>
  <c r="AC195" i="266"/>
  <c r="AK198" i="266"/>
  <c r="AS203" i="266"/>
  <c r="AW203" i="266" s="1"/>
  <c r="AC203" i="266"/>
  <c r="AK206" i="266"/>
  <c r="AS211" i="266"/>
  <c r="AW211" i="266" s="1"/>
  <c r="AC211" i="266"/>
  <c r="AS221" i="266"/>
  <c r="AW221" i="266" s="1"/>
  <c r="AC221" i="266"/>
  <c r="AO225" i="266"/>
  <c r="AR232" i="266"/>
  <c r="AR240" i="266"/>
  <c r="AU16" i="267"/>
  <c r="AO16" i="267"/>
  <c r="AK16" i="267"/>
  <c r="AE89" i="266"/>
  <c r="AD90" i="266"/>
  <c r="AK96" i="266"/>
  <c r="AE101" i="266"/>
  <c r="AD102" i="266"/>
  <c r="AK104" i="266"/>
  <c r="AE109" i="266"/>
  <c r="AK111" i="266"/>
  <c r="AO112" i="266"/>
  <c r="AE113" i="266"/>
  <c r="AU114" i="266"/>
  <c r="AE116" i="266"/>
  <c r="AS119" i="266"/>
  <c r="AC119" i="266"/>
  <c r="AR120" i="266"/>
  <c r="AK123" i="266"/>
  <c r="AP124" i="266"/>
  <c r="AR125" i="266"/>
  <c r="AO127" i="266"/>
  <c r="AO128" i="266"/>
  <c r="AS129" i="266"/>
  <c r="AS133" i="266"/>
  <c r="AU135" i="266"/>
  <c r="AK136" i="266"/>
  <c r="AK138" i="266"/>
  <c r="AU138" i="266"/>
  <c r="AO140" i="266"/>
  <c r="AS143" i="266"/>
  <c r="AK144" i="266"/>
  <c r="AP146" i="266"/>
  <c r="AW146" i="266" s="1"/>
  <c r="AD146" i="266"/>
  <c r="AC147" i="266"/>
  <c r="AS147" i="266"/>
  <c r="AK148" i="266"/>
  <c r="AU148" i="266"/>
  <c r="AS157" i="266"/>
  <c r="AC157" i="266"/>
  <c r="AK160" i="266"/>
  <c r="AU164" i="266"/>
  <c r="AO164" i="266"/>
  <c r="AK164" i="266"/>
  <c r="AO165" i="266"/>
  <c r="AU172" i="266"/>
  <c r="AO172" i="266"/>
  <c r="AK172" i="266"/>
  <c r="AO173" i="266"/>
  <c r="AS177" i="266"/>
  <c r="AC177" i="266"/>
  <c r="AU190" i="266"/>
  <c r="AO190" i="266"/>
  <c r="AK190" i="266"/>
  <c r="AR193" i="266"/>
  <c r="AE193" i="266"/>
  <c r="AP194" i="266"/>
  <c r="AW194" i="266" s="1"/>
  <c r="AD194" i="266"/>
  <c r="AS196" i="266"/>
  <c r="AW196" i="266" s="1"/>
  <c r="AS197" i="266"/>
  <c r="AW197" i="266" s="1"/>
  <c r="AR201" i="266"/>
  <c r="AE201" i="266"/>
  <c r="AP202" i="266"/>
  <c r="AW202" i="266" s="1"/>
  <c r="AD202" i="266"/>
  <c r="AS204" i="266"/>
  <c r="AW204" i="266" s="1"/>
  <c r="AS205" i="266"/>
  <c r="AW205" i="266" s="1"/>
  <c r="AR209" i="266"/>
  <c r="AE209" i="266"/>
  <c r="AP210" i="266"/>
  <c r="AD210" i="266"/>
  <c r="AK218" i="266"/>
  <c r="AP220" i="266"/>
  <c r="AW220" i="266" s="1"/>
  <c r="AD220" i="266"/>
  <c r="AO224" i="266"/>
  <c r="AR227" i="266"/>
  <c r="AR235" i="266"/>
  <c r="AR241" i="266"/>
  <c r="AP8" i="267"/>
  <c r="AW8" i="267" s="1"/>
  <c r="AD8" i="267"/>
  <c r="AD83" i="266"/>
  <c r="AD103" i="266"/>
  <c r="AP112" i="266"/>
  <c r="AW112" i="266" s="1"/>
  <c r="AD112" i="266"/>
  <c r="AU113" i="266"/>
  <c r="AU116" i="266"/>
  <c r="AK118" i="266"/>
  <c r="AE120" i="266"/>
  <c r="AC123" i="266"/>
  <c r="AS123" i="266"/>
  <c r="AR124" i="266"/>
  <c r="AK127" i="266"/>
  <c r="AK130" i="266"/>
  <c r="AU130" i="266"/>
  <c r="AE131" i="266"/>
  <c r="AP133" i="266"/>
  <c r="AW133" i="266" s="1"/>
  <c r="AD133" i="266"/>
  <c r="AC133" i="266"/>
  <c r="AU134" i="266"/>
  <c r="AO134" i="266"/>
  <c r="AO138" i="266"/>
  <c r="AO148" i="266"/>
  <c r="AP156" i="266"/>
  <c r="AW156" i="266" s="1"/>
  <c r="AD156" i="266"/>
  <c r="AS158" i="266"/>
  <c r="AS159" i="266"/>
  <c r="AR175" i="266"/>
  <c r="AE175" i="266"/>
  <c r="AP176" i="266"/>
  <c r="AW176" i="266" s="1"/>
  <c r="AD176" i="266"/>
  <c r="AS178" i="266"/>
  <c r="AO181" i="266"/>
  <c r="AR194" i="266"/>
  <c r="AR202" i="266"/>
  <c r="AR210" i="266"/>
  <c r="AS216" i="266"/>
  <c r="AW216" i="266" s="1"/>
  <c r="AS217" i="266"/>
  <c r="AW217" i="266" s="1"/>
  <c r="AR220" i="266"/>
  <c r="AR228" i="266"/>
  <c r="AO231" i="266"/>
  <c r="AR236" i="266"/>
  <c r="AO239" i="266"/>
  <c r="AS145" i="266"/>
  <c r="AS153" i="266"/>
  <c r="AS161" i="266"/>
  <c r="AS167" i="266"/>
  <c r="AR19" i="267"/>
  <c r="AE19" i="267"/>
  <c r="AP20" i="267"/>
  <c r="AW20" i="267" s="1"/>
  <c r="AD20" i="267"/>
  <c r="AS38" i="267"/>
  <c r="AW38" i="267" s="1"/>
  <c r="AU42" i="267"/>
  <c r="AO42" i="267"/>
  <c r="AK42" i="267"/>
  <c r="AU68" i="267"/>
  <c r="AO68" i="267"/>
  <c r="AK68" i="267"/>
  <c r="AR71" i="267"/>
  <c r="AE71" i="267"/>
  <c r="AD141" i="266"/>
  <c r="AK143" i="266"/>
  <c r="AE148" i="266"/>
  <c r="AD149" i="266"/>
  <c r="AK151" i="266"/>
  <c r="AE156" i="266"/>
  <c r="AD157" i="266"/>
  <c r="AC158" i="266"/>
  <c r="AK159" i="266"/>
  <c r="AD163" i="266"/>
  <c r="AC164" i="266"/>
  <c r="AK165" i="266"/>
  <c r="AE170" i="266"/>
  <c r="AD171" i="266"/>
  <c r="AC172" i="266"/>
  <c r="AK173" i="266"/>
  <c r="AE176" i="266"/>
  <c r="AD177" i="266"/>
  <c r="AC178" i="266"/>
  <c r="AE182" i="266"/>
  <c r="AD183" i="266"/>
  <c r="AC184" i="266"/>
  <c r="AE188" i="266"/>
  <c r="AD189" i="266"/>
  <c r="AC190" i="266"/>
  <c r="AE194" i="266"/>
  <c r="AD195" i="266"/>
  <c r="AC196" i="266"/>
  <c r="AK197" i="266"/>
  <c r="AE202" i="266"/>
  <c r="AD203" i="266"/>
  <c r="AC204" i="266"/>
  <c r="AK205" i="266"/>
  <c r="AE210" i="266"/>
  <c r="AD211" i="266"/>
  <c r="AC216" i="266"/>
  <c r="AK217" i="266"/>
  <c r="AE220" i="266"/>
  <c r="AD221" i="266"/>
  <c r="AS224" i="266"/>
  <c r="AW224" i="266" s="1"/>
  <c r="AK227" i="266"/>
  <c r="AE232" i="266"/>
  <c r="AD233" i="266"/>
  <c r="AC234" i="266"/>
  <c r="AK235" i="266"/>
  <c r="AE240" i="266"/>
  <c r="AC242" i="266"/>
  <c r="AS242" i="266"/>
  <c r="AC7" i="267"/>
  <c r="AS7" i="267"/>
  <c r="AW7" i="267" s="1"/>
  <c r="AU10" i="267"/>
  <c r="AO10" i="267"/>
  <c r="AK10" i="267"/>
  <c r="AR45" i="267"/>
  <c r="AE45" i="267"/>
  <c r="AP46" i="267"/>
  <c r="AW46" i="267" s="1"/>
  <c r="AD46" i="267"/>
  <c r="AS47" i="267"/>
  <c r="AC47" i="267"/>
  <c r="AP76" i="267"/>
  <c r="AD76" i="267"/>
  <c r="AS77" i="267"/>
  <c r="AW77" i="267" s="1"/>
  <c r="AC77" i="267"/>
  <c r="AE85" i="267"/>
  <c r="AR85" i="267"/>
  <c r="AD134" i="266"/>
  <c r="AC135" i="266"/>
  <c r="AD142" i="266"/>
  <c r="AC143" i="266"/>
  <c r="AU146" i="266"/>
  <c r="AD150" i="266"/>
  <c r="AC151" i="266"/>
  <c r="AU154" i="266"/>
  <c r="AD158" i="266"/>
  <c r="AC159" i="266"/>
  <c r="AD164" i="266"/>
  <c r="AC165" i="266"/>
  <c r="AU168" i="266"/>
  <c r="AS169" i="266"/>
  <c r="AD172" i="266"/>
  <c r="AC173" i="266"/>
  <c r="AS175" i="266"/>
  <c r="AD178" i="266"/>
  <c r="AU180" i="266"/>
  <c r="AS181" i="266"/>
  <c r="AD184" i="266"/>
  <c r="AU186" i="266"/>
  <c r="AS187" i="266"/>
  <c r="AD190" i="266"/>
  <c r="AU192" i="266"/>
  <c r="AS193" i="266"/>
  <c r="AD196" i="266"/>
  <c r="AC197" i="266"/>
  <c r="AU200" i="266"/>
  <c r="AS201" i="266"/>
  <c r="AW201" i="266" s="1"/>
  <c r="AD204" i="266"/>
  <c r="AC205" i="266"/>
  <c r="AU208" i="266"/>
  <c r="AS209" i="266"/>
  <c r="AU214" i="266"/>
  <c r="AD216" i="266"/>
  <c r="AC217" i="266"/>
  <c r="AU224" i="266"/>
  <c r="AS225" i="266"/>
  <c r="AC227" i="266"/>
  <c r="AU230" i="266"/>
  <c r="AS231" i="266"/>
  <c r="AD234" i="266"/>
  <c r="AC235" i="266"/>
  <c r="AU238" i="266"/>
  <c r="AS239" i="266"/>
  <c r="AR242" i="266"/>
  <c r="AS25" i="267"/>
  <c r="AW25" i="267" s="1"/>
  <c r="AC25" i="267"/>
  <c r="AS73" i="267"/>
  <c r="AW73" i="267" s="1"/>
  <c r="AS89" i="267"/>
  <c r="AW89" i="267" s="1"/>
  <c r="AS78" i="267"/>
  <c r="AW78" i="267" s="1"/>
  <c r="AS68" i="267"/>
  <c r="AW68" i="267" s="1"/>
  <c r="AS42" i="267"/>
  <c r="AW42" i="267" s="1"/>
  <c r="AS32" i="267"/>
  <c r="AW32" i="267" s="1"/>
  <c r="AS26" i="267"/>
  <c r="AW26" i="267" s="1"/>
  <c r="AS16" i="267"/>
  <c r="AW16" i="267" s="1"/>
  <c r="AS10" i="267"/>
  <c r="AW10" i="267" s="1"/>
  <c r="AS3" i="267"/>
  <c r="AS76" i="267"/>
  <c r="AS66" i="267"/>
  <c r="AS62" i="267"/>
  <c r="AS56" i="267"/>
  <c r="AS46" i="267"/>
  <c r="AS36" i="267"/>
  <c r="AS30" i="267"/>
  <c r="AS20" i="267"/>
  <c r="AS14" i="267"/>
  <c r="AS84" i="267"/>
  <c r="AS70" i="267"/>
  <c r="AW70" i="267" s="1"/>
  <c r="AS60" i="267"/>
  <c r="AW60" i="267" s="1"/>
  <c r="AS50" i="267"/>
  <c r="AW50" i="267" s="1"/>
  <c r="AS18" i="267"/>
  <c r="AW18" i="267" s="1"/>
  <c r="AS8" i="267"/>
  <c r="AR7" i="267"/>
  <c r="AR13" i="267"/>
  <c r="AE13" i="267"/>
  <c r="AS22" i="267"/>
  <c r="AW22" i="267" s="1"/>
  <c r="AU26" i="267"/>
  <c r="AO26" i="267"/>
  <c r="AK26" i="267"/>
  <c r="AS34" i="267"/>
  <c r="AW34" i="267" s="1"/>
  <c r="AS43" i="267"/>
  <c r="AW43" i="267" s="1"/>
  <c r="AS80" i="267"/>
  <c r="AW80" i="267" s="1"/>
  <c r="AO83" i="267"/>
  <c r="AU83" i="267"/>
  <c r="AK83" i="267"/>
  <c r="AD152" i="266"/>
  <c r="AU156" i="266"/>
  <c r="AE159" i="266"/>
  <c r="AD160" i="266"/>
  <c r="AE165" i="266"/>
  <c r="AD166" i="266"/>
  <c r="AK168" i="266"/>
  <c r="AU170" i="266"/>
  <c r="AE173" i="266"/>
  <c r="AU176" i="266"/>
  <c r="AK180" i="266"/>
  <c r="AU182" i="266"/>
  <c r="AK186" i="266"/>
  <c r="AU188" i="266"/>
  <c r="AK192" i="266"/>
  <c r="AU194" i="266"/>
  <c r="AE197" i="266"/>
  <c r="AD198" i="266"/>
  <c r="AK200" i="266"/>
  <c r="AU202" i="266"/>
  <c r="AE205" i="266"/>
  <c r="AD206" i="266"/>
  <c r="AK208" i="266"/>
  <c r="AU210" i="266"/>
  <c r="AK214" i="266"/>
  <c r="AE217" i="266"/>
  <c r="AD218" i="266"/>
  <c r="AU220" i="266"/>
  <c r="AK224" i="266"/>
  <c r="AE227" i="266"/>
  <c r="AD228" i="266"/>
  <c r="AK230" i="266"/>
  <c r="AU232" i="266"/>
  <c r="AE235" i="266"/>
  <c r="AD236" i="266"/>
  <c r="AK238" i="266"/>
  <c r="AK241" i="266"/>
  <c r="AK6" i="267"/>
  <c r="AU6" i="267"/>
  <c r="AK8" i="267"/>
  <c r="AU8" i="267"/>
  <c r="AS11" i="267"/>
  <c r="AP14" i="267"/>
  <c r="AW14" i="267" s="1"/>
  <c r="AD14" i="267"/>
  <c r="AP30" i="267"/>
  <c r="AD30" i="267"/>
  <c r="AS31" i="267"/>
  <c r="AW31" i="267" s="1"/>
  <c r="AC31" i="267"/>
  <c r="AR51" i="267"/>
  <c r="AE51" i="267"/>
  <c r="AP56" i="267"/>
  <c r="AD56" i="267"/>
  <c r="AS57" i="267"/>
  <c r="AW57" i="267" s="1"/>
  <c r="AC57" i="267"/>
  <c r="AS74" i="267"/>
  <c r="AW74" i="267" s="1"/>
  <c r="AU78" i="267"/>
  <c r="AO78" i="267"/>
  <c r="AK78" i="267"/>
  <c r="AR17" i="268"/>
  <c r="AE17" i="268"/>
  <c r="AD223" i="266"/>
  <c r="AO6" i="267"/>
  <c r="AO8" i="267"/>
  <c r="AS15" i="267"/>
  <c r="AW15" i="267" s="1"/>
  <c r="AC15" i="267"/>
  <c r="AU32" i="267"/>
  <c r="AO32" i="267"/>
  <c r="AK32" i="267"/>
  <c r="AR35" i="267"/>
  <c r="AE35" i="267"/>
  <c r="AP36" i="267"/>
  <c r="AD36" i="267"/>
  <c r="AR81" i="267"/>
  <c r="AE81" i="267"/>
  <c r="AD168" i="266"/>
  <c r="AD180" i="266"/>
  <c r="AD186" i="266"/>
  <c r="AD192" i="266"/>
  <c r="AD200" i="266"/>
  <c r="AD208" i="266"/>
  <c r="AD214" i="266"/>
  <c r="AD224" i="266"/>
  <c r="AD230" i="266"/>
  <c r="AD238" i="266"/>
  <c r="AS240" i="266"/>
  <c r="AP241" i="266"/>
  <c r="AW241" i="266" s="1"/>
  <c r="AD241" i="266"/>
  <c r="AO242" i="266"/>
  <c r="AR11" i="267"/>
  <c r="AE11" i="267"/>
  <c r="AS27" i="267"/>
  <c r="AS53" i="267"/>
  <c r="AS7" i="268"/>
  <c r="AW7" i="268" s="1"/>
  <c r="AC7" i="268"/>
  <c r="AV11" i="267"/>
  <c r="AU22" i="267"/>
  <c r="AS23" i="267"/>
  <c r="AV27" i="267"/>
  <c r="AU28" i="267"/>
  <c r="AU38" i="267"/>
  <c r="AS39" i="267"/>
  <c r="AV43" i="267"/>
  <c r="AO47" i="267"/>
  <c r="AS49" i="267"/>
  <c r="AW49" i="267" s="1"/>
  <c r="AV53" i="267"/>
  <c r="AU54" i="267"/>
  <c r="AO57" i="267"/>
  <c r="AS59" i="267"/>
  <c r="AU64" i="267"/>
  <c r="AV73" i="267"/>
  <c r="AP84" i="267"/>
  <c r="AW84" i="267" s="1"/>
  <c r="AR234" i="268"/>
  <c r="AR228" i="268"/>
  <c r="AR218" i="268"/>
  <c r="AR212" i="268"/>
  <c r="AR206" i="268"/>
  <c r="AR196" i="268"/>
  <c r="AR180" i="268"/>
  <c r="AR172" i="268"/>
  <c r="AR220" i="268"/>
  <c r="AR198" i="268"/>
  <c r="AR188" i="268"/>
  <c r="AR176" i="268"/>
  <c r="AR199" i="268"/>
  <c r="AR154" i="268"/>
  <c r="AR148" i="268"/>
  <c r="AR142" i="268"/>
  <c r="AR136" i="268"/>
  <c r="AR130" i="268"/>
  <c r="AR215" i="268"/>
  <c r="AR173" i="268"/>
  <c r="AR153" i="268"/>
  <c r="AR141" i="268"/>
  <c r="AR135" i="268"/>
  <c r="AR129" i="268"/>
  <c r="AR121" i="268"/>
  <c r="AR177" i="268"/>
  <c r="AR209" i="268"/>
  <c r="AR237" i="268"/>
  <c r="AR189" i="268"/>
  <c r="AR179" i="268"/>
  <c r="AR144" i="268"/>
  <c r="AR110" i="268"/>
  <c r="AR100" i="268"/>
  <c r="AR94" i="268"/>
  <c r="AR155" i="268"/>
  <c r="AR138" i="268"/>
  <c r="AR63" i="268"/>
  <c r="AR221" i="268"/>
  <c r="AR124" i="268"/>
  <c r="AR104" i="268"/>
  <c r="AR92" i="268"/>
  <c r="AR86" i="268"/>
  <c r="AR74" i="268"/>
  <c r="AR143" i="268"/>
  <c r="AR163" i="268"/>
  <c r="AR150" i="268"/>
  <c r="AR137" i="268"/>
  <c r="AR132" i="268"/>
  <c r="AR166" i="268"/>
  <c r="AR123" i="268"/>
  <c r="AR156" i="268"/>
  <c r="AR113" i="268"/>
  <c r="AR131" i="268"/>
  <c r="AR69" i="268"/>
  <c r="AR54" i="268"/>
  <c r="AR48" i="268"/>
  <c r="AR30" i="268"/>
  <c r="AR24" i="268"/>
  <c r="AR8" i="268"/>
  <c r="AR60" i="268"/>
  <c r="AR59" i="268"/>
  <c r="AR53" i="268"/>
  <c r="AR47" i="268"/>
  <c r="AR29" i="268"/>
  <c r="AR149" i="268"/>
  <c r="AR95" i="268"/>
  <c r="AR81" i="268"/>
  <c r="AR62" i="268"/>
  <c r="AR116" i="268"/>
  <c r="AR44" i="268"/>
  <c r="AR38" i="268"/>
  <c r="AR32" i="268"/>
  <c r="AR22" i="268"/>
  <c r="AR16" i="268"/>
  <c r="AR10" i="268"/>
  <c r="AR13" i="268"/>
  <c r="AP28" i="268"/>
  <c r="AD28" i="268"/>
  <c r="AS29" i="268"/>
  <c r="AW29" i="268" s="1"/>
  <c r="AC29" i="268"/>
  <c r="AR42" i="268"/>
  <c r="AR43" i="268"/>
  <c r="AR56" i="268"/>
  <c r="AP63" i="268"/>
  <c r="AW63" i="268" s="1"/>
  <c r="AD63" i="268"/>
  <c r="AV22" i="267"/>
  <c r="AK27" i="267"/>
  <c r="AV28" i="267"/>
  <c r="AV38" i="267"/>
  <c r="AK43" i="267"/>
  <c r="AK53" i="267"/>
  <c r="AV54" i="267"/>
  <c r="AV64" i="267"/>
  <c r="AK73" i="267"/>
  <c r="AV74" i="267"/>
  <c r="AS83" i="267"/>
  <c r="AC83" i="267"/>
  <c r="AP83" i="267"/>
  <c r="AW83" i="267" s="1"/>
  <c r="AR84" i="267"/>
  <c r="AS85" i="267"/>
  <c r="AW85" i="267" s="1"/>
  <c r="AU88" i="267"/>
  <c r="AO88" i="267"/>
  <c r="AR89" i="267"/>
  <c r="AE89" i="267"/>
  <c r="AV89" i="267"/>
  <c r="AR7" i="268"/>
  <c r="AR25" i="268"/>
  <c r="AR28" i="268"/>
  <c r="AR36" i="268"/>
  <c r="AR37" i="268"/>
  <c r="AP46" i="268"/>
  <c r="AD46" i="268"/>
  <c r="AS47" i="268"/>
  <c r="AW47" i="268" s="1"/>
  <c r="AC47" i="268"/>
  <c r="AU48" i="268"/>
  <c r="AO48" i="268"/>
  <c r="AK48" i="268"/>
  <c r="AU54" i="268"/>
  <c r="AO54" i="268"/>
  <c r="AK54" i="268"/>
  <c r="AV7" i="267"/>
  <c r="AD10" i="267"/>
  <c r="AC11" i="267"/>
  <c r="AO11" i="267"/>
  <c r="AS13" i="267"/>
  <c r="AW13" i="267" s="1"/>
  <c r="AD16" i="267"/>
  <c r="AU18" i="267"/>
  <c r="AS19" i="267"/>
  <c r="AW19" i="267" s="1"/>
  <c r="AV23" i="267"/>
  <c r="AD26" i="267"/>
  <c r="AC27" i="267"/>
  <c r="AO27" i="267"/>
  <c r="AR30" i="267"/>
  <c r="AD32" i="267"/>
  <c r="AU34" i="267"/>
  <c r="AS35" i="267"/>
  <c r="AW35" i="267" s="1"/>
  <c r="AR36" i="267"/>
  <c r="AV39" i="267"/>
  <c r="AD42" i="267"/>
  <c r="AC43" i="267"/>
  <c r="AO43" i="267"/>
  <c r="AS45" i="267"/>
  <c r="AV49" i="267"/>
  <c r="AU50" i="267"/>
  <c r="AS51" i="267"/>
  <c r="AW51" i="267" s="1"/>
  <c r="AC53" i="267"/>
  <c r="AV59" i="267"/>
  <c r="AU60" i="267"/>
  <c r="AS61" i="267"/>
  <c r="AW61" i="267" s="1"/>
  <c r="AR62" i="267"/>
  <c r="AR66" i="267"/>
  <c r="AD68" i="267"/>
  <c r="AU70" i="267"/>
  <c r="AS71" i="267"/>
  <c r="AW71" i="267" s="1"/>
  <c r="AO73" i="267"/>
  <c r="AK74" i="267"/>
  <c r="AR76" i="267"/>
  <c r="AU80" i="267"/>
  <c r="AS81" i="267"/>
  <c r="AW81" i="267" s="1"/>
  <c r="AK88" i="267"/>
  <c r="AR45" i="268"/>
  <c r="AE45" i="268"/>
  <c r="AR46" i="268"/>
  <c r="AO22" i="267"/>
  <c r="AK23" i="267"/>
  <c r="AR25" i="267"/>
  <c r="AO28" i="267"/>
  <c r="AR31" i="267"/>
  <c r="AV34" i="267"/>
  <c r="AO38" i="267"/>
  <c r="AK39" i="267"/>
  <c r="AR41" i="267"/>
  <c r="AR47" i="267"/>
  <c r="AK49" i="267"/>
  <c r="AV50" i="267"/>
  <c r="AO54" i="267"/>
  <c r="AR57" i="267"/>
  <c r="AK59" i="267"/>
  <c r="AV60" i="267"/>
  <c r="AO64" i="267"/>
  <c r="AR67" i="267"/>
  <c r="AV70" i="267"/>
  <c r="AO74" i="267"/>
  <c r="AR77" i="267"/>
  <c r="AV80" i="267"/>
  <c r="AE83" i="267"/>
  <c r="AK86" i="267"/>
  <c r="AR15" i="268"/>
  <c r="AR20" i="268"/>
  <c r="AR21" i="268"/>
  <c r="AR26" i="268"/>
  <c r="AR39" i="268"/>
  <c r="AE39" i="268"/>
  <c r="AP52" i="268"/>
  <c r="AD52" i="268"/>
  <c r="AS53" i="268"/>
  <c r="AW53" i="268" s="1"/>
  <c r="AC53" i="268"/>
  <c r="AS67" i="268"/>
  <c r="AC67" i="268"/>
  <c r="AR10" i="267"/>
  <c r="AV13" i="267"/>
  <c r="AU14" i="267"/>
  <c r="AR16" i="267"/>
  <c r="AK18" i="267"/>
  <c r="AV19" i="267"/>
  <c r="AU20" i="267"/>
  <c r="AD22" i="267"/>
  <c r="AO23" i="267"/>
  <c r="AR26" i="267"/>
  <c r="AE27" i="267"/>
  <c r="AD28" i="267"/>
  <c r="AU30" i="267"/>
  <c r="AR32" i="267"/>
  <c r="AK34" i="267"/>
  <c r="AV35" i="267"/>
  <c r="AU36" i="267"/>
  <c r="AD38" i="267"/>
  <c r="AO39" i="267"/>
  <c r="AE43" i="267"/>
  <c r="AV45" i="267"/>
  <c r="AU46" i="267"/>
  <c r="AK50" i="267"/>
  <c r="AV51" i="267"/>
  <c r="AE53" i="267"/>
  <c r="AD54" i="267"/>
  <c r="AU56" i="267"/>
  <c r="AK60" i="267"/>
  <c r="AV61" i="267"/>
  <c r="AU62" i="267"/>
  <c r="AD64" i="267"/>
  <c r="AU66" i="267"/>
  <c r="AV71" i="267"/>
  <c r="AD74" i="267"/>
  <c r="AU76" i="267"/>
  <c r="AV81" i="267"/>
  <c r="AV84" i="267"/>
  <c r="AK85" i="267"/>
  <c r="AS86" i="267"/>
  <c r="AO86" i="267"/>
  <c r="AS88" i="267"/>
  <c r="AW88" i="267" s="1"/>
  <c r="AC88" i="267"/>
  <c r="AR88" i="267"/>
  <c r="AU24" i="268"/>
  <c r="AO24" i="268"/>
  <c r="AK24" i="268"/>
  <c r="AP34" i="268"/>
  <c r="AD34" i="268"/>
  <c r="AR51" i="268"/>
  <c r="AE51" i="268"/>
  <c r="AR52" i="268"/>
  <c r="AK19" i="267"/>
  <c r="AV20" i="267"/>
  <c r="AV30" i="267"/>
  <c r="AK35" i="267"/>
  <c r="AV36" i="267"/>
  <c r="AK45" i="267"/>
  <c r="AV46" i="267"/>
  <c r="AK51" i="267"/>
  <c r="AV56" i="267"/>
  <c r="AK61" i="267"/>
  <c r="AV62" i="267"/>
  <c r="AV66" i="267"/>
  <c r="AO70" i="267"/>
  <c r="AK71" i="267"/>
  <c r="AR73" i="267"/>
  <c r="AV76" i="267"/>
  <c r="AO80" i="267"/>
  <c r="AV83" i="267"/>
  <c r="AO85" i="267"/>
  <c r="AP86" i="267"/>
  <c r="AW86" i="267" s="1"/>
  <c r="AD86" i="267"/>
  <c r="AV88" i="267"/>
  <c r="AO89" i="267"/>
  <c r="AK89" i="267"/>
  <c r="AR33" i="268"/>
  <c r="AE33" i="268"/>
  <c r="AR34" i="268"/>
  <c r="AP58" i="268"/>
  <c r="AD58" i="268"/>
  <c r="AS59" i="268"/>
  <c r="AC59" i="268"/>
  <c r="AS60" i="268"/>
  <c r="AW60" i="268" s="1"/>
  <c r="AC60" i="268"/>
  <c r="AR79" i="268"/>
  <c r="AR97" i="268"/>
  <c r="AE97" i="268"/>
  <c r="AV15" i="267"/>
  <c r="AD18" i="267"/>
  <c r="AV25" i="267"/>
  <c r="AV31" i="267"/>
  <c r="AD34" i="267"/>
  <c r="AV41" i="267"/>
  <c r="AV47" i="267"/>
  <c r="AD50" i="267"/>
  <c r="AO51" i="267"/>
  <c r="AV57" i="267"/>
  <c r="AD60" i="267"/>
  <c r="AO61" i="267"/>
  <c r="AR64" i="267"/>
  <c r="AV67" i="267"/>
  <c r="AD70" i="267"/>
  <c r="AO71" i="267"/>
  <c r="AR74" i="267"/>
  <c r="AV77" i="267"/>
  <c r="AD80" i="267"/>
  <c r="AK84" i="267"/>
  <c r="AR6" i="268"/>
  <c r="AE6" i="268"/>
  <c r="AD6" i="268"/>
  <c r="AU8" i="268"/>
  <c r="AO8" i="268"/>
  <c r="AK8" i="268"/>
  <c r="AR11" i="268"/>
  <c r="AE11" i="268"/>
  <c r="AP12" i="268"/>
  <c r="AD12" i="268"/>
  <c r="AS13" i="268"/>
  <c r="AW13" i="268" s="1"/>
  <c r="AC13" i="268"/>
  <c r="AP18" i="268"/>
  <c r="AD18" i="268"/>
  <c r="AU30" i="268"/>
  <c r="AO30" i="268"/>
  <c r="AK30" i="268"/>
  <c r="AR41" i="268"/>
  <c r="AR49" i="268"/>
  <c r="AR55" i="268"/>
  <c r="AR58" i="268"/>
  <c r="AS61" i="268"/>
  <c r="AW61" i="268" s="1"/>
  <c r="AC61" i="268"/>
  <c r="AS15" i="268"/>
  <c r="AW15" i="268" s="1"/>
  <c r="AS21" i="268"/>
  <c r="AW21" i="268" s="1"/>
  <c r="AV25" i="268"/>
  <c r="AO29" i="268"/>
  <c r="AS37" i="268"/>
  <c r="AW37" i="268" s="1"/>
  <c r="AV41" i="268"/>
  <c r="AS43" i="268"/>
  <c r="AW43" i="268" s="1"/>
  <c r="AO47" i="268"/>
  <c r="AV49" i="268"/>
  <c r="AO53" i="268"/>
  <c r="AV55" i="268"/>
  <c r="AO59" i="268"/>
  <c r="AO60" i="268"/>
  <c r="AO61" i="268"/>
  <c r="AP62" i="268"/>
  <c r="AW62" i="268" s="1"/>
  <c r="AS63" i="268"/>
  <c r="AR70" i="268"/>
  <c r="AS71" i="268"/>
  <c r="AO72" i="268"/>
  <c r="AK77" i="268"/>
  <c r="AK81" i="268"/>
  <c r="AR83" i="268"/>
  <c r="AE83" i="268"/>
  <c r="AP84" i="268"/>
  <c r="AW84" i="268" s="1"/>
  <c r="AD84" i="268"/>
  <c r="AU86" i="268"/>
  <c r="AO86" i="268"/>
  <c r="AK86" i="268"/>
  <c r="AR88" i="268"/>
  <c r="AS90" i="268"/>
  <c r="AK91" i="268"/>
  <c r="AK107" i="268"/>
  <c r="AR109" i="268"/>
  <c r="AO117" i="268"/>
  <c r="AV121" i="268"/>
  <c r="AR159" i="268"/>
  <c r="AR160" i="268"/>
  <c r="AK175" i="268"/>
  <c r="AS228" i="268"/>
  <c r="AS218" i="268"/>
  <c r="AS212" i="268"/>
  <c r="AS206" i="268"/>
  <c r="AS196" i="268"/>
  <c r="AS180" i="268"/>
  <c r="AS233" i="268"/>
  <c r="AW233" i="268" s="1"/>
  <c r="AS227" i="268"/>
  <c r="AW227" i="268" s="1"/>
  <c r="AS217" i="268"/>
  <c r="AW217" i="268" s="1"/>
  <c r="AS211" i="268"/>
  <c r="AS205" i="268"/>
  <c r="AW205" i="268" s="1"/>
  <c r="AS195" i="268"/>
  <c r="AW195" i="268" s="1"/>
  <c r="AS185" i="268"/>
  <c r="AS179" i="268"/>
  <c r="AS171" i="268"/>
  <c r="AS222" i="268"/>
  <c r="AS216" i="268"/>
  <c r="AW216" i="268" s="1"/>
  <c r="AS210" i="268"/>
  <c r="AS200" i="268"/>
  <c r="AS184" i="268"/>
  <c r="AS220" i="268"/>
  <c r="AW220" i="268" s="1"/>
  <c r="AS164" i="268"/>
  <c r="AS159" i="268"/>
  <c r="AW159" i="268" s="1"/>
  <c r="AS198" i="268"/>
  <c r="AW198" i="268" s="1"/>
  <c r="AS165" i="268"/>
  <c r="AW165" i="268" s="1"/>
  <c r="AS176" i="268"/>
  <c r="AW176" i="268" s="1"/>
  <c r="AS188" i="268"/>
  <c r="AW188" i="268" s="1"/>
  <c r="AS166" i="268"/>
  <c r="AS156" i="268"/>
  <c r="AW156" i="268" s="1"/>
  <c r="AS150" i="268"/>
  <c r="AW150" i="268" s="1"/>
  <c r="AS144" i="268"/>
  <c r="AW144" i="268" s="1"/>
  <c r="AS138" i="268"/>
  <c r="AS132" i="268"/>
  <c r="AS124" i="268"/>
  <c r="AW124" i="268" s="1"/>
  <c r="AS116" i="268"/>
  <c r="AS155" i="268"/>
  <c r="AS115" i="268"/>
  <c r="AS109" i="268"/>
  <c r="AW109" i="268" s="1"/>
  <c r="AS93" i="268"/>
  <c r="AW93" i="268" s="1"/>
  <c r="AS148" i="268"/>
  <c r="AW148" i="268" s="1"/>
  <c r="AS130" i="268"/>
  <c r="AW130" i="268" s="1"/>
  <c r="AS143" i="268"/>
  <c r="AW143" i="268" s="1"/>
  <c r="AS178" i="268"/>
  <c r="AS154" i="268"/>
  <c r="AW154" i="268" s="1"/>
  <c r="AS137" i="268"/>
  <c r="AS123" i="268"/>
  <c r="AS65" i="268"/>
  <c r="AS142" i="268"/>
  <c r="AW142" i="268" s="1"/>
  <c r="AS76" i="268"/>
  <c r="AW76" i="268" s="1"/>
  <c r="AS70" i="268"/>
  <c r="AW70" i="268" s="1"/>
  <c r="AS149" i="268"/>
  <c r="AS136" i="268"/>
  <c r="AS131" i="268"/>
  <c r="AS95" i="268"/>
  <c r="AW95" i="268" s="1"/>
  <c r="AS81" i="268"/>
  <c r="AW81" i="268" s="1"/>
  <c r="AS69" i="268"/>
  <c r="AW69" i="268" s="1"/>
  <c r="AD7" i="268"/>
  <c r="AC8" i="268"/>
  <c r="AS10" i="268"/>
  <c r="AW10" i="268" s="1"/>
  <c r="AE12" i="268"/>
  <c r="AD13" i="268"/>
  <c r="AS16" i="268"/>
  <c r="AW16" i="268" s="1"/>
  <c r="AE18" i="268"/>
  <c r="AV20" i="268"/>
  <c r="AS22" i="268"/>
  <c r="AW22" i="268" s="1"/>
  <c r="AC24" i="268"/>
  <c r="AK25" i="268"/>
  <c r="AV26" i="268"/>
  <c r="AE28" i="268"/>
  <c r="AD29" i="268"/>
  <c r="AC30" i="268"/>
  <c r="AS32" i="268"/>
  <c r="AW32" i="268" s="1"/>
  <c r="AE34" i="268"/>
  <c r="AV36" i="268"/>
  <c r="AS38" i="268"/>
  <c r="AW38" i="268" s="1"/>
  <c r="AK41" i="268"/>
  <c r="AV42" i="268"/>
  <c r="AS44" i="268"/>
  <c r="AW44" i="268" s="1"/>
  <c r="AE46" i="268"/>
  <c r="AD47" i="268"/>
  <c r="AC48" i="268"/>
  <c r="AK49" i="268"/>
  <c r="AE52" i="268"/>
  <c r="AD53" i="268"/>
  <c r="AC54" i="268"/>
  <c r="AK55" i="268"/>
  <c r="AE58" i="268"/>
  <c r="AD59" i="268"/>
  <c r="AD60" i="268"/>
  <c r="AR61" i="268"/>
  <c r="AD61" i="268"/>
  <c r="AU63" i="268"/>
  <c r="AR65" i="268"/>
  <c r="AR67" i="268"/>
  <c r="AE67" i="268"/>
  <c r="AS72" i="268"/>
  <c r="AK73" i="268"/>
  <c r="AR84" i="268"/>
  <c r="AS85" i="268"/>
  <c r="AC85" i="268"/>
  <c r="AR89" i="268"/>
  <c r="AE89" i="268"/>
  <c r="AP90" i="268"/>
  <c r="AW90" i="268" s="1"/>
  <c r="AD90" i="268"/>
  <c r="AS94" i="268"/>
  <c r="AW94" i="268" s="1"/>
  <c r="AS99" i="268"/>
  <c r="AS102" i="268"/>
  <c r="AK103" i="268"/>
  <c r="AU112" i="268"/>
  <c r="AO112" i="268"/>
  <c r="AK112" i="268"/>
  <c r="AO142" i="268"/>
  <c r="AD88" i="267"/>
  <c r="AC89" i="267"/>
  <c r="AV234" i="268"/>
  <c r="AV228" i="268"/>
  <c r="AV218" i="268"/>
  <c r="AV212" i="268"/>
  <c r="AV206" i="268"/>
  <c r="AV196" i="268"/>
  <c r="AV180" i="268"/>
  <c r="AV172" i="268"/>
  <c r="AV166" i="268"/>
  <c r="AV160" i="268"/>
  <c r="AV239" i="268"/>
  <c r="AV233" i="268"/>
  <c r="AV227" i="268"/>
  <c r="AV217" i="268"/>
  <c r="AV211" i="268"/>
  <c r="AV205" i="268"/>
  <c r="AV195" i="268"/>
  <c r="AV185" i="268"/>
  <c r="AV179" i="268"/>
  <c r="AV171" i="268"/>
  <c r="AV165" i="268"/>
  <c r="AV159" i="268"/>
  <c r="AV238" i="268"/>
  <c r="AV222" i="268"/>
  <c r="AV216" i="268"/>
  <c r="AV210" i="268"/>
  <c r="AV200" i="268"/>
  <c r="AV184" i="268"/>
  <c r="AV178" i="268"/>
  <c r="AV237" i="268"/>
  <c r="AV221" i="268"/>
  <c r="AV215" i="268"/>
  <c r="AV209" i="268"/>
  <c r="AV199" i="268"/>
  <c r="AV189" i="268"/>
  <c r="AV177" i="268"/>
  <c r="AV220" i="268"/>
  <c r="AV198" i="268"/>
  <c r="AV188" i="268"/>
  <c r="AV231" i="268"/>
  <c r="AV225" i="268"/>
  <c r="AV203" i="268"/>
  <c r="AV193" i="268"/>
  <c r="AV187" i="268"/>
  <c r="AV175" i="268"/>
  <c r="AV169" i="268"/>
  <c r="AV235" i="268"/>
  <c r="AV229" i="268"/>
  <c r="AV213" i="268"/>
  <c r="AV207" i="268"/>
  <c r="AV191" i="268"/>
  <c r="AV181" i="268"/>
  <c r="AV173" i="268"/>
  <c r="AV202" i="268"/>
  <c r="AV182" i="268"/>
  <c r="AV167" i="268"/>
  <c r="AV127" i="268"/>
  <c r="AV119" i="268"/>
  <c r="AV111" i="268"/>
  <c r="AV146" i="268"/>
  <c r="AV126" i="268"/>
  <c r="AV118" i="268"/>
  <c r="AV176" i="268"/>
  <c r="AV168" i="268"/>
  <c r="AV157" i="268"/>
  <c r="AV145" i="268"/>
  <c r="AV139" i="268"/>
  <c r="AV133" i="268"/>
  <c r="AV125" i="268"/>
  <c r="AV117" i="268"/>
  <c r="AV230" i="268"/>
  <c r="AV163" i="268"/>
  <c r="AV161" i="268"/>
  <c r="AV156" i="268"/>
  <c r="AV150" i="268"/>
  <c r="AV144" i="268"/>
  <c r="AV138" i="268"/>
  <c r="AV132" i="268"/>
  <c r="AV124" i="268"/>
  <c r="AV116" i="268"/>
  <c r="AV155" i="268"/>
  <c r="AV149" i="268"/>
  <c r="AV143" i="268"/>
  <c r="AV137" i="268"/>
  <c r="AV131" i="268"/>
  <c r="AV123" i="268"/>
  <c r="AV115" i="268"/>
  <c r="AV154" i="268"/>
  <c r="AV148" i="268"/>
  <c r="AV142" i="268"/>
  <c r="AV136" i="268"/>
  <c r="AV130" i="268"/>
  <c r="AV122" i="268"/>
  <c r="AV114" i="268"/>
  <c r="AV152" i="268"/>
  <c r="AV120" i="268"/>
  <c r="AV103" i="268"/>
  <c r="AV91" i="268"/>
  <c r="AV85" i="268"/>
  <c r="AV79" i="268"/>
  <c r="AV73" i="268"/>
  <c r="AV67" i="268"/>
  <c r="AV192" i="268"/>
  <c r="AV164" i="268"/>
  <c r="AV129" i="268"/>
  <c r="AV112" i="268"/>
  <c r="AV102" i="268"/>
  <c r="AV90" i="268"/>
  <c r="AV84" i="268"/>
  <c r="AV78" i="268"/>
  <c r="AV72" i="268"/>
  <c r="AV66" i="268"/>
  <c r="AV224" i="268"/>
  <c r="AV107" i="268"/>
  <c r="AV97" i="268"/>
  <c r="AV89" i="268"/>
  <c r="AV83" i="268"/>
  <c r="AV77" i="268"/>
  <c r="AV71" i="268"/>
  <c r="AV128" i="268"/>
  <c r="AV106" i="268"/>
  <c r="AV96" i="268"/>
  <c r="AV88" i="268"/>
  <c r="AV82" i="268"/>
  <c r="AV76" i="268"/>
  <c r="AV70" i="268"/>
  <c r="AV113" i="268"/>
  <c r="AV95" i="268"/>
  <c r="AV81" i="268"/>
  <c r="AV69" i="268"/>
  <c r="AV153" i="268"/>
  <c r="AV141" i="268"/>
  <c r="AV110" i="268"/>
  <c r="AV100" i="268"/>
  <c r="AV94" i="268"/>
  <c r="AV174" i="268"/>
  <c r="AV135" i="268"/>
  <c r="AV109" i="268"/>
  <c r="AV99" i="268"/>
  <c r="AV93" i="268"/>
  <c r="AO231" i="268"/>
  <c r="AO225" i="268"/>
  <c r="AO203" i="268"/>
  <c r="AO193" i="268"/>
  <c r="AO187" i="268"/>
  <c r="AO175" i="268"/>
  <c r="AO169" i="268"/>
  <c r="AO239" i="268"/>
  <c r="AO233" i="268"/>
  <c r="AO227" i="268"/>
  <c r="AO217" i="268"/>
  <c r="AO211" i="268"/>
  <c r="AO205" i="268"/>
  <c r="AO195" i="268"/>
  <c r="AO185" i="268"/>
  <c r="AO179" i="268"/>
  <c r="AO166" i="268"/>
  <c r="AO157" i="268"/>
  <c r="AO145" i="268"/>
  <c r="AO139" i="268"/>
  <c r="AO133" i="268"/>
  <c r="AO125" i="268"/>
  <c r="AO206" i="268"/>
  <c r="AO156" i="268"/>
  <c r="AO150" i="268"/>
  <c r="AO144" i="268"/>
  <c r="AO138" i="268"/>
  <c r="AO132" i="268"/>
  <c r="AO124" i="268"/>
  <c r="AO116" i="268"/>
  <c r="AO171" i="268"/>
  <c r="AO234" i="268"/>
  <c r="AO180" i="268"/>
  <c r="AO218" i="268"/>
  <c r="AO212" i="268"/>
  <c r="AO172" i="268"/>
  <c r="AO126" i="268"/>
  <c r="AO113" i="268"/>
  <c r="AO107" i="268"/>
  <c r="AO97" i="268"/>
  <c r="AO89" i="268"/>
  <c r="AO83" i="268"/>
  <c r="AO77" i="268"/>
  <c r="AO71" i="268"/>
  <c r="AO165" i="268"/>
  <c r="AO161" i="268"/>
  <c r="AO82" i="268"/>
  <c r="AO76" i="268"/>
  <c r="AO70" i="268"/>
  <c r="AO196" i="268"/>
  <c r="AO160" i="268"/>
  <c r="AO111" i="268"/>
  <c r="AO95" i="268"/>
  <c r="AO81" i="268"/>
  <c r="AO69" i="268"/>
  <c r="AO228" i="268"/>
  <c r="AO119" i="268"/>
  <c r="AO118" i="268"/>
  <c r="AO127" i="268"/>
  <c r="AE7" i="268"/>
  <c r="AD8" i="268"/>
  <c r="AU10" i="268"/>
  <c r="AS11" i="268"/>
  <c r="AE13" i="268"/>
  <c r="AV15" i="268"/>
  <c r="AU16" i="268"/>
  <c r="AS17" i="268"/>
  <c r="AW17" i="268" s="1"/>
  <c r="AV21" i="268"/>
  <c r="AU22" i="268"/>
  <c r="AD24" i="268"/>
  <c r="AC25" i="268"/>
  <c r="AD30" i="268"/>
  <c r="AU32" i="268"/>
  <c r="AS33" i="268"/>
  <c r="AV37" i="268"/>
  <c r="AU38" i="268"/>
  <c r="AS39" i="268"/>
  <c r="AC41" i="268"/>
  <c r="AV43" i="268"/>
  <c r="AU44" i="268"/>
  <c r="AS45" i="268"/>
  <c r="AW45" i="268" s="1"/>
  <c r="AS51" i="268"/>
  <c r="AD54" i="268"/>
  <c r="AC55" i="268"/>
  <c r="AV63" i="268"/>
  <c r="AV65" i="268"/>
  <c r="AK66" i="268"/>
  <c r="AK69" i="268"/>
  <c r="AR71" i="268"/>
  <c r="AE71" i="268"/>
  <c r="AP72" i="268"/>
  <c r="AW72" i="268" s="1"/>
  <c r="AD72" i="268"/>
  <c r="AU74" i="268"/>
  <c r="AO74" i="268"/>
  <c r="AK74" i="268"/>
  <c r="AR76" i="268"/>
  <c r="AS77" i="268"/>
  <c r="AO78" i="268"/>
  <c r="AV86" i="268"/>
  <c r="AR90" i="268"/>
  <c r="AS91" i="268"/>
  <c r="AW91" i="268" s="1"/>
  <c r="AC91" i="268"/>
  <c r="AU92" i="268"/>
  <c r="AO92" i="268"/>
  <c r="AK92" i="268"/>
  <c r="AO96" i="268"/>
  <c r="AO100" i="268"/>
  <c r="AP102" i="268"/>
  <c r="AW102" i="268" s="1"/>
  <c r="AD102" i="268"/>
  <c r="AS107" i="268"/>
  <c r="AS110" i="268"/>
  <c r="AW110" i="268" s="1"/>
  <c r="AS120" i="268"/>
  <c r="AW120" i="268" s="1"/>
  <c r="AC120" i="268"/>
  <c r="AK127" i="268"/>
  <c r="AS6" i="268"/>
  <c r="AW6" i="268" s="1"/>
  <c r="AV10" i="268"/>
  <c r="AU11" i="268"/>
  <c r="AS12" i="268"/>
  <c r="AK15" i="268"/>
  <c r="AV16" i="268"/>
  <c r="AU17" i="268"/>
  <c r="AS18" i="268"/>
  <c r="AO20" i="268"/>
  <c r="AK21" i="268"/>
  <c r="AV22" i="268"/>
  <c r="AO26" i="268"/>
  <c r="AS28" i="268"/>
  <c r="AV32" i="268"/>
  <c r="AU33" i="268"/>
  <c r="AS34" i="268"/>
  <c r="AO36" i="268"/>
  <c r="AK37" i="268"/>
  <c r="AV38" i="268"/>
  <c r="AU39" i="268"/>
  <c r="AO42" i="268"/>
  <c r="AK43" i="268"/>
  <c r="AV44" i="268"/>
  <c r="AU45" i="268"/>
  <c r="AS46" i="268"/>
  <c r="AU51" i="268"/>
  <c r="AS52" i="268"/>
  <c r="AO56" i="268"/>
  <c r="AS58" i="268"/>
  <c r="AS66" i="268"/>
  <c r="AO66" i="268"/>
  <c r="AR72" i="268"/>
  <c r="AS73" i="268"/>
  <c r="AC73" i="268"/>
  <c r="AS78" i="268"/>
  <c r="AK79" i="268"/>
  <c r="AR85" i="268"/>
  <c r="AS86" i="268"/>
  <c r="AW86" i="268" s="1"/>
  <c r="AO93" i="268"/>
  <c r="AK97" i="268"/>
  <c r="AR99" i="268"/>
  <c r="AR102" i="268"/>
  <c r="AS103" i="268"/>
  <c r="AW103" i="268" s="1"/>
  <c r="AC103" i="268"/>
  <c r="AU104" i="268"/>
  <c r="AO104" i="268"/>
  <c r="AK104" i="268"/>
  <c r="AR106" i="268"/>
  <c r="AS113" i="268"/>
  <c r="AC113" i="268"/>
  <c r="AE115" i="268"/>
  <c r="AR115" i="268"/>
  <c r="AO146" i="268"/>
  <c r="AS172" i="268"/>
  <c r="AC172" i="268"/>
  <c r="AV17" i="268"/>
  <c r="AO21" i="268"/>
  <c r="AK22" i="268"/>
  <c r="AK32" i="268"/>
  <c r="AV33" i="268"/>
  <c r="AO37" i="268"/>
  <c r="AK38" i="268"/>
  <c r="AV39" i="268"/>
  <c r="AO43" i="268"/>
  <c r="AV45" i="268"/>
  <c r="AV51" i="268"/>
  <c r="AV62" i="268"/>
  <c r="AP66" i="268"/>
  <c r="AW66" i="268" s="1"/>
  <c r="AD66" i="268"/>
  <c r="AU67" i="268"/>
  <c r="AO67" i="268"/>
  <c r="AV74" i="268"/>
  <c r="AR77" i="268"/>
  <c r="AE77" i="268"/>
  <c r="AP78" i="268"/>
  <c r="AW78" i="268" s="1"/>
  <c r="AD78" i="268"/>
  <c r="AK83" i="268"/>
  <c r="AO88" i="268"/>
  <c r="AR91" i="268"/>
  <c r="AS92" i="268"/>
  <c r="AW92" i="268" s="1"/>
  <c r="AV92" i="268"/>
  <c r="AR107" i="268"/>
  <c r="AE107" i="268"/>
  <c r="AO109" i="268"/>
  <c r="AS112" i="268"/>
  <c r="AW112" i="268" s="1"/>
  <c r="AS126" i="268"/>
  <c r="AW126" i="268" s="1"/>
  <c r="AK11" i="268"/>
  <c r="AV12" i="268"/>
  <c r="AD15" i="268"/>
  <c r="AK17" i="268"/>
  <c r="AV18" i="268"/>
  <c r="AE20" i="268"/>
  <c r="AD21" i="268"/>
  <c r="AE26" i="268"/>
  <c r="AV28" i="268"/>
  <c r="AK33" i="268"/>
  <c r="AV34" i="268"/>
  <c r="AE36" i="268"/>
  <c r="AD37" i="268"/>
  <c r="AK39" i="268"/>
  <c r="AE42" i="268"/>
  <c r="AD43" i="268"/>
  <c r="AK45" i="268"/>
  <c r="AV46" i="268"/>
  <c r="AK51" i="268"/>
  <c r="AV52" i="268"/>
  <c r="AE56" i="268"/>
  <c r="AV58" i="268"/>
  <c r="AV59" i="268"/>
  <c r="AV60" i="268"/>
  <c r="AV61" i="268"/>
  <c r="AK63" i="268"/>
  <c r="AK65" i="268"/>
  <c r="AU65" i="268"/>
  <c r="AR66" i="268"/>
  <c r="AK67" i="268"/>
  <c r="AR73" i="268"/>
  <c r="AS74" i="268"/>
  <c r="AW74" i="268" s="1"/>
  <c r="AR78" i="268"/>
  <c r="AS79" i="268"/>
  <c r="AC79" i="268"/>
  <c r="AK89" i="268"/>
  <c r="AS97" i="268"/>
  <c r="AS100" i="268"/>
  <c r="AW100" i="268" s="1"/>
  <c r="AR103" i="268"/>
  <c r="AS104" i="268"/>
  <c r="AW104" i="268" s="1"/>
  <c r="AV104" i="268"/>
  <c r="AP161" i="268"/>
  <c r="AD161" i="268"/>
  <c r="AR211" i="268"/>
  <c r="AE211" i="268"/>
  <c r="AK233" i="268"/>
  <c r="AK227" i="268"/>
  <c r="AK195" i="268"/>
  <c r="AK185" i="268"/>
  <c r="AK237" i="268"/>
  <c r="AK221" i="268"/>
  <c r="AK215" i="268"/>
  <c r="AK209" i="268"/>
  <c r="AK199" i="268"/>
  <c r="AK189" i="268"/>
  <c r="AK177" i="268"/>
  <c r="AK231" i="268"/>
  <c r="AK225" i="268"/>
  <c r="AK203" i="268"/>
  <c r="AK193" i="268"/>
  <c r="AK187" i="268"/>
  <c r="AK234" i="268"/>
  <c r="AK228" i="268"/>
  <c r="AK218" i="268"/>
  <c r="AK212" i="268"/>
  <c r="AK206" i="268"/>
  <c r="AK196" i="268"/>
  <c r="AK180" i="268"/>
  <c r="AK207" i="268"/>
  <c r="AK166" i="268"/>
  <c r="AK157" i="268"/>
  <c r="AK145" i="268"/>
  <c r="AK139" i="268"/>
  <c r="AK133" i="268"/>
  <c r="AK125" i="268"/>
  <c r="AK117" i="268"/>
  <c r="AK191" i="268"/>
  <c r="AK124" i="268"/>
  <c r="AK169" i="268"/>
  <c r="AK155" i="268"/>
  <c r="AK149" i="268"/>
  <c r="AK235" i="268"/>
  <c r="AK181" i="268"/>
  <c r="AK213" i="268"/>
  <c r="AK102" i="268"/>
  <c r="AK90" i="268"/>
  <c r="AK84" i="268"/>
  <c r="AK78" i="268"/>
  <c r="AK72" i="268"/>
  <c r="AK172" i="268"/>
  <c r="AK152" i="268"/>
  <c r="AK120" i="268"/>
  <c r="AK106" i="268"/>
  <c r="AK96" i="268"/>
  <c r="AK88" i="268"/>
  <c r="AK82" i="268"/>
  <c r="AK76" i="268"/>
  <c r="AK70" i="268"/>
  <c r="AK229" i="268"/>
  <c r="AK160" i="268"/>
  <c r="AK111" i="268"/>
  <c r="AK95" i="268"/>
  <c r="AK119" i="268"/>
  <c r="AK128" i="268"/>
  <c r="AK99" i="268"/>
  <c r="AK93" i="268"/>
  <c r="AV7" i="268"/>
  <c r="AD10" i="268"/>
  <c r="AV13" i="268"/>
  <c r="AD16" i="268"/>
  <c r="AD22" i="268"/>
  <c r="AV29" i="268"/>
  <c r="AD32" i="268"/>
  <c r="AD38" i="268"/>
  <c r="AD44" i="268"/>
  <c r="AV47" i="268"/>
  <c r="AV53" i="268"/>
  <c r="AO65" i="268"/>
  <c r="AK71" i="268"/>
  <c r="AR82" i="268"/>
  <c r="AS83" i="268"/>
  <c r="AO84" i="268"/>
  <c r="AO94" i="268"/>
  <c r="AR96" i="268"/>
  <c r="AO73" i="268"/>
  <c r="AO79" i="268"/>
  <c r="AO85" i="268"/>
  <c r="AO91" i="268"/>
  <c r="AU94" i="268"/>
  <c r="AU100" i="268"/>
  <c r="AO103" i="268"/>
  <c r="AU110" i="268"/>
  <c r="AP113" i="268"/>
  <c r="AW113" i="268" s="1"/>
  <c r="AD113" i="268"/>
  <c r="AP116" i="268"/>
  <c r="AW116" i="268" s="1"/>
  <c r="AD116" i="268"/>
  <c r="AK118" i="268"/>
  <c r="AS121" i="268"/>
  <c r="AR125" i="268"/>
  <c r="AE125" i="268"/>
  <c r="AU128" i="268"/>
  <c r="AO128" i="268"/>
  <c r="AK132" i="268"/>
  <c r="AS135" i="268"/>
  <c r="AR139" i="268"/>
  <c r="AE139" i="268"/>
  <c r="AO143" i="268"/>
  <c r="AS146" i="268"/>
  <c r="AW146" i="268" s="1"/>
  <c r="AK150" i="268"/>
  <c r="AR152" i="268"/>
  <c r="AS153" i="268"/>
  <c r="AW153" i="268" s="1"/>
  <c r="AR161" i="268"/>
  <c r="AE161" i="268"/>
  <c r="AS174" i="268"/>
  <c r="AO184" i="268"/>
  <c r="AS207" i="268"/>
  <c r="AW207" i="268" s="1"/>
  <c r="AC207" i="268"/>
  <c r="AO237" i="268"/>
  <c r="AR239" i="268"/>
  <c r="AE239" i="268"/>
  <c r="AS82" i="268"/>
  <c r="AW82" i="268" s="1"/>
  <c r="AS88" i="268"/>
  <c r="AW88" i="268" s="1"/>
  <c r="AS96" i="268"/>
  <c r="AS106" i="268"/>
  <c r="AK109" i="268"/>
  <c r="AU113" i="268"/>
  <c r="AO114" i="268"/>
  <c r="AR120" i="268"/>
  <c r="AR126" i="268"/>
  <c r="AE126" i="268"/>
  <c r="AS127" i="268"/>
  <c r="AR145" i="268"/>
  <c r="AE145" i="268"/>
  <c r="AO154" i="268"/>
  <c r="AK168" i="268"/>
  <c r="AU168" i="268"/>
  <c r="AP174" i="268"/>
  <c r="AW174" i="268" s="1"/>
  <c r="AD174" i="268"/>
  <c r="AR182" i="268"/>
  <c r="AP206" i="268"/>
  <c r="AW206" i="268" s="1"/>
  <c r="AD206" i="268"/>
  <c r="AE73" i="268"/>
  <c r="AD74" i="268"/>
  <c r="AE79" i="268"/>
  <c r="AE85" i="268"/>
  <c r="AD86" i="268"/>
  <c r="AU88" i="268"/>
  <c r="AE91" i="268"/>
  <c r="AD92" i="268"/>
  <c r="AK94" i="268"/>
  <c r="AU96" i="268"/>
  <c r="AC99" i="268"/>
  <c r="AK100" i="268"/>
  <c r="AE103" i="268"/>
  <c r="AD104" i="268"/>
  <c r="AU106" i="268"/>
  <c r="AK110" i="268"/>
  <c r="AC112" i="268"/>
  <c r="AO115" i="268"/>
  <c r="AS118" i="268"/>
  <c r="AR122" i="268"/>
  <c r="AP127" i="268"/>
  <c r="AW127" i="268" s="1"/>
  <c r="AD127" i="268"/>
  <c r="AC127" i="268"/>
  <c r="AO129" i="268"/>
  <c r="AK129" i="268"/>
  <c r="AS141" i="268"/>
  <c r="AW141" i="268" s="1"/>
  <c r="AR146" i="268"/>
  <c r="AE146" i="268"/>
  <c r="AO155" i="268"/>
  <c r="AP166" i="268"/>
  <c r="AW166" i="268" s="1"/>
  <c r="AD166" i="268"/>
  <c r="AO168" i="268"/>
  <c r="AU71" i="268"/>
  <c r="AU77" i="268"/>
  <c r="AU83" i="268"/>
  <c r="AU89" i="268"/>
  <c r="AU97" i="268"/>
  <c r="AU107" i="268"/>
  <c r="AS111" i="268"/>
  <c r="AW111" i="268" s="1"/>
  <c r="AR112" i="268"/>
  <c r="AE112" i="268"/>
  <c r="AS114" i="268"/>
  <c r="AR117" i="268"/>
  <c r="AE117" i="268"/>
  <c r="AU120" i="268"/>
  <c r="AO120" i="268"/>
  <c r="AR127" i="268"/>
  <c r="AO130" i="268"/>
  <c r="AK138" i="268"/>
  <c r="AO148" i="268"/>
  <c r="AU152" i="268"/>
  <c r="AO152" i="268"/>
  <c r="AR157" i="268"/>
  <c r="AE157" i="268"/>
  <c r="AK159" i="268"/>
  <c r="AU159" i="268"/>
  <c r="AO159" i="268"/>
  <c r="AC163" i="268"/>
  <c r="AS163" i="268"/>
  <c r="AW163" i="268" s="1"/>
  <c r="AS168" i="268"/>
  <c r="AO200" i="268"/>
  <c r="AR202" i="268"/>
  <c r="AR118" i="268"/>
  <c r="AE118" i="268"/>
  <c r="AS119" i="268"/>
  <c r="AO121" i="268"/>
  <c r="AK121" i="268"/>
  <c r="AS128" i="268"/>
  <c r="AC128" i="268"/>
  <c r="AO131" i="268"/>
  <c r="AK144" i="268"/>
  <c r="AO149" i="268"/>
  <c r="AK165" i="268"/>
  <c r="AR167" i="268"/>
  <c r="AR178" i="268"/>
  <c r="AS224" i="268"/>
  <c r="AW224" i="268" s="1"/>
  <c r="AR227" i="268"/>
  <c r="AE227" i="268"/>
  <c r="AD69" i="268"/>
  <c r="AD81" i="268"/>
  <c r="AD95" i="268"/>
  <c r="AR111" i="268"/>
  <c r="AD111" i="268"/>
  <c r="AK116" i="268"/>
  <c r="AP119" i="268"/>
  <c r="AW119" i="268" s="1"/>
  <c r="AD119" i="268"/>
  <c r="AC119" i="268"/>
  <c r="AO122" i="268"/>
  <c r="AK126" i="268"/>
  <c r="AS129" i="268"/>
  <c r="AO135" i="268"/>
  <c r="AK135" i="268"/>
  <c r="AO153" i="268"/>
  <c r="AK153" i="268"/>
  <c r="AS160" i="268"/>
  <c r="AR164" i="268"/>
  <c r="AE164" i="268"/>
  <c r="AS192" i="268"/>
  <c r="AW192" i="268" s="1"/>
  <c r="AR195" i="268"/>
  <c r="AE195" i="268"/>
  <c r="AR114" i="268"/>
  <c r="AR119" i="268"/>
  <c r="AO123" i="268"/>
  <c r="AR128" i="268"/>
  <c r="AR133" i="268"/>
  <c r="AE133" i="268"/>
  <c r="AO136" i="268"/>
  <c r="AO141" i="268"/>
  <c r="AK141" i="268"/>
  <c r="AK146" i="268"/>
  <c r="AS152" i="268"/>
  <c r="AW152" i="268" s="1"/>
  <c r="AC152" i="268"/>
  <c r="AK156" i="268"/>
  <c r="AP160" i="268"/>
  <c r="AD160" i="268"/>
  <c r="AC160" i="268"/>
  <c r="AR169" i="268"/>
  <c r="AE169" i="268"/>
  <c r="AO189" i="268"/>
  <c r="AR191" i="268"/>
  <c r="AR210" i="268"/>
  <c r="AU115" i="268"/>
  <c r="AU167" i="268"/>
  <c r="AO167" i="268"/>
  <c r="AP168" i="268"/>
  <c r="AP172" i="268"/>
  <c r="AD172" i="268"/>
  <c r="AU173" i="268"/>
  <c r="AO173" i="268"/>
  <c r="AR174" i="268"/>
  <c r="AC175" i="268"/>
  <c r="AS175" i="268"/>
  <c r="AO176" i="268"/>
  <c r="AK176" i="268"/>
  <c r="AU176" i="268"/>
  <c r="AP196" i="268"/>
  <c r="AW196" i="268" s="1"/>
  <c r="AD196" i="268"/>
  <c r="AR203" i="268"/>
  <c r="AR207" i="268"/>
  <c r="AO209" i="268"/>
  <c r="AP212" i="268"/>
  <c r="AW212" i="268" s="1"/>
  <c r="AD212" i="268"/>
  <c r="AS213" i="268"/>
  <c r="AW213" i="268" s="1"/>
  <c r="AC213" i="268"/>
  <c r="AR216" i="268"/>
  <c r="AP228" i="268"/>
  <c r="AD228" i="268"/>
  <c r="AS229" i="268"/>
  <c r="AW229" i="268" s="1"/>
  <c r="AC229" i="268"/>
  <c r="AO230" i="268"/>
  <c r="AK230" i="268"/>
  <c r="AU230" i="268"/>
  <c r="AK114" i="268"/>
  <c r="AS117" i="268"/>
  <c r="AE119" i="268"/>
  <c r="AD120" i="268"/>
  <c r="AC121" i="268"/>
  <c r="AK122" i="268"/>
  <c r="AS125" i="268"/>
  <c r="AW125" i="268" s="1"/>
  <c r="AE127" i="268"/>
  <c r="AD128" i="268"/>
  <c r="AC129" i="268"/>
  <c r="AK130" i="268"/>
  <c r="AS133" i="268"/>
  <c r="AC135" i="268"/>
  <c r="AK136" i="268"/>
  <c r="AU138" i="268"/>
  <c r="AS139" i="268"/>
  <c r="AC141" i="268"/>
  <c r="AK142" i="268"/>
  <c r="AU144" i="268"/>
  <c r="AS145" i="268"/>
  <c r="AW145" i="268" s="1"/>
  <c r="AK148" i="268"/>
  <c r="AU150" i="268"/>
  <c r="AD152" i="268"/>
  <c r="AC153" i="268"/>
  <c r="AK154" i="268"/>
  <c r="AU156" i="268"/>
  <c r="AS157" i="268"/>
  <c r="AW157" i="268" s="1"/>
  <c r="AE160" i="268"/>
  <c r="AK167" i="268"/>
  <c r="AR168" i="268"/>
  <c r="AK171" i="268"/>
  <c r="AK173" i="268"/>
  <c r="AO177" i="268"/>
  <c r="AR187" i="268"/>
  <c r="AR192" i="268"/>
  <c r="AO198" i="268"/>
  <c r="AK205" i="268"/>
  <c r="AR217" i="268"/>
  <c r="AE217" i="268"/>
  <c r="AO222" i="268"/>
  <c r="AR224" i="268"/>
  <c r="AK115" i="268"/>
  <c r="AU117" i="268"/>
  <c r="AE120" i="268"/>
  <c r="AD121" i="268"/>
  <c r="AK123" i="268"/>
  <c r="AE128" i="268"/>
  <c r="AD129" i="268"/>
  <c r="AK131" i="268"/>
  <c r="AD135" i="268"/>
  <c r="AK137" i="268"/>
  <c r="AD141" i="268"/>
  <c r="AK143" i="268"/>
  <c r="AO164" i="268"/>
  <c r="AK164" i="268"/>
  <c r="AR165" i="268"/>
  <c r="AS167" i="268"/>
  <c r="AW167" i="268" s="1"/>
  <c r="AC167" i="268"/>
  <c r="AR175" i="268"/>
  <c r="AE175" i="268"/>
  <c r="AR193" i="268"/>
  <c r="AO199" i="268"/>
  <c r="AR200" i="268"/>
  <c r="AO210" i="268"/>
  <c r="AR213" i="268"/>
  <c r="AO215" i="268"/>
  <c r="AP218" i="268"/>
  <c r="AW218" i="268" s="1"/>
  <c r="AD218" i="268"/>
  <c r="AR225" i="268"/>
  <c r="AR229" i="268"/>
  <c r="AS230" i="268"/>
  <c r="AW230" i="268" s="1"/>
  <c r="AR233" i="268"/>
  <c r="AE233" i="268"/>
  <c r="AS234" i="268"/>
  <c r="AO238" i="268"/>
  <c r="AD114" i="268"/>
  <c r="AU118" i="268"/>
  <c r="AD122" i="268"/>
  <c r="AU126" i="268"/>
  <c r="AD130" i="268"/>
  <c r="AD136" i="268"/>
  <c r="AD142" i="268"/>
  <c r="AU146" i="268"/>
  <c r="AD148" i="268"/>
  <c r="AD154" i="268"/>
  <c r="AE159" i="268"/>
  <c r="AP169" i="268"/>
  <c r="AP171" i="268"/>
  <c r="AS173" i="268"/>
  <c r="AC173" i="268"/>
  <c r="AO178" i="268"/>
  <c r="AP180" i="268"/>
  <c r="AW180" i="268" s="1"/>
  <c r="AD180" i="268"/>
  <c r="AS181" i="268"/>
  <c r="AC181" i="268"/>
  <c r="AO182" i="268"/>
  <c r="AK182" i="268"/>
  <c r="AU182" i="268"/>
  <c r="AR184" i="268"/>
  <c r="AO202" i="268"/>
  <c r="AK202" i="268"/>
  <c r="AU202" i="268"/>
  <c r="AK211" i="268"/>
  <c r="AO220" i="268"/>
  <c r="AP234" i="268"/>
  <c r="AD234" i="268"/>
  <c r="AS235" i="268"/>
  <c r="AC235" i="268"/>
  <c r="AK239" i="268"/>
  <c r="AO163" i="268"/>
  <c r="AE167" i="268"/>
  <c r="AK174" i="268"/>
  <c r="AU174" i="268"/>
  <c r="AR185" i="268"/>
  <c r="AE185" i="268"/>
  <c r="AO216" i="268"/>
  <c r="AO221" i="268"/>
  <c r="AR222" i="268"/>
  <c r="AR230" i="268"/>
  <c r="AD124" i="268"/>
  <c r="AD132" i="268"/>
  <c r="AD138" i="268"/>
  <c r="AD144" i="268"/>
  <c r="AD150" i="268"/>
  <c r="AD156" i="268"/>
  <c r="AS161" i="268"/>
  <c r="AK161" i="268"/>
  <c r="AK163" i="268"/>
  <c r="AS169" i="268"/>
  <c r="AR171" i="268"/>
  <c r="AO174" i="268"/>
  <c r="AK179" i="268"/>
  <c r="AR181" i="268"/>
  <c r="AE181" i="268"/>
  <c r="AS182" i="268"/>
  <c r="AW182" i="268" s="1"/>
  <c r="AS191" i="268"/>
  <c r="AW191" i="268" s="1"/>
  <c r="AC191" i="268"/>
  <c r="AO192" i="268"/>
  <c r="AK192" i="268"/>
  <c r="AU192" i="268"/>
  <c r="AS202" i="268"/>
  <c r="AW202" i="268" s="1"/>
  <c r="AR205" i="268"/>
  <c r="AE205" i="268"/>
  <c r="AK217" i="268"/>
  <c r="AO224" i="268"/>
  <c r="AK224" i="268"/>
  <c r="AU224" i="268"/>
  <c r="AR231" i="268"/>
  <c r="AR235" i="268"/>
  <c r="AS239" i="268"/>
  <c r="AW239" i="268" s="1"/>
  <c r="AS187" i="268"/>
  <c r="AW187" i="268" s="1"/>
  <c r="AS193" i="268"/>
  <c r="AS203" i="268"/>
  <c r="AW203" i="268" s="1"/>
  <c r="AS225" i="268"/>
  <c r="AW225" i="268" s="1"/>
  <c r="AS231" i="268"/>
  <c r="AW231" i="268" s="1"/>
  <c r="AS177" i="268"/>
  <c r="AW177" i="268" s="1"/>
  <c r="AO181" i="268"/>
  <c r="AU188" i="268"/>
  <c r="AS189" i="268"/>
  <c r="AW189" i="268" s="1"/>
  <c r="AO191" i="268"/>
  <c r="AU198" i="268"/>
  <c r="AS199" i="268"/>
  <c r="AW199" i="268" s="1"/>
  <c r="AO207" i="268"/>
  <c r="AS209" i="268"/>
  <c r="AW209" i="268" s="1"/>
  <c r="AO213" i="268"/>
  <c r="AS215" i="268"/>
  <c r="AW215" i="268" s="1"/>
  <c r="AU220" i="268"/>
  <c r="AS221" i="268"/>
  <c r="AW221" i="268" s="1"/>
  <c r="AO229" i="268"/>
  <c r="AO235" i="268"/>
  <c r="AS237" i="268"/>
  <c r="AW237" i="268" s="1"/>
  <c r="AS238" i="268"/>
  <c r="AW238" i="268" s="1"/>
  <c r="AU178" i="268"/>
  <c r="AD182" i="268"/>
  <c r="AU184" i="268"/>
  <c r="AK188" i="268"/>
  <c r="AE191" i="268"/>
  <c r="AD192" i="268"/>
  <c r="AK198" i="268"/>
  <c r="AU200" i="268"/>
  <c r="AD202" i="268"/>
  <c r="AE207" i="268"/>
  <c r="AU210" i="268"/>
  <c r="AE213" i="268"/>
  <c r="AU216" i="268"/>
  <c r="AK220" i="268"/>
  <c r="AU222" i="268"/>
  <c r="AD224" i="268"/>
  <c r="AE229" i="268"/>
  <c r="AD230" i="268"/>
  <c r="AE235" i="268"/>
  <c r="AU238" i="268"/>
  <c r="AU239" i="268"/>
  <c r="AD176" i="268"/>
  <c r="AK178" i="268"/>
  <c r="AK184" i="268"/>
  <c r="AE187" i="268"/>
  <c r="AD188" i="268"/>
  <c r="AE193" i="268"/>
  <c r="AD198" i="268"/>
  <c r="AK200" i="268"/>
  <c r="AE203" i="268"/>
  <c r="AK210" i="268"/>
  <c r="AK216" i="268"/>
  <c r="AD220" i="268"/>
  <c r="AK222" i="268"/>
  <c r="AE225" i="268"/>
  <c r="AE231" i="268"/>
  <c r="AK238" i="268"/>
  <c r="AD163" i="268"/>
  <c r="AD177" i="268"/>
  <c r="AD189" i="268"/>
  <c r="AD209" i="268"/>
  <c r="AD215" i="268"/>
  <c r="AK1" i="145"/>
  <c r="AI1" i="145"/>
  <c r="AW210" i="266" l="1"/>
  <c r="AW225" i="266"/>
  <c r="AW209" i="266"/>
  <c r="AW193" i="266"/>
  <c r="AW187" i="266"/>
  <c r="AW181" i="266"/>
  <c r="AW175" i="266"/>
  <c r="AW124" i="266"/>
  <c r="AW97" i="266"/>
  <c r="AW109" i="266"/>
  <c r="AW107" i="266"/>
  <c r="AW101" i="266"/>
  <c r="AW99" i="266"/>
  <c r="AW89" i="266"/>
  <c r="AW82" i="266"/>
  <c r="AW80" i="266"/>
  <c r="AW79" i="266"/>
  <c r="AW78" i="266"/>
  <c r="AW77" i="266"/>
  <c r="AW53" i="266"/>
  <c r="AW51" i="266"/>
  <c r="AW47" i="266"/>
  <c r="AW41" i="266"/>
  <c r="AW29" i="266"/>
  <c r="AW18" i="266"/>
  <c r="AW12" i="266"/>
  <c r="AW17" i="266"/>
  <c r="AW19" i="266"/>
  <c r="AW6" i="266"/>
  <c r="AW8" i="266"/>
  <c r="AW13" i="266"/>
  <c r="AW16" i="266"/>
  <c r="AW11" i="266"/>
  <c r="AW77" i="265"/>
  <c r="AW71" i="265"/>
  <c r="AW65" i="265"/>
  <c r="AW60" i="265"/>
  <c r="AW49" i="265"/>
  <c r="AW41" i="265"/>
  <c r="AW43" i="265"/>
  <c r="AW31" i="265"/>
  <c r="AW32" i="265"/>
  <c r="AW27" i="265"/>
  <c r="AW25" i="265"/>
  <c r="AW13" i="265"/>
  <c r="AW9" i="265"/>
  <c r="AW76" i="267"/>
  <c r="AW56" i="267"/>
  <c r="AW53" i="267"/>
  <c r="AW47" i="267"/>
  <c r="AW45" i="267"/>
  <c r="AW39" i="267"/>
  <c r="AW36" i="267"/>
  <c r="AW30" i="267"/>
  <c r="AW27" i="267"/>
  <c r="AW23" i="267"/>
  <c r="AW11" i="267"/>
  <c r="AW235" i="268"/>
  <c r="AW234" i="268"/>
  <c r="AW228" i="268"/>
  <c r="AW222" i="268"/>
  <c r="AW211" i="268"/>
  <c r="AW210" i="268"/>
  <c r="AW200" i="268"/>
  <c r="AW193" i="268"/>
  <c r="AW185" i="268"/>
  <c r="AW184" i="268"/>
  <c r="AW181" i="268"/>
  <c r="AW178" i="268"/>
  <c r="AW175" i="268"/>
  <c r="AW173" i="268"/>
  <c r="AW172" i="268"/>
  <c r="AW171" i="268"/>
  <c r="AW169" i="268"/>
  <c r="AW168" i="268"/>
  <c r="AW164" i="268"/>
  <c r="AW160" i="268"/>
  <c r="AW161" i="268"/>
  <c r="AW155" i="268"/>
  <c r="AW149" i="268"/>
  <c r="AW117" i="268"/>
  <c r="AW99" i="268"/>
  <c r="AW97" i="268"/>
  <c r="AW96" i="268"/>
  <c r="AW85" i="268"/>
  <c r="AW83" i="268"/>
  <c r="AW79" i="268"/>
  <c r="AW77" i="268"/>
  <c r="AW73" i="268"/>
  <c r="AW71" i="268"/>
  <c r="AW58" i="268"/>
  <c r="AW52" i="268"/>
  <c r="AW51" i="268"/>
  <c r="AW46" i="268"/>
  <c r="AW39" i="268"/>
  <c r="AW34" i="268"/>
  <c r="AW33" i="268"/>
  <c r="AW28" i="268"/>
  <c r="AW18" i="268"/>
  <c r="AW12" i="268"/>
  <c r="AW11" i="268"/>
  <c r="E10" i="144"/>
  <c r="F10" i="144"/>
  <c r="G10" i="144"/>
  <c r="H10" i="144"/>
  <c r="I10" i="144"/>
  <c r="J10" i="144"/>
  <c r="K10" i="144"/>
  <c r="L10" i="144"/>
  <c r="M10" i="144"/>
  <c r="N10" i="144"/>
  <c r="O10" i="144"/>
  <c r="P10" i="144"/>
  <c r="Q10" i="144"/>
  <c r="R10" i="144"/>
  <c r="S10" i="144"/>
  <c r="T10" i="144"/>
  <c r="U10" i="144"/>
  <c r="V10" i="144"/>
  <c r="W10" i="144"/>
  <c r="D10" i="144"/>
  <c r="A2" i="262" l="1"/>
  <c r="A1" i="262"/>
  <c r="A1" i="34" l="1"/>
  <c r="AI1" i="34" s="1"/>
  <c r="AI2" i="34" s="1"/>
  <c r="AB1" i="34"/>
  <c r="AP1" i="34"/>
  <c r="AP3" i="34" s="1"/>
  <c r="AQ1" i="34"/>
  <c r="AQ3" i="34" s="1"/>
  <c r="AR1" i="34"/>
  <c r="AR3" i="34" s="1"/>
  <c r="AS1" i="34"/>
  <c r="AS3" i="34" s="1"/>
  <c r="AV1" i="34"/>
  <c r="AV3" i="34" s="1"/>
  <c r="A2" i="34"/>
  <c r="AB2" i="34"/>
  <c r="AK2" i="34"/>
  <c r="AL2" i="34"/>
  <c r="AM2" i="34"/>
  <c r="AN2" i="34"/>
  <c r="AO2" i="34"/>
  <c r="AO6" i="34" s="1"/>
  <c r="AI3" i="34"/>
  <c r="AJ3" i="34"/>
  <c r="AJ4" i="34"/>
  <c r="X5" i="34"/>
  <c r="AI5" i="34"/>
  <c r="AJ5" i="34"/>
  <c r="M6" i="34"/>
  <c r="N6" i="34"/>
  <c r="AD6" i="34" s="1"/>
  <c r="O6" i="34"/>
  <c r="AR6" i="34" s="1"/>
  <c r="P6" i="34"/>
  <c r="X6" i="34"/>
  <c r="Y6" i="34"/>
  <c r="Z6" i="34"/>
  <c r="AA6" i="34"/>
  <c r="AB6" i="34"/>
  <c r="AF6" i="34"/>
  <c r="AG6" i="34"/>
  <c r="AI6" i="34"/>
  <c r="AJ6" i="34"/>
  <c r="AU6" i="34" s="1"/>
  <c r="AQ6" i="34"/>
  <c r="AS6" i="34" l="1"/>
  <c r="AC6" i="34"/>
  <c r="AV6" i="34"/>
  <c r="AK6" i="34"/>
  <c r="AP6" i="34"/>
  <c r="AW6" i="34" s="1"/>
  <c r="AE6" i="34"/>
  <c r="AK1" i="34"/>
  <c r="C33" i="144" l="1"/>
  <c r="C46" i="144" s="1"/>
  <c r="C59" i="144" s="1"/>
  <c r="C72" i="144" s="1"/>
  <c r="B33" i="144"/>
  <c r="B46" i="144" s="1"/>
  <c r="B59" i="144" s="1"/>
  <c r="B72" i="144" s="1"/>
  <c r="A33" i="144"/>
  <c r="A46" i="144" s="1"/>
  <c r="A59" i="144" s="1"/>
  <c r="A72" i="144" s="1"/>
  <c r="C32" i="144"/>
  <c r="C45" i="144" s="1"/>
  <c r="C58" i="144" s="1"/>
  <c r="C71" i="144" s="1"/>
  <c r="B32" i="144"/>
  <c r="B45" i="144" s="1"/>
  <c r="B58" i="144" s="1"/>
  <c r="B71" i="144" s="1"/>
  <c r="A32" i="144"/>
  <c r="A45" i="144" s="1"/>
  <c r="A58" i="144" s="1"/>
  <c r="A71" i="144" s="1"/>
  <c r="C31" i="144"/>
  <c r="C44" i="144" s="1"/>
  <c r="C57" i="144" s="1"/>
  <c r="C70" i="144" s="1"/>
  <c r="B31" i="144"/>
  <c r="B44" i="144" s="1"/>
  <c r="B57" i="144" s="1"/>
  <c r="B70" i="144" s="1"/>
  <c r="A31" i="144"/>
  <c r="A44" i="144" s="1"/>
  <c r="A57" i="144" s="1"/>
  <c r="A70" i="144" s="1"/>
  <c r="C30" i="144"/>
  <c r="C43" i="144" s="1"/>
  <c r="C56" i="144" s="1"/>
  <c r="C69" i="144" s="1"/>
  <c r="B30" i="144"/>
  <c r="B43" i="144" s="1"/>
  <c r="B56" i="144" s="1"/>
  <c r="B69" i="144" s="1"/>
  <c r="A30" i="144"/>
  <c r="A43" i="144" s="1"/>
  <c r="A56" i="144" s="1"/>
  <c r="A69" i="144" s="1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C41" i="144" s="1"/>
  <c r="C54" i="144" s="1"/>
  <c r="C67" i="144" s="1"/>
  <c r="B28" i="144"/>
  <c r="B41" i="144" s="1"/>
  <c r="B54" i="144" s="1"/>
  <c r="B67" i="144" s="1"/>
  <c r="A28" i="144"/>
  <c r="A41" i="144" s="1"/>
  <c r="A54" i="144" s="1"/>
  <c r="A67" i="144" s="1"/>
  <c r="C27" i="144"/>
  <c r="C40" i="144" s="1"/>
  <c r="C53" i="144" s="1"/>
  <c r="C66" i="144" s="1"/>
  <c r="B27" i="144"/>
  <c r="B40" i="144" s="1"/>
  <c r="B53" i="144" s="1"/>
  <c r="B66" i="144" s="1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C37" i="144" s="1"/>
  <c r="C50" i="144" s="1"/>
  <c r="C63" i="144" s="1"/>
  <c r="B24" i="144"/>
  <c r="B37" i="144" s="1"/>
  <c r="B50" i="144" s="1"/>
  <c r="B63" i="144" s="1"/>
  <c r="A24" i="144"/>
  <c r="A37" i="144" s="1"/>
  <c r="A50" i="144" s="1"/>
  <c r="A63" i="144" s="1"/>
  <c r="W23" i="144"/>
  <c r="W36" i="144" s="1"/>
  <c r="W49" i="144" s="1"/>
  <c r="W62" i="144" s="1"/>
  <c r="V23" i="144"/>
  <c r="V36" i="144" s="1"/>
  <c r="V49" i="144" s="1"/>
  <c r="V62" i="144" s="1"/>
  <c r="U23" i="144"/>
  <c r="U36" i="144" s="1"/>
  <c r="U49" i="144" s="1"/>
  <c r="U62" i="144" s="1"/>
  <c r="T23" i="144"/>
  <c r="T36" i="144" s="1"/>
  <c r="T49" i="144" s="1"/>
  <c r="T62" i="144" s="1"/>
  <c r="S23" i="144"/>
  <c r="S36" i="144" s="1"/>
  <c r="S49" i="144" s="1"/>
  <c r="S62" i="144" s="1"/>
  <c r="R23" i="144"/>
  <c r="R36" i="144" s="1"/>
  <c r="R49" i="144" s="1"/>
  <c r="R62" i="144" s="1"/>
  <c r="Q23" i="144"/>
  <c r="Q36" i="144" s="1"/>
  <c r="Q49" i="144" s="1"/>
  <c r="Q62" i="144" s="1"/>
  <c r="P23" i="144"/>
  <c r="P36" i="144" s="1"/>
  <c r="P49" i="144" s="1"/>
  <c r="P62" i="144" s="1"/>
  <c r="O23" i="144"/>
  <c r="O36" i="144" s="1"/>
  <c r="O49" i="144" s="1"/>
  <c r="O62" i="144" s="1"/>
  <c r="N23" i="144"/>
  <c r="N36" i="144" s="1"/>
  <c r="N49" i="144" s="1"/>
  <c r="N62" i="144" s="1"/>
  <c r="M23" i="144"/>
  <c r="M36" i="144" s="1"/>
  <c r="M49" i="144" s="1"/>
  <c r="M62" i="144" s="1"/>
  <c r="L23" i="144"/>
  <c r="L36" i="144" s="1"/>
  <c r="L49" i="144" s="1"/>
  <c r="L62" i="144" s="1"/>
  <c r="K23" i="144"/>
  <c r="K36" i="144" s="1"/>
  <c r="K49" i="144" s="1"/>
  <c r="K62" i="144" s="1"/>
  <c r="J23" i="144"/>
  <c r="J36" i="144" s="1"/>
  <c r="J49" i="144" s="1"/>
  <c r="J62" i="144" s="1"/>
  <c r="I23" i="144"/>
  <c r="I36" i="144" s="1"/>
  <c r="I49" i="144" s="1"/>
  <c r="I62" i="144" s="1"/>
  <c r="H23" i="144"/>
  <c r="H36" i="144" s="1"/>
  <c r="H49" i="144" s="1"/>
  <c r="H62" i="144" s="1"/>
  <c r="G23" i="144"/>
  <c r="G36" i="144" s="1"/>
  <c r="G49" i="144" s="1"/>
  <c r="G62" i="144" s="1"/>
  <c r="F23" i="144"/>
  <c r="F36" i="144" s="1"/>
  <c r="F49" i="144" s="1"/>
  <c r="F62" i="144" s="1"/>
  <c r="E23" i="144"/>
  <c r="E36" i="144" s="1"/>
  <c r="E49" i="144" s="1"/>
  <c r="E62" i="144" s="1"/>
  <c r="D23" i="144"/>
  <c r="D36" i="144" s="1"/>
  <c r="D49" i="144" s="1"/>
  <c r="D62" i="1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  <author>Yoom</author>
  </authors>
  <commentList>
    <comment ref="J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
유사평형 제거 시 가장 많은 세대수의 매매가나 전세가가 비어있는 경우는 추출기준 세대수에 포함되는 유사평형의 금액 중 가장 작은 값으로 각각 대체 표기한다</t>
        </r>
      </text>
    </comment>
    <comment ref="N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B1" authorId="1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1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 xr:uid="{00000000-0006-0000-0000-000005000000}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  <author>Yoom</author>
  </authors>
  <commentList>
    <comment ref="J1" authorId="0" shapeId="0" xr:uid="{00000000-0006-0000-0100-000001000000}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
유사평형 제거 시 가장 많은 세대수의 매매가나 전세가가 비어있는 경우는 추출기준 세대수에 포함되는 유사평형의 금액 중 가장 작은 값으로 각각 대체 표기한다</t>
        </r>
      </text>
    </comment>
    <comment ref="N1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 xr:uid="{00000000-0006-0000-0100-000003000000}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</authors>
  <commentList>
    <comment ref="A4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6개 동까지 묶어 한 열에 표기 가능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24CA2FA2-3AC8-464D-B428-496F7227A53B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D1B90BE0-7A1C-4356-801F-F5B87FF4B411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112A5AFE-91C5-45DF-BEA8-343FE8A87619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D35FE7CD-0396-492F-ADC6-84BDC405EA78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35A55CB2-5F68-45DB-B56D-59052690E6A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D561EC93-7687-4F50-A0EC-9D059EDEB64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C3382520-320F-4EB2-821F-73B601EC0F85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7C570457-7FF4-4154-AFF5-1385A52DDECE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DFDDF8B7-DC5C-41E8-9185-051E6229F399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5A1D5896-669E-44C9-9A81-18785CC968D6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FB1EC707-5D52-4303-9B8E-EE38D1D28C12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7BB1D4E8-A828-4FF2-90D8-FE13341BCE85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00000000-0006-0000-0500-000001000000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00000000-0006-0000-0500-00000200000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00000000-0006-0000-0500-00000300000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<sst xmlns="http://schemas.openxmlformats.org/spreadsheetml/2006/main" count="14124" uniqueCount="2281">
  <si>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</si>
  <si>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</si>
  <si>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</si>
  <si>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</si>
  <si>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</si>
  <si>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</si>
  <si>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</si>
  <si>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</si>
  <si>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</si>
  <si>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</si>
  <si>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</si>
  <si>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</si>
  <si>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</si>
  <si>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</si>
  <si>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</si>
  <si>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</si>
  <si>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</si>
  <si>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</si>
  <si>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</si>
  <si>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</si>
  <si>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</si>
  <si>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</si>
  <si>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</si>
  <si>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</si>
  <si>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</si>
  <si>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</si>
  <si>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</si>
  <si>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</si>
  <si>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</si>
  <si>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</si>
  <si>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</si>
  <si>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</si>
  <si>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</si>
  <si>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</si>
  <si>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</si>
  <si>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</si>
  <si>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</si>
  <si>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</si>
  <si>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</si>
  <si>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</si>
  <si>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</si>
  <si>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</si>
  <si>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</si>
  <si>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</si>
  <si>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</si>
  <si>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10평대</t>
    <phoneticPr fontId="2" type="noConversion"/>
  </si>
  <si>
    <t>30평대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</si>
  <si>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</si>
  <si>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</si>
  <si>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</si>
  <si>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</si>
  <si>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</si>
  <si>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</si>
  <si>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</si>
  <si>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</si>
  <si>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</si>
  <si>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</si>
  <si>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</si>
  <si>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</si>
  <si>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</si>
  <si>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</si>
  <si>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</si>
  <si>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</si>
  <si>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</si>
  <si>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</si>
  <si>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</si>
  <si>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</si>
  <si>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>O</t>
    <phoneticPr fontId="2" type="noConversion"/>
  </si>
  <si>
    <t>평단가
(1000↓)</t>
  </si>
  <si>
    <t>링크</t>
    <phoneticPr fontId="2" type="noConversion"/>
  </si>
  <si>
    <t>동4</t>
    <phoneticPr fontId="2" type="noConversion"/>
  </si>
  <si>
    <t>동5</t>
    <phoneticPr fontId="2" type="noConversion"/>
  </si>
  <si>
    <t>동6</t>
    <phoneticPr fontId="2" type="noConversion"/>
  </si>
  <si>
    <t>OO시 OO구</t>
    <phoneticPr fontId="2" type="noConversion"/>
  </si>
  <si>
    <t>네이버 부동산 링크</t>
    <phoneticPr fontId="2" type="noConversion"/>
  </si>
  <si>
    <t>단지링크</t>
    <phoneticPr fontId="21" type="noConversion"/>
  </si>
  <si>
    <t>단지명</t>
    <phoneticPr fontId="21" type="noConversion"/>
  </si>
  <si>
    <t>입주시기</t>
  </si>
  <si>
    <t>세대수</t>
  </si>
  <si>
    <t>구조</t>
  </si>
  <si>
    <t>공급 면적</t>
  </si>
  <si>
    <t>전용 면적</t>
  </si>
  <si>
    <t>시세트래킹</t>
    <phoneticPr fontId="2" type="noConversion"/>
  </si>
  <si>
    <t>Num</t>
    <phoneticPr fontId="21" type="noConversion"/>
  </si>
  <si>
    <t>[관양동]</t>
  </si>
  <si>
    <t>삼우마을</t>
  </si>
  <si>
    <t>복합식</t>
  </si>
  <si>
    <t>https://new.land.naver.com/complexes/25518?tab=detail&amp;rf=Y</t>
  </si>
  <si>
    <t>경기도 안양시 동안구 관양동 1507-5</t>
  </si>
  <si>
    <t>경기도</t>
  </si>
  <si>
    <t>안양시</t>
  </si>
  <si>
    <t>동안구</t>
  </si>
  <si>
    <t>관양동</t>
  </si>
  <si>
    <t>경기도 안양시 동안구 흥안대로492번길 27</t>
  </si>
  <si>
    <t>계단식</t>
  </si>
  <si>
    <t>미래센트럴타워(주상복합)</t>
  </si>
  <si>
    <t>72A</t>
  </si>
  <si>
    <t>https://new.land.naver.com/complexes/153038?tab=detail&amp;rf=Y</t>
  </si>
  <si>
    <t>경기도 안양시 동안구 관양동 1507-22</t>
  </si>
  <si>
    <t>경기도 안양시 동안구 흥안대로 498</t>
  </si>
  <si>
    <t>73B</t>
  </si>
  <si>
    <t>77B</t>
  </si>
  <si>
    <t>개성하이빌(주상복합)</t>
  </si>
  <si>
    <t>51D</t>
  </si>
  <si>
    <t>https://new.land.naver.com/complexes/123203?tab=detail&amp;rf=Y</t>
  </si>
  <si>
    <t>경기도 안양시 동안구 관양동 1488-42</t>
  </si>
  <si>
    <t>경기도 안양시 동안구 인덕원로30번길 5</t>
  </si>
  <si>
    <t>78C</t>
  </si>
  <si>
    <t>84B</t>
  </si>
  <si>
    <t>동편마을3단지</t>
  </si>
  <si>
    <t>97B</t>
  </si>
  <si>
    <t>https://new.land.naver.com/complexes/102312?tab=detail&amp;rf=Y</t>
  </si>
  <si>
    <t>경기도 안양시 동안구 관양동 1651</t>
  </si>
  <si>
    <t>경기도 안양시 동안구 동편로 110</t>
  </si>
  <si>
    <t>98A</t>
  </si>
  <si>
    <t>98C</t>
  </si>
  <si>
    <t>98AN</t>
  </si>
  <si>
    <t>110H</t>
  </si>
  <si>
    <t>111D</t>
  </si>
  <si>
    <t>111E</t>
  </si>
  <si>
    <t>111A</t>
  </si>
  <si>
    <t>111F</t>
  </si>
  <si>
    <t>111G</t>
  </si>
  <si>
    <t>111B</t>
  </si>
  <si>
    <t>111C</t>
  </si>
  <si>
    <t>111AN</t>
  </si>
  <si>
    <t>111BN</t>
  </si>
  <si>
    <t>공작럭키</t>
  </si>
  <si>
    <t>복도식</t>
  </si>
  <si>
    <t>https://new.land.naver.com/complexes/1460?tab=detail&amp;rf=Y</t>
  </si>
  <si>
    <t>경기도 안양시 동안구 관양동 1587</t>
  </si>
  <si>
    <t>경기도 안양시 동안구 학의로 168</t>
  </si>
  <si>
    <t>목련</t>
  </si>
  <si>
    <t>https://new.land.naver.com/complexes/23128?tab=detail&amp;rf=Y</t>
  </si>
  <si>
    <t>경기도 안양시 동안구 관양동 1481-2</t>
  </si>
  <si>
    <t>경기도 안양시 동안구 관양로227번길 33</t>
  </si>
  <si>
    <t>74B</t>
  </si>
  <si>
    <t>75A</t>
  </si>
  <si>
    <t>리버빌</t>
  </si>
  <si>
    <t>https://new.land.naver.com/complexes/24012?tab=detail&amp;rf=Y</t>
  </si>
  <si>
    <t>경기도 안양시 동안구 관양동 1463-18</t>
  </si>
  <si>
    <t>경기도 안양시 동안구 관양로 183</t>
  </si>
  <si>
    <t>인덕원관양뜰</t>
  </si>
  <si>
    <t>90A</t>
  </si>
  <si>
    <t>https://new.land.naver.com/complexes/153342?tab=detail&amp;rf=Y</t>
  </si>
  <si>
    <t>경기도 안양시 동안구 관양동 1454-9</t>
  </si>
  <si>
    <t>경기도 안양시 동안구 관양로 137</t>
  </si>
  <si>
    <t>92B</t>
  </si>
  <si>
    <t>바우</t>
  </si>
  <si>
    <t>https://new.land.naver.com/complexes/25592?tab=detail&amp;rf=Y</t>
  </si>
  <si>
    <t>경기도 안양시 동안구 관양동 1465-9</t>
  </si>
  <si>
    <t>경기도 안양시 동안구 관악대로404번길 10-12</t>
  </si>
  <si>
    <t>주상퍼스트</t>
  </si>
  <si>
    <t>76A</t>
  </si>
  <si>
    <t>https://new.land.naver.com/complexes/128987?tab=detail&amp;rf=Y</t>
  </si>
  <si>
    <t>경기도 안양시 동안구 관양동 1450-10</t>
  </si>
  <si>
    <t>경기도 안양시 동안구 관악대로342번길 11</t>
  </si>
  <si>
    <t>76B</t>
  </si>
  <si>
    <t>인덕원마을삼성</t>
  </si>
  <si>
    <t>79A</t>
  </si>
  <si>
    <t>https://new.land.naver.com/complexes/2505?tab=detail&amp;rf=Y</t>
  </si>
  <si>
    <t>경기도 안양시 동안구 관양동 1510-1</t>
  </si>
  <si>
    <t>경기도 안양시 동안구 안양판교로 42</t>
  </si>
  <si>
    <t>79B</t>
  </si>
  <si>
    <t>뉴골든</t>
  </si>
  <si>
    <t>https://new.land.naver.com/complexes/1971?tab=detail&amp;rf=Y</t>
  </si>
  <si>
    <t>경기도 안양시 동안구 관양동 1398</t>
  </si>
  <si>
    <t>경기도 안양시 동안구 관평로319번길 7</t>
  </si>
  <si>
    <t>더팰리스</t>
  </si>
  <si>
    <t>https://new.land.naver.com/complexes/135526?tab=detail&amp;rf=Y</t>
  </si>
  <si>
    <t>경기도 안양시 동안구 관양동 1452-7</t>
  </si>
  <si>
    <t>경기도 안양시 동안구 관악대로360번길 16</t>
  </si>
  <si>
    <t>70B</t>
  </si>
  <si>
    <t>70A</t>
  </si>
  <si>
    <t>아리랑1차</t>
  </si>
  <si>
    <t>https://new.land.naver.com/complexes/13303?tab=detail&amp;rf=Y</t>
  </si>
  <si>
    <t>경기도 안양시 동안구 관양동 1414-2</t>
  </si>
  <si>
    <t>경기도 안양시 동안구 관평로358번길 35</t>
  </si>
  <si>
    <t>한가람두산</t>
  </si>
  <si>
    <t>https://new.land.naver.com/complexes/1461?tab=detail&amp;rf=Y</t>
  </si>
  <si>
    <t>경기도 안양시 동안구 관양동 1586-6</t>
  </si>
  <si>
    <t>경기도 안양시 동안구 달안로 125</t>
  </si>
  <si>
    <t>현대</t>
  </si>
  <si>
    <t>108B</t>
  </si>
  <si>
    <t>https://new.land.naver.com/complexes/1978?tab=detail&amp;rf=Y</t>
  </si>
  <si>
    <t>경기도 안양시 동안구 관양동 1396</t>
  </si>
  <si>
    <t>경기도 안양시 동안구 관평로 333</t>
  </si>
  <si>
    <t>108A</t>
  </si>
  <si>
    <t>파인빌(도시형)</t>
  </si>
  <si>
    <t>21A</t>
  </si>
  <si>
    <t>https://new.land.naver.com/complexes/112467?tab=detail&amp;rf=Y</t>
  </si>
  <si>
    <t>경기도 안양시 동안구 관양동 1507-2</t>
  </si>
  <si>
    <t>경기도 안양시 동안구 흥안대로 500-6</t>
  </si>
  <si>
    <t>21B</t>
  </si>
  <si>
    <t>이너스내안에</t>
  </si>
  <si>
    <t>https://new.land.naver.com/complexes/102646?tab=detail&amp;rf=Y</t>
  </si>
  <si>
    <t>경기도 안양시 동안구 관양동 1443-7</t>
  </si>
  <si>
    <t>경기도 안양시 동안구 관악대로318번길 8</t>
  </si>
  <si>
    <t>골든</t>
  </si>
  <si>
    <t>https://new.land.naver.com/complexes/14854?tab=detail&amp;rf=Y</t>
  </si>
  <si>
    <t>경기도 안양시 동안구 관양동 1471-8</t>
  </si>
  <si>
    <t>경기도 안양시 동안구 관양로 189-39</t>
  </si>
  <si>
    <t>인덕원메트로빌(주상복합)</t>
  </si>
  <si>
    <t>https://new.land.naver.com/complexes/10281?tab=detail&amp;rf=Y</t>
  </si>
  <si>
    <t>경기도 안양시 동안구 관양동 1488-39</t>
  </si>
  <si>
    <t>경기도 안양시 동안구 관악대로 488</t>
  </si>
  <si>
    <t>172A</t>
  </si>
  <si>
    <t>173B</t>
  </si>
  <si>
    <t>현대맨션1차</t>
  </si>
  <si>
    <t>153A</t>
  </si>
  <si>
    <t>https://new.land.naver.com/complexes/16151?tab=detail&amp;rf=Y</t>
  </si>
  <si>
    <t>경기도 안양시 동안구 관양동 1394</t>
  </si>
  <si>
    <t>경기도 안양시 동안구 관악대로287번길 114</t>
  </si>
  <si>
    <t>153B</t>
  </si>
  <si>
    <t>166A</t>
  </si>
  <si>
    <t>166B</t>
  </si>
  <si>
    <t>174A</t>
  </si>
  <si>
    <t>175B</t>
  </si>
  <si>
    <t>아리랑3차</t>
  </si>
  <si>
    <t>https://new.land.naver.com/complexes/113473?tab=detail&amp;rf=Y</t>
  </si>
  <si>
    <t>경기도 안양시 동안구 관양동 1414-14</t>
  </si>
  <si>
    <t>경기도 안양시 동안구 일동로126번길 20</t>
  </si>
  <si>
    <t>청담밸리체3</t>
  </si>
  <si>
    <t>56A</t>
  </si>
  <si>
    <t>https://new.land.naver.com/complexes/134034?tab=detail&amp;rf=Y</t>
  </si>
  <si>
    <t>경기도 안양시 동안구 관양동 1498-7</t>
  </si>
  <si>
    <t>경기도 안양시 동안구 흥안대로493번길 7</t>
  </si>
  <si>
    <t>57B</t>
  </si>
  <si>
    <t>62A</t>
  </si>
  <si>
    <t>62B</t>
  </si>
  <si>
    <t>91A</t>
  </si>
  <si>
    <t>유포그니</t>
  </si>
  <si>
    <t>https://new.land.naver.com/complexes/118693?tab=detail&amp;rf=Y</t>
  </si>
  <si>
    <t>경기도 안양시 동안구 관양동 1453-13</t>
  </si>
  <si>
    <t>경기도 안양시 동안구 관악대로360번길 28-16</t>
  </si>
  <si>
    <t>172B</t>
  </si>
  <si>
    <t>남광</t>
  </si>
  <si>
    <t>https://new.land.naver.com/complexes/25197?tab=detail&amp;rf=Y</t>
  </si>
  <si>
    <t>경기도 안양시 동안구 관양동 1463-4</t>
  </si>
  <si>
    <t>경기도 안양시 동안구 관악대로404번길 24</t>
  </si>
  <si>
    <t>공작성일</t>
  </si>
  <si>
    <t>https://new.land.naver.com/complexes/1462?tab=detail&amp;rf=Y</t>
  </si>
  <si>
    <t>경기도 안양시 동안구 관양동 1587-5</t>
  </si>
  <si>
    <t>경기도 안양시 동안구 달안로 153</t>
  </si>
  <si>
    <t>아리랑타워</t>
  </si>
  <si>
    <t>68A</t>
  </si>
  <si>
    <t>https://new.land.naver.com/complexes/1975?tab=detail&amp;rf=Y</t>
  </si>
  <si>
    <t>경기도 안양시 동안구 관양동 1409</t>
  </si>
  <si>
    <t>경기도 안양시 동안구 관평로 338</t>
  </si>
  <si>
    <t>68B</t>
  </si>
  <si>
    <t>68C</t>
  </si>
  <si>
    <t>관보프라자(주상복합)</t>
  </si>
  <si>
    <t>https://new.land.naver.com/complexes/23131?tab=detail&amp;rf=Y</t>
  </si>
  <si>
    <t>경기도 안양시 동안구 관양동 1467-2</t>
  </si>
  <si>
    <t>경기도 안양시 동안구 관악대로404번길 19-9</t>
  </si>
  <si>
    <t>평촌더샵센트럴시티</t>
  </si>
  <si>
    <t>80A</t>
  </si>
  <si>
    <t>https://new.land.naver.com/complexes/107579?tab=detail&amp;rf=Y</t>
  </si>
  <si>
    <t>경기도 안양시 동안구 관양동 1815</t>
  </si>
  <si>
    <t>경기도 안양시 동안구 시민대로327번길 55</t>
  </si>
  <si>
    <t>81B</t>
  </si>
  <si>
    <t>112A</t>
  </si>
  <si>
    <t>113C</t>
  </si>
  <si>
    <t>113B</t>
  </si>
  <si>
    <t>덕원맨숀</t>
  </si>
  <si>
    <t>https://new.land.naver.com/complexes/108041?tab=detail&amp;rf=Y</t>
  </si>
  <si>
    <t>경기도 안양시 동안구 관양동 1425</t>
  </si>
  <si>
    <t>경기도 안양시 동안구 관악대로359번길 28</t>
  </si>
  <si>
    <t>평촌씨엘로(도시형)</t>
  </si>
  <si>
    <t>https://new.land.naver.com/complexes/151643?tab=detail&amp;rf=Y</t>
  </si>
  <si>
    <t>경기도 안양시 동안구 관양동 1498-13</t>
  </si>
  <si>
    <t>경기도 안양시 동안구 관양로 283</t>
  </si>
  <si>
    <t>신태양</t>
  </si>
  <si>
    <t>https://new.land.naver.com/complexes/1974?tab=detail&amp;rf=Y</t>
  </si>
  <si>
    <t>경기도 안양시 동안구 관양동 1461-9</t>
  </si>
  <si>
    <t>경기도 안양시 동안구 관악대로388번길 24</t>
  </si>
  <si>
    <t>69B</t>
  </si>
  <si>
    <t>아리랑맨션2차</t>
  </si>
  <si>
    <t>https://new.land.naver.com/complexes/106572?tab=detail&amp;rf=Y</t>
  </si>
  <si>
    <t>경기도 안양시 동안구 관양동 1429</t>
  </si>
  <si>
    <t>경기도 안양시 동안구 관악대로373번길 34</t>
  </si>
  <si>
    <t>74A</t>
  </si>
  <si>
    <t>코오롱동산타워(주상복합)</t>
  </si>
  <si>
    <t>https://new.land.naver.com/complexes/10392?tab=detail&amp;rf=Y</t>
  </si>
  <si>
    <t>경기도 안양시 동안구 관양동 1450-1</t>
  </si>
  <si>
    <t>경기도 안양시 동안구 관악대로 346</t>
  </si>
  <si>
    <t>에덴</t>
  </si>
  <si>
    <t>https://new.land.naver.com/complexes/23137?tab=detail&amp;rf=Y</t>
  </si>
  <si>
    <t>경기도 안양시 동안구 관양동 1481-5</t>
  </si>
  <si>
    <t>경기도 안양시 동안구 벌말로 182</t>
  </si>
  <si>
    <t>104A</t>
  </si>
  <si>
    <t>106B</t>
  </si>
  <si>
    <t>아리랑5차</t>
  </si>
  <si>
    <t>https://new.land.naver.com/complexes/24006?tab=detail&amp;rf=Y</t>
  </si>
  <si>
    <t>경기도 안양시 동안구 관양동 1421-4</t>
  </si>
  <si>
    <t>경기도 안양시 동안구 관악대로359번길 13</t>
  </si>
  <si>
    <t>신일해피트리</t>
  </si>
  <si>
    <t>https://new.land.naver.com/complexes/25883?tab=detail&amp;rf=Y</t>
  </si>
  <si>
    <t>경기도 안양시 동안구 관양동 1455</t>
  </si>
  <si>
    <t>경기도 안양시 동안구 관악대로360번길 29-10</t>
  </si>
  <si>
    <t>한미</t>
  </si>
  <si>
    <t>54A</t>
  </si>
  <si>
    <t>https://new.land.naver.com/complexes/1977?tab=detail&amp;rf=Y</t>
  </si>
  <si>
    <t>경기도 안양시 동안구 관양동 1477</t>
  </si>
  <si>
    <t>경기도 안양시 동안구 벌말로 163</t>
  </si>
  <si>
    <t>한가람한양</t>
  </si>
  <si>
    <t>https://new.land.naver.com/complexes/3001?tab=detail&amp;rf=Y</t>
  </si>
  <si>
    <t>경기도 안양시 동안구 관양동 1586</t>
  </si>
  <si>
    <t>경기도 안양시 동안구 학의로 120</t>
  </si>
  <si>
    <t>개성하이빌2(주상복합)</t>
  </si>
  <si>
    <t>https://new.land.naver.com/complexes/135882?tab=detail&amp;rf=Y</t>
  </si>
  <si>
    <t>경기도 안양시 동안구 관양동 1488</t>
  </si>
  <si>
    <t>경기도 안양시 동안구 인덕원로 36</t>
  </si>
  <si>
    <t>한가람세경</t>
  </si>
  <si>
    <t>https://new.land.naver.com/complexes/3286?tab=detail&amp;rf=Y</t>
  </si>
  <si>
    <t>경기도 안양시 동안구 관양동 1589</t>
  </si>
  <si>
    <t>경기도 안양시 동안구 달안로 110</t>
  </si>
  <si>
    <t>공작부영</t>
  </si>
  <si>
    <t>https://new.land.naver.com/complexes/1463?tab=detail&amp;rf=Y</t>
  </si>
  <si>
    <t>경기도 안양시 동안구 관양동 1588</t>
  </si>
  <si>
    <t>경기도 안양시 동안구 관평로212번길 21</t>
  </si>
  <si>
    <t>렉스타워(주상복합)</t>
  </si>
  <si>
    <t>73A</t>
  </si>
  <si>
    <t>https://new.land.naver.com/complexes/153721?tab=detail&amp;rf=Y</t>
  </si>
  <si>
    <t>경기도 안양시 동안구 관양동 1504-8</t>
  </si>
  <si>
    <t>경기도 안양시 동안구 인덕원로30번길 97</t>
  </si>
  <si>
    <t>75B</t>
  </si>
  <si>
    <t>부림</t>
  </si>
  <si>
    <t>https://new.land.naver.com/complexes/16152?tab=detail&amp;rf=Y</t>
  </si>
  <si>
    <t>경기도 안양시 동안구 관양동 1471-2</t>
  </si>
  <si>
    <t>경기도 안양시 동안구 관악대로418번길 19-22</t>
  </si>
  <si>
    <t>덕원맨숀7차</t>
  </si>
  <si>
    <t>https://new.land.naver.com/complexes/24277?tab=detail&amp;rf=Y</t>
  </si>
  <si>
    <t>경기도 안양시 동안구 관양동 1415-4</t>
  </si>
  <si>
    <t>경기도 안양시 동안구 일동로126번길 30</t>
  </si>
  <si>
    <t>상남</t>
  </si>
  <si>
    <t>https://new.land.naver.com/complexes/11244?tab=detail&amp;rf=Y</t>
  </si>
  <si>
    <t>경기도 안양시 동안구 관양동 1463-6</t>
  </si>
  <si>
    <t>경기도 안양시 동안구 관양로 179</t>
  </si>
  <si>
    <t>남광2차</t>
  </si>
  <si>
    <t>https://new.land.naver.com/complexes/105053?tab=detail&amp;rf=Y</t>
  </si>
  <si>
    <t>경기도 안양시 동안구 관양동 1412</t>
  </si>
  <si>
    <t>경기도 안양시 동안구 일동로 124</t>
  </si>
  <si>
    <t>78A</t>
  </si>
  <si>
    <t>78B</t>
  </si>
  <si>
    <t>아리랑6차</t>
  </si>
  <si>
    <t>https://new.land.naver.com/complexes/25290?tab=detail&amp;rf=Y</t>
  </si>
  <si>
    <t>경기도 안양시 동안구 관양동 1404-23</t>
  </si>
  <si>
    <t>경기도 안양시 동안구 관평로336번길 48</t>
  </si>
  <si>
    <t>원주</t>
  </si>
  <si>
    <t>https://new.land.naver.com/complexes/13276?tab=detail&amp;rf=Y</t>
  </si>
  <si>
    <t>경기도 안양시 동안구 관양동 1455-2</t>
  </si>
  <si>
    <t>경기도 안양시 동안구 관양로 157</t>
  </si>
  <si>
    <t>대도</t>
  </si>
  <si>
    <t>https://new.land.naver.com/complexes/13227?tab=detail&amp;rf=Y</t>
  </si>
  <si>
    <t>경기도 안양시 동안구 관양동 1469</t>
  </si>
  <si>
    <t>경기도 안양시 동안구 관양로 197</t>
  </si>
  <si>
    <t>신송프라자(주상복합)</t>
  </si>
  <si>
    <t>https://new.land.naver.com/complexes/23687?tab=detail&amp;rf=Y</t>
  </si>
  <si>
    <t>경기도 안양시 동안구 관양동 1423-2</t>
  </si>
  <si>
    <t>경기도 안양시 동안구 관악대로359번길 10-18</t>
  </si>
  <si>
    <t>관양타워</t>
  </si>
  <si>
    <t>https://new.land.naver.com/complexes/11703?tab=detail&amp;rf=Y</t>
  </si>
  <si>
    <t>경기도 안양시 동안구 관양동 1379-3</t>
  </si>
  <si>
    <t>경기도 안양시 동안구 관평로313번길 63</t>
  </si>
  <si>
    <t>서진스테이뷰(도시형)</t>
  </si>
  <si>
    <t>https://new.land.naver.com/complexes/132626?tab=detail&amp;rf=Y</t>
  </si>
  <si>
    <t>경기도 안양시 동안구 관양동 1499-1</t>
  </si>
  <si>
    <t>경기도 안양시 동안구 인덕원로30번길 94</t>
  </si>
  <si>
    <t>61B</t>
  </si>
  <si>
    <t>세기파크뷰(도시형)</t>
  </si>
  <si>
    <t>https://new.land.naver.com/complexes/112875?tab=detail&amp;rf=Y</t>
  </si>
  <si>
    <t>경기도 안양시 동안구 관양동 1506-3</t>
  </si>
  <si>
    <t>경기도 안양시 동안구 흥안대로492번길 57</t>
  </si>
  <si>
    <t>38C</t>
  </si>
  <si>
    <t>39B</t>
  </si>
  <si>
    <t>40A</t>
  </si>
  <si>
    <t>대화</t>
  </si>
  <si>
    <t>https://new.land.naver.com/complexes/107946?tab=detail&amp;rf=Y</t>
  </si>
  <si>
    <t>경기도 안양시 동안구 관양동 1409-4</t>
  </si>
  <si>
    <t>경기도 안양시 동안구 일동로122번길 46</t>
  </si>
  <si>
    <t>신라</t>
  </si>
  <si>
    <t>https://new.land.naver.com/complexes/19450?tab=detail&amp;rf=Y</t>
  </si>
  <si>
    <t>경기도 안양시 동안구 관양동 1469-2</t>
  </si>
  <si>
    <t>경기도 안양시 동안구 관양로 189-32</t>
  </si>
  <si>
    <t>한가람신라</t>
  </si>
  <si>
    <t>https://new.land.naver.com/complexes/1464?tab=detail&amp;rf=Y</t>
  </si>
  <si>
    <t>경기도 안양시 동안구 관양동 1589-1</t>
  </si>
  <si>
    <t>경기도 안양시 동안구 달안로 124</t>
  </si>
  <si>
    <t>한가람삼성</t>
  </si>
  <si>
    <t>https://new.land.naver.com/complexes/1465?tab=detail&amp;rf=Y</t>
  </si>
  <si>
    <t>경기도 안양시 동안구 관양동 1586-5</t>
  </si>
  <si>
    <t>경기도 안양시 동안구 학의로 146</t>
  </si>
  <si>
    <t>덕원</t>
  </si>
  <si>
    <t>https://new.land.naver.com/complexes/145391?tab=detail&amp;rf=Y</t>
  </si>
  <si>
    <t>경기도 안양시 동안구 관양동 1389-3</t>
  </si>
  <si>
    <t>경기도 안양시 동안구 관평로319번길 38</t>
  </si>
  <si>
    <t>80B</t>
  </si>
  <si>
    <t>해오름</t>
  </si>
  <si>
    <t>https://new.land.naver.com/complexes/26181?tab=detail&amp;rf=Y</t>
  </si>
  <si>
    <t>경기도 안양시 동안구 관양동 1454-4</t>
  </si>
  <si>
    <t>경기도 안양시 동안구 관악대로360번길 30</t>
  </si>
  <si>
    <t>수정</t>
  </si>
  <si>
    <t>https://new.land.naver.com/complexes/1973?tab=detail&amp;rf=Y</t>
  </si>
  <si>
    <t>경기도 안양시 동안구 관양동 1440-9</t>
  </si>
  <si>
    <t>경기도 안양시 동안구 관악대로276번길 9-18</t>
  </si>
  <si>
    <t>동편마을4단지</t>
  </si>
  <si>
    <t>126A</t>
  </si>
  <si>
    <t>https://new.land.naver.com/complexes/102625?tab=detail&amp;rf=Y</t>
  </si>
  <si>
    <t>경기도 안양시 동안구 관양동 1669</t>
  </si>
  <si>
    <t>경기도 안양시 동안구 동편로 135</t>
  </si>
  <si>
    <t>126BN</t>
  </si>
  <si>
    <t>127D</t>
  </si>
  <si>
    <t>127C</t>
  </si>
  <si>
    <t>152C</t>
  </si>
  <si>
    <t>152A</t>
  </si>
  <si>
    <t>152BN</t>
  </si>
  <si>
    <t>171X</t>
  </si>
  <si>
    <t>171Y</t>
  </si>
  <si>
    <t>171N</t>
  </si>
  <si>
    <t>201P</t>
  </si>
  <si>
    <t>[비산동]</t>
  </si>
  <si>
    <t>은하수(청구)</t>
  </si>
  <si>
    <t>https://new.land.naver.com/complexes/3075?tab=detail&amp;rf=Y</t>
  </si>
  <si>
    <t>경기도 안양시 동안구 비산동 1104</t>
  </si>
  <si>
    <t>비산동</t>
  </si>
  <si>
    <t>경기도 안양시 동안구 시민대로159번길 59</t>
  </si>
  <si>
    <t>107B</t>
  </si>
  <si>
    <t>107A</t>
  </si>
  <si>
    <t>관악(성원)</t>
  </si>
  <si>
    <t>51A</t>
  </si>
  <si>
    <t>https://new.land.naver.com/complexes/1985?tab=detail&amp;rf=Y</t>
  </si>
  <si>
    <t>경기도 안양시 동안구 비산동 1102-7</t>
  </si>
  <si>
    <t>경기도 안양시 동안구 동안로 209</t>
  </si>
  <si>
    <t>51B</t>
  </si>
  <si>
    <t>비산한신더휴</t>
  </si>
  <si>
    <t>https://new.land.naver.com/complexes/141825?tab=detail&amp;rf=Y</t>
  </si>
  <si>
    <t>경기도 안양시 동안구 비산동 554-5번지 일대</t>
  </si>
  <si>
    <t>경기도 안양시 동안구</t>
  </si>
  <si>
    <t>뉴타운6차</t>
  </si>
  <si>
    <t>69A</t>
  </si>
  <si>
    <t>https://new.land.naver.com/complexes/13918?tab=detail&amp;rf=Y</t>
  </si>
  <si>
    <t>경기도 안양시 동안구 비산동 361</t>
  </si>
  <si>
    <t>경기도 안양시 동안구 동안로 268</t>
  </si>
  <si>
    <t>힐스테이트비산파크뷰</t>
  </si>
  <si>
    <t>84A</t>
  </si>
  <si>
    <t>https://new.land.naver.com/complexes/127903?tab=detail&amp;rf=Y</t>
  </si>
  <si>
    <t>경기도 안양시 동안구 비산동 1198</t>
  </si>
  <si>
    <t>경기도 안양시 동안구 임곡로 70</t>
  </si>
  <si>
    <t>비산롯데캐슬</t>
  </si>
  <si>
    <t>https://new.land.naver.com/complexes/3078?tab=detail&amp;rf=Y</t>
  </si>
  <si>
    <t>경기도 안양시 동안구 비산동 408</t>
  </si>
  <si>
    <t>경기도 안양시 동안구 관악대로106번길 29</t>
  </si>
  <si>
    <t>안양비산대주파크빌</t>
  </si>
  <si>
    <t>https://new.land.naver.com/complexes/13777?tab=detail&amp;rf=Y</t>
  </si>
  <si>
    <t>경기도 안양시 동안구 비산동 374</t>
  </si>
  <si>
    <t>경기도 안양시 동안구 동안로 252</t>
  </si>
  <si>
    <t>110B</t>
  </si>
  <si>
    <t>110A</t>
  </si>
  <si>
    <t>110C</t>
  </si>
  <si>
    <t>비산삼성래미안</t>
  </si>
  <si>
    <t>https://new.land.naver.com/complexes/3079?tab=detail&amp;rf=Y</t>
  </si>
  <si>
    <t>경기도 안양시 동안구 비산동 425</t>
  </si>
  <si>
    <t>경기도 안양시 동안구 관악대로 121</t>
  </si>
  <si>
    <t>81C</t>
  </si>
  <si>
    <t>81A</t>
  </si>
  <si>
    <t>뉴타운4차</t>
  </si>
  <si>
    <t>https://new.land.naver.com/complexes/13924?tab=detail&amp;rf=Y</t>
  </si>
  <si>
    <t>경기도 안양시 동안구 비산동 245</t>
  </si>
  <si>
    <t>경기도 안양시 동안구 동안로 280</t>
  </si>
  <si>
    <t>삼호</t>
  </si>
  <si>
    <t>https://new.land.naver.com/complexes/105771?tab=detail&amp;rf=Y</t>
  </si>
  <si>
    <t>경기도 안양시 동안구 비산동 1043-11</t>
  </si>
  <si>
    <t>경기도 안양시 동안구 평촌대로396번길 9-14</t>
  </si>
  <si>
    <t>97A</t>
  </si>
  <si>
    <t>동양월드타워(주상복합)</t>
  </si>
  <si>
    <t>https://new.land.naver.com/complexes/9908?tab=detail&amp;rf=Y</t>
  </si>
  <si>
    <t>경기도 안양시 동안구 비산동 379-3</t>
  </si>
  <si>
    <t>경기도 안양시 동안구 관악대로 183</t>
  </si>
  <si>
    <t>성도</t>
  </si>
  <si>
    <t>https://new.land.naver.com/complexes/12997?tab=detail&amp;rf=Y</t>
  </si>
  <si>
    <t>경기도 안양시 동안구 비산동 557-7</t>
  </si>
  <si>
    <t>경기도 안양시 동안구 관악대로69번길 14</t>
  </si>
  <si>
    <t>비산e-편한세상</t>
  </si>
  <si>
    <t>https://new.land.naver.com/complexes/26320?tab=detail&amp;rf=Y</t>
  </si>
  <si>
    <t>경기도 안양시 동안구 비산동 1165</t>
  </si>
  <si>
    <t>경기도 안양시 동안구 관악대로 171</t>
  </si>
  <si>
    <t>105A</t>
  </si>
  <si>
    <t>106C</t>
  </si>
  <si>
    <t>150A</t>
  </si>
  <si>
    <t>151B</t>
  </si>
  <si>
    <t>강남6차</t>
  </si>
  <si>
    <t>https://new.land.naver.com/complexes/104561?tab=detail&amp;rf=Y</t>
  </si>
  <si>
    <t>경기도 안양시 동안구 비산동 566-5</t>
  </si>
  <si>
    <t>경기도 안양시 동안구 경수대로883번길 46</t>
  </si>
  <si>
    <t>일진</t>
  </si>
  <si>
    <t>https://new.land.naver.com/complexes/108176?tab=detail&amp;rf=Y</t>
  </si>
  <si>
    <t>경기도 안양시 동안구 비산동 571-2</t>
  </si>
  <si>
    <t>경기도 안양시 동안구 경수대로883번길 91</t>
  </si>
  <si>
    <t>영화</t>
  </si>
  <si>
    <t>https://new.land.naver.com/complexes/12122?tab=detail&amp;rf=Y</t>
  </si>
  <si>
    <t>경기도 안양시 동안구 비산동 1015</t>
  </si>
  <si>
    <t>경기도 안양시 동안구 평촌대로427번길 39</t>
  </si>
  <si>
    <t>은하수,샛별5,6단지</t>
  </si>
  <si>
    <t>https://new.land.naver.com/complexes/1992?tab=detail&amp;rf=Y</t>
  </si>
  <si>
    <t>경기도 안양시 동안구 비산동 1103-5</t>
  </si>
  <si>
    <t>경기도 안양시 동안구 동안로159번길 14</t>
  </si>
  <si>
    <t>성원</t>
  </si>
  <si>
    <t>https://new.land.naver.com/complexes/9382?tab=detail&amp;rf=Y</t>
  </si>
  <si>
    <t>경기도 안양시 동안구 비산동 1028-20</t>
  </si>
  <si>
    <t>경기도 안양시 동안구 일동로 15</t>
  </si>
  <si>
    <t>블루오션(주상복합)</t>
  </si>
  <si>
    <t>https://new.land.naver.com/complexes/116798?tab=detail&amp;rf=Y</t>
  </si>
  <si>
    <t>경기도 안양시 동안구 비산동 557-3</t>
  </si>
  <si>
    <t>경기도 안양시 동안구 경수대로 939</t>
  </si>
  <si>
    <t>평촌엘프라우드</t>
  </si>
  <si>
    <t>https://new.land.naver.com/complexes/144023?tab=detail&amp;rf=Y</t>
  </si>
  <si>
    <t>경기도 안양시 동안구 비산동 281-1번지 일원</t>
  </si>
  <si>
    <t>81D</t>
  </si>
  <si>
    <t>82A</t>
  </si>
  <si>
    <t>82C</t>
  </si>
  <si>
    <t>109B</t>
  </si>
  <si>
    <t>대광로제비앙(주상복합)</t>
  </si>
  <si>
    <t>https://new.land.naver.com/complexes/110631?tab=detail&amp;rf=Y</t>
  </si>
  <si>
    <t>경기도 안양시 동안구 비산동 1167</t>
  </si>
  <si>
    <t>경기도 안양시 동안구 경수대로 946</t>
  </si>
  <si>
    <t>114B</t>
  </si>
  <si>
    <t>114C</t>
  </si>
  <si>
    <t>115A</t>
  </si>
  <si>
    <t>115D</t>
  </si>
  <si>
    <t>115E</t>
  </si>
  <si>
    <t>은하수(벽산)</t>
  </si>
  <si>
    <t>https://new.land.naver.com/complexes/1467?tab=detail&amp;rf=Y</t>
  </si>
  <si>
    <t>경기도 안양시 동안구 비산동 1103</t>
  </si>
  <si>
    <t>경기도 안양시 동안구 시민대로159번길 62</t>
  </si>
  <si>
    <t>무지개</t>
  </si>
  <si>
    <t>https://new.land.naver.com/complexes/23569?tab=detail&amp;rf=Y</t>
  </si>
  <si>
    <t>경기도 안양시 동안구 비산동 1043-8</t>
  </si>
  <si>
    <t>경기도 안양시 동안구 평촌대로396번길 11</t>
  </si>
  <si>
    <t>청운</t>
  </si>
  <si>
    <t>https://new.land.naver.com/complexes/24918?tab=detail&amp;rf=Y</t>
  </si>
  <si>
    <t>경기도 안양시 동안구 비산동 1030-2</t>
  </si>
  <si>
    <t>경기도 안양시 동안구 평촌대로374번길 9-35</t>
  </si>
  <si>
    <t>안양임곡휴먼시아</t>
  </si>
  <si>
    <t>63A</t>
  </si>
  <si>
    <t>https://new.land.naver.com/complexes/22957?tab=detail&amp;rf=Y</t>
  </si>
  <si>
    <t>경기도 안양시 동안구 비산동 1163</t>
  </si>
  <si>
    <t>경기도 안양시 동안구 임곡로 16</t>
  </si>
  <si>
    <t>63B</t>
  </si>
  <si>
    <t>115B</t>
  </si>
  <si>
    <t>115C</t>
  </si>
  <si>
    <t>장미</t>
  </si>
  <si>
    <t>https://new.land.naver.com/complexes/11114?tab=detail&amp;rf=Y</t>
  </si>
  <si>
    <t>경기도 안양시 동안구 비산동 557-9</t>
  </si>
  <si>
    <t>경기도 안양시 동안구 관악대로69번길 4</t>
  </si>
  <si>
    <t>렉스타운(주상복합)</t>
  </si>
  <si>
    <t>https://new.land.naver.com/complexes/122827?tab=detail&amp;rf=Y</t>
  </si>
  <si>
    <t>경기도 안양시 동안구 비산동 557-8</t>
  </si>
  <si>
    <t>경기도 안양시 동안구 관악대로 73</t>
  </si>
  <si>
    <t>비산수풀채(민간임대,도시형)</t>
  </si>
  <si>
    <t>28C</t>
  </si>
  <si>
    <t>https://new.land.naver.com/complexes/144725?tab=detail&amp;rf=Y</t>
  </si>
  <si>
    <t>경기도 안양시 동안구 비산동 547-18 외 6필지</t>
  </si>
  <si>
    <t>경기도 안양시 동안구 비산로 33</t>
  </si>
  <si>
    <t>31B</t>
  </si>
  <si>
    <t>38A</t>
  </si>
  <si>
    <t>비산힐스테이트</t>
  </si>
  <si>
    <t>https://new.land.naver.com/complexes/13571?tab=detail&amp;rf=Y</t>
  </si>
  <si>
    <t>경기도 안양시 동안구 비산동 576-7</t>
  </si>
  <si>
    <t>경기도 안양시 동안구 안양천동로 162</t>
  </si>
  <si>
    <t>평촌자이아이파크</t>
  </si>
  <si>
    <t>https://new.land.naver.com/complexes/124780?tab=detail&amp;rf=Y</t>
  </si>
  <si>
    <t>경기도 안양시 동안구 비산동 1185</t>
  </si>
  <si>
    <t>경기도 안양시 동안구 비산로 22</t>
  </si>
  <si>
    <t>69C</t>
  </si>
  <si>
    <t>83A</t>
  </si>
  <si>
    <t>83C</t>
  </si>
  <si>
    <t>99B</t>
  </si>
  <si>
    <t>99C</t>
  </si>
  <si>
    <t>100A</t>
  </si>
  <si>
    <t>112B</t>
  </si>
  <si>
    <t>뉴타운5차</t>
  </si>
  <si>
    <t>https://new.land.naver.com/complexes/1995?tab=detail&amp;rf=Y</t>
  </si>
  <si>
    <t>경기도 안양시 동안구 비산동 341</t>
  </si>
  <si>
    <t>경기도 안양시 동안구 동안로 283</t>
  </si>
  <si>
    <t>102S</t>
  </si>
  <si>
    <t>뉴타운1,2,3차</t>
  </si>
  <si>
    <t>60B</t>
  </si>
  <si>
    <t>https://new.land.naver.com/complexes/13922?tab=detail&amp;rf=Y</t>
  </si>
  <si>
    <t>경기도 안양시 동안구 비산동 354-10</t>
  </si>
  <si>
    <t>60A</t>
  </si>
  <si>
    <t>61A</t>
  </si>
  <si>
    <t>61F</t>
  </si>
  <si>
    <t>61E</t>
  </si>
  <si>
    <t>61D</t>
  </si>
  <si>
    <t>62C</t>
  </si>
  <si>
    <t>63H</t>
  </si>
  <si>
    <t>63G</t>
  </si>
  <si>
    <t>66C</t>
  </si>
  <si>
    <t>66A</t>
  </si>
  <si>
    <t>66B</t>
  </si>
  <si>
    <t>74C</t>
  </si>
  <si>
    <t>75D</t>
  </si>
  <si>
    <t>76E</t>
  </si>
  <si>
    <t>88A</t>
  </si>
  <si>
    <t>88C</t>
  </si>
  <si>
    <t>88B</t>
  </si>
  <si>
    <t>92G</t>
  </si>
  <si>
    <t>92J</t>
  </si>
  <si>
    <t>92E</t>
  </si>
  <si>
    <t>92F</t>
  </si>
  <si>
    <t>93K</t>
  </si>
  <si>
    <t>93C</t>
  </si>
  <si>
    <t>93D</t>
  </si>
  <si>
    <t>93A</t>
  </si>
  <si>
    <t>93H</t>
  </si>
  <si>
    <t>93I</t>
  </si>
  <si>
    <t>95C</t>
  </si>
  <si>
    <t>95A</t>
  </si>
  <si>
    <t>95D</t>
  </si>
  <si>
    <t>105C</t>
  </si>
  <si>
    <t>105B</t>
  </si>
  <si>
    <t>139A</t>
  </si>
  <si>
    <t>139B</t>
  </si>
  <si>
    <t>139E</t>
  </si>
  <si>
    <t>139C</t>
  </si>
  <si>
    <t>139D</t>
  </si>
  <si>
    <t>평촌래미안푸르지오</t>
  </si>
  <si>
    <t>85B</t>
  </si>
  <si>
    <t>https://new.land.naver.com/complexes/126060?tab=detail&amp;rf=Y</t>
  </si>
  <si>
    <t>경기도 안양시 동안구 비산동 1177</t>
  </si>
  <si>
    <t>경기도 안양시 동안구 경수대로884번길 12</t>
  </si>
  <si>
    <t>86A</t>
  </si>
  <si>
    <t>86C</t>
  </si>
  <si>
    <t>115A2</t>
  </si>
  <si>
    <t>115A1</t>
  </si>
  <si>
    <t>128A</t>
  </si>
  <si>
    <t>128B</t>
  </si>
  <si>
    <t>138A</t>
  </si>
  <si>
    <t>138B</t>
  </si>
  <si>
    <t>비산한화꿈에그린</t>
  </si>
  <si>
    <t>https://new.land.naver.com/complexes/25725?tab=detail&amp;rf=Y</t>
  </si>
  <si>
    <t>경기도 안양시 동안구 비산동 572</t>
  </si>
  <si>
    <t>경기도 안양시 동안구 경수대로883번길 33</t>
  </si>
  <si>
    <t>한양수자인평촌리버뷰</t>
  </si>
  <si>
    <t>https://new.land.naver.com/complexes/126337?tab=detail&amp;rf=Y</t>
  </si>
  <si>
    <t>경기도 안양시 동안구 비산동 577-1</t>
  </si>
  <si>
    <t>경기도 안양시 동안구 경수대로813번길 14-11</t>
  </si>
  <si>
    <t>관악(동성,현대,청구)</t>
  </si>
  <si>
    <t>https://new.land.naver.com/complexes/3076?tab=detail&amp;rf=Y</t>
  </si>
  <si>
    <t>경기도 안양시 동안구 비산동 1102</t>
  </si>
  <si>
    <t>경기도 안양시 동안구 학의로 20</t>
  </si>
  <si>
    <t>더포레스트힐</t>
  </si>
  <si>
    <t>https://new.land.naver.com/complexes/3080?tab=detail&amp;rf=Y</t>
  </si>
  <si>
    <t>경기도 안양시 동안구 비산동 1155</t>
  </si>
  <si>
    <t>경기도 안양시 동안구 임곡로 43</t>
  </si>
  <si>
    <t>78E</t>
  </si>
  <si>
    <t>78F</t>
  </si>
  <si>
    <t>78G</t>
  </si>
  <si>
    <t>78D</t>
  </si>
  <si>
    <t>110D</t>
  </si>
  <si>
    <t>110F</t>
  </si>
  <si>
    <t>110E</t>
  </si>
  <si>
    <t>110G</t>
  </si>
  <si>
    <t>150B</t>
  </si>
  <si>
    <t>현암</t>
  </si>
  <si>
    <t>https://new.land.naver.com/complexes/25744?tab=detail&amp;rf=Y</t>
  </si>
  <si>
    <t>경기도 안양시 동안구 비산동 1058</t>
  </si>
  <si>
    <t>경기도 안양시 동안구 관악대로264번길 11</t>
  </si>
  <si>
    <t>관악(부영)</t>
  </si>
  <si>
    <t>https://new.land.naver.com/complexes/1993?tab=detail&amp;rf=Y</t>
  </si>
  <si>
    <t>경기도 안양시 동안구 비산동 1102-4</t>
  </si>
  <si>
    <t>경기도 안양시 동안구 학의로 46</t>
  </si>
  <si>
    <t>동산</t>
  </si>
  <si>
    <t>https://new.land.naver.com/complexes/101966?tab=detail&amp;rf=Y</t>
  </si>
  <si>
    <t>경기도 안양시 동안구 비산동 571-10</t>
  </si>
  <si>
    <t>경기도 안양시 동안구 경수대로883번길 87</t>
  </si>
  <si>
    <t>샛별한양1단지</t>
  </si>
  <si>
    <t>https://new.land.naver.com/complexes/22752?tab=detail&amp;rf=Y</t>
  </si>
  <si>
    <t>경기도 안양시 동안구 비산동 1101-2</t>
  </si>
  <si>
    <t>경기도 안양시 동안구 달안로 61</t>
  </si>
  <si>
    <t>56B</t>
  </si>
  <si>
    <t>57A</t>
  </si>
  <si>
    <t>은하수(신성)</t>
  </si>
  <si>
    <t>https://new.land.naver.com/complexes/1468?tab=detail&amp;rf=Y</t>
  </si>
  <si>
    <t>경기도 안양시 동안구 비산동 1103-4</t>
  </si>
  <si>
    <t>경기도 안양시 동안구 달안로 40</t>
  </si>
  <si>
    <t>샛별한양2,3단지</t>
  </si>
  <si>
    <t>https://new.land.naver.com/complexes/1454?tab=detail&amp;rf=Y</t>
  </si>
  <si>
    <t>경기도 안양시 동안구 비산동 1101-6</t>
  </si>
  <si>
    <t>경기도 안양시 동안구 학의로 98</t>
  </si>
  <si>
    <t>미륭</t>
  </si>
  <si>
    <t>89A</t>
  </si>
  <si>
    <t>https://new.land.naver.com/complexes/1989?tab=detail&amp;rf=Y</t>
  </si>
  <si>
    <t>경기도 안양시 동안구 비산동 406</t>
  </si>
  <si>
    <t>경기도 안양시 동안구 관악대로 164</t>
  </si>
  <si>
    <t>90B</t>
  </si>
  <si>
    <t>92A</t>
  </si>
  <si>
    <t>92D</t>
  </si>
  <si>
    <t>94B</t>
  </si>
  <si>
    <t>94A</t>
  </si>
  <si>
    <t>94C</t>
  </si>
  <si>
    <t>113D</t>
  </si>
  <si>
    <t>113E</t>
  </si>
  <si>
    <t>113F</t>
  </si>
  <si>
    <t>덕원8차</t>
  </si>
  <si>
    <t>https://new.land.naver.com/complexes/1988?tab=detail&amp;rf=Y</t>
  </si>
  <si>
    <t>경기도 안양시 동안구 비산동 1022-2</t>
  </si>
  <si>
    <t>경기도 안양시 동안구 평촌대로401번길 44-9</t>
  </si>
  <si>
    <t>65A</t>
  </si>
  <si>
    <t>비산화성파크드림(주상복합)</t>
  </si>
  <si>
    <t>https://new.land.naver.com/complexes/108656?tab=detail&amp;rf=Y</t>
  </si>
  <si>
    <t>경기도 안양시 동안구 비산동 1166</t>
  </si>
  <si>
    <t>경기도 안양시 동안구 경수대로 947</t>
  </si>
  <si>
    <t>114A</t>
  </si>
  <si>
    <t>[평촌동]</t>
  </si>
  <si>
    <t>푸른마을인덕원대우</t>
  </si>
  <si>
    <t>https://new.land.naver.com/complexes/8205?tab=detail&amp;rf=Y</t>
  </si>
  <si>
    <t>경기도 안양시 동안구 평촌동 75-2</t>
  </si>
  <si>
    <t>평촌동</t>
  </si>
  <si>
    <t>경기도 안양시 동안구 학의로 390</t>
  </si>
  <si>
    <t>향촌현대5차</t>
  </si>
  <si>
    <t>https://new.land.naver.com/complexes/1482?tab=detail&amp;rf=Y</t>
  </si>
  <si>
    <t>경기도 안양시 동안구 평촌동 899-7</t>
  </si>
  <si>
    <t>경기도 안양시 동안구 귀인로 213</t>
  </si>
  <si>
    <t>https://new.land.naver.com/complexes/8192?tab=detail&amp;rf=Y</t>
  </si>
  <si>
    <t>경기도 안양시 동안구 평촌동 54-1</t>
  </si>
  <si>
    <t>삼아(118-5)</t>
  </si>
  <si>
    <t>https://new.land.naver.com/complexes/8711?tab=detail&amp;rf=Y</t>
  </si>
  <si>
    <t>경기도 안양시 동안구 평촌동 118-5</t>
  </si>
  <si>
    <t>경기도 안양시 동안구 흥안대로414번길 5</t>
  </si>
  <si>
    <t>평촌e-편한세상</t>
  </si>
  <si>
    <t>https://new.land.naver.com/complexes/26459?tab=detail&amp;rf=Y</t>
  </si>
  <si>
    <t>경기도 안양시 동안구 평촌동 75-1</t>
  </si>
  <si>
    <t>경기도 안양시 동안구 흥안대로456번길 17</t>
  </si>
  <si>
    <t>187A</t>
  </si>
  <si>
    <t>187B</t>
  </si>
  <si>
    <t>초원7단지부영</t>
  </si>
  <si>
    <t>https://new.land.naver.com/complexes/2595?tab=detail&amp;rf=Y</t>
  </si>
  <si>
    <t>경기도 안양시 동안구 평촌동 896-6</t>
  </si>
  <si>
    <t>경기도 안양시 동안구 관평로138번길 63</t>
  </si>
  <si>
    <t>초원2단지대림</t>
  </si>
  <si>
    <t>https://new.land.naver.com/complexes/1483?tab=detail&amp;rf=Y</t>
  </si>
  <si>
    <t>경기도 안양시 동안구 평촌동 898-2</t>
  </si>
  <si>
    <t>경기도 안양시 동안구 귀인로 237</t>
  </si>
  <si>
    <t>꿈라이프</t>
  </si>
  <si>
    <t>https://new.land.naver.com/complexes/1450?tab=detail&amp;rf=Y</t>
  </si>
  <si>
    <t>경기도 안양시 동안구 평촌동 932-6</t>
  </si>
  <si>
    <t>경기도 안양시 동안구 귀인로 258</t>
  </si>
  <si>
    <t>꿈현대</t>
  </si>
  <si>
    <t>https://new.land.naver.com/complexes/1453?tab=detail&amp;rf=Y</t>
  </si>
  <si>
    <t>경기도 안양시 동안구 평촌동 932-7</t>
  </si>
  <si>
    <t>경기도 안양시 동안구 부림로 13</t>
  </si>
  <si>
    <t>초원6단지한양</t>
  </si>
  <si>
    <t>https://new.land.naver.com/complexes/8481?tab=detail&amp;rf=Y</t>
  </si>
  <si>
    <t>경기도 안양시 동안구 평촌동 897-5</t>
  </si>
  <si>
    <t>경기도 안양시 동안구 부림로 80</t>
  </si>
  <si>
    <t>꿈금호</t>
  </si>
  <si>
    <t>https://new.land.naver.com/complexes/1448?tab=detail&amp;rf=Y</t>
  </si>
  <si>
    <t>경기도 안양시 동안구 평촌동 932-2</t>
  </si>
  <si>
    <t>경기도 안양시 동안구 관평로 88</t>
  </si>
  <si>
    <t>꿈한신</t>
  </si>
  <si>
    <t>https://new.land.naver.com/complexes/1452?tab=detail&amp;rf=Y</t>
  </si>
  <si>
    <t>경기도 안양시 동안구 평촌동 932-4</t>
  </si>
  <si>
    <t>경기도 안양시 동안구 관평로 68</t>
  </si>
  <si>
    <t>꿈우성</t>
  </si>
  <si>
    <t>https://new.land.naver.com/complexes/1451?tab=detail&amp;rf=Y</t>
  </si>
  <si>
    <t>경기도 안양시 동안구 평촌동 933</t>
  </si>
  <si>
    <t>경기도 안양시 동안구 부림로 34</t>
  </si>
  <si>
    <t>꿈건영3단지</t>
  </si>
  <si>
    <t>https://new.land.naver.com/complexes/1446?tab=detail&amp;rf=Y</t>
  </si>
  <si>
    <t>경기도 안양시 동안구 평촌동 933-7</t>
  </si>
  <si>
    <t>경기도 안양시 동안구 귀인로 294</t>
  </si>
  <si>
    <t>꿈동아</t>
  </si>
  <si>
    <t>https://new.land.naver.com/complexes/1449?tab=detail&amp;rf=Y</t>
  </si>
  <si>
    <t>https://new.land.naver.com/complexes/8197?tab=detail&amp;rf=Y</t>
  </si>
  <si>
    <t>경기도 안양시 동안구 평촌동 132-3</t>
  </si>
  <si>
    <t>경기도 안양시 동안구 평의길 17</t>
  </si>
  <si>
    <t>청광플러스원</t>
  </si>
  <si>
    <t>https://new.land.naver.com/complexes/27012?tab=detail&amp;rf=Y</t>
  </si>
  <si>
    <t>경기도 안양시 동안구 평촌동 97-1</t>
  </si>
  <si>
    <t>경기도 안양시 동안구 흥안대로 426-17</t>
  </si>
  <si>
    <t>한일미래</t>
  </si>
  <si>
    <t>https://new.land.naver.com/complexes/8185?tab=detail&amp;rf=Y</t>
  </si>
  <si>
    <t>경기도 안양시 동안구 평촌동 66-6</t>
  </si>
  <si>
    <t>경기도 안양시 동안구 흥안대로456번길 40</t>
  </si>
  <si>
    <t>경남</t>
  </si>
  <si>
    <t>https://new.land.naver.com/complexes/26428?tab=detail&amp;rf=Y</t>
  </si>
  <si>
    <t>경기도 안양시 동안구 평촌동 133-1</t>
  </si>
  <si>
    <t>경기도 안양시 동안구 평의길 8</t>
  </si>
  <si>
    <t>인덕원대림2차</t>
  </si>
  <si>
    <t>https://new.land.naver.com/complexes/8194?tab=detail&amp;rf=Y</t>
  </si>
  <si>
    <t>경기도 안양시 동안구 평촌동 101</t>
  </si>
  <si>
    <t>경기도 안양시 동안구 흥안대로414번길 39</t>
  </si>
  <si>
    <t>천평대</t>
  </si>
  <si>
    <t>https://new.land.naver.com/complexes/24035?tab=detail&amp;rf=Y</t>
  </si>
  <si>
    <t>경기도 안양시 동안구 평촌동 113</t>
  </si>
  <si>
    <t>경기도 안양시 동안구 흥안대로414번길 21-9</t>
  </si>
  <si>
    <t>107C</t>
  </si>
  <si>
    <t>112E</t>
  </si>
  <si>
    <t>삼성래미안</t>
  </si>
  <si>
    <t>https://new.land.naver.com/complexes/8193?tab=detail&amp;rf=Y</t>
  </si>
  <si>
    <t>경기도 안양시 동안구 평촌동 34</t>
  </si>
  <si>
    <t>경기도 안양시 동안구 흥안대로456번길 66</t>
  </si>
  <si>
    <t>82B</t>
  </si>
  <si>
    <t>109A</t>
  </si>
  <si>
    <t>초원8단지세경</t>
  </si>
  <si>
    <t>https://new.land.naver.com/complexes/8775?tab=detail&amp;rf=Y</t>
  </si>
  <si>
    <t>경기도 안양시 동안구 평촌동 896-2</t>
  </si>
  <si>
    <t>경기도 안양시 동안구 관평로138번길 13</t>
  </si>
  <si>
    <t>향촌롯데</t>
  </si>
  <si>
    <t>https://new.land.naver.com/complexes/1480?tab=detail&amp;rf=Y</t>
  </si>
  <si>
    <t>경기도 안양시 동안구 평촌동 899</t>
  </si>
  <si>
    <t>경기도 안양시 동안구 평촌대로180번길 28</t>
  </si>
  <si>
    <t>초원1단지성원</t>
  </si>
  <si>
    <t>https://new.land.naver.com/complexes/1479?tab=detail&amp;rf=Y</t>
  </si>
  <si>
    <t>경기도 안양시 동안구 평촌동 898</t>
  </si>
  <si>
    <t>경기도 안양시 동안구 관평로138번길 12</t>
  </si>
  <si>
    <t>꿈건영5단지</t>
  </si>
  <si>
    <t>https://new.land.naver.com/complexes/1447?tab=detail&amp;rf=Y</t>
  </si>
  <si>
    <t>경기도 안양시 동안구 평촌동 933-6</t>
  </si>
  <si>
    <t>경기도 안양시 동안구 부림로 10</t>
  </si>
  <si>
    <t>영풍</t>
  </si>
  <si>
    <t>https://new.land.naver.com/complexes/2805?tab=detail&amp;rf=Y</t>
  </si>
  <si>
    <t>경기도 안양시 동안구 평촌동 130-1</t>
  </si>
  <si>
    <t>경기도 안양시 동안구 흥안대로414번길 20</t>
  </si>
  <si>
    <t>귀인마을현대홈타운</t>
  </si>
  <si>
    <t>https://new.land.naver.com/complexes/8626?tab=detail&amp;rf=Y</t>
  </si>
  <si>
    <t>경기도 안양시 동안구 평촌동 314</t>
  </si>
  <si>
    <t>경기도 안양시 동안구 귀인로 210</t>
  </si>
  <si>
    <t>향촌현대4차</t>
  </si>
  <si>
    <t>https://new.land.naver.com/complexes/1481?tab=detail&amp;rf=Y</t>
  </si>
  <si>
    <t>경기도 안양시 동안구 평촌동 899-2</t>
  </si>
  <si>
    <t>경기도 안양시 동안구 귀인로 193</t>
  </si>
  <si>
    <t>초원3단지대원</t>
  </si>
  <si>
    <t>76S</t>
  </si>
  <si>
    <t>https://new.land.naver.com/complexes/1477?tab=detail&amp;rf=Y</t>
  </si>
  <si>
    <t>경기도 안양시 동안구 평촌동 898-6</t>
  </si>
  <si>
    <t>경기도 안양시 동안구 부림로 55</t>
  </si>
  <si>
    <t>76N</t>
  </si>
  <si>
    <t>인덕원대림1차</t>
  </si>
  <si>
    <t>https://new.land.naver.com/complexes/25078?tab=detail&amp;rf=Y</t>
  </si>
  <si>
    <t>경기도 안양시 동안구 평촌동 93-1</t>
  </si>
  <si>
    <t>경기도 안양시 동안구 흥안대로 446-20</t>
  </si>
  <si>
    <t>100B</t>
  </si>
  <si>
    <t>101A</t>
  </si>
  <si>
    <t>104B</t>
  </si>
  <si>
    <t>113A</t>
  </si>
  <si>
    <t>초원5단지LG</t>
  </si>
  <si>
    <t>https://new.land.naver.com/complexes/1478?tab=detail&amp;rf=Y</t>
  </si>
  <si>
    <t>경기도 안양시 동안구 평촌동 897-7</t>
  </si>
  <si>
    <t>경기도 안양시 동안구 부림로 52</t>
  </si>
  <si>
    <t>[호계동]</t>
  </si>
  <si>
    <t>디와이타운(주상복합)</t>
  </si>
  <si>
    <t>https://new.land.naver.com/complexes/122261?tab=detail&amp;rf=Y</t>
  </si>
  <si>
    <t>경기도 안양시 동안구 호계동 971-1</t>
  </si>
  <si>
    <t>호계동</t>
  </si>
  <si>
    <t>경기도 안양시 동안구 경수대로519번길 47</t>
  </si>
  <si>
    <t>유환프라자(주상복합)</t>
  </si>
  <si>
    <t>https://new.land.naver.com/complexes/13324?tab=detail&amp;rf=Y</t>
  </si>
  <si>
    <t>경기도 안양시 동안구 호계동 804-9</t>
  </si>
  <si>
    <t>경기도 안양시 동안구 경수대로 454</t>
  </si>
  <si>
    <t>안양호계세창짜임</t>
  </si>
  <si>
    <t>https://new.land.naver.com/complexes/19128?tab=detail&amp;rf=Y</t>
  </si>
  <si>
    <t>경기도 안양시 동안구 호계동 932-3</t>
  </si>
  <si>
    <t>경기도 안양시 동안구 경수대로665번길 51</t>
  </si>
  <si>
    <t>이룸렉스힐(주상복합)</t>
  </si>
  <si>
    <t>https://new.land.naver.com/complexes/111203?tab=detail&amp;rf=Y</t>
  </si>
  <si>
    <t>경기도 안양시 동안구 호계동 670-9</t>
  </si>
  <si>
    <t>경기도 안양시 동안구 엘에스로53번길 10</t>
  </si>
  <si>
    <t>96B</t>
  </si>
  <si>
    <t>호계임광그대가</t>
  </si>
  <si>
    <t>https://new.land.naver.com/complexes/13383?tab=detail&amp;rf=Y</t>
  </si>
  <si>
    <t>경기도 안양시 동안구 호계동 923-35</t>
  </si>
  <si>
    <t>경기도 안양시 동안구 경수대로685번길 12</t>
  </si>
  <si>
    <t>호산</t>
  </si>
  <si>
    <t>https://new.land.naver.com/complexes/2043?tab=detail&amp;rf=Y</t>
  </si>
  <si>
    <t>경기도 안양시 동안구 호계동 914-37</t>
  </si>
  <si>
    <t>경기도 안양시 동안구 경수대로721번길 44-28</t>
  </si>
  <si>
    <t>목련9단지</t>
  </si>
  <si>
    <t>https://new.land.naver.com/complexes/1458?tab=detail&amp;rf=Y</t>
  </si>
  <si>
    <t>경기도 안양시 동안구 호계동 1053-3</t>
  </si>
  <si>
    <t>경기도 안양시 동안구 동안로 75</t>
  </si>
  <si>
    <t>해밀리안</t>
  </si>
  <si>
    <t>https://new.land.naver.com/complexes/116687?tab=detail&amp;rf=Y</t>
  </si>
  <si>
    <t>경기도 안양시 동안구 호계동 666-5</t>
  </si>
  <si>
    <t>경기도 안양시 동안구 엘에스로47번길 14-6</t>
  </si>
  <si>
    <t>영풍(주상복합)</t>
  </si>
  <si>
    <t>https://new.land.naver.com/complexes/2049?tab=detail&amp;rf=Y</t>
  </si>
  <si>
    <t>경기도 안양시 동안구 호계동 801-4</t>
  </si>
  <si>
    <t>경기도 안양시 동안구 경수대로 472</t>
  </si>
  <si>
    <t>일신(999-25)</t>
  </si>
  <si>
    <t>https://new.land.naver.com/complexes/2050?tab=detail&amp;rf=Y</t>
  </si>
  <si>
    <t>경기도 안양시 동안구 호계동 999-25</t>
  </si>
  <si>
    <t>호계신도브래뉴</t>
  </si>
  <si>
    <t>https://new.land.naver.com/complexes/10147?tab=detail&amp;rf=Y</t>
  </si>
  <si>
    <t>경기도 안양시 동안구 호계동 923-28</t>
  </si>
  <si>
    <t>경기도 안양시 동안구 경수대로707번길 57</t>
  </si>
  <si>
    <t>목련3단지</t>
  </si>
  <si>
    <t>https://new.land.naver.com/complexes/3022?tab=detail&amp;rf=Y</t>
  </si>
  <si>
    <t>경기도 안양시 동안구 호계동 1052-3</t>
  </si>
  <si>
    <t>경기도 안양시 동안구 평촌대로211번길 21</t>
  </si>
  <si>
    <t>호계현대</t>
  </si>
  <si>
    <t>https://new.land.naver.com/complexes/3032?tab=detail&amp;rf=Y</t>
  </si>
  <si>
    <t>경기도 안양시 동안구 호계동 828-4</t>
  </si>
  <si>
    <t>경기도 안양시 동안구 포도원로27번길 44</t>
  </si>
  <si>
    <t>호계더카운티</t>
  </si>
  <si>
    <t>https://new.land.naver.com/complexes/128689?tab=detail&amp;rf=Y</t>
  </si>
  <si>
    <t>경기도 안양시 동안구 호계동 1002-17</t>
  </si>
  <si>
    <t>경기도 안양시 동안구 흥안대로133번길 4</t>
  </si>
  <si>
    <t>64C</t>
  </si>
  <si>
    <t>진성베가타운(주상복합)</t>
  </si>
  <si>
    <t>https://new.land.naver.com/complexes/19662?tab=detail&amp;rf=Y</t>
  </si>
  <si>
    <t>경기도 안양시 동안구 호계동 902-20</t>
  </si>
  <si>
    <t>경기도 안양시 동안구 시민대로 137</t>
  </si>
  <si>
    <t>안양대우디오슈페리움(주상복합)</t>
  </si>
  <si>
    <t>https://new.land.naver.com/complexes/24870?tab=detail&amp;rf=Y</t>
  </si>
  <si>
    <t>경기도 안양시 동안구 호계동 975-3</t>
  </si>
  <si>
    <t>경기도 안양시 동안구 경수대로 483</t>
  </si>
  <si>
    <t>140A</t>
  </si>
  <si>
    <t>142B</t>
  </si>
  <si>
    <t>흥화</t>
  </si>
  <si>
    <t>https://new.land.naver.com/complexes/2034?tab=detail&amp;rf=Y</t>
  </si>
  <si>
    <t>경기도 안양시 동안구 호계동 927</t>
  </si>
  <si>
    <t>경기도 안양시 동안구 귀인로98번길 13</t>
  </si>
  <si>
    <t>샘쌍용</t>
  </si>
  <si>
    <t>https://new.land.naver.com/complexes/1442?tab=detail&amp;rf=Y</t>
  </si>
  <si>
    <t>경기도 안양시 동안구 호계동 1117</t>
  </si>
  <si>
    <t>경기도 안양시 동안구 흥안대로223번길 16</t>
  </si>
  <si>
    <t>무궁화건영</t>
  </si>
  <si>
    <t>https://new.land.naver.com/complexes/1470?tab=detail&amp;rf=Y</t>
  </si>
  <si>
    <t>경기도 안양시 동안구 호계동 1055-1</t>
  </si>
  <si>
    <t>경기도 안양시 동안구 동안로 11</t>
  </si>
  <si>
    <t>무궁화코오롱</t>
  </si>
  <si>
    <t>https://new.land.naver.com/complexes/1474?tab=detail&amp;rf=Y</t>
  </si>
  <si>
    <t>정화</t>
  </si>
  <si>
    <t>https://new.land.naver.com/complexes/9821?tab=detail&amp;rf=Y</t>
  </si>
  <si>
    <t>경기도 안양시 동안구 호계동 970-21</t>
  </si>
  <si>
    <t>경기도 안양시 동안구 흥안대로94번길 33</t>
  </si>
  <si>
    <t>45A</t>
  </si>
  <si>
    <t>46B</t>
  </si>
  <si>
    <t>47C</t>
  </si>
  <si>
    <t>평촌신원아침도시</t>
  </si>
  <si>
    <t>https://new.land.naver.com/complexes/132112?tab=detail&amp;rf=Y</t>
  </si>
  <si>
    <t>경기도 안양시 동안구 호계동 851-27번지 일원</t>
  </si>
  <si>
    <t>경기도 안양시 동안구 호성로 14</t>
  </si>
  <si>
    <t>80C</t>
  </si>
  <si>
    <t>호계아크로리버(주상복합)</t>
  </si>
  <si>
    <t>https://new.land.naver.com/complexes/19530?tab=detail&amp;rf=Y</t>
  </si>
  <si>
    <t>경기도 안양시 동안구 호계동 713</t>
  </si>
  <si>
    <t>경기도 안양시 동안구 엘에스로 35</t>
  </si>
  <si>
    <t>평촌어바인퍼스트</t>
  </si>
  <si>
    <t>https://new.land.naver.com/complexes/122682?tab=detail&amp;rf=Y</t>
  </si>
  <si>
    <t>경기도 안양시 동안구 호계동 1296</t>
  </si>
  <si>
    <t>경기도 안양시 동안구 경수대로 581</t>
  </si>
  <si>
    <t>67A</t>
  </si>
  <si>
    <t>67C</t>
  </si>
  <si>
    <t>85A</t>
  </si>
  <si>
    <t>일신(920-4)</t>
  </si>
  <si>
    <t>https://new.land.naver.com/complexes/8799?tab=detail&amp;rf=Y</t>
  </si>
  <si>
    <t>경기도 안양시 동안구 호계동 920-4</t>
  </si>
  <si>
    <t>경기도 안양시 동안구 경수대로707번길 52</t>
  </si>
  <si>
    <t>호계타운(도시형)</t>
  </si>
  <si>
    <t>17B</t>
  </si>
  <si>
    <t>https://new.land.naver.com/complexes/108673?tab=detail&amp;rf=Y</t>
  </si>
  <si>
    <t>경기도 안양시 동안구 호계동 959-18</t>
  </si>
  <si>
    <t>경기도 안양시 동안구 흥안대로109번길 26</t>
  </si>
  <si>
    <t>17A</t>
  </si>
  <si>
    <t>호계현대홈타운2차</t>
  </si>
  <si>
    <t>https://new.land.naver.com/complexes/3082?tab=detail&amp;rf=Y</t>
  </si>
  <si>
    <t>경기도 안양시 동안구 호계동 811</t>
  </si>
  <si>
    <t>경기도 안양시 동안구 경수대로 462</t>
  </si>
  <si>
    <t>https://new.land.naver.com/complexes/2037?tab=detail&amp;rf=Y</t>
  </si>
  <si>
    <t>경기도 안양시 동안구 호계동 915-7</t>
  </si>
  <si>
    <t>77A</t>
  </si>
  <si>
    <t>백운</t>
  </si>
  <si>
    <t>https://new.land.naver.com/complexes/10777?tab=detail&amp;rf=Y</t>
  </si>
  <si>
    <t>경기도 안양시 동안구 호계동 914</t>
  </si>
  <si>
    <t>49B</t>
  </si>
  <si>
    <t>49A</t>
  </si>
  <si>
    <t>50C</t>
  </si>
  <si>
    <t>평촌더샵아이파크</t>
  </si>
  <si>
    <t>https://new.land.naver.com/complexes/113297?tab=detail&amp;rf=Y</t>
  </si>
  <si>
    <t>경기도 안양시 동안구 호계동 1287</t>
  </si>
  <si>
    <t>경기도 안양시 동안구 경수대로610번길 36</t>
  </si>
  <si>
    <t>호계동원베네스트</t>
  </si>
  <si>
    <t>https://new.land.naver.com/complexes/26273?tab=detail&amp;rf=Y</t>
  </si>
  <si>
    <t>경기도 안양시 동안구 호계동 991</t>
  </si>
  <si>
    <t>경기도 안양시 동안구 갈산로 31</t>
  </si>
  <si>
    <t>늘해랑(주상복합)</t>
  </si>
  <si>
    <t>https://new.land.naver.com/complexes/127325?tab=detail&amp;rf=Y</t>
  </si>
  <si>
    <t>경기도 안양시 동안구 호계동 710-41</t>
  </si>
  <si>
    <t>경기도 안양시 동안구 엘에스로35번길 12</t>
  </si>
  <si>
    <t>98B</t>
  </si>
  <si>
    <t>유환1차</t>
  </si>
  <si>
    <t>https://new.land.naver.com/complexes/8961?tab=detail&amp;rf=Y</t>
  </si>
  <si>
    <t>경기도 안양시 동안구 호계동 916-2</t>
  </si>
  <si>
    <t>경기도 안양시 동안구 시민대로136번길 43</t>
  </si>
  <si>
    <t>평촌두산위브더프라임</t>
  </si>
  <si>
    <t>https://new.land.naver.com/complexes/152005?tab=detail&amp;rf=Y</t>
  </si>
  <si>
    <t>경기도 안양시 동안구 호계동 651-1번지 외 30필지</t>
  </si>
  <si>
    <t>목련1단지</t>
  </si>
  <si>
    <t>https://new.land.naver.com/complexes/1457?tab=detail&amp;rf=Y</t>
  </si>
  <si>
    <t>경기도 안양시 동안구 호계동 1053-2</t>
  </si>
  <si>
    <t>경기도 안양시 동안구 동안로 101</t>
  </si>
  <si>
    <t>176A</t>
  </si>
  <si>
    <t>삼익(주상복합)</t>
  </si>
  <si>
    <t>https://new.land.naver.com/complexes/2046?tab=detail&amp;rf=Y</t>
  </si>
  <si>
    <t>경기도 안양시 동안구 호계동 766-4</t>
  </si>
  <si>
    <t>경기도 안양시 동안구 경수대로 480</t>
  </si>
  <si>
    <t>호계신성미소지움</t>
  </si>
  <si>
    <t>https://new.land.naver.com/complexes/10509?tab=detail&amp;rf=Y</t>
  </si>
  <si>
    <t>경기도 안양시 동안구 호계동 923-21</t>
  </si>
  <si>
    <t>경기도 안양시 동안구 경수대로707번길 39</t>
  </si>
  <si>
    <t>106A</t>
  </si>
  <si>
    <t>우양파크빌</t>
  </si>
  <si>
    <t>https://new.land.naver.com/complexes/101236?tab=detail&amp;rf=Y</t>
  </si>
  <si>
    <t>경기도 안양시 동안구 호계동 972-7</t>
  </si>
  <si>
    <t>경기도 안양시 동안구 흥안대로94번길 64</t>
  </si>
  <si>
    <t>태하</t>
  </si>
  <si>
    <t>https://new.land.naver.com/complexes/8606?tab=detail&amp;rf=Y</t>
  </si>
  <si>
    <t>경기도 안양시 동안구 호계동 848-1</t>
  </si>
  <si>
    <t>경기도 안양시 동안구 포도원로 31</t>
  </si>
  <si>
    <t>미성</t>
  </si>
  <si>
    <t>https://new.land.naver.com/complexes/14304?tab=detail&amp;rf=Y</t>
  </si>
  <si>
    <t>경기도 안양시 동안구 호계동 995-9</t>
  </si>
  <si>
    <t>경기도 안양시 동안구 흥안대로133번길 57</t>
  </si>
  <si>
    <t>삼덕</t>
  </si>
  <si>
    <t>https://new.land.naver.com/complexes/8918?tab=detail&amp;rf=Y</t>
  </si>
  <si>
    <t>경기도 안양시 동안구 호계동 969-3</t>
  </si>
  <si>
    <t>경기도 안양시 동안구 경수대로 511</t>
  </si>
  <si>
    <t>예성그린캐슬</t>
  </si>
  <si>
    <t>https://new.land.naver.com/complexes/10795?tab=detail&amp;rf=Y</t>
  </si>
  <si>
    <t>경기도 안양시 동안구 호계동 989-6</t>
  </si>
  <si>
    <t>96C</t>
  </si>
  <si>
    <t>호계금호</t>
  </si>
  <si>
    <t>https://new.land.naver.com/complexes/8812?tab=detail&amp;rf=Y</t>
  </si>
  <si>
    <t>경기도 안양시 동안구 호계동 282-31</t>
  </si>
  <si>
    <t>경기도 안양시 동안구 귀인로80번길 5</t>
  </si>
  <si>
    <t>59A</t>
  </si>
  <si>
    <t>https://new.land.naver.com/complexes/11385?tab=detail&amp;rf=Y</t>
  </si>
  <si>
    <t>경기도 안양시 동안구 호계동 902-2</t>
  </si>
  <si>
    <t>경기도 안양시 동안구 시민대로131번길 20</t>
  </si>
  <si>
    <t>금정역호계푸르지오</t>
  </si>
  <si>
    <t>80A1</t>
  </si>
  <si>
    <t>https://new.land.naver.com/complexes/107639?tab=detail&amp;rf=Y</t>
  </si>
  <si>
    <t>경기도 안양시 동안구 호계동 1279</t>
  </si>
  <si>
    <t>경기도 안양시 동안구 엘에스로116번길 56</t>
  </si>
  <si>
    <t>80A2</t>
  </si>
  <si>
    <t>헤이븐(도시형)</t>
  </si>
  <si>
    <t>https://new.land.naver.com/complexes/137583?tab=detail&amp;rf=Y</t>
  </si>
  <si>
    <t>경기도 안양시 동안구 호계동 671-3</t>
  </si>
  <si>
    <t>경기도 안양시 동안구 엘에스로53번길 12</t>
  </si>
  <si>
    <t>양수</t>
  </si>
  <si>
    <t>https://new.land.naver.com/complexes/2032?tab=detail&amp;rf=Y</t>
  </si>
  <si>
    <t>경기도 안양시 동안구 호계동 848-2</t>
  </si>
  <si>
    <t>경기도 안양시 동안구 포도원로 25</t>
  </si>
  <si>
    <t>목련2단지</t>
  </si>
  <si>
    <t>https://new.land.naver.com/complexes/3015?tab=detail&amp;rf=Y</t>
  </si>
  <si>
    <t>경기도 안양시 동안구 호계동 1052</t>
  </si>
  <si>
    <t>경기도 안양시 동안구 동안로 102</t>
  </si>
  <si>
    <t>무궁화금호</t>
  </si>
  <si>
    <t>https://new.land.naver.com/complexes/1472?tab=detail&amp;rf=Y</t>
  </si>
  <si>
    <t>경기도 안양시 동안구 호계동 1056</t>
  </si>
  <si>
    <t>경기도 안양시 동안구 동안로 40</t>
  </si>
  <si>
    <t>평촌어바인퍼스트더샵</t>
  </si>
  <si>
    <t>84C</t>
  </si>
  <si>
    <t>https://new.land.naver.com/complexes/148980?tab=detail&amp;rf=Y</t>
  </si>
  <si>
    <t>경기도 안양시 동안구 호계동 954-20번지 일원</t>
  </si>
  <si>
    <t>호계마젤란21</t>
  </si>
  <si>
    <t>https://new.land.naver.com/complexes/18830?tab=detail&amp;rf=Y</t>
  </si>
  <si>
    <t>경기도 안양시 동안구 호계동 919-2</t>
  </si>
  <si>
    <t>경기도 안양시 동안구 경수대로707번길 42</t>
  </si>
  <si>
    <t>평촌두산위브리버뷰</t>
  </si>
  <si>
    <t>https://new.land.naver.com/complexes/123900?tab=detail&amp;rf=Y</t>
  </si>
  <si>
    <t>경기도 안양시 동안구 호계동 1309</t>
  </si>
  <si>
    <t>경기도 안양시 동안구 엘에스로45번길 30</t>
  </si>
  <si>
    <t>67B</t>
  </si>
  <si>
    <t>80F</t>
  </si>
  <si>
    <t>81E</t>
  </si>
  <si>
    <t>82D</t>
  </si>
  <si>
    <t>84H</t>
  </si>
  <si>
    <t>87G</t>
  </si>
  <si>
    <t>99A</t>
  </si>
  <si>
    <t>101E</t>
  </si>
  <si>
    <t>102F</t>
  </si>
  <si>
    <t>114G</t>
  </si>
  <si>
    <t>115H</t>
  </si>
  <si>
    <t>청도</t>
  </si>
  <si>
    <t>52A</t>
  </si>
  <si>
    <t>https://new.land.naver.com/complexes/10801?tab=detail&amp;rf=Y</t>
  </si>
  <si>
    <t>경기도 안양시 동안구 호계동 997</t>
  </si>
  <si>
    <t>경기도 안양시 동안구 흥안대로133번길 34</t>
  </si>
  <si>
    <t>54B</t>
  </si>
  <si>
    <t>58A</t>
  </si>
  <si>
    <t>59B</t>
  </si>
  <si>
    <t>세계로황토빌</t>
  </si>
  <si>
    <t>https://new.land.naver.com/complexes/13948?tab=detail&amp;rf=Y</t>
  </si>
  <si>
    <t>경기도 안양시 동안구 호계동 999-23</t>
  </si>
  <si>
    <t>범계마을LD</t>
  </si>
  <si>
    <t>https://new.land.naver.com/complexes/9061?tab=detail&amp;rf=Y</t>
  </si>
  <si>
    <t>경기도 안양시 동안구 호계동 923-30</t>
  </si>
  <si>
    <t>경기도 안양시 동안구 귀인로79번길 12</t>
  </si>
  <si>
    <t>평촌트리지아</t>
  </si>
  <si>
    <t>https://new.land.naver.com/complexes/142558?tab=detail&amp;rf=Y</t>
  </si>
  <si>
    <t>경기도 안양시 동안구 호계동 929번지 일원</t>
  </si>
  <si>
    <t>경기도 안양시 동안구 귀인로82번길 17</t>
  </si>
  <si>
    <t>평촌대성유니드</t>
  </si>
  <si>
    <t>https://new.land.naver.com/complexes/115703?tab=detail&amp;rf=Y</t>
  </si>
  <si>
    <t>경기도 안양시 동안구 호계동 1294</t>
  </si>
  <si>
    <t>경기도 안양시 동안구 안양천동로126번길 26</t>
  </si>
  <si>
    <t>65B</t>
  </si>
  <si>
    <t>84D</t>
  </si>
  <si>
    <t>목련6단지</t>
  </si>
  <si>
    <t>https://new.land.naver.com/complexes/1456?tab=detail&amp;rf=Y</t>
  </si>
  <si>
    <t>경기도 안양시 동안구 호계동 1054-6</t>
  </si>
  <si>
    <t>경기도 안양시 동안구 평촌대로179번길 27</t>
  </si>
  <si>
    <t>호계미원</t>
  </si>
  <si>
    <t>https://new.land.naver.com/complexes/106767?tab=detail&amp;rf=Y</t>
  </si>
  <si>
    <t>경기도 안양시 동안구 호계동 335-2</t>
  </si>
  <si>
    <t>경기도 안양시 동안구 경수대로623번길 44</t>
  </si>
  <si>
    <t>유환3차</t>
  </si>
  <si>
    <t>https://new.land.naver.com/complexes/11636?tab=detail&amp;rf=Y</t>
  </si>
  <si>
    <t>경기도 안양시 동안구 호계동 970-17</t>
  </si>
  <si>
    <t>경기도 안양시 동안구 흥안대로110번길 42</t>
  </si>
  <si>
    <t>평촌트루엘파크</t>
  </si>
  <si>
    <t>https://new.land.naver.com/complexes/111921?tab=detail&amp;rf=Y</t>
  </si>
  <si>
    <t>경기도 안양시 동안구 호계동 1280</t>
  </si>
  <si>
    <t>경기도 안양시 동안구 경수대로596번길 62-12</t>
  </si>
  <si>
    <t>85C</t>
  </si>
  <si>
    <t>루미에르(주상복합)</t>
  </si>
  <si>
    <t>https://new.land.naver.com/complexes/120224?tab=detail&amp;rf=Y</t>
  </si>
  <si>
    <t>경기도 안양시 동안구 호계동 959-20</t>
  </si>
  <si>
    <t>경기도 안양시 동안구 경수대로 539</t>
  </si>
  <si>
    <t>71A</t>
  </si>
  <si>
    <t>71B</t>
  </si>
  <si>
    <t>HHI브라운빌3차</t>
  </si>
  <si>
    <t>https://new.land.naver.com/complexes/24045?tab=detail&amp;rf=Y</t>
  </si>
  <si>
    <t>경기도 안양시 동안구 호계동 940</t>
  </si>
  <si>
    <t>경기도 안양시 동안구 경수대로609번길 26</t>
  </si>
  <si>
    <t>102A</t>
  </si>
  <si>
    <t>102B</t>
  </si>
  <si>
    <t>대명</t>
  </si>
  <si>
    <t>https://new.land.naver.com/complexes/2031?tab=detail&amp;rf=Y</t>
  </si>
  <si>
    <t>경기도 안양시 동안구 호계동 918-55</t>
  </si>
  <si>
    <t>경기도 안양시 동안구 경수대로707번길 28</t>
  </si>
  <si>
    <t>한솔(도시형)</t>
  </si>
  <si>
    <t>https://new.land.naver.com/complexes/113140?tab=detail&amp;rf=Y</t>
  </si>
  <si>
    <t>경기도 안양시 동안구 호계동 972-6</t>
  </si>
  <si>
    <t>경기도 안양시 동안구 흥안대로94번길 56</t>
  </si>
  <si>
    <t>72B</t>
  </si>
  <si>
    <t>한스하임(도시형)</t>
  </si>
  <si>
    <t>23A</t>
  </si>
  <si>
    <t>https://new.land.naver.com/complexes/115416?tab=detail&amp;rf=Y</t>
  </si>
  <si>
    <t>경기도 안양시 동안구 호계동 903-4</t>
  </si>
  <si>
    <t>경기도 안양시 동안구 경수대로 769</t>
  </si>
  <si>
    <t>45B</t>
  </si>
  <si>
    <t>무궁화태영</t>
  </si>
  <si>
    <t>https://new.land.naver.com/complexes/1476?tab=detail&amp;rf=Y</t>
  </si>
  <si>
    <t>경기도 안양시 동안구 호계동 1075</t>
  </si>
  <si>
    <t>경기도 안양시 동안구 경수대로610번길 37</t>
  </si>
  <si>
    <t>호계e-편한세상</t>
  </si>
  <si>
    <t>https://new.land.naver.com/complexes/8036?tab=detail&amp;rf=Y</t>
  </si>
  <si>
    <t>경기도 안양시 동안구 호계동 813</t>
  </si>
  <si>
    <t>경기도 안양시 동안구 경수대로 430</t>
  </si>
  <si>
    <t>진우</t>
  </si>
  <si>
    <t>https://new.land.naver.com/complexes/8353?tab=detail&amp;rf=Y</t>
  </si>
  <si>
    <t>경기도 안양시 동안구 호계동 1002-9</t>
  </si>
  <si>
    <t>경기도 안양시 동안구 경수대로544번길 32</t>
  </si>
  <si>
    <t>일신건영장미</t>
  </si>
  <si>
    <t>https://new.land.naver.com/complexes/8038?tab=detail&amp;rf=Y</t>
  </si>
  <si>
    <t>경기도 안양시 동안구 호계동 819-2</t>
  </si>
  <si>
    <t>경기도 안양시 동안구 호성로 37</t>
  </si>
  <si>
    <t>샘대우한양</t>
  </si>
  <si>
    <t>https://new.land.naver.com/complexes/1441?tab=detail&amp;rf=Y</t>
  </si>
  <si>
    <t>경기도 안양시 동안구 호계동 1121</t>
  </si>
  <si>
    <t>경기도 안양시 동안구 흥안대로223번길 47</t>
  </si>
  <si>
    <t>123A</t>
  </si>
  <si>
    <t>123B</t>
  </si>
  <si>
    <t>162B</t>
  </si>
  <si>
    <t>162A</t>
  </si>
  <si>
    <t>198B</t>
  </si>
  <si>
    <t>198A</t>
  </si>
  <si>
    <t>푸른마을삼성</t>
  </si>
  <si>
    <t>https://new.land.naver.com/complexes/2026?tab=detail&amp;rf=Y</t>
  </si>
  <si>
    <t>경기도 안양시 동안구 호계동 931</t>
  </si>
  <si>
    <t>경기도 안양시 동안구 귀인로82번길 54</t>
  </si>
  <si>
    <t>리츠팰리스(도시형)</t>
  </si>
  <si>
    <t>https://new.land.naver.com/complexes/112002?tab=detail&amp;rf=Y</t>
  </si>
  <si>
    <t>경기도 안양시 동안구 호계동 903-16</t>
  </si>
  <si>
    <t>경기도 안양시 동안구 시민대로137번길 30</t>
  </si>
  <si>
    <t>24A</t>
  </si>
  <si>
    <t>24B</t>
  </si>
  <si>
    <t>25A</t>
  </si>
  <si>
    <t>26B</t>
  </si>
  <si>
    <t>무궁화경남</t>
  </si>
  <si>
    <t>https://new.land.naver.com/complexes/1471?tab=detail&amp;rf=Y</t>
  </si>
  <si>
    <t>경기도 안양시 동안구 호계동 1057</t>
  </si>
  <si>
    <t>경기도 안양시 동안구 귀인로172번길 22</t>
  </si>
  <si>
    <t>106S</t>
  </si>
  <si>
    <t>106N</t>
  </si>
  <si>
    <t>진성</t>
  </si>
  <si>
    <t>https://new.land.naver.com/complexes/8981?tab=detail&amp;rf=Y</t>
  </si>
  <si>
    <t>경기도 안양시 동안구 호계동 914-36</t>
  </si>
  <si>
    <t>서안이노빌(주상복합)</t>
  </si>
  <si>
    <t>https://new.land.naver.com/complexes/13255?tab=detail&amp;rf=Y</t>
  </si>
  <si>
    <t>경기도 안양시 동안구 호계동 967-20</t>
  </si>
  <si>
    <t>경기도 안양시 동안구 흥안대로 102</t>
  </si>
  <si>
    <t>흥화브라운빌</t>
  </si>
  <si>
    <t>https://new.land.naver.com/complexes/11958?tab=detail&amp;rf=Y</t>
  </si>
  <si>
    <t>경기도 안양시 동안구 호계동 337</t>
  </si>
  <si>
    <t>경기도 안양시 동안구 경수대로623번길 60</t>
  </si>
  <si>
    <t>목련7단지</t>
  </si>
  <si>
    <t>https://new.land.naver.com/complexes/1459?tab=detail&amp;rf=Y</t>
  </si>
  <si>
    <t>경기도 안양시 동안구 호계동 1054-8</t>
  </si>
  <si>
    <t>경기도 안양시 동안구 귀인로 157</t>
  </si>
  <si>
    <t>샘우방</t>
  </si>
  <si>
    <t>https://new.land.naver.com/complexes/1443?tab=detail&amp;rf=Y</t>
  </si>
  <si>
    <t>경기도 안양시 동안구 호계동 1116</t>
  </si>
  <si>
    <t>경기도 안양시 동안구 흥안대로249번길 18</t>
  </si>
  <si>
    <t>목련5단지</t>
  </si>
  <si>
    <t>https://new.land.naver.com/complexes/3023?tab=detail&amp;rf=Y</t>
  </si>
  <si>
    <t>경기도 안양시 동안구 호계동 1052-5</t>
  </si>
  <si>
    <t>경기도 안양시 동안구 평촌대로179번길 30</t>
  </si>
  <si>
    <t>삼호우주</t>
  </si>
  <si>
    <t>https://new.land.naver.com/complexes/2047?tab=detail&amp;rf=Y</t>
  </si>
  <si>
    <t>경기도 안양시 동안구 호계동 767-3</t>
  </si>
  <si>
    <t>경기도 안양시 동안구 경수대로 492</t>
  </si>
  <si>
    <t>한마음1단지</t>
  </si>
  <si>
    <t>https://new.land.naver.com/complexes/2042?tab=detail&amp;rf=Y</t>
  </si>
  <si>
    <t>경기도 안양시 동안구 호계동 895</t>
  </si>
  <si>
    <t>경기도 안양시 동안구 경수대로797번길 5</t>
  </si>
  <si>
    <t>호계효성</t>
  </si>
  <si>
    <t>https://new.land.naver.com/complexes/8800?tab=detail&amp;rf=Y</t>
  </si>
  <si>
    <t>경기도 안양시 동안구 호계동 912</t>
  </si>
  <si>
    <t>경기도 안양시 동안구 시민대로110번길 43</t>
  </si>
  <si>
    <t>개성하이뷰(주상복합)</t>
  </si>
  <si>
    <t>https://new.land.naver.com/complexes/139912?tab=detail&amp;rf=Y</t>
  </si>
  <si>
    <t>경기도 안양시 동안구 호계동 959-1</t>
  </si>
  <si>
    <t>경기도 안양시 동안구 경수대로 555</t>
  </si>
  <si>
    <t>82AP</t>
  </si>
  <si>
    <t>85CP</t>
  </si>
  <si>
    <t>86B</t>
  </si>
  <si>
    <t>86BP</t>
  </si>
  <si>
    <t>미향</t>
  </si>
  <si>
    <t>https://new.land.naver.com/complexes/13379?tab=detail&amp;rf=Y</t>
  </si>
  <si>
    <t>경기도 안양시 동안구 호계동 994-23</t>
  </si>
  <si>
    <t>한마음2단지</t>
  </si>
  <si>
    <t>https://new.land.naver.com/complexes/3083?tab=detail&amp;rf=Y</t>
  </si>
  <si>
    <t>경기도 안양시 동안구 호계동 893-1</t>
  </si>
  <si>
    <t>경기도 안양시 동안구 경수대로797번길 12</t>
  </si>
  <si>
    <t>다미안(주상복합)</t>
  </si>
  <si>
    <t>https://new.land.naver.com/complexes/114535?tab=detail&amp;rf=Y</t>
  </si>
  <si>
    <t>경기도 안양시 동안구 호계동 960</t>
  </si>
  <si>
    <t>경기도 안양시 동안구 흥안대로109번길 8</t>
  </si>
  <si>
    <t>양우내안애팰리스(주상복합)</t>
  </si>
  <si>
    <t>https://new.land.naver.com/complexes/102095?tab=detail&amp;rf=Y</t>
  </si>
  <si>
    <t>경기도 안양시 동안구 호계동 972-9</t>
  </si>
  <si>
    <t>경기도 안양시 동안구 흥안대로94번길 68</t>
  </si>
  <si>
    <t>서부인터빌</t>
  </si>
  <si>
    <t>https://new.land.naver.com/complexes/15536?tab=detail&amp;rf=Y</t>
  </si>
  <si>
    <t>경기도 안양시 동안구 호계동 767-2</t>
  </si>
  <si>
    <t>경기도 안양시 동안구 경수대로 498</t>
  </si>
  <si>
    <t>금호</t>
  </si>
  <si>
    <t>https://new.land.naver.com/complexes/110236?tab=detail&amp;rf=Y</t>
  </si>
  <si>
    <t>경기도 안양시 동안구 호계동 831</t>
  </si>
  <si>
    <t>경기도 안양시 동안구 경수대로498번길 107</t>
  </si>
  <si>
    <t>호계현대홈타운1차</t>
  </si>
  <si>
    <t>https://new.land.naver.com/complexes/3081?tab=detail&amp;rf=Y</t>
  </si>
  <si>
    <t>경기도 안양시 동안구 호계동 914-40</t>
  </si>
  <si>
    <t>경기도 안양시 동안구 경수대로733번길 23</t>
  </si>
  <si>
    <t>118A</t>
  </si>
  <si>
    <t>120B</t>
  </si>
  <si>
    <t>신라(915)</t>
  </si>
  <si>
    <t>53B</t>
  </si>
  <si>
    <t>https://new.land.naver.com/complexes/8180?tab=detail&amp;rf=Y</t>
  </si>
  <si>
    <t>경기도 안양시 동안구 호계동 915</t>
  </si>
  <si>
    <t>53A</t>
  </si>
  <si>
    <t>호계금호어울림</t>
  </si>
  <si>
    <t>https://new.land.naver.com/complexes/103511?tab=detail&amp;rf=Y</t>
  </si>
  <si>
    <t>경기도 안양시 동안구 호계동 1278</t>
  </si>
  <si>
    <t>경기도 안양시 동안구 호성로 20</t>
  </si>
  <si>
    <t>108C</t>
  </si>
  <si>
    <t>대경시실리(주상복합)</t>
  </si>
  <si>
    <t>https://new.land.naver.com/complexes/122547?tab=detail&amp;rf=Y</t>
  </si>
  <si>
    <t>경기도 안양시 동안구 호계동 972-1</t>
  </si>
  <si>
    <t>경기도 안양시 동안구 흥안대로94번길 52</t>
  </si>
  <si>
    <t>목련8단지</t>
  </si>
  <si>
    <t>https://new.land.naver.com/complexes/3016?tab=detail&amp;rf=Y</t>
  </si>
  <si>
    <t>경기도 안양시 동안구 호계동 1053-4</t>
  </si>
  <si>
    <t>경기도 안양시 동안구 동안로 57</t>
  </si>
  <si>
    <t>삼성원시티(주상복합)</t>
  </si>
  <si>
    <t>https://new.land.naver.com/complexes/125237?tab=detail&amp;rf=Y</t>
  </si>
  <si>
    <t>경기도 안양시 동안구 호계동 966-67</t>
  </si>
  <si>
    <t>경기도 안양시 동안구 엘에스로 50-11</t>
  </si>
  <si>
    <t>무궁화진흥</t>
  </si>
  <si>
    <t>https://new.land.naver.com/complexes/1473?tab=detail&amp;rf=Y</t>
  </si>
  <si>
    <t>경기도 안양시 동안구 호계동 1056-6</t>
  </si>
  <si>
    <t>경기도 안양시 동안구 동안로 6</t>
  </si>
  <si>
    <t>리치밸리(주상복합)</t>
  </si>
  <si>
    <t>https://new.land.naver.com/complexes/17511?tab=detail&amp;rf=Y</t>
  </si>
  <si>
    <t>경기도 안양시 동안구 호계동 966-1</t>
  </si>
  <si>
    <t>경기도 안양시 동안구 흥안대로 94</t>
  </si>
  <si>
    <t>무궁화효성,한양</t>
  </si>
  <si>
    <t>https://new.land.naver.com/complexes/19492?tab=detail&amp;rf=Y</t>
  </si>
  <si>
    <t>경기도 안양시 동안구 호계동 1055</t>
  </si>
  <si>
    <t>경기도 안양시 동안구 동안로 35</t>
  </si>
  <si>
    <t>샘마을임광</t>
  </si>
  <si>
    <t>https://new.land.naver.com/complexes/1444?tab=detail&amp;rf=Y</t>
  </si>
  <si>
    <t>경기도 안양시 동안구 호계동 1115</t>
  </si>
  <si>
    <t>경기도 안양시 동안구 평촌대로40번길 100</t>
  </si>
  <si>
    <t>호계럭키</t>
  </si>
  <si>
    <t>https://new.land.naver.com/complexes/2033?tab=detail&amp;rf=Y</t>
  </si>
  <si>
    <t>경기도 안양시 동안구 호계동 570</t>
  </si>
  <si>
    <t>경기도 안양시 동안구 경수대로623번길 46</t>
  </si>
  <si>
    <t>103B</t>
  </si>
  <si>
    <t>수성드림빌</t>
  </si>
  <si>
    <t>https://new.land.naver.com/complexes/22739?tab=detail&amp;rf=Y</t>
  </si>
  <si>
    <t>경기도 안양시 동안구 호계동 335-64</t>
  </si>
  <si>
    <t>경기도 안양시 동안구 경수대로651번길 58-1</t>
  </si>
  <si>
    <t>호계(도시형)</t>
  </si>
  <si>
    <t>22A</t>
  </si>
  <si>
    <t>https://new.land.naver.com/complexes/108659?tab=detail&amp;rf=Y</t>
  </si>
  <si>
    <t>경기도 안양시 동안구 호계동 959-8</t>
  </si>
  <si>
    <t>경기도 안양시 동안구 경수대로 541-8</t>
  </si>
  <si>
    <t>22B</t>
  </si>
  <si>
    <t>미래타운(주상복합)</t>
  </si>
  <si>
    <t>https://new.land.naver.com/complexes/113693?tab=detail&amp;rf=Y</t>
  </si>
  <si>
    <t>경기도 안양시 동안구 호계동 666-1</t>
  </si>
  <si>
    <t>경기도 안양시 동안구 엘에스로53번길 9</t>
  </si>
  <si>
    <t>91B</t>
  </si>
  <si>
    <t>삼천리</t>
  </si>
  <si>
    <t>https://new.land.naver.com/complexes/2040?tab=detail&amp;rf=Y</t>
  </si>
  <si>
    <t>경기도 안양시 동안구 호계동 843-1</t>
  </si>
  <si>
    <t>경기도 안양시 동안구 포도원로27번길 20</t>
  </si>
  <si>
    <t>관양동</t>
    <phoneticPr fontId="2" type="noConversion"/>
  </si>
  <si>
    <t>동편마을3단지</t>
    <phoneticPr fontId="2" type="noConversion"/>
  </si>
  <si>
    <t>'12.04</t>
    <phoneticPr fontId="2" type="noConversion"/>
  </si>
  <si>
    <t>https://new.land.naver.com/complexes/102312?tab=detail&amp;rf=Y&amp;a=APT:JGC:ABYG&amp;b=A1:B1&amp;e=RETAIL&amp;ad=true&amp;h=94&amp;i=100</t>
  </si>
  <si>
    <t>98A</t>
    <phoneticPr fontId="2" type="noConversion"/>
  </si>
  <si>
    <t>https://new.land.naver.com/complexes/102312?tab=detail&amp;rf=Y&amp;a=APT:JGC:ABYG&amp;b=A1:B1&amp;e=RETAIL&amp;ad=true&amp;h=95&amp;i=101</t>
    <phoneticPr fontId="2" type="noConversion"/>
  </si>
  <si>
    <t>98C</t>
    <phoneticPr fontId="2" type="noConversion"/>
  </si>
  <si>
    <t>98AN</t>
    <phoneticPr fontId="2" type="noConversion"/>
  </si>
  <si>
    <t>110H</t>
    <phoneticPr fontId="2" type="noConversion"/>
  </si>
  <si>
    <t>https://new.land.naver.com/complexes/102312?tab=detail&amp;rf=Y&amp;a=APT:JGC:ABYG&amp;b=A1:B1&amp;e=RETAIL&amp;ad=true&amp;h=108&amp;i=114</t>
    <phoneticPr fontId="2" type="noConversion"/>
  </si>
  <si>
    <t>111D</t>
    <phoneticPr fontId="2" type="noConversion"/>
  </si>
  <si>
    <t>111E</t>
    <phoneticPr fontId="2" type="noConversion"/>
  </si>
  <si>
    <t>111A</t>
    <phoneticPr fontId="2" type="noConversion"/>
  </si>
  <si>
    <t>111F</t>
    <phoneticPr fontId="2" type="noConversion"/>
  </si>
  <si>
    <t>111G</t>
    <phoneticPr fontId="2" type="noConversion"/>
  </si>
  <si>
    <t>111B</t>
    <phoneticPr fontId="2" type="noConversion"/>
  </si>
  <si>
    <t>111C</t>
    <phoneticPr fontId="2" type="noConversion"/>
  </si>
  <si>
    <t>111AN</t>
    <phoneticPr fontId="2" type="noConversion"/>
  </si>
  <si>
    <t>111BN</t>
    <phoneticPr fontId="2" type="noConversion"/>
  </si>
  <si>
    <t>공작럭키</t>
    <phoneticPr fontId="2" type="noConversion"/>
  </si>
  <si>
    <t>'93.06</t>
    <phoneticPr fontId="2" type="noConversion"/>
  </si>
  <si>
    <t>복</t>
    <phoneticPr fontId="2" type="noConversion"/>
  </si>
  <si>
    <t>https://new.land.naver.com/complexes/1460?tab=detail&amp;rf=Y&amp;a=APT:JGC:ABYG&amp;b=A1:B1&amp;e=RETAIL&amp;ad=true&amp;h=64&amp;i=70</t>
    <phoneticPr fontId="2" type="noConversion"/>
  </si>
  <si>
    <t>인덕원마을삼성</t>
    <phoneticPr fontId="2" type="noConversion"/>
  </si>
  <si>
    <t>'98.12</t>
    <phoneticPr fontId="2" type="noConversion"/>
  </si>
  <si>
    <t>79A</t>
    <phoneticPr fontId="2" type="noConversion"/>
  </si>
  <si>
    <t>https://new.land.naver.com/complexes/2505?tab=detail&amp;rf=Y&amp;a=APT:JGC:ABYG&amp;b=A1:B1&amp;e=RETAIL&amp;ad=true&amp;h=76&amp;i=82</t>
    <phoneticPr fontId="2" type="noConversion"/>
  </si>
  <si>
    <t>79B</t>
    <phoneticPr fontId="2" type="noConversion"/>
  </si>
  <si>
    <t>https://new.land.naver.com/complexes/2505?tab=detail&amp;rf=Y&amp;a=APT:JGC:ABYG&amp;b=A1:B1&amp;e=RETAIL&amp;ad=true&amp;h=77&amp;i=83</t>
    <phoneticPr fontId="2" type="noConversion"/>
  </si>
  <si>
    <t>https://new.land.naver.com/complexes/2505?tab=detail&amp;rf=Y&amp;a=APT:JGC:ABYG&amp;b=A1:B1&amp;e=RETAIL&amp;ad=true&amp;h=104&amp;i=110</t>
    <phoneticPr fontId="2" type="noConversion"/>
  </si>
  <si>
    <t>한가람두산</t>
    <phoneticPr fontId="2" type="noConversion"/>
  </si>
  <si>
    <t>'92.11</t>
    <phoneticPr fontId="2" type="noConversion"/>
  </si>
  <si>
    <t>https://new.land.naver.com/complexes/1461?tab=detail&amp;rf=Y&amp;a=APT:JGC:ABYG&amp;b=A1:B1&amp;e=RETAIL&amp;ad=true&amp;h=74&amp;i=80</t>
    <phoneticPr fontId="2" type="noConversion"/>
  </si>
  <si>
    <t>https://new.land.naver.com/complexes/1461?tab=detail&amp;rf=Y&amp;a=APT:JGC:ABYG&amp;b=A1:B1&amp;e=RETAIL&amp;ad=true&amp;h=102&amp;i=108</t>
    <phoneticPr fontId="2" type="noConversion"/>
  </si>
  <si>
    <t>현대</t>
    <phoneticPr fontId="2" type="noConversion"/>
  </si>
  <si>
    <t>'85.04</t>
    <phoneticPr fontId="2" type="noConversion"/>
  </si>
  <si>
    <t>108B</t>
    <phoneticPr fontId="2" type="noConversion"/>
  </si>
  <si>
    <t>https://new.land.naver.com/complexes/1978?tab=detail&amp;rf=Y&amp;a=APT:JGC:ABYG&amp;b=A1:B1&amp;e=RETAIL&amp;ad=true&amp;h=106&amp;i=112</t>
    <phoneticPr fontId="2" type="noConversion"/>
  </si>
  <si>
    <t>108A</t>
    <phoneticPr fontId="2" type="noConversion"/>
  </si>
  <si>
    <t>https://new.land.naver.com/complexes/1978?tab=detail&amp;rf=Y&amp;a=APT:JGC:ABYG&amp;b=A1:B1&amp;e=RETAIL&amp;ad=true&amp;h=141&amp;i=147</t>
    <phoneticPr fontId="2" type="noConversion"/>
  </si>
  <si>
    <t>https://new.land.naver.com/complexes/1978?tab=detail&amp;rf=Y&amp;a=APT:JGC:ABYG&amp;b=A1:B1&amp;e=RETAIL&amp;ad=true&amp;h=167&amp;i=173</t>
    <phoneticPr fontId="2" type="noConversion"/>
  </si>
  <si>
    <t>공작성일</t>
    <phoneticPr fontId="2" type="noConversion"/>
  </si>
  <si>
    <t>'93.02</t>
    <phoneticPr fontId="2" type="noConversion"/>
  </si>
  <si>
    <t>https://new.land.naver.com/complexes/1462?tab=detail&amp;rf=Y&amp;a=APT:JGC:ABYG&amp;b=A1:B1&amp;e=RETAIL&amp;ad=true&amp;h=52&amp;i=58</t>
    <phoneticPr fontId="2" type="noConversion"/>
  </si>
  <si>
    <t>https://new.land.naver.com/complexes/1462?tab=detail&amp;rf=Y&amp;a=APT:JGC:ABYG&amp;b=A1:B1&amp;e=RETAIL&amp;ad=true&amp;h=74&amp;i=80</t>
    <phoneticPr fontId="2" type="noConversion"/>
  </si>
  <si>
    <t>https://new.land.naver.com/complexes/1462?tab=detail&amp;rf=Y&amp;a=APT:JGC:ABYG&amp;b=A1:B1&amp;e=RETAIL&amp;ad=true&amp;h=93&amp;i=99</t>
    <phoneticPr fontId="2" type="noConversion"/>
  </si>
  <si>
    <t>평촌더샵센트럴시티</t>
    <phoneticPr fontId="2" type="noConversion"/>
  </si>
  <si>
    <t>'16.06</t>
    <phoneticPr fontId="2" type="noConversion"/>
  </si>
  <si>
    <t>80A</t>
    <phoneticPr fontId="2" type="noConversion"/>
  </si>
  <si>
    <t>https://new.land.naver.com/complexes/107579?tab=detail&amp;rf=Y&amp;a=APT:JGC:ABYG&amp;b=A1:B1&amp;e=RETAIL&amp;ad=true&amp;h=78&amp;i=84</t>
    <phoneticPr fontId="2" type="noConversion"/>
  </si>
  <si>
    <t>81B</t>
    <phoneticPr fontId="2" type="noConversion"/>
  </si>
  <si>
    <t>112A</t>
    <phoneticPr fontId="2" type="noConversion"/>
  </si>
  <si>
    <t>https://new.land.naver.com/complexes/107579?tab=detail&amp;rf=Y&amp;a=APT:JGC:ABYG&amp;b=A1:B1&amp;e=RETAIL&amp;ad=true&amp;h=110&amp;i=116</t>
    <phoneticPr fontId="2" type="noConversion"/>
  </si>
  <si>
    <t>113C</t>
    <phoneticPr fontId="2" type="noConversion"/>
  </si>
  <si>
    <t>113B</t>
    <phoneticPr fontId="2" type="noConversion"/>
  </si>
  <si>
    <t>https://new.land.naver.com/complexes/107579?tab=detail&amp;rf=Y&amp;a=APT:JGC:ABYG&amp;b=A1:B1&amp;e=RETAIL&amp;ad=true&amp;h=124&amp;i=130</t>
    <phoneticPr fontId="2" type="noConversion"/>
  </si>
  <si>
    <t>한미</t>
    <phoneticPr fontId="2" type="noConversion"/>
  </si>
  <si>
    <t>'86.05</t>
    <phoneticPr fontId="2" type="noConversion"/>
  </si>
  <si>
    <t>54A</t>
    <phoneticPr fontId="2" type="noConversion"/>
  </si>
  <si>
    <t>https://new.land.naver.com/complexes/1977?tab=detail&amp;rf=Y&amp;a=APT:JGC:ABYG&amp;b=A1:B1&amp;e=RETAIL&amp;ad=true&amp;h=52&amp;i=58</t>
    <phoneticPr fontId="2" type="noConversion"/>
  </si>
  <si>
    <t>57B</t>
    <phoneticPr fontId="2" type="noConversion"/>
  </si>
  <si>
    <t>https://new.land.naver.com/complexes/1977?tab=detail&amp;rf=Y&amp;a=APT:JGC:ABYG&amp;b=A1:B1&amp;e=RETAIL&amp;ad=true&amp;h=55&amp;i=61</t>
    <phoneticPr fontId="2" type="noConversion"/>
  </si>
  <si>
    <t>https://new.land.naver.com/complexes/1977?tab=detail&amp;rf=Y&amp;a=APT:JGC:ABYG&amp;b=A1:B1&amp;e=RETAIL&amp;ad=true&amp;h=62&amp;i=68</t>
    <phoneticPr fontId="2" type="noConversion"/>
  </si>
  <si>
    <t>https://new.land.naver.com/complexes/1977?tab=detail&amp;rf=Y&amp;a=APT:JGC:ABYG&amp;b=A1:B1&amp;e=RETAIL&amp;ad=true&amp;h=72&amp;i=78</t>
    <phoneticPr fontId="2" type="noConversion"/>
  </si>
  <si>
    <t>한가람한양</t>
    <phoneticPr fontId="2" type="noConversion"/>
  </si>
  <si>
    <t>'95.05</t>
    <phoneticPr fontId="2" type="noConversion"/>
  </si>
  <si>
    <t>https://new.land.naver.com/complexes/3001?tab=detail&amp;rf=Y&amp;a=APT:JGC:ABYG&amp;b=A1:B1&amp;e=RETAIL&amp;ad=true&amp;h=52&amp;i=58</t>
    <phoneticPr fontId="2" type="noConversion"/>
  </si>
  <si>
    <t>https://new.land.naver.com/complexes/3001?tab=detail&amp;rf=Y&amp;a=APT:JGC:ABYG&amp;b=A1:B1&amp;e=RETAIL&amp;ad=true&amp;h=77&amp;i=83</t>
    <phoneticPr fontId="2" type="noConversion"/>
  </si>
  <si>
    <t>https://new.land.naver.com/complexes/3001?tab=detail&amp;rf=Y&amp;a=APT:JGC:ABYG&amp;b=A1:B1&amp;e=RETAIL&amp;ad=true&amp;h=102&amp;i=108</t>
    <phoneticPr fontId="2" type="noConversion"/>
  </si>
  <si>
    <t>한가람세경</t>
    <phoneticPr fontId="2" type="noConversion"/>
  </si>
  <si>
    <t>'96.11</t>
    <phoneticPr fontId="2" type="noConversion"/>
  </si>
  <si>
    <t>https://new.land.naver.com/complexes/3286?tab=detail&amp;rf=Y&amp;a=APT:JGC:ABYG&amp;b=A1:B1&amp;e=RETAIL&amp;ad=true&amp;h=61&amp;i=67</t>
    <phoneticPr fontId="2" type="noConversion"/>
  </si>
  <si>
    <t>https://new.land.naver.com/complexes/3286?tab=detail&amp;rf=Y&amp;a=APT:JGC:ABYG&amp;b=A1:B1&amp;e=RETAIL&amp;ad=true&amp;h=64&amp;i=70</t>
    <phoneticPr fontId="2" type="noConversion"/>
  </si>
  <si>
    <t>공작부영</t>
    <phoneticPr fontId="2" type="noConversion"/>
  </si>
  <si>
    <t>'93.03</t>
    <phoneticPr fontId="2" type="noConversion"/>
  </si>
  <si>
    <t>https://new.land.naver.com/complexes/1463?tab=detail&amp;rf=Y&amp;a=APT:JGC:ABYG&amp;b=A1:B1&amp;e=RETAIL&amp;ad=true&amp;h=48&amp;i=54</t>
    <phoneticPr fontId="2" type="noConversion"/>
  </si>
  <si>
    <t>https://new.land.naver.com/complexes/1463?tab=detail&amp;rf=Y&amp;a=APT:JGC:ABYG&amp;b=A1:B1&amp;e=RETAIL&amp;ad=true&amp;h=65&amp;i=71</t>
    <phoneticPr fontId="2" type="noConversion"/>
  </si>
  <si>
    <t>https://new.land.naver.com/complexes/1463?tab=detail&amp;rf=Y&amp;a=APT:JGC:ABYG&amp;b=A1:B1&amp;e=RETAIL&amp;ad=true&amp;h=81&amp;i=87</t>
    <phoneticPr fontId="2" type="noConversion"/>
  </si>
  <si>
    <t>한가람신라</t>
    <phoneticPr fontId="2" type="noConversion"/>
  </si>
  <si>
    <t>'92.07</t>
    <phoneticPr fontId="2" type="noConversion"/>
  </si>
  <si>
    <t>https://new.land.naver.com/complexes/1464?tab=detail&amp;rf=Y&amp;a=APT:JGC:ABYG&amp;b=A1:B1&amp;e=RETAIL&amp;ad=true&amp;h=47&amp;i=53</t>
    <phoneticPr fontId="2" type="noConversion"/>
  </si>
  <si>
    <t>https://new.land.naver.com/complexes/1464?tab=detail&amp;rf=Y&amp;a=APT:JGC:ABYG&amp;b=A1:B1&amp;e=RETAIL&amp;ad=true&amp;h=50&amp;i=56</t>
    <phoneticPr fontId="2" type="noConversion"/>
  </si>
  <si>
    <t>https://new.land.naver.com/complexes/1464?tab=detail&amp;rf=Y&amp;a=APT:JGC:ABYG&amp;b=A1:B1&amp;e=RETAIL&amp;ad=true&amp;h=54&amp;i=60</t>
    <phoneticPr fontId="2" type="noConversion"/>
  </si>
  <si>
    <t>https://new.land.naver.com/complexes/1464?tab=detail&amp;rf=Y&amp;a=APT:JGC:ABYG&amp;b=A1:B1&amp;e=RETAIL&amp;ad=true&amp;h=57&amp;i=63</t>
    <phoneticPr fontId="2" type="noConversion"/>
  </si>
  <si>
    <t>https://new.land.naver.com/complexes/1464?tab=detail&amp;rf=Y&amp;a=APT:JGC:ABYG&amp;b=A1:B1&amp;e=RETAIL&amp;ad=true&amp;h=77&amp;i=83</t>
    <phoneticPr fontId="2" type="noConversion"/>
  </si>
  <si>
    <t>한가람삼성</t>
    <phoneticPr fontId="2" type="noConversion"/>
  </si>
  <si>
    <t>'95.01</t>
    <phoneticPr fontId="2" type="noConversion"/>
  </si>
  <si>
    <t>https://new.land.naver.com/complexes/1465?tab=detail&amp;rf=Y&amp;a=APT:JGC:ABYG&amp;b=A1:B1&amp;e=RETAIL&amp;ad=true&amp;h=81&amp;i=87</t>
    <phoneticPr fontId="2" type="noConversion"/>
  </si>
  <si>
    <t>https://new.land.naver.com/complexes/1465?tab=detail&amp;rf=Y&amp;a=APT:JGC:ABYG&amp;b=A1:B1&amp;e=RETAIL&amp;ad=true&amp;h=104&amp;i=110</t>
    <phoneticPr fontId="2" type="noConversion"/>
  </si>
  <si>
    <t>동편마을4단지</t>
    <phoneticPr fontId="2" type="noConversion"/>
  </si>
  <si>
    <t>'12.03</t>
    <phoneticPr fontId="2" type="noConversion"/>
  </si>
  <si>
    <t>126A</t>
    <phoneticPr fontId="2" type="noConversion"/>
  </si>
  <si>
    <t>https://new.land.naver.com/complexes/102625?tab=detail&amp;rf=Y&amp;a=APT:JGC:ABYG&amp;b=A1:B1&amp;e=RETAIL&amp;ad=true&amp;h=124&amp;i=130</t>
    <phoneticPr fontId="2" type="noConversion"/>
  </si>
  <si>
    <t>126BN</t>
    <phoneticPr fontId="2" type="noConversion"/>
  </si>
  <si>
    <t>127D</t>
    <phoneticPr fontId="2" type="noConversion"/>
  </si>
  <si>
    <t>127C</t>
    <phoneticPr fontId="2" type="noConversion"/>
  </si>
  <si>
    <t>152C</t>
    <phoneticPr fontId="2" type="noConversion"/>
  </si>
  <si>
    <t>https://new.land.naver.com/complexes/102625?tab=detail&amp;rf=Y&amp;a=APT:JGC:ABYG&amp;b=A1:B1&amp;e=RETAIL&amp;ad=true&amp;h=149&amp;i=155</t>
    <phoneticPr fontId="2" type="noConversion"/>
  </si>
  <si>
    <t>152A</t>
    <phoneticPr fontId="2" type="noConversion"/>
  </si>
  <si>
    <t>152BN</t>
    <phoneticPr fontId="2" type="noConversion"/>
  </si>
  <si>
    <t>171X</t>
    <phoneticPr fontId="2" type="noConversion"/>
  </si>
  <si>
    <t>https://new.land.naver.com/complexes/102625?tab=detail&amp;rf=Y&amp;a=APT:JGC:ABYG&amp;b=A1:B1&amp;e=RETAIL&amp;ad=true&amp;h=168&amp;i=174</t>
    <phoneticPr fontId="2" type="noConversion"/>
  </si>
  <si>
    <t>171Y</t>
    <phoneticPr fontId="2" type="noConversion"/>
  </si>
  <si>
    <t>171N</t>
    <phoneticPr fontId="2" type="noConversion"/>
  </si>
  <si>
    <t>201P</t>
    <phoneticPr fontId="2" type="noConversion"/>
  </si>
  <si>
    <t>https://new.land.naver.com/complexes/102625?tab=detail&amp;rf=Y&amp;a=APT:JGC:ABYG&amp;b=A1:B1&amp;e=RETAIL&amp;ad=true&amp;h=199&amp;i=205</t>
    <phoneticPr fontId="2" type="noConversion"/>
  </si>
  <si>
    <t>비산동</t>
    <phoneticPr fontId="2" type="noConversion"/>
  </si>
  <si>
    <t>은하수(청구)</t>
    <phoneticPr fontId="2" type="noConversion"/>
  </si>
  <si>
    <t>'92.06</t>
    <phoneticPr fontId="2" type="noConversion"/>
  </si>
  <si>
    <t>https://new.land.naver.com/complexes/3075?tab=detail&amp;rf=Y&amp;a=APT:JGC:ABYG&amp;b=A1:B1&amp;e=RETAIL&amp;ad=true&amp;h=74&amp;i=80</t>
  </si>
  <si>
    <t>https://new.land.naver.com/complexes/3075?tab=detail&amp;rf=Y&amp;a=APT:JGC:ABYG&amp;b=A1:B1&amp;e=RETAIL&amp;ad=true&amp;h=87&amp;i=93</t>
    <phoneticPr fontId="2" type="noConversion"/>
  </si>
  <si>
    <t>https://new.land.naver.com/complexes/3075?tab=detail&amp;rf=Y&amp;a=APT:JGC:ABYG&amp;b=A1:B1&amp;e=RETAIL&amp;ad=true&amp;h=105&amp;i=111</t>
    <phoneticPr fontId="2" type="noConversion"/>
  </si>
  <si>
    <t>https://new.land.naver.com/complexes/3075?tab=detail&amp;rf=Y&amp;a=APT:JGC:ABYG&amp;b=A1:B1&amp;e=RETAIL&amp;ad=true&amp;h=104&amp;i=110</t>
    <phoneticPr fontId="2" type="noConversion"/>
  </si>
  <si>
    <t>관악(성원)</t>
    <phoneticPr fontId="2" type="noConversion"/>
  </si>
  <si>
    <t>'93.07</t>
    <phoneticPr fontId="2" type="noConversion"/>
  </si>
  <si>
    <t>https://new.land.naver.com/complexes/1985?tab=detail&amp;rf=Y&amp;a=APT:JGC:ABYG&amp;b=A1:B1&amp;e=RETAIL&amp;ad=true&amp;h=48&amp;i=54</t>
    <phoneticPr fontId="2" type="noConversion"/>
  </si>
  <si>
    <t>https://new.land.naver.com/complexes/1985?tab=detail&amp;rf=Y&amp;a=APT:JGC:ABYG&amp;b=A1:B1&amp;e=RETAIL&amp;ad=true&amp;h=56&amp;i=62</t>
    <phoneticPr fontId="2" type="noConversion"/>
  </si>
  <si>
    <t>https://new.land.naver.com/complexes/1985?tab=detail&amp;rf=Y&amp;a=APT:JGC:ABYG&amp;b=A1:B1&amp;e=RETAIL&amp;ad=true&amp;h=67&amp;i=73</t>
    <phoneticPr fontId="2" type="noConversion"/>
  </si>
  <si>
    <t>비산한신더휴</t>
    <phoneticPr fontId="2" type="noConversion"/>
  </si>
  <si>
    <t>'23.05</t>
    <phoneticPr fontId="2" type="noConversion"/>
  </si>
  <si>
    <t>https://new.land.naver.com/complexes/141825?tab=detail&amp;rf=Y&amp;a=APT:JGC:ABYG&amp;b=A1:B1&amp;e=RETAIL&amp;ad=true&amp;h=64&amp;i=70</t>
    <phoneticPr fontId="2" type="noConversion"/>
  </si>
  <si>
    <t>https://new.land.naver.com/complexes/141825?tab=detail&amp;rf=Y&amp;a=APT:JGC:ABYG&amp;b=A1:B1&amp;e=RETAIL&amp;ad=true&amp;h=78&amp;i=84</t>
    <phoneticPr fontId="2" type="noConversion"/>
  </si>
  <si>
    <t>힐스테이트비산파크뷰</t>
    <phoneticPr fontId="2" type="noConversion"/>
  </si>
  <si>
    <t>'22.04</t>
    <phoneticPr fontId="2" type="noConversion"/>
  </si>
  <si>
    <t>https://new.land.naver.com/complexes/127903?tab=detail&amp;rf=Y&amp;a=APT:JGC:ABYG&amp;b=A1:B1&amp;e=RETAIL&amp;ad=true&amp;h=81&amp;i=87</t>
    <phoneticPr fontId="2" type="noConversion"/>
  </si>
  <si>
    <t>https://new.land.naver.com/complexes/127903?tab=detail&amp;rf=Y&amp;a=APT:JGC:ABYG&amp;b=A1:B1&amp;e=RETAIL&amp;ad=true&amp;h=104&amp;i=110</t>
    <phoneticPr fontId="2" type="noConversion"/>
  </si>
  <si>
    <t>비산롯데캐슬</t>
    <phoneticPr fontId="2" type="noConversion"/>
  </si>
  <si>
    <t>'03.09</t>
    <phoneticPr fontId="2" type="noConversion"/>
  </si>
  <si>
    <t>https://new.land.naver.com/complexes/3078?tab=detail&amp;rf=Y&amp;a=APT:JGC:ABYG&amp;b=A1:B1&amp;e=RETAIL&amp;ad=true&amp;h=70&amp;i=76</t>
    <phoneticPr fontId="2" type="noConversion"/>
  </si>
  <si>
    <t>https://new.land.naver.com/complexes/3078?tab=detail&amp;rf=Y&amp;a=APT:JGC:ABYG&amp;b=A1:B1&amp;e=RETAIL&amp;ad=true&amp;h=102&amp;i=108</t>
    <phoneticPr fontId="2" type="noConversion"/>
  </si>
  <si>
    <t>https://new.land.naver.com/complexes/3078?tab=detail&amp;rf=Y&amp;a=APT:JGC:ABYG&amp;b=A1:B1&amp;e=RETAIL&amp;ad=true&amp;h=105&amp;i=111</t>
    <phoneticPr fontId="2" type="noConversion"/>
  </si>
  <si>
    <t>https://new.land.naver.com/complexes/3078?tab=detail&amp;rf=Y&amp;a=APT:JGC:ABYG&amp;b=A1:B1&amp;e=RETAIL&amp;ad=true&amp;h=134&amp;i=140</t>
    <phoneticPr fontId="2" type="noConversion"/>
  </si>
  <si>
    <t>비산삼성래미안</t>
    <phoneticPr fontId="2" type="noConversion"/>
  </si>
  <si>
    <t>'03.12</t>
    <phoneticPr fontId="2" type="noConversion"/>
  </si>
  <si>
    <t>https://new.land.naver.com/complexes/3079?tab=detail&amp;rf=Y&amp;a=APT:JGC:ABYG&amp;b=A1:B1&amp;e=RETAIL&amp;ad=true&amp;h=76&amp;i=82</t>
    <phoneticPr fontId="2" type="noConversion"/>
  </si>
  <si>
    <t>https://new.land.naver.com/complexes/3079?tab=detail&amp;rf=Y&amp;a=APT:JGC:ABYG&amp;b=A1:B1&amp;e=RETAIL&amp;ad=true&amp;h=79&amp;i=85</t>
    <phoneticPr fontId="2" type="noConversion"/>
  </si>
  <si>
    <t>https://new.land.naver.com/complexes/3079?tab=detail&amp;rf=Y&amp;a=APT:JGC:ABYG&amp;b=A1:B1&amp;e=RETAIL&amp;ad=true&amp;h=78&amp;i=84</t>
    <phoneticPr fontId="2" type="noConversion"/>
  </si>
  <si>
    <t>https://new.land.naver.com/complexes/3079?tab=detail&amp;rf=Y&amp;a=APT:JGC:ABYG&amp;b=A1:B1&amp;e=RETAIL&amp;ad=true&amp;h=105&amp;i=111</t>
    <phoneticPr fontId="2" type="noConversion"/>
  </si>
  <si>
    <t>https://new.land.naver.com/complexes/3079?tab=detail&amp;rf=Y&amp;a=APT:JGC:ABYG&amp;b=A1:B1&amp;e=RETAIL&amp;ad=true&amp;h=135&amp;i=141</t>
    <phoneticPr fontId="2" type="noConversion"/>
  </si>
  <si>
    <t>https://new.land.naver.com/complexes/3079?tab=detail&amp;rf=Y&amp;a=APT:JGC:ABYG&amp;b=A1:B1&amp;e=RETAIL&amp;ad=true&amp;h=157&amp;i=163</t>
    <phoneticPr fontId="2" type="noConversion"/>
  </si>
  <si>
    <t>https://new.land.naver.com/complexes/3079?tab=detail&amp;rf=Y&amp;a=APT:JGC:ABYG&amp;b=A1:B1&amp;e=RETAIL&amp;ad=true&amp;h=191&amp;i=197</t>
    <phoneticPr fontId="2" type="noConversion"/>
  </si>
  <si>
    <t>https://new.land.naver.com/complexes/3079?tab=detail&amp;rf=Y&amp;a=APT:JGC:ABYG&amp;b=A1:B1&amp;e=RETAIL&amp;ad=true&amp;h=211&amp;i=217</t>
    <phoneticPr fontId="2" type="noConversion"/>
  </si>
  <si>
    <t>뉴타운4차</t>
    <phoneticPr fontId="2" type="noConversion"/>
  </si>
  <si>
    <t>'85.08</t>
    <phoneticPr fontId="2" type="noConversion"/>
  </si>
  <si>
    <t>https://new.land.naver.com/complexes/13924?tab=detail&amp;rf=Y&amp;a=APT:JGC:ABYG&amp;b=A1:B1&amp;e=RETAIL&amp;ad=true&amp;h=66&amp;i=72</t>
    <phoneticPr fontId="2" type="noConversion"/>
  </si>
  <si>
    <t>https://new.land.naver.com/complexes/13924?tab=detail&amp;rf=Y&amp;a=APT:JGC:ABYG&amp;b=A1:B1&amp;e=RETAIL&amp;ad=true&amp;h=80&amp;i=86</t>
    <phoneticPr fontId="2" type="noConversion"/>
  </si>
  <si>
    <t>https://new.land.naver.com/complexes/13924?tab=detail&amp;rf=Y&amp;a=APT:JGC:ABYG&amp;b=A1:B1&amp;e=RETAIL&amp;ad=true&amp;h=101&amp;i=107</t>
    <phoneticPr fontId="2" type="noConversion"/>
  </si>
  <si>
    <t>https://new.land.naver.com/complexes/13924?tab=detail&amp;rf=Y&amp;a=APT:JGC:ABYG&amp;b=A1:B1&amp;e=RETAIL&amp;ad=true&amp;h=143&amp;i=149</t>
    <phoneticPr fontId="2" type="noConversion"/>
  </si>
  <si>
    <t>비산e-편한세상</t>
    <phoneticPr fontId="2" type="noConversion"/>
  </si>
  <si>
    <t>'08.1</t>
    <phoneticPr fontId="2" type="noConversion"/>
  </si>
  <si>
    <t>https://new.land.naver.com/complexes/26320?tab=detail&amp;rf=Y&amp;a=APT:JGC:ABYG&amp;b=A1:B1&amp;e=RETAIL&amp;ad=true&amp;h=77&amp;i=83</t>
    <phoneticPr fontId="2" type="noConversion"/>
  </si>
  <si>
    <t>https://new.land.naver.com/complexes/26320?tab=detail&amp;rf=Y&amp;a=APT:JGC:ABYG&amp;b=A1:B1&amp;e=RETAIL&amp;ad=true&amp;h=103&amp;i=109</t>
    <phoneticPr fontId="2" type="noConversion"/>
  </si>
  <si>
    <t>https://new.land.naver.com/complexes/26320?tab=detail&amp;rf=Y&amp;a=APT:JGC:ABYG&amp;b=A1:B1&amp;e=RETAIL&amp;ad=true&amp;h=148&amp;i=154</t>
    <phoneticPr fontId="2" type="noConversion"/>
  </si>
  <si>
    <t>은하수,샛별5,6단지</t>
    <phoneticPr fontId="2" type="noConversion"/>
  </si>
  <si>
    <t>'93.11</t>
    <phoneticPr fontId="2" type="noConversion"/>
  </si>
  <si>
    <t>https://new.land.naver.com/complexes/1992?tab=detail&amp;rf=Y&amp;a=APT:JGC:ABYG&amp;b=A1:B1&amp;e=RETAIL&amp;ad=true&amp;h=36&amp;i=42</t>
    <phoneticPr fontId="2" type="noConversion"/>
  </si>
  <si>
    <t>https://new.land.naver.com/complexes/1992?tab=detail&amp;rf=Y&amp;a=APT:JGC:ABYG&amp;b=A1:B1&amp;e=RETAIL&amp;ad=true&amp;h=45&amp;i=51</t>
    <phoneticPr fontId="2" type="noConversion"/>
  </si>
  <si>
    <t>https://new.land.naver.com/complexes/1992?tab=detail&amp;rf=Y&amp;a=APT:JGC:ABYG&amp;b=A1:B1&amp;e=RETAIL&amp;ad=true&amp;h=56&amp;i=62</t>
    <phoneticPr fontId="2" type="noConversion"/>
  </si>
  <si>
    <t>https://new.land.naver.com/complexes/1992?tab=detail&amp;rf=Y&amp;a=APT:JGC:ABYG&amp;b=A1:B1&amp;e=RETAIL&amp;ad=true&amp;h=68&amp;i=74</t>
    <phoneticPr fontId="2" type="noConversion"/>
  </si>
  <si>
    <t>성원</t>
    <phoneticPr fontId="2" type="noConversion"/>
  </si>
  <si>
    <t>'95.12</t>
    <phoneticPr fontId="2" type="noConversion"/>
  </si>
  <si>
    <t>https://new.land.naver.com/complexes/9382?tab=detail&amp;rf=Y&amp;a=APT:JGC:ABYG&amp;b=A1:B1&amp;e=RETAIL&amp;ad=true&amp;h=78&amp;i=84</t>
    <phoneticPr fontId="2" type="noConversion"/>
  </si>
  <si>
    <t>https://new.land.naver.com/complexes/9382?tab=detail&amp;rf=Y&amp;a=APT:JGC:ABYG&amp;b=A1:B1&amp;e=RETAIL&amp;ad=true&amp;h=112&amp;i=118</t>
    <phoneticPr fontId="2" type="noConversion"/>
  </si>
  <si>
    <t>평촌엘프라우드</t>
    <phoneticPr fontId="2" type="noConversion"/>
  </si>
  <si>
    <t>'24.06</t>
    <phoneticPr fontId="2" type="noConversion"/>
  </si>
  <si>
    <t>https://new.land.naver.com/complexes/144023?tab=detail&amp;rf=Y&amp;a=APT:JGC:ABYG&amp;b=A1:B1&amp;e=RETAIL&amp;ad=true&amp;h=67&amp;i=73</t>
    <phoneticPr fontId="2" type="noConversion"/>
  </si>
  <si>
    <t>https://new.land.naver.com/complexes/144023?tab=detail&amp;rf=Y&amp;a=APT:JGC:ABYG&amp;b=A1:B1&amp;e=RETAIL&amp;ad=true&amp;h=78&amp;i=84</t>
    <phoneticPr fontId="2" type="noConversion"/>
  </si>
  <si>
    <t>https://new.land.naver.com/complexes/144023?tab=detail&amp;rf=Y&amp;a=APT:JGC:ABYG&amp;b=A1:B1&amp;e=RETAIL&amp;ad=true&amp;h=79&amp;i=85</t>
    <phoneticPr fontId="2" type="noConversion"/>
  </si>
  <si>
    <t>https://new.land.naver.com/complexes/144023?tab=detail&amp;rf=Y&amp;a=APT:JGC:ABYG&amp;b=A1:B1&amp;e=RETAIL&amp;ad=true&amp;h=80&amp;i=86</t>
    <phoneticPr fontId="2" type="noConversion"/>
  </si>
  <si>
    <t>https://new.land.naver.com/complexes/144023?tab=detail&amp;rf=Y&amp;a=APT:JGC:ABYG&amp;b=A1:B1&amp;e=RETAIL&amp;ad=true&amp;h=94&amp;i=100</t>
    <phoneticPr fontId="2" type="noConversion"/>
  </si>
  <si>
    <t>https://new.land.naver.com/complexes/144023?tab=detail&amp;rf=Y&amp;a=APT:JGC:ABYG&amp;b=A1:B1&amp;e=RETAIL&amp;ad=true&amp;h=107&amp;i=113</t>
    <phoneticPr fontId="2" type="noConversion"/>
  </si>
  <si>
    <t>https://new.land.naver.com/complexes/144023?tab=detail&amp;rf=Y&amp;a=APT:JGC:ABYG&amp;b=A1:B1&amp;e=RETAIL&amp;ad=true&amp;h=146&amp;i=152</t>
    <phoneticPr fontId="2" type="noConversion"/>
  </si>
  <si>
    <t>대광로제비앙(주상복합)</t>
    <phoneticPr fontId="2" type="noConversion"/>
  </si>
  <si>
    <t>'17.01</t>
    <phoneticPr fontId="2" type="noConversion"/>
  </si>
  <si>
    <t>https://new.land.naver.com/complexes/110631?tab=detail&amp;rf=Y&amp;a=APT:JGC:ABYG&amp;b=A1:B1&amp;e=RETAIL&amp;ad=true&amp;h=97&amp;i=103</t>
    <phoneticPr fontId="2" type="noConversion"/>
  </si>
  <si>
    <t>https://new.land.naver.com/complexes/110631?tab=detail&amp;rf=Y&amp;a=APT:JGC:ABYG&amp;b=A1:B1&amp;e=RETAIL&amp;ad=true&amp;h=111&amp;i=117</t>
    <phoneticPr fontId="2" type="noConversion"/>
  </si>
  <si>
    <t>https://new.land.naver.com/complexes/110631?tab=detail&amp;rf=Y&amp;a=APT:JGC:ABYG&amp;b=A1:B1&amp;e=RETAIL&amp;ad=true&amp;h=112&amp;i=118</t>
    <phoneticPr fontId="2" type="noConversion"/>
  </si>
  <si>
    <t>은하수(벽산)</t>
    <phoneticPr fontId="2" type="noConversion"/>
  </si>
  <si>
    <t>'92.05</t>
    <phoneticPr fontId="2" type="noConversion"/>
  </si>
  <si>
    <t>https://new.land.naver.com/complexes/1467?tab=detail&amp;rf=Y&amp;a=APT:JGC:ABYG&amp;b=A1:B1&amp;e=RETAIL&amp;ad=true&amp;h=67&amp;i=73</t>
    <phoneticPr fontId="2" type="noConversion"/>
  </si>
  <si>
    <t>https://new.land.naver.com/complexes/1467?tab=detail&amp;rf=Y&amp;a=APT:JGC:ABYG&amp;b=A1:B1&amp;e=RETAIL&amp;ad=true&amp;h=71&amp;i=77</t>
    <phoneticPr fontId="2" type="noConversion"/>
  </si>
  <si>
    <t>https://new.land.naver.com/complexes/1467?tab=detail&amp;rf=Y&amp;a=APT:JGC:ABYG&amp;b=A1:B1&amp;e=RETAIL&amp;ad=true&amp;h=92&amp;i=98</t>
    <phoneticPr fontId="2" type="noConversion"/>
  </si>
  <si>
    <t>https://new.land.naver.com/complexes/1467?tab=detail&amp;rf=Y&amp;a=APT:JGC:ABYG&amp;b=A1:B1&amp;e=RETAIL&amp;ad=true&amp;h=103&amp;i=109</t>
    <phoneticPr fontId="2" type="noConversion"/>
  </si>
  <si>
    <t>안양임곡휴먼시아</t>
    <phoneticPr fontId="2" type="noConversion"/>
  </si>
  <si>
    <t>'07.07</t>
    <phoneticPr fontId="2" type="noConversion"/>
  </si>
  <si>
    <t>https://new.land.naver.com/complexes/22957?tab=detail&amp;rf=Y&amp;a=APT:JGC:ABYG&amp;b=A1:B1&amp;e=RETAIL&amp;ad=true&amp;h=61&amp;i=67</t>
    <phoneticPr fontId="2" type="noConversion"/>
  </si>
  <si>
    <t>https://new.land.naver.com/complexes/22957?tab=detail&amp;rf=Y&amp;a=APT:JGC:ABYG&amp;b=A1:B1&amp;e=RETAIL&amp;ad=true&amp;h=79&amp;i=85</t>
    <phoneticPr fontId="2" type="noConversion"/>
  </si>
  <si>
    <t>https://new.land.naver.com/complexes/22957?tab=detail&amp;rf=Y&amp;a=APT:JGC:ABYG&amp;b=A1:B1&amp;e=RETAIL&amp;ad=true&amp;h=78&amp;i=84</t>
    <phoneticPr fontId="2" type="noConversion"/>
  </si>
  <si>
    <t>https://new.land.naver.com/complexes/22957?tab=detail&amp;rf=Y&amp;a=APT:JGC:ABYG&amp;b=A1:B1&amp;e=RETAIL&amp;ad=true&amp;h=113&amp;i=119</t>
    <phoneticPr fontId="2" type="noConversion"/>
  </si>
  <si>
    <t>https://new.land.naver.com/complexes/22957?tab=detail&amp;rf=Y&amp;a=APT:JGC:ABYG&amp;b=A1:B1&amp;e=RETAIL&amp;ad=true&amp;h=112&amp;i=118</t>
    <phoneticPr fontId="2" type="noConversion"/>
  </si>
  <si>
    <t>https://new.land.naver.com/complexes/22957?tab=detail&amp;rf=Y&amp;a=APT:JGC:ABYG&amp;b=A1:B1&amp;e=RETAIL&amp;ad=true&amp;h=145&amp;i=151</t>
    <phoneticPr fontId="2" type="noConversion"/>
  </si>
  <si>
    <t>비산힐스테이트</t>
    <phoneticPr fontId="2" type="noConversion"/>
  </si>
  <si>
    <t>'05.11</t>
    <phoneticPr fontId="2" type="noConversion"/>
  </si>
  <si>
    <t>https://new.land.naver.com/complexes/13571?tab=detail&amp;rf=Y&amp;a=APT:JGC:ABYG&amp;b=A1:B1&amp;e=RETAIL&amp;ad=true&amp;h=82&amp;i=88</t>
    <phoneticPr fontId="2" type="noConversion"/>
  </si>
  <si>
    <t>https://new.land.naver.com/complexes/13571?tab=detail&amp;rf=Y&amp;a=APT:JGC:ABYG&amp;b=A1:B1&amp;e=RETAIL&amp;ad=true&amp;h=101&amp;i=107</t>
    <phoneticPr fontId="2" type="noConversion"/>
  </si>
  <si>
    <t>https://new.land.naver.com/complexes/13571?tab=detail&amp;rf=Y&amp;a=APT:JGC:ABYG&amp;b=A1:B1&amp;e=RETAIL&amp;ad=true&amp;h=140&amp;i=146</t>
    <phoneticPr fontId="2" type="noConversion"/>
  </si>
  <si>
    <t>평촌자이아이파크</t>
    <phoneticPr fontId="2" type="noConversion"/>
  </si>
  <si>
    <t>'22.01</t>
    <phoneticPr fontId="2" type="noConversion"/>
  </si>
  <si>
    <t>https://new.land.naver.com/complexes/124780?tab=detail&amp;rf=Y&amp;a=APT:JGC:ABYG&amp;b=A1:B1&amp;e=RETAIL&amp;ad=true&amp;h=56&amp;i=62</t>
    <phoneticPr fontId="2" type="noConversion"/>
  </si>
  <si>
    <t>https://new.land.naver.com/complexes/124780?tab=detail&amp;rf=Y&amp;a=APT:JGC:ABYG&amp;b=A1:B1&amp;e=RETAIL&amp;ad=true&amp;h=66&amp;i=72</t>
    <phoneticPr fontId="2" type="noConversion"/>
  </si>
  <si>
    <t>https://new.land.naver.com/complexes/124780?tab=detail&amp;rf=Y&amp;a=APT:JGC:ABYG&amp;b=A1:B1&amp;e=RETAIL&amp;ad=true&amp;h=67&amp;i=73</t>
    <phoneticPr fontId="2" type="noConversion"/>
  </si>
  <si>
    <t>https://new.land.naver.com/complexes/124780?tab=detail&amp;rf=Y&amp;a=APT:JGC:ABYG&amp;b=A1:B1&amp;e=RETAIL&amp;ad=true&amp;h=81&amp;i=87</t>
    <phoneticPr fontId="2" type="noConversion"/>
  </si>
  <si>
    <t>https://new.land.naver.com/complexes/124780?tab=detail&amp;rf=Y&amp;a=APT:JGC:ABYG&amp;b=A1:B1&amp;e=RETAIL&amp;ad=true&amp;h=97&amp;i=103</t>
    <phoneticPr fontId="2" type="noConversion"/>
  </si>
  <si>
    <t>https://new.land.naver.com/complexes/124780?tab=detail&amp;rf=Y&amp;a=APT:JGC:ABYG&amp;b=A1:B1&amp;e=RETAIL&amp;ad=true&amp;h=110&amp;i=116</t>
    <phoneticPr fontId="2" type="noConversion"/>
  </si>
  <si>
    <t>https://new.land.naver.com/complexes/124780?tab=detail&amp;rf=Y&amp;a=APT:JGC:ABYG&amp;b=A1:B1&amp;e=RETAIL&amp;ad=true&amp;h=128&amp;i=134</t>
    <phoneticPr fontId="2" type="noConversion"/>
  </si>
  <si>
    <t>뉴타운5차</t>
    <phoneticPr fontId="2" type="noConversion"/>
  </si>
  <si>
    <t>'85.11</t>
    <phoneticPr fontId="2" type="noConversion"/>
  </si>
  <si>
    <t>https://new.land.naver.com/complexes/1995?tab=detail&amp;rf=Y&amp;a=APT:JGC:ABYG&amp;b=A1:B1&amp;e=RETAIL&amp;ad=true&amp;h=100&amp;i=106</t>
    <phoneticPr fontId="2" type="noConversion"/>
  </si>
  <si>
    <t>https://new.land.naver.com/complexes/1995?tab=detail&amp;rf=Y&amp;a=APT:JGC:ABYG&amp;b=A1:B1&amp;e=RETAIL&amp;ad=true&amp;h=99&amp;i=105</t>
    <phoneticPr fontId="2" type="noConversion"/>
  </si>
  <si>
    <t>https://new.land.naver.com/complexes/1995?tab=detail&amp;rf=Y&amp;a=APT:JGC:ABYG&amp;b=A1:B1&amp;e=RETAIL&amp;ad=true&amp;h=146&amp;i=152</t>
    <phoneticPr fontId="2" type="noConversion"/>
  </si>
  <si>
    <t>https://new.land.naver.com/complexes/1995?tab=detail&amp;rf=Y&amp;a=APT:JGC:ABYG&amp;b=A1:B1&amp;e=RETAIL&amp;ad=true&amp;h=185&amp;i=191</t>
    <phoneticPr fontId="2" type="noConversion"/>
  </si>
  <si>
    <t>뉴타운1,2,3차</t>
    <phoneticPr fontId="2" type="noConversion"/>
  </si>
  <si>
    <t>'81.09</t>
    <phoneticPr fontId="2" type="noConversion"/>
  </si>
  <si>
    <t>https://new.land.naver.com/complexes/13922?tab=detail&amp;rf=Y&amp;a=APT:JGC:ABYG&amp;b=A1:B1&amp;e=RETAIL&amp;ad=true&amp;h=58&amp;i=64</t>
    <phoneticPr fontId="2" type="noConversion"/>
  </si>
  <si>
    <t>https://new.land.naver.com/complexes/13922?tab=detail&amp;rf=Y&amp;a=APT:JGC:ABYG&amp;b=A1:B1&amp;e=RETAIL&amp;ad=true&amp;h=59&amp;i=65</t>
    <phoneticPr fontId="2" type="noConversion"/>
  </si>
  <si>
    <t>https://new.land.naver.com/complexes/13922?tab=detail&amp;rf=Y&amp;a=APT:JGC:ABYG&amp;b=A1:B1&amp;e=RETAIL&amp;ad=true&amp;h=60&amp;i=66</t>
    <phoneticPr fontId="2" type="noConversion"/>
  </si>
  <si>
    <t>https://new.land.naver.com/complexes/13922?tab=detail&amp;rf=Y&amp;a=APT:JGC:ABYG&amp;b=A1:B1&amp;e=RETAIL&amp;ad=true&amp;h=64&amp;i=70</t>
    <phoneticPr fontId="2" type="noConversion"/>
  </si>
  <si>
    <t>https://new.land.naver.com/complexes/13922?tab=detail&amp;rf=Y&amp;a=APT:JGC:ABYG&amp;b=A1:B1&amp;e=RETAIL&amp;ad=true&amp;h=63&amp;i=69</t>
    <phoneticPr fontId="2" type="noConversion"/>
  </si>
  <si>
    <t>https://new.land.naver.com/complexes/13922?tab=detail&amp;rf=Y&amp;a=APT:JGC:ABYG&amp;b=A1:B1&amp;e=RETAIL&amp;ad=true&amp;h=71&amp;i=77</t>
    <phoneticPr fontId="2" type="noConversion"/>
  </si>
  <si>
    <t>https://new.land.naver.com/complexes/13922?tab=detail&amp;rf=Y&amp;a=APT:JGC:ABYG&amp;b=A1:B1&amp;e=RETAIL&amp;ad=true&amp;h=72&amp;i=78</t>
    <phoneticPr fontId="2" type="noConversion"/>
  </si>
  <si>
    <t>https://new.land.naver.com/complexes/13922?tab=detail&amp;rf=Y&amp;a=APT:JGC:ABYG&amp;b=A1:B1&amp;e=RETAIL&amp;ad=true&amp;h=73&amp;i=79</t>
    <phoneticPr fontId="2" type="noConversion"/>
  </si>
  <si>
    <t>https://new.land.naver.com/complexes/13922?tab=detail&amp;rf=Y&amp;a=APT:JGC:ABYG&amp;b=A1:B1&amp;e=RETAIL&amp;ad=true&amp;h=79&amp;i=85</t>
    <phoneticPr fontId="2" type="noConversion"/>
  </si>
  <si>
    <t>https://new.land.naver.com/complexes/13922?tab=detail&amp;rf=Y&amp;a=APT:JGC:ABYG&amp;b=A1:B1&amp;e=RETAIL&amp;ad=true&amp;h=86&amp;i=92</t>
    <phoneticPr fontId="2" type="noConversion"/>
  </si>
  <si>
    <t>https://new.land.naver.com/complexes/13922?tab=detail&amp;rf=Y&amp;a=APT:JGC:ABYG&amp;b=A1:B1&amp;e=RETAIL&amp;ad=true&amp;h=90&amp;i=96</t>
    <phoneticPr fontId="2" type="noConversion"/>
  </si>
  <si>
    <t>https://new.land.naver.com/complexes/13922?tab=detail&amp;rf=Y&amp;a=APT:JGC:ABYG&amp;b=A1:B1&amp;e=RETAIL&amp;ad=true&amp;h=89&amp;i=95</t>
    <phoneticPr fontId="2" type="noConversion"/>
  </si>
  <si>
    <t>https://new.land.naver.com/complexes/13922?tab=detail&amp;rf=Y&amp;a=APT:JGC:ABYG&amp;b=A1:B1&amp;e=RETAIL&amp;ad=true&amp;h=91&amp;i=97</t>
    <phoneticPr fontId="2" type="noConversion"/>
  </si>
  <si>
    <t>https://new.land.naver.com/complexes/13922?tab=detail&amp;rf=Y&amp;a=APT:JGC:ABYG&amp;b=A1:B1&amp;e=RETAIL&amp;ad=true&amp;h=92&amp;i=98</t>
    <phoneticPr fontId="2" type="noConversion"/>
  </si>
  <si>
    <t>https://new.land.naver.com/complexes/13922?tab=detail&amp;rf=Y&amp;a=APT:JGC:ABYG&amp;b=A1:B1&amp;e=RETAIL&amp;ad=true&amp;h=93&amp;i=99</t>
    <phoneticPr fontId="2" type="noConversion"/>
  </si>
  <si>
    <t>https://new.land.naver.com/complexes/13922?tab=detail&amp;rf=Y&amp;a=APT:JGC:ABYG&amp;b=A1:B1&amp;e=RETAIL&amp;ad=true&amp;h=102&amp;i=108</t>
    <phoneticPr fontId="2" type="noConversion"/>
  </si>
  <si>
    <t>https://new.land.naver.com/complexes/13922?tab=detail&amp;rf=Y&amp;a=APT:JGC:ABYG&amp;b=A1:B1&amp;e=RETAIL&amp;ad=true&amp;h=136&amp;i=142</t>
    <phoneticPr fontId="2" type="noConversion"/>
  </si>
  <si>
    <t>평촌래미안푸르지오</t>
    <phoneticPr fontId="2" type="noConversion"/>
  </si>
  <si>
    <t>'21.11</t>
    <phoneticPr fontId="2" type="noConversion"/>
  </si>
  <si>
    <t>https://new.land.naver.com/complexes/126060?tab=detail&amp;rf=Y&amp;a=APT:JGC:ABYG&amp;b=A1:B1&amp;e=RETAIL&amp;ad=true&amp;h=83&amp;i=89</t>
    <phoneticPr fontId="2" type="noConversion"/>
  </si>
  <si>
    <t>https://new.land.naver.com/complexes/126060?tab=detail&amp;rf=Y&amp;a=APT:JGC:ABYG&amp;b=A1:B1&amp;e=RETAIL&amp;ad=true&amp;h=84&amp;i=90</t>
    <phoneticPr fontId="2" type="noConversion"/>
  </si>
  <si>
    <t>https://new.land.naver.com/complexes/126060?tab=detail&amp;rf=Y&amp;a=APT:JGC:ABYG&amp;b=A1:B1&amp;e=RETAIL&amp;ad=true&amp;h=91&amp;i=97</t>
    <phoneticPr fontId="2" type="noConversion"/>
  </si>
  <si>
    <t>https://new.land.naver.com/complexes/126060?tab=detail&amp;rf=Y&amp;a=APT:JGC:ABYG&amp;b=A1:B1&amp;e=RETAIL&amp;ad=true&amp;h=112&amp;i=118</t>
    <phoneticPr fontId="2" type="noConversion"/>
  </si>
  <si>
    <t>https://new.land.naver.com/complexes/126060?tab=detail&amp;rf=Y&amp;a=APT:JGC:ABYG&amp;b=A1:B1&amp;e=RETAIL&amp;ad=true&amp;h=113&amp;i=119</t>
    <phoneticPr fontId="2" type="noConversion"/>
  </si>
  <si>
    <t>https://new.land.naver.com/complexes/126060?tab=detail&amp;rf=Y&amp;a=APT:JGC:ABYG&amp;b=A1:B1&amp;e=RETAIL&amp;ad=true&amp;h=126&amp;i=132</t>
    <phoneticPr fontId="2" type="noConversion"/>
  </si>
  <si>
    <t>https://new.land.naver.com/complexes/126060?tab=detail&amp;rf=Y&amp;a=APT:JGC:ABYG&amp;b=A1:B1&amp;e=RETAIL&amp;ad=true&amp;h=135&amp;i=141</t>
    <phoneticPr fontId="2" type="noConversion"/>
  </si>
  <si>
    <t>비산한화꿈에그린</t>
    <phoneticPr fontId="2" type="noConversion"/>
  </si>
  <si>
    <t>'09.11</t>
    <phoneticPr fontId="2" type="noConversion"/>
  </si>
  <si>
    <t>https://new.land.naver.com/complexes/25725?tab=detail&amp;rf=Y&amp;a=APT:JGC:ABYG&amp;b=A1:B1&amp;e=RETAIL&amp;ad=true&amp;h=80&amp;i=86</t>
    <phoneticPr fontId="2" type="noConversion"/>
  </si>
  <si>
    <t>https://new.land.naver.com/complexes/25725?tab=detail&amp;rf=Y&amp;a=APT:JGC:ABYG&amp;b=A1:B1&amp;e=RETAIL&amp;ad=true&amp;h=106&amp;i=112</t>
    <phoneticPr fontId="2" type="noConversion"/>
  </si>
  <si>
    <t>https://new.land.naver.com/complexes/25725?tab=detail&amp;rf=Y&amp;a=APT:JGC:ABYG&amp;b=A1:B1&amp;e=RETAIL&amp;ad=true&amp;h=139&amp;i=145</t>
    <phoneticPr fontId="2" type="noConversion"/>
  </si>
  <si>
    <t>https://new.land.naver.com/complexes/25725?tab=detail&amp;rf=Y&amp;a=APT:JGC:ABYG&amp;b=A1:B1&amp;e=RETAIL&amp;ad=true&amp;h=160&amp;i=166</t>
    <phoneticPr fontId="2" type="noConversion"/>
  </si>
  <si>
    <t>한양수자인평촌리버뷰</t>
    <phoneticPr fontId="2" type="noConversion"/>
  </si>
  <si>
    <t>https://new.land.naver.com/complexes/126337?tab=detail&amp;rf=Y&amp;a=APT:JGC:ABYG&amp;b=A1:B1&amp;e=RETAIL&amp;ad=true&amp;h=61&amp;i=67</t>
    <phoneticPr fontId="2" type="noConversion"/>
  </si>
  <si>
    <t>https://new.land.naver.com/complexes/126337?tab=detail&amp;rf=Y&amp;a=APT:JGC:ABYG&amp;b=A1:B1&amp;e=RETAIL&amp;ad=true&amp;h=70&amp;i=76</t>
    <phoneticPr fontId="2" type="noConversion"/>
  </si>
  <si>
    <t>https://new.land.naver.com/complexes/126337?tab=detail&amp;rf=Y&amp;a=APT:JGC:ABYG&amp;b=A1:B1&amp;e=RETAIL&amp;ad=true&amp;h=80&amp;i=86</t>
    <phoneticPr fontId="2" type="noConversion"/>
  </si>
  <si>
    <t>https://new.land.naver.com/complexes/126337?tab=detail&amp;rf=Y&amp;a=APT:JGC:ABYG&amp;b=A1:B1&amp;e=RETAIL&amp;ad=true&amp;h=81&amp;i=87</t>
    <phoneticPr fontId="2" type="noConversion"/>
  </si>
  <si>
    <t>관악(동성,현대,청구)</t>
    <phoneticPr fontId="2" type="noConversion"/>
  </si>
  <si>
    <t>https://new.land.naver.com/complexes/3076?tab=detail&amp;rf=Y&amp;a=APT:JGC:ABYG&amp;b=A1:B1&amp;e=RETAIL&amp;ad=true&amp;h=74&amp;i=80</t>
    <phoneticPr fontId="2" type="noConversion"/>
  </si>
  <si>
    <t>https://new.land.naver.com/complexes/3076?tab=detail&amp;rf=Y&amp;a=APT:JGC:ABYG&amp;b=A1:B1&amp;e=RETAIL&amp;ad=true&amp;h=85&amp;i=91</t>
    <phoneticPr fontId="2" type="noConversion"/>
  </si>
  <si>
    <t>https://new.land.naver.com/complexes/3076?tab=detail&amp;rf=Y&amp;a=APT:JGC:ABYG&amp;b=A1:B1&amp;e=RETAIL&amp;ad=true&amp;h=103&amp;i=109</t>
    <phoneticPr fontId="2" type="noConversion"/>
  </si>
  <si>
    <t>https://new.land.naver.com/complexes/3076?tab=detail&amp;rf=Y&amp;a=APT:JGC:ABYG&amp;b=A1:B1&amp;e=RETAIL&amp;ad=true&amp;h=102&amp;i=108</t>
    <phoneticPr fontId="2" type="noConversion"/>
  </si>
  <si>
    <t>더포레스트힐</t>
    <phoneticPr fontId="2" type="noConversion"/>
  </si>
  <si>
    <t>'03.03</t>
    <phoneticPr fontId="2" type="noConversion"/>
  </si>
  <si>
    <t>https://new.land.naver.com/complexes/3080?tab=detail&amp;rf=Y&amp;a=APT:JGC:ABYG&amp;b=A1:B1&amp;e=RETAIL&amp;ad=true&amp;h=57&amp;i=63</t>
    <phoneticPr fontId="2" type="noConversion"/>
  </si>
  <si>
    <t>https://new.land.naver.com/complexes/3080?tab=detail&amp;rf=Y&amp;a=APT:JGC:ABYG&amp;b=A1:B1&amp;e=RETAIL&amp;ad=true&amp;h=72&amp;i=78</t>
    <phoneticPr fontId="2" type="noConversion"/>
  </si>
  <si>
    <t>https://new.land.naver.com/complexes/3080?tab=detail&amp;rf=Y&amp;a=APT:JGC:ABYG&amp;b=A1:B1&amp;e=RETAIL&amp;ad=true&amp;h=75&amp;i=81</t>
    <phoneticPr fontId="2" type="noConversion"/>
  </si>
  <si>
    <t>https://new.land.naver.com/complexes/3080?tab=detail&amp;rf=Y&amp;a=APT:JGC:ABYG&amp;b=A1:B1&amp;e=RETAIL&amp;ad=true&amp;h=108&amp;i=114</t>
    <phoneticPr fontId="2" type="noConversion"/>
  </si>
  <si>
    <t>https://new.land.naver.com/complexes/3080?tab=detail&amp;rf=Y&amp;a=APT:JGC:ABYG&amp;b=A1:B1&amp;e=RETAIL&amp;ad=true&amp;h=147&amp;i=153</t>
    <phoneticPr fontId="2" type="noConversion"/>
  </si>
  <si>
    <t>관악(부영)</t>
    <phoneticPr fontId="2" type="noConversion"/>
  </si>
  <si>
    <t>'93.1</t>
    <phoneticPr fontId="2" type="noConversion"/>
  </si>
  <si>
    <t>https://new.land.naver.com/complexes/1993?tab=detail&amp;rf=Y&amp;a=APT:JGC:ABYG&amp;b=A1:B1&amp;e=RETAIL&amp;ad=true&amp;h=82&amp;i=88</t>
    <phoneticPr fontId="2" type="noConversion"/>
  </si>
  <si>
    <t>https://new.land.naver.com/complexes/1993?tab=detail&amp;rf=Y&amp;a=APT:JGC:ABYG&amp;b=A1:B1&amp;e=RETAIL&amp;ad=true&amp;h=101&amp;i=107</t>
    <phoneticPr fontId="2" type="noConversion"/>
  </si>
  <si>
    <t>샛별한양1단지</t>
    <phoneticPr fontId="2" type="noConversion"/>
  </si>
  <si>
    <t>https://new.land.naver.com/complexes/22752?tab=detail&amp;rf=Y&amp;a=APT:JGC:ABYG&amp;b=A1:B1&amp;e=RETAIL&amp;ad=true&amp;h=44&amp;i=50</t>
    <phoneticPr fontId="2" type="noConversion"/>
  </si>
  <si>
    <t>https://new.land.naver.com/complexes/22752?tab=detail&amp;rf=Y&amp;a=APT:JGC:ABYG&amp;b=A1:B1&amp;e=RETAIL&amp;ad=true&amp;h=53&amp;i=59</t>
    <phoneticPr fontId="2" type="noConversion"/>
  </si>
  <si>
    <t>https://new.land.naver.com/complexes/22752?tab=detail&amp;rf=Y&amp;a=APT:JGC:ABYG&amp;b=A1:B1&amp;e=RETAIL&amp;ad=true&amp;h=54&amp;i=60</t>
    <phoneticPr fontId="2" type="noConversion"/>
  </si>
  <si>
    <t>은하수(신성)</t>
    <phoneticPr fontId="2" type="noConversion"/>
  </si>
  <si>
    <t>https://new.land.naver.com/complexes/1468?tab=detail&amp;rf=Y&amp;a=APT:JGC:ABYG&amp;b=A1:B1&amp;e=RETAIL&amp;ad=true&amp;h=71&amp;i=77</t>
    <phoneticPr fontId="2" type="noConversion"/>
  </si>
  <si>
    <t>https://new.land.naver.com/complexes/1468?tab=detail&amp;rf=Y&amp;a=APT:JGC:ABYG&amp;b=A1:B1&amp;e=RETAIL&amp;ad=true&amp;h=102&amp;i=108</t>
    <phoneticPr fontId="2" type="noConversion"/>
  </si>
  <si>
    <t>샛별한양2,3단지</t>
    <phoneticPr fontId="2" type="noConversion"/>
  </si>
  <si>
    <t>'93.04</t>
    <phoneticPr fontId="2" type="noConversion"/>
  </si>
  <si>
    <t>https://new.land.naver.com/complexes/1454?tab=detail&amp;rf=Y&amp;a=APT:JGC:ABYG&amp;b=A1:B1&amp;e=RETAIL&amp;ad=true&amp;h=51&amp;i=57</t>
    <phoneticPr fontId="2" type="noConversion"/>
  </si>
  <si>
    <t>https://new.land.naver.com/complexes/1454?tab=detail&amp;rf=Y&amp;a=APT:JGC:ABYG&amp;b=A1:B1&amp;e=RETAIL&amp;ad=true&amp;h=76&amp;i=82</t>
    <phoneticPr fontId="2" type="noConversion"/>
  </si>
  <si>
    <t>https://new.land.naver.com/complexes/1454?tab=detail&amp;rf=Y&amp;a=APT:JGC:ABYG&amp;b=A1:B1&amp;e=RETAIL&amp;ad=true&amp;h=100&amp;i=106</t>
    <phoneticPr fontId="2" type="noConversion"/>
  </si>
  <si>
    <t>미륭</t>
    <phoneticPr fontId="2" type="noConversion"/>
  </si>
  <si>
    <t>'79.09</t>
    <phoneticPr fontId="2" type="noConversion"/>
  </si>
  <si>
    <t>https://new.land.naver.com/complexes/1989?tab=detail&amp;rf=Y&amp;a=APT:JGC:ABYG&amp;b=A1:B1&amp;e=RETAIL&amp;ad=true&amp;h=86&amp;i=92</t>
    <phoneticPr fontId="2" type="noConversion"/>
  </si>
  <si>
    <t>https://new.land.naver.com/complexes/1989?tab=detail&amp;rf=Y&amp;a=APT:JGC:ABYG&amp;b=A1:B1&amp;e=RETAIL&amp;ad=true&amp;h=88&amp;i=94</t>
    <phoneticPr fontId="2" type="noConversion"/>
  </si>
  <si>
    <t>https://new.land.naver.com/complexes/1989?tab=detail&amp;rf=Y&amp;a=APT:JGC:ABYG&amp;b=A1:B1&amp;e=RETAIL&amp;ad=true&amp;h=89&amp;i=95</t>
    <phoneticPr fontId="2" type="noConversion"/>
  </si>
  <si>
    <t>https://new.land.naver.com/complexes/1989?tab=detail&amp;rf=Y&amp;a=APT:JGC:ABYG&amp;b=A1:B1&amp;e=RETAIL&amp;ad=true&amp;h=92&amp;i=98</t>
    <phoneticPr fontId="2" type="noConversion"/>
  </si>
  <si>
    <t>https://new.land.naver.com/complexes/1989?tab=detail&amp;rf=Y&amp;a=APT:JGC:ABYG&amp;b=A1:B1&amp;e=RETAIL&amp;ad=true&amp;h=91&amp;i=97</t>
    <phoneticPr fontId="2" type="noConversion"/>
  </si>
  <si>
    <t>https://new.land.naver.com/complexes/1989?tab=detail&amp;rf=Y&amp;a=APT:JGC:ABYG&amp;b=A1:B1&amp;e=RETAIL&amp;ad=true&amp;h=109&amp;i=115</t>
    <phoneticPr fontId="2" type="noConversion"/>
  </si>
  <si>
    <t>https://new.land.naver.com/complexes/1989?tab=detail&amp;rf=Y&amp;a=APT:JGC:ABYG&amp;b=A1:B1&amp;e=RETAIL&amp;ad=true&amp;h=108&amp;i=114</t>
    <phoneticPr fontId="2" type="noConversion"/>
  </si>
  <si>
    <t>https://new.land.naver.com/complexes/1989?tab=detail&amp;rf=Y&amp;a=APT:JGC:ABYG&amp;b=A1:B1&amp;e=RETAIL&amp;ad=true&amp;h=110&amp;i=116</t>
    <phoneticPr fontId="2" type="noConversion"/>
  </si>
  <si>
    <t>https://new.land.naver.com/complexes/1989?tab=detail&amp;rf=Y&amp;a=APT:JGC:ABYG&amp;b=A1:B1&amp;e=RETAIL&amp;ad=true&amp;h=113&amp;i=119</t>
    <phoneticPr fontId="2" type="noConversion"/>
  </si>
  <si>
    <t>평촌동</t>
    <phoneticPr fontId="2" type="noConversion"/>
  </si>
  <si>
    <t>푸른마을인덕원대우</t>
    <phoneticPr fontId="2" type="noConversion"/>
  </si>
  <si>
    <t>'01.04</t>
    <phoneticPr fontId="2" type="noConversion"/>
  </si>
  <si>
    <t>https://new.land.naver.com/complexes/8205?tab=detail&amp;rf=Y&amp;a=APT:JGC:ABYG&amp;b=A1:B1&amp;e=RETAIL&amp;ad=true&amp;h=78&amp;i=84</t>
  </si>
  <si>
    <t>https://new.land.naver.com/complexes/8205?tab=detail&amp;rf=Y&amp;a=APT:JGC:ABYG&amp;b=A1:B1&amp;e=RETAIL&amp;ad=true&amp;h=78&amp;i=84</t>
    <phoneticPr fontId="2" type="noConversion"/>
  </si>
  <si>
    <t>https://new.land.naver.com/complexes/8205?tab=detail&amp;rf=Y&amp;a=APT:JGC:ABYG&amp;b=A1:B1&amp;e=RETAIL&amp;ad=true&amp;h=105&amp;i=111</t>
    <phoneticPr fontId="2" type="noConversion"/>
  </si>
  <si>
    <t>향촌현대5차</t>
    <phoneticPr fontId="2" type="noConversion"/>
  </si>
  <si>
    <t>https://new.land.naver.com/complexes/1482?tab=detail&amp;rf=Y&amp;a=APT:JGC:ABYG&amp;b=A1:B1&amp;e=RETAIL&amp;ad=true&amp;h=73&amp;i=79</t>
    <phoneticPr fontId="2" type="noConversion"/>
  </si>
  <si>
    <t>https://new.land.naver.com/complexes/1482?tab=detail&amp;rf=Y&amp;a=APT:JGC:ABYG&amp;b=A1:B1&amp;e=RETAIL&amp;ad=true&amp;h=103&amp;i=109</t>
    <phoneticPr fontId="2" type="noConversion"/>
  </si>
  <si>
    <t>평촌e-편한세상</t>
    <phoneticPr fontId="2" type="noConversion"/>
  </si>
  <si>
    <t>'10.06</t>
    <phoneticPr fontId="2" type="noConversion"/>
  </si>
  <si>
    <t>https://new.land.naver.com/complexes/26459?tab=detail&amp;rf=Y&amp;a=APT:JGC:ABYG&amp;b=A1:B1&amp;e=RETAIL&amp;ad=true&amp;h=155&amp;i=161</t>
    <phoneticPr fontId="2" type="noConversion"/>
  </si>
  <si>
    <t>https://new.land.naver.com/complexes/26459?tab=detail&amp;rf=Y&amp;a=APT:JGC:ABYG&amp;b=A1:B1&amp;e=RETAIL&amp;ad=true&amp;h=183&amp;i=189</t>
    <phoneticPr fontId="2" type="noConversion"/>
  </si>
  <si>
    <t>187A</t>
    <phoneticPr fontId="2" type="noConversion"/>
  </si>
  <si>
    <t>https://new.land.naver.com/complexes/26459?tab=detail&amp;rf=Y&amp;a=APT:JGC:ABYG&amp;b=A1:B1&amp;e=RETAIL&amp;ad=true&amp;h=184&amp;i=190</t>
    <phoneticPr fontId="2" type="noConversion"/>
  </si>
  <si>
    <t>187B</t>
    <phoneticPr fontId="2" type="noConversion"/>
  </si>
  <si>
    <t>초원7단지부영</t>
    <phoneticPr fontId="2" type="noConversion"/>
  </si>
  <si>
    <t>'92.1</t>
    <phoneticPr fontId="2" type="noConversion"/>
  </si>
  <si>
    <t>https://new.land.naver.com/complexes/2595?tab=detail&amp;rf=Y&amp;a=APT:JGC:ABYG&amp;b=A1:B1&amp;e=RETAIL&amp;ad=true&amp;h=49&amp;i=55</t>
    <phoneticPr fontId="2" type="noConversion"/>
  </si>
  <si>
    <t>https://new.land.naver.com/complexes/2595?tab=detail&amp;rf=Y&amp;a=APT:JGC:ABYG&amp;b=A1:B1&amp;e=RETAIL&amp;ad=true&amp;h=65&amp;i=71</t>
    <phoneticPr fontId="2" type="noConversion"/>
  </si>
  <si>
    <t>https://new.land.naver.com/complexes/2595?tab=detail&amp;rf=Y&amp;a=APT:JGC:ABYG&amp;b=A1:B1&amp;e=RETAIL&amp;ad=true&amp;h=79&amp;i=85</t>
    <phoneticPr fontId="2" type="noConversion"/>
  </si>
  <si>
    <t>초원2단지대림</t>
    <phoneticPr fontId="2" type="noConversion"/>
  </si>
  <si>
    <t>https://new.land.naver.com/complexes/1483?tab=detail&amp;rf=Y&amp;a=APT:JGC:ABYG&amp;b=A1:B1&amp;e=RETAIL&amp;ad=true&amp;h=79&amp;i=85</t>
    <phoneticPr fontId="2" type="noConversion"/>
  </si>
  <si>
    <t>https://new.land.naver.com/complexes/1483?tab=detail&amp;rf=Y&amp;a=APT:JGC:ABYG&amp;b=A1:B1&amp;e=RETAIL&amp;ad=true&amp;h=104&amp;i=110</t>
    <phoneticPr fontId="2" type="noConversion"/>
  </si>
  <si>
    <t>꿈라이프</t>
    <phoneticPr fontId="2" type="noConversion"/>
  </si>
  <si>
    <t>'92.09</t>
    <phoneticPr fontId="2" type="noConversion"/>
  </si>
  <si>
    <t>107B</t>
    <phoneticPr fontId="2" type="noConversion"/>
  </si>
  <si>
    <t>https://new.land.naver.com/complexes/1450?tab=detail&amp;rf=Y&amp;a=APT:JGC:ABYG&amp;b=A1:B1&amp;e=RETAIL&amp;ad=true&amp;h=104&amp;i=110</t>
    <phoneticPr fontId="2" type="noConversion"/>
  </si>
  <si>
    <t>107A</t>
    <phoneticPr fontId="2" type="noConversion"/>
  </si>
  <si>
    <t>https://new.land.naver.com/complexes/1450?tab=detail&amp;rf=Y&amp;a=APT:JGC:ABYG&amp;b=A1:B1&amp;e=RETAIL&amp;ad=true&amp;h=125&amp;i=131</t>
    <phoneticPr fontId="2" type="noConversion"/>
  </si>
  <si>
    <t>https://new.land.naver.com/complexes/1450?tab=detail&amp;rf=Y&amp;a=APT:JGC:ABYG&amp;b=A1:B1&amp;e=RETAIL&amp;ad=true&amp;h=174&amp;i=180</t>
    <phoneticPr fontId="2" type="noConversion"/>
  </si>
  <si>
    <t>꿈현대</t>
    <phoneticPr fontId="2" type="noConversion"/>
  </si>
  <si>
    <t>https://new.land.naver.com/complexes/1453?tab=detail&amp;rf=Y&amp;a=APT:JGC:ABYG&amp;b=A1:B1&amp;e=RETAIL&amp;ad=true&amp;h=117&amp;i=123</t>
    <phoneticPr fontId="2" type="noConversion"/>
  </si>
  <si>
    <t>https://new.land.naver.com/complexes/1453?tab=detail&amp;rf=Y&amp;a=APT:JGC:ABYG&amp;b=A1:B1&amp;e=RETAIL&amp;ad=true&amp;h=155&amp;i=161</t>
    <phoneticPr fontId="2" type="noConversion"/>
  </si>
  <si>
    <t>https://new.land.naver.com/complexes/1453?tab=detail&amp;rf=Y&amp;a=APT:JGC:ABYG&amp;b=A1:B1&amp;e=RETAIL&amp;ad=true&amp;h=215&amp;i=221</t>
    <phoneticPr fontId="2" type="noConversion"/>
  </si>
  <si>
    <t>초원6단지한양</t>
    <phoneticPr fontId="2" type="noConversion"/>
  </si>
  <si>
    <t>https://new.land.naver.com/complexes/8481?tab=detail&amp;rf=Y&amp;a=APT:JGC:ABYG&amp;b=A1:B1&amp;e=RETAIL&amp;ad=true&amp;h=75&amp;i=81</t>
    <phoneticPr fontId="2" type="noConversion"/>
  </si>
  <si>
    <t>https://new.land.naver.com/complexes/8481?tab=detail&amp;rf=Y&amp;a=APT:JGC:ABYG&amp;b=A1:B1&amp;e=RETAIL&amp;ad=true&amp;h=95&amp;i=101</t>
    <phoneticPr fontId="2" type="noConversion"/>
  </si>
  <si>
    <t>https://new.land.naver.com/complexes/8481?tab=detail&amp;rf=Y&amp;a=APT:JGC:ABYG&amp;b=A1:B1&amp;e=RETAIL&amp;ad=true&amp;h=102&amp;i=108</t>
    <phoneticPr fontId="2" type="noConversion"/>
  </si>
  <si>
    <t>꿈금호</t>
    <phoneticPr fontId="2" type="noConversion"/>
  </si>
  <si>
    <t>'93.09</t>
    <phoneticPr fontId="2" type="noConversion"/>
  </si>
  <si>
    <t>https://new.land.naver.com/complexes/1448?tab=detail&amp;rf=Y&amp;a=APT:JGC:ABYG&amp;b=A1:B1&amp;e=RETAIL&amp;ad=true&amp;h=120&amp;i=126</t>
    <phoneticPr fontId="2" type="noConversion"/>
  </si>
  <si>
    <t>https://new.land.naver.com/complexes/1448?tab=detail&amp;rf=Y&amp;a=APT:JGC:ABYG&amp;b=A1:B1&amp;e=RETAIL&amp;ad=true&amp;h=154&amp;i=160</t>
    <phoneticPr fontId="2" type="noConversion"/>
  </si>
  <si>
    <t>꿈한신</t>
    <phoneticPr fontId="2" type="noConversion"/>
  </si>
  <si>
    <t>'93.08</t>
    <phoneticPr fontId="2" type="noConversion"/>
  </si>
  <si>
    <t>https://new.land.naver.com/complexes/1452?tab=detail&amp;rf=Y&amp;a=APT:JGC:ABYG&amp;b=A1:B1&amp;e=RETAIL&amp;ad=true&amp;h=116&amp;i=122</t>
    <phoneticPr fontId="2" type="noConversion"/>
  </si>
  <si>
    <t>https://new.land.naver.com/complexes/1452?tab=detail&amp;rf=Y&amp;a=APT:JGC:ABYG&amp;b=A1:B1&amp;e=RETAIL&amp;ad=true&amp;h=142&amp;i=148</t>
    <phoneticPr fontId="2" type="noConversion"/>
  </si>
  <si>
    <t>https://new.land.naver.com/complexes/1452?tab=detail&amp;rf=Y&amp;a=APT:JGC:ABYG&amp;b=A1:B1&amp;e=RETAIL&amp;ad=true&amp;h=199&amp;i=205</t>
    <phoneticPr fontId="2" type="noConversion"/>
  </si>
  <si>
    <t>꿈우성</t>
    <phoneticPr fontId="2" type="noConversion"/>
  </si>
  <si>
    <t>https://new.land.naver.com/complexes/1451?tab=detail&amp;rf=Y&amp;a=APT:JGC:ABYG&amp;b=A1:B1&amp;e=RETAIL&amp;ad=true&amp;h=118&amp;i=124</t>
    <phoneticPr fontId="2" type="noConversion"/>
  </si>
  <si>
    <t>https://new.land.naver.com/complexes/1451?tab=detail&amp;rf=Y&amp;a=APT:JGC:ABYG&amp;b=A1:B1&amp;e=RETAIL&amp;ad=true&amp;h=152&amp;i=158</t>
    <phoneticPr fontId="2" type="noConversion"/>
  </si>
  <si>
    <t>https://new.land.naver.com/complexes/1451?tab=detail&amp;rf=Y&amp;a=APT:JGC:ABYG&amp;b=A1:B1&amp;e=RETAIL&amp;ad=true&amp;h=181&amp;i=187</t>
    <phoneticPr fontId="2" type="noConversion"/>
  </si>
  <si>
    <t>꿈건영3단지</t>
    <phoneticPr fontId="2" type="noConversion"/>
  </si>
  <si>
    <t>'94.04</t>
    <phoneticPr fontId="2" type="noConversion"/>
  </si>
  <si>
    <t>https://new.land.naver.com/complexes/1446?tab=detail&amp;rf=Y&amp;a=APT:JGC:ABYG&amp;b=A1:B1&amp;e=RETAIL&amp;ad=true&amp;h=120&amp;i=126</t>
    <phoneticPr fontId="2" type="noConversion"/>
  </si>
  <si>
    <t>https://new.land.naver.com/complexes/1446?tab=detail&amp;rf=Y&amp;a=APT:JGC:ABYG&amp;b=A1:B1&amp;e=RETAIL&amp;ad=true&amp;h=154&amp;i=160</t>
    <phoneticPr fontId="2" type="noConversion"/>
  </si>
  <si>
    <t>https://new.land.naver.com/complexes/1446?tab=detail&amp;rf=Y&amp;a=APT:JGC:ABYG&amp;b=A1:B1&amp;e=RETAIL&amp;ad=true&amp;h=165&amp;i=171</t>
    <phoneticPr fontId="2" type="noConversion"/>
  </si>
  <si>
    <t>꿈동아</t>
    <phoneticPr fontId="2" type="noConversion"/>
  </si>
  <si>
    <t>https://new.land.naver.com/complexes/1449?tab=detail&amp;rf=Y&amp;a=APT:JGC:ABYG&amp;b=A1:B1&amp;e=RETAIL&amp;ad=true&amp;h=124&amp;i=130</t>
    <phoneticPr fontId="2" type="noConversion"/>
  </si>
  <si>
    <t>https://new.land.naver.com/complexes/1449?tab=detail&amp;rf=Y&amp;a=APT:JGC:ABYG&amp;b=A1:B1&amp;e=RETAIL&amp;ad=true&amp;h=155&amp;i=161</t>
    <phoneticPr fontId="2" type="noConversion"/>
  </si>
  <si>
    <t>인덕원대림2차</t>
    <phoneticPr fontId="2" type="noConversion"/>
  </si>
  <si>
    <t>'04.11</t>
    <phoneticPr fontId="2" type="noConversion"/>
  </si>
  <si>
    <t>https://new.land.naver.com/complexes/8194?tab=detail&amp;rf=Y&amp;a=APT:JGC:ABYG&amp;b=A1:B1&amp;e=RETAIL&amp;ad=true&amp;h=77&amp;i=83</t>
    <phoneticPr fontId="2" type="noConversion"/>
  </si>
  <si>
    <t>https://new.land.naver.com/complexes/8194?tab=detail&amp;rf=Y&amp;a=APT:JGC:ABYG&amp;b=A1:B1&amp;e=RETAIL&amp;ad=true&amp;h=104&amp;i=110</t>
    <phoneticPr fontId="2" type="noConversion"/>
  </si>
  <si>
    <t>삼성래미안</t>
    <phoneticPr fontId="2" type="noConversion"/>
  </si>
  <si>
    <t>'00.05</t>
    <phoneticPr fontId="2" type="noConversion"/>
  </si>
  <si>
    <t>81A</t>
    <phoneticPr fontId="2" type="noConversion"/>
  </si>
  <si>
    <t>https://new.land.naver.com/complexes/8193?tab=detail&amp;rf=Y&amp;a=APT:JGC:ABYG&amp;b=A1:B1&amp;e=RETAIL&amp;ad=true&amp;h=79&amp;i=85</t>
    <phoneticPr fontId="2" type="noConversion"/>
  </si>
  <si>
    <t>82B</t>
    <phoneticPr fontId="2" type="noConversion"/>
  </si>
  <si>
    <t>109B</t>
    <phoneticPr fontId="2" type="noConversion"/>
  </si>
  <si>
    <t>https://new.land.naver.com/complexes/8193?tab=detail&amp;rf=Y&amp;a=APT:JGC:ABYG&amp;b=A1:B1&amp;e=RETAIL&amp;ad=true&amp;h=107&amp;i=113</t>
    <phoneticPr fontId="2" type="noConversion"/>
  </si>
  <si>
    <t>109A</t>
    <phoneticPr fontId="2" type="noConversion"/>
  </si>
  <si>
    <t>초원8단지세경</t>
    <phoneticPr fontId="2" type="noConversion"/>
  </si>
  <si>
    <t>'96.07</t>
    <phoneticPr fontId="2" type="noConversion"/>
  </si>
  <si>
    <t>https://new.land.naver.com/complexes/8775?tab=detail&amp;rf=Y&amp;a=APT:JGC:ABYG&amp;b=A1:B1&amp;e=RETAIL&amp;ad=true&amp;h=61&amp;i=67</t>
    <phoneticPr fontId="2" type="noConversion"/>
  </si>
  <si>
    <t>향촌롯데</t>
    <phoneticPr fontId="2" type="noConversion"/>
  </si>
  <si>
    <t>https://new.land.naver.com/complexes/1480?tab=detail&amp;rf=Y&amp;a=APT:JGC:ABYG&amp;b=A1:B1&amp;e=RETAIL&amp;ad=true&amp;h=74&amp;i=80</t>
    <phoneticPr fontId="2" type="noConversion"/>
  </si>
  <si>
    <t>https://new.land.naver.com/complexes/1480?tab=detail&amp;rf=Y&amp;a=APT:JGC:ABYG&amp;b=A1:B1&amp;e=RETAIL&amp;ad=true&amp;h=78&amp;i=84</t>
    <phoneticPr fontId="2" type="noConversion"/>
  </si>
  <si>
    <t>https://new.land.naver.com/complexes/1480?tab=detail&amp;rf=Y&amp;a=APT:JGC:ABYG&amp;b=A1:B1&amp;e=RETAIL&amp;ad=true&amp;h=107&amp;i=113</t>
    <phoneticPr fontId="2" type="noConversion"/>
  </si>
  <si>
    <t>초원1단지성원</t>
    <phoneticPr fontId="2" type="noConversion"/>
  </si>
  <si>
    <t>'92.08</t>
    <phoneticPr fontId="2" type="noConversion"/>
  </si>
  <si>
    <t>https://new.land.naver.com/complexes/1479?tab=detail&amp;rf=Y&amp;a=APT:JGC:ABYG&amp;b=A1:B1&amp;e=RETAIL&amp;ad=true&amp;h=72&amp;i=78</t>
    <phoneticPr fontId="2" type="noConversion"/>
  </si>
  <si>
    <t>https://new.land.naver.com/complexes/1479?tab=detail&amp;rf=Y&amp;a=APT:JGC:ABYG&amp;b=A1:B1&amp;e=RETAIL&amp;ad=true&amp;h=100&amp;i=106</t>
    <phoneticPr fontId="2" type="noConversion"/>
  </si>
  <si>
    <t>영풍</t>
    <phoneticPr fontId="2" type="noConversion"/>
  </si>
  <si>
    <t>'00.04</t>
    <phoneticPr fontId="2" type="noConversion"/>
  </si>
  <si>
    <t>https://new.land.naver.com/complexes/2805?tab=detail&amp;rf=Y&amp;a=APT:JGC:ABYG&amp;b=A1:B1&amp;e=RETAIL&amp;ad=true&amp;h=44&amp;i=50</t>
    <phoneticPr fontId="2" type="noConversion"/>
  </si>
  <si>
    <t>https://new.land.naver.com/complexes/2805?tab=detail&amp;rf=Y&amp;a=APT:JGC:ABYG&amp;b=A1:B1&amp;e=RETAIL&amp;ad=true&amp;h=106&amp;i=112</t>
    <phoneticPr fontId="2" type="noConversion"/>
  </si>
  <si>
    <t>귀인마을현대홈타운</t>
    <phoneticPr fontId="2" type="noConversion"/>
  </si>
  <si>
    <t>'02.06</t>
    <phoneticPr fontId="2" type="noConversion"/>
  </si>
  <si>
    <t>https://new.land.naver.com/complexes/8626?tab=detail&amp;rf=Y&amp;a=APT:JGC:ABYG&amp;b=A1:B1&amp;e=RETAIL&amp;ad=true&amp;h=78&amp;i=84</t>
    <phoneticPr fontId="2" type="noConversion"/>
  </si>
  <si>
    <t>https://new.land.naver.com/complexes/8626?tab=detail&amp;rf=Y&amp;a=APT:JGC:ABYG&amp;b=A1:B1&amp;e=RETAIL&amp;ad=true&amp;h=89&amp;i=95</t>
    <phoneticPr fontId="2" type="noConversion"/>
  </si>
  <si>
    <t>https://new.land.naver.com/complexes/8626?tab=detail&amp;rf=Y&amp;a=APT:JGC:ABYG&amp;b=A1:B1&amp;e=RETAIL&amp;ad=true&amp;h=106&amp;i=112</t>
    <phoneticPr fontId="2" type="noConversion"/>
  </si>
  <si>
    <t>향촌현대4차</t>
    <phoneticPr fontId="2" type="noConversion"/>
  </si>
  <si>
    <t>https://new.land.naver.com/complexes/1481?tab=detail&amp;rf=Y&amp;a=APT:JGC:ABYG&amp;b=A1:B1&amp;e=RETAIL&amp;ad=true&amp;h=76&amp;i=82</t>
    <phoneticPr fontId="2" type="noConversion"/>
  </si>
  <si>
    <t>https://new.land.naver.com/complexes/1481?tab=detail&amp;rf=Y&amp;a=APT:JGC:ABYG&amp;b=A1:B1&amp;e=RETAIL&amp;ad=true&amp;h=104&amp;i=110</t>
    <phoneticPr fontId="2" type="noConversion"/>
  </si>
  <si>
    <t>초원3단지대원</t>
    <phoneticPr fontId="2" type="noConversion"/>
  </si>
  <si>
    <t>76S</t>
    <phoneticPr fontId="2" type="noConversion"/>
  </si>
  <si>
    <t>https://new.land.naver.com/complexes/1477?tab=detail&amp;rf=Y&amp;a=APT:JGC:ABYG&amp;b=A1:B1&amp;e=RETAIL&amp;ad=true&amp;h=74&amp;i=80</t>
    <phoneticPr fontId="2" type="noConversion"/>
  </si>
  <si>
    <t>76N</t>
    <phoneticPr fontId="2" type="noConversion"/>
  </si>
  <si>
    <t>https://new.land.naver.com/complexes/1477?tab=detail&amp;rf=Y&amp;a=APT:JGC:ABYG&amp;b=A1:B1&amp;e=RETAIL&amp;ad=true&amp;h=101&amp;i=107</t>
    <phoneticPr fontId="2" type="noConversion"/>
  </si>
  <si>
    <t>https://new.land.naver.com/complexes/1477?tab=detail&amp;rf=Y&amp;a=APT:JGC:ABYG&amp;b=A1:B1&amp;e=RETAIL&amp;ad=true&amp;h=103&amp;i=109</t>
    <phoneticPr fontId="2" type="noConversion"/>
  </si>
  <si>
    <t>초원5단지LG</t>
    <phoneticPr fontId="2" type="noConversion"/>
  </si>
  <si>
    <t>https://new.land.naver.com/complexes/1478?tab=detail&amp;rf=Y&amp;a=APT:JGC:ABYG&amp;b=A1:B1&amp;e=RETAIL&amp;ad=true&amp;h=75&amp;i=81</t>
    <phoneticPr fontId="2" type="noConversion"/>
  </si>
  <si>
    <t>https://new.land.naver.com/complexes/1478?tab=detail&amp;rf=Y&amp;a=APT:JGC:ABYG&amp;b=A1:B1&amp;e=RETAIL&amp;ad=true&amp;h=103&amp;i=109</t>
    <phoneticPr fontId="2" type="noConversion"/>
  </si>
  <si>
    <t>호계동</t>
    <phoneticPr fontId="2" type="noConversion"/>
  </si>
  <si>
    <t>목련9단지</t>
    <phoneticPr fontId="2" type="noConversion"/>
  </si>
  <si>
    <t>'94.07</t>
    <phoneticPr fontId="2" type="noConversion"/>
  </si>
  <si>
    <t>https://new.land.naver.com/complexes/1458?tab=detail&amp;rf=Y&amp;a=APT:JGC:ABYG&amp;b=A1:B1&amp;e=RETAIL&amp;ad=true&amp;h=117&amp;i=123</t>
  </si>
  <si>
    <t>https://new.land.naver.com/complexes/1458?tab=detail&amp;rf=Y&amp;a=APT:JGC:ABYG&amp;b=A1:B1&amp;e=RETAIL&amp;ad=true&amp;h=149&amp;i=155</t>
    <phoneticPr fontId="2" type="noConversion"/>
  </si>
  <si>
    <t>https://new.land.naver.com/complexes/1458?tab=detail&amp;rf=Y&amp;a=APT:JGC:ABYG&amp;b=A1:B1&amp;e=RETAIL&amp;ad=true&amp;h=174&amp;i=180</t>
    <phoneticPr fontId="2" type="noConversion"/>
  </si>
  <si>
    <t>호계신도브래뉴</t>
    <phoneticPr fontId="2" type="noConversion"/>
  </si>
  <si>
    <t>'04.1</t>
    <phoneticPr fontId="2" type="noConversion"/>
  </si>
  <si>
    <t>https://new.land.naver.com/complexes/10147?tab=detail&amp;rf=Y&amp;a=APT:JGC:ABYG&amp;b=A1:B1&amp;e=RETAIL&amp;ad=true&amp;h=82&amp;i=88</t>
    <phoneticPr fontId="2" type="noConversion"/>
  </si>
  <si>
    <t>https://new.land.naver.com/complexes/10147?tab=detail&amp;rf=Y&amp;a=APT:JGC:ABYG&amp;b=A1:B1&amp;e=RETAIL&amp;ad=true&amp;h=105&amp;i=111</t>
    <phoneticPr fontId="2" type="noConversion"/>
  </si>
  <si>
    <t>https://new.land.naver.com/complexes/10147?tab=detail&amp;rf=Y&amp;a=APT:JGC:ABYG&amp;b=A1:B1&amp;e=RETAIL&amp;ad=true&amp;h=107&amp;i=113</t>
    <phoneticPr fontId="2" type="noConversion"/>
  </si>
  <si>
    <t>목련3단지</t>
    <phoneticPr fontId="2" type="noConversion"/>
  </si>
  <si>
    <t>https://new.land.naver.com/complexes/3022?tab=detail&amp;rf=Y&amp;a=APT:JGC:ABYG&amp;b=A1:B1&amp;e=RETAIL&amp;ad=true&amp;h=53&amp;i=59</t>
    <phoneticPr fontId="2" type="noConversion"/>
  </si>
  <si>
    <t>https://new.land.naver.com/complexes/3022?tab=detail&amp;rf=Y&amp;a=APT:JGC:ABYG&amp;b=A1:B1&amp;e=RETAIL&amp;ad=true&amp;h=65&amp;i=71</t>
    <phoneticPr fontId="2" type="noConversion"/>
  </si>
  <si>
    <t>https://new.land.naver.com/complexes/3022?tab=detail&amp;rf=Y&amp;a=APT:JGC:ABYG&amp;b=A1:B1&amp;e=RETAIL&amp;ad=true&amp;h=72&amp;i=78</t>
    <phoneticPr fontId="2" type="noConversion"/>
  </si>
  <si>
    <t>호계현대</t>
    <phoneticPr fontId="2" type="noConversion"/>
  </si>
  <si>
    <t>'99.12</t>
    <phoneticPr fontId="2" type="noConversion"/>
  </si>
  <si>
    <t>https://new.land.naver.com/complexes/3032?tab=detail&amp;rf=Y&amp;a=APT:JGC:ABYG&amp;b=A1:B1&amp;e=RETAIL&amp;ad=true&amp;h=76&amp;i=82</t>
    <phoneticPr fontId="2" type="noConversion"/>
  </si>
  <si>
    <t>https://new.land.naver.com/complexes/3032?tab=detail&amp;rf=Y&amp;a=APT:JGC:ABYG&amp;b=A1:B1&amp;e=RETAIL&amp;ad=true&amp;h=95&amp;i=101</t>
    <phoneticPr fontId="2" type="noConversion"/>
  </si>
  <si>
    <t>https://new.land.naver.com/complexes/3032?tab=detail&amp;rf=Y&amp;a=APT:JGC:ABYG&amp;b=A1:B1&amp;e=RETAIL&amp;ad=true&amp;h=109&amp;i=115</t>
    <phoneticPr fontId="2" type="noConversion"/>
  </si>
  <si>
    <t>샘쌍용</t>
    <phoneticPr fontId="2" type="noConversion"/>
  </si>
  <si>
    <t>https://new.land.naver.com/complexes/1442?tab=detail&amp;rf=Y&amp;a=APT:JGC:ABYG&amp;b=A1:B1&amp;e=RETAIL&amp;ad=true&amp;h=120&amp;i=126</t>
    <phoneticPr fontId="2" type="noConversion"/>
  </si>
  <si>
    <t>https://new.land.naver.com/complexes/1442?tab=detail&amp;rf=Y&amp;a=APT:JGC:ABYG&amp;b=A1:B1&amp;e=RETAIL&amp;ad=true&amp;h=155&amp;i=161</t>
    <phoneticPr fontId="2" type="noConversion"/>
  </si>
  <si>
    <t>https://new.land.naver.com/complexes/1442?tab=detail&amp;rf=Y&amp;a=APT:JGC:ABYG&amp;b=A1:B1&amp;e=RETAIL&amp;ad=true&amp;h=203&amp;i=209</t>
    <phoneticPr fontId="2" type="noConversion"/>
  </si>
  <si>
    <t>무궁화건영</t>
    <phoneticPr fontId="2" type="noConversion"/>
  </si>
  <si>
    <t>https://new.land.naver.com/complexes/1470?tab=detail&amp;rf=Y&amp;a=APT:JGC:ABYG&amp;b=A1:B1&amp;e=RETAIL&amp;ad=true&amp;h=64&amp;i=70</t>
    <phoneticPr fontId="2" type="noConversion"/>
  </si>
  <si>
    <t>https://new.land.naver.com/complexes/1470?tab=detail&amp;rf=Y&amp;a=APT:JGC:ABYG&amp;b=A1:B1&amp;e=RETAIL&amp;ad=true&amp;h=92&amp;i=98</t>
    <phoneticPr fontId="2" type="noConversion"/>
  </si>
  <si>
    <t>https://new.land.naver.com/complexes/1470?tab=detail&amp;rf=Y&amp;a=APT:JGC:ABYG&amp;b=A1:B1&amp;e=RETAIL&amp;ad=true&amp;h=99&amp;i=105</t>
    <phoneticPr fontId="2" type="noConversion"/>
  </si>
  <si>
    <t>무궁화코오롱</t>
    <phoneticPr fontId="2" type="noConversion"/>
  </si>
  <si>
    <t>https://new.land.naver.com/complexes/1474?tab=detail&amp;rf=Y&amp;a=APT:JGC:ABYG&amp;b=A1:B1&amp;e=RETAIL&amp;ad=true&amp;h=80&amp;i=86</t>
    <phoneticPr fontId="2" type="noConversion"/>
  </si>
  <si>
    <t>https://new.land.naver.com/complexes/1474?tab=detail&amp;rf=Y&amp;a=APT:JGC:ABYG&amp;b=A1:B1&amp;e=RETAIL&amp;ad=true&amp;h=91&amp;i=97</t>
    <phoneticPr fontId="2" type="noConversion"/>
  </si>
  <si>
    <t>https://new.land.naver.com/complexes/1474?tab=detail&amp;rf=Y&amp;a=APT:JGC:ABYG&amp;b=A1:B1&amp;e=RETAIL&amp;ad=true&amp;h=107&amp;i=113</t>
    <phoneticPr fontId="2" type="noConversion"/>
  </si>
  <si>
    <t>호계아크로리버(주상복합)</t>
    <phoneticPr fontId="2" type="noConversion"/>
  </si>
  <si>
    <t>'07.03</t>
    <phoneticPr fontId="2" type="noConversion"/>
  </si>
  <si>
    <t>https://new.land.naver.com/complexes/19530?tab=detail&amp;rf=Y&amp;a=APT:JGC:ABYG&amp;b=A1:B1&amp;e=RETAIL&amp;ad=true&amp;h=112&amp;i=118</t>
    <phoneticPr fontId="2" type="noConversion"/>
  </si>
  <si>
    <t>https://new.land.naver.com/complexes/19530?tab=detail&amp;rf=Y&amp;a=APT:JGC:ABYG&amp;b=A1:B1&amp;e=RETAIL&amp;ad=true&amp;h=138&amp;i=144</t>
    <phoneticPr fontId="2" type="noConversion"/>
  </si>
  <si>
    <t>https://new.land.naver.com/complexes/19530?tab=detail&amp;rf=Y&amp;a=APT:JGC:ABYG&amp;b=A1:B1&amp;e=RETAIL&amp;ad=true&amp;h=161&amp;i=167</t>
    <phoneticPr fontId="2" type="noConversion"/>
  </si>
  <si>
    <t>https://new.land.naver.com/complexes/19530?tab=detail&amp;rf=Y&amp;a=APT:JGC:ABYG&amp;b=A1:B1&amp;e=RETAIL&amp;ad=true&amp;h=178&amp;i=184</t>
    <phoneticPr fontId="2" type="noConversion"/>
  </si>
  <si>
    <t>평촌어바인퍼스트</t>
    <phoneticPr fontId="2" type="noConversion"/>
  </si>
  <si>
    <t>'21.01</t>
    <phoneticPr fontId="2" type="noConversion"/>
  </si>
  <si>
    <t>https://new.land.naver.com/complexes/122682?tab=detail&amp;rf=Y&amp;a=APT:JGC:ABYG&amp;b=A1:B1&amp;e=RETAIL&amp;ad=true&amp;h=55&amp;i=61</t>
    <phoneticPr fontId="2" type="noConversion"/>
  </si>
  <si>
    <t>https://new.land.naver.com/complexes/122682?tab=detail&amp;rf=Y&amp;a=APT:JGC:ABYG&amp;b=A1:B1&amp;e=RETAIL&amp;ad=true&amp;h=65&amp;i=71</t>
    <phoneticPr fontId="2" type="noConversion"/>
  </si>
  <si>
    <t>https://new.land.naver.com/complexes/122682?tab=detail&amp;rf=Y&amp;a=APT:JGC:ABYG&amp;b=A1:B1&amp;e=RETAIL&amp;ad=true&amp;h=82&amp;i=88</t>
    <phoneticPr fontId="2" type="noConversion"/>
  </si>
  <si>
    <t>https://new.land.naver.com/complexes/122682?tab=detail&amp;rf=Y&amp;a=APT:JGC:ABYG&amp;b=A1:B1&amp;e=RETAIL&amp;ad=true&amp;h=83&amp;i=89</t>
    <phoneticPr fontId="2" type="noConversion"/>
  </si>
  <si>
    <t>https://new.land.naver.com/complexes/122682?tab=detail&amp;rf=Y&amp;a=APT:JGC:ABYG&amp;b=A1:B1&amp;e=RETAIL&amp;ad=true&amp;h=98&amp;i=104</t>
    <phoneticPr fontId="2" type="noConversion"/>
  </si>
  <si>
    <t>https://new.land.naver.com/complexes/122682?tab=detail&amp;rf=Y&amp;a=APT:JGC:ABYG&amp;b=A1:B1&amp;e=RETAIL&amp;ad=true&amp;h=111&amp;i=117</t>
    <phoneticPr fontId="2" type="noConversion"/>
  </si>
  <si>
    <t>https://new.land.naver.com/complexes/122682?tab=detail&amp;rf=Y&amp;a=APT:JGC:ABYG&amp;b=A1:B1&amp;e=RETAIL&amp;ad=true&amp;h=112&amp;i=118</t>
    <phoneticPr fontId="2" type="noConversion"/>
  </si>
  <si>
    <t>호계현대홈타운2차</t>
    <phoneticPr fontId="2" type="noConversion"/>
  </si>
  <si>
    <t>'03.11</t>
    <phoneticPr fontId="2" type="noConversion"/>
  </si>
  <si>
    <t>https://new.land.naver.com/complexes/3082?tab=detail&amp;rf=Y&amp;a=APT:JGC:ABYG&amp;b=A1:B1&amp;e=RETAIL&amp;ad=true&amp;h=79&amp;i=85</t>
    <phoneticPr fontId="2" type="noConversion"/>
  </si>
  <si>
    <t>https://new.land.naver.com/complexes/3082?tab=detail&amp;rf=Y&amp;a=APT:JGC:ABYG&amp;b=A1:B1&amp;e=RETAIL&amp;ad=true&amp;h=105&amp;i=111</t>
    <phoneticPr fontId="2" type="noConversion"/>
  </si>
  <si>
    <t>https://new.land.naver.com/complexes/3082?tab=detail&amp;rf=Y&amp;a=APT:JGC:ABYG&amp;b=A1:B1&amp;e=RETAIL&amp;ad=true&amp;h=109&amp;i=115</t>
    <phoneticPr fontId="2" type="noConversion"/>
  </si>
  <si>
    <t>https://new.land.naver.com/complexes/3082?tab=detail&amp;rf=Y&amp;a=APT:JGC:ABYG&amp;b=A1:B1&amp;e=RETAIL&amp;ad=true&amp;h=124&amp;i=130</t>
    <phoneticPr fontId="2" type="noConversion"/>
  </si>
  <si>
    <t>https://new.land.naver.com/complexes/3082?tab=detail&amp;rf=Y&amp;a=APT:JGC:ABYG&amp;b=A1:B1&amp;e=RETAIL&amp;ad=true&amp;h=142&amp;i=148</t>
    <phoneticPr fontId="2" type="noConversion"/>
  </si>
  <si>
    <t>https://new.land.naver.com/complexes/3082?tab=detail&amp;rf=Y&amp;a=APT:JGC:ABYG&amp;b=A1:B1&amp;e=RETAIL&amp;ad=true&amp;h=169&amp;i=175</t>
    <phoneticPr fontId="2" type="noConversion"/>
  </si>
  <si>
    <t>평촌더샵아이파크</t>
    <phoneticPr fontId="2" type="noConversion"/>
  </si>
  <si>
    <t>'19.03</t>
    <phoneticPr fontId="2" type="noConversion"/>
  </si>
  <si>
    <t>https://new.land.naver.com/complexes/113297?tab=detail&amp;rf=Y&amp;a=APT:JGC:ABYG&amp;b=A1:B1&amp;e=RETAIL&amp;ad=true&amp;h=79&amp;i=85</t>
    <phoneticPr fontId="2" type="noConversion"/>
  </si>
  <si>
    <t>https://new.land.naver.com/complexes/113297?tab=detail&amp;rf=Y&amp;a=APT:JGC:ABYG&amp;b=A1:B1&amp;e=RETAIL&amp;ad=true&amp;h=80&amp;i=86</t>
    <phoneticPr fontId="2" type="noConversion"/>
  </si>
  <si>
    <t>https://new.land.naver.com/complexes/113297?tab=detail&amp;rf=Y&amp;a=APT:JGC:ABYG&amp;b=A1:B1&amp;e=RETAIL&amp;ad=true&amp;h=98&amp;i=104</t>
    <phoneticPr fontId="2" type="noConversion"/>
  </si>
  <si>
    <t>https://new.land.naver.com/complexes/113297?tab=detail&amp;rf=Y&amp;a=APT:JGC:ABYG&amp;b=A1:B1&amp;e=RETAIL&amp;ad=true&amp;h=110&amp;i=116</t>
    <phoneticPr fontId="2" type="noConversion"/>
  </si>
  <si>
    <t>https://new.land.naver.com/complexes/113297?tab=detail&amp;rf=Y&amp;a=APT:JGC:ABYG&amp;b=A1:B1&amp;e=RETAIL&amp;ad=true&amp;h=140&amp;i=146</t>
    <phoneticPr fontId="2" type="noConversion"/>
  </si>
  <si>
    <t>평촌두산위브더프라임</t>
    <phoneticPr fontId="2" type="noConversion"/>
  </si>
  <si>
    <t>'25.06</t>
    <phoneticPr fontId="2" type="noConversion"/>
  </si>
  <si>
    <t>https://new.land.naver.com/complexes/152005?tab=detail&amp;rf=Y&amp;a=APT:JGC:ABYG&amp;b=A1:B1&amp;e=RETAIL&amp;ad=true&amp;h=69&amp;i=75</t>
    <phoneticPr fontId="2" type="noConversion"/>
  </si>
  <si>
    <t>https://new.land.naver.com/complexes/152005?tab=detail&amp;rf=Y&amp;a=APT:JGC:ABYG&amp;b=A1:B1&amp;e=RETAIL&amp;ad=true&amp;h=80&amp;i=86</t>
    <phoneticPr fontId="2" type="noConversion"/>
  </si>
  <si>
    <t>https://new.land.naver.com/complexes/152005?tab=detail&amp;rf=Y&amp;a=APT:JGC:ABYG&amp;b=A1:B1&amp;e=RETAIL&amp;ad=true&amp;h=106&amp;i=112</t>
    <phoneticPr fontId="2" type="noConversion"/>
  </si>
  <si>
    <t>목련1단지</t>
    <phoneticPr fontId="2" type="noConversion"/>
  </si>
  <si>
    <t>https://new.land.naver.com/complexes/1457?tab=detail&amp;rf=Y&amp;a=APT:JGC:ABYG&amp;b=A1:B1&amp;e=RETAIL&amp;ad=true&amp;h=114&amp;i=120</t>
    <phoneticPr fontId="2" type="noConversion"/>
  </si>
  <si>
    <t>https://new.land.naver.com/complexes/1457?tab=detail&amp;rf=Y&amp;a=APT:JGC:ABYG&amp;b=A1:B1&amp;e=RETAIL&amp;ad=true&amp;h=139&amp;i=145</t>
    <phoneticPr fontId="2" type="noConversion"/>
  </si>
  <si>
    <t>https://new.land.naver.com/complexes/1457?tab=detail&amp;rf=Y&amp;a=APT:JGC:ABYG&amp;b=A1:B1&amp;e=RETAIL&amp;ad=true&amp;h=154&amp;i=160</t>
    <phoneticPr fontId="2" type="noConversion"/>
  </si>
  <si>
    <t>https://new.land.naver.com/complexes/1457?tab=detail&amp;rf=Y&amp;a=APT:JGC:ABYG&amp;b=A1:B1&amp;e=RETAIL&amp;ad=true&amp;h=171&amp;i=177</t>
    <phoneticPr fontId="2" type="noConversion"/>
  </si>
  <si>
    <t>https://new.land.naver.com/complexes/1457?tab=detail&amp;rf=Y&amp;a=APT:JGC:ABYG&amp;b=A1:B1&amp;e=RETAIL&amp;ad=true&amp;h=173&amp;i=179</t>
    <phoneticPr fontId="2" type="noConversion"/>
  </si>
  <si>
    <t>https://new.land.naver.com/complexes/1457?tab=detail&amp;rf=Y&amp;a=APT:JGC:ABYG&amp;b=A1:B1&amp;e=RETAIL&amp;ad=true&amp;h=192&amp;i=198</t>
    <phoneticPr fontId="2" type="noConversion"/>
  </si>
  <si>
    <t>삼익(주상복합)</t>
    <phoneticPr fontId="2" type="noConversion"/>
  </si>
  <si>
    <t>'96.1</t>
    <phoneticPr fontId="2" type="noConversion"/>
  </si>
  <si>
    <t>https://new.land.naver.com/complexes/2046?tab=detail&amp;rf=Y&amp;a=APT:JGC:ABYG&amp;b=A1:B1&amp;e=RETAIL&amp;ad=true&amp;h=79&amp;i=85</t>
    <phoneticPr fontId="2" type="noConversion"/>
  </si>
  <si>
    <t>https://new.land.naver.com/complexes/2046?tab=detail&amp;rf=Y&amp;a=APT:JGC:ABYG&amp;b=A1:B1&amp;e=RETAIL&amp;ad=true&amp;h=94&amp;i=100</t>
    <phoneticPr fontId="2" type="noConversion"/>
  </si>
  <si>
    <t>https://new.land.naver.com/complexes/2046?tab=detail&amp;rf=Y&amp;a=APT:JGC:ABYG&amp;b=A1:B1&amp;e=RETAIL&amp;ad=true&amp;h=95&amp;i=101</t>
    <phoneticPr fontId="2" type="noConversion"/>
  </si>
  <si>
    <t>https://new.land.naver.com/complexes/2046?tab=detail&amp;rf=Y&amp;a=APT:JGC:ABYG&amp;b=A1:B1&amp;e=RETAIL&amp;ad=true&amp;h=113&amp;i=119</t>
    <phoneticPr fontId="2" type="noConversion"/>
  </si>
  <si>
    <t>호계신성미소지움</t>
    <phoneticPr fontId="2" type="noConversion"/>
  </si>
  <si>
    <t>'04.12</t>
    <phoneticPr fontId="2" type="noConversion"/>
  </si>
  <si>
    <t>https://new.land.naver.com/complexes/10509?tab=detail&amp;rf=Y&amp;a=APT:JGC:ABYG&amp;b=A1:B1&amp;e=RETAIL&amp;ad=true&amp;h=77&amp;i=83</t>
    <phoneticPr fontId="2" type="noConversion"/>
  </si>
  <si>
    <t>https://new.land.naver.com/complexes/10509?tab=detail&amp;rf=Y&amp;a=APT:JGC:ABYG&amp;b=A1:B1&amp;e=RETAIL&amp;ad=true&amp;h=92&amp;i=98</t>
    <phoneticPr fontId="2" type="noConversion"/>
  </si>
  <si>
    <t>https://new.land.naver.com/complexes/10509?tab=detail&amp;rf=Y&amp;a=APT:JGC:ABYG&amp;b=A1:B1&amp;e=RETAIL&amp;ad=true&amp;h=103&amp;i=109</t>
    <phoneticPr fontId="2" type="noConversion"/>
  </si>
  <si>
    <t>https://new.land.naver.com/complexes/10509?tab=detail&amp;rf=Y&amp;a=APT:JGC:ABYG&amp;b=A1:B1&amp;e=RETAIL&amp;ad=true&amp;h=104&amp;i=110</t>
    <phoneticPr fontId="2" type="noConversion"/>
  </si>
  <si>
    <t>https://new.land.naver.com/complexes/10509?tab=detail&amp;rf=Y&amp;a=APT:JGC:ABYG&amp;b=A1:B1&amp;e=RETAIL&amp;ad=true&amp;h=125&amp;i=131</t>
    <phoneticPr fontId="2" type="noConversion"/>
  </si>
  <si>
    <t>금정역호계푸르지오</t>
    <phoneticPr fontId="2" type="noConversion"/>
  </si>
  <si>
    <t>'15.08</t>
    <phoneticPr fontId="2" type="noConversion"/>
  </si>
  <si>
    <t>https://new.land.naver.com/complexes/107639?tab=detail&amp;rf=Y&amp;a=APT:JGC:ABYG&amp;b=A1:B1&amp;e=RETAIL&amp;ad=true&amp;h=78&amp;i=84</t>
    <phoneticPr fontId="2" type="noConversion"/>
  </si>
  <si>
    <t>https://new.land.naver.com/complexes/107639?tab=detail&amp;rf=Y&amp;a=APT:JGC:ABYG&amp;b=A1:B1&amp;e=RETAIL&amp;ad=true&amp;h=96&amp;i=102</t>
    <phoneticPr fontId="2" type="noConversion"/>
  </si>
  <si>
    <t>https://new.land.naver.com/complexes/107639?tab=detail&amp;rf=Y&amp;a=APT:JGC:ABYG&amp;b=A1:B1&amp;e=RETAIL&amp;ad=true&amp;h=97&amp;i=103</t>
    <phoneticPr fontId="2" type="noConversion"/>
  </si>
  <si>
    <t>https://new.land.naver.com/complexes/107639?tab=detail&amp;rf=Y&amp;a=APT:JGC:ABYG&amp;b=A1:B1&amp;e=RETAIL&amp;ad=true&amp;h=99&amp;i=105</t>
    <phoneticPr fontId="2" type="noConversion"/>
  </si>
  <si>
    <t>https://new.land.naver.com/complexes/107639?tab=detail&amp;rf=Y&amp;a=APT:JGC:ABYG&amp;b=A1:B1&amp;e=RETAIL&amp;ad=true&amp;h=105&amp;i=111</t>
    <phoneticPr fontId="2" type="noConversion"/>
  </si>
  <si>
    <t>https://new.land.naver.com/complexes/107639?tab=detail&amp;rf=Y&amp;a=APT:JGC:ABYG&amp;b=A1:B1&amp;e=RETAIL&amp;ad=true&amp;h=112&amp;i=118</t>
    <phoneticPr fontId="2" type="noConversion"/>
  </si>
  <si>
    <t>목련2단지</t>
    <phoneticPr fontId="2" type="noConversion"/>
  </si>
  <si>
    <t>'92.03</t>
    <phoneticPr fontId="2" type="noConversion"/>
  </si>
  <si>
    <t>https://new.land.naver.com/complexes/3015?tab=detail&amp;rf=Y&amp;a=APT:JGC:ABYG&amp;b=A1:B1&amp;e=RETAIL&amp;ad=true&amp;h=43&amp;i=49</t>
    <phoneticPr fontId="2" type="noConversion"/>
  </si>
  <si>
    <t>https://new.land.naver.com/complexes/3015?tab=detail&amp;rf=Y&amp;a=APT:JGC:ABYG&amp;b=A1:B1&amp;e=RETAIL&amp;ad=true&amp;h=74&amp;i=80</t>
    <phoneticPr fontId="2" type="noConversion"/>
  </si>
  <si>
    <t>무궁화금호</t>
    <phoneticPr fontId="2" type="noConversion"/>
  </si>
  <si>
    <t>https://new.land.naver.com/complexes/1472?tab=detail&amp;rf=Y&amp;a=APT:JGC:ABYG&amp;b=A1:B1&amp;e=RETAIL&amp;ad=true&amp;h=71&amp;i=77</t>
    <phoneticPr fontId="2" type="noConversion"/>
  </si>
  <si>
    <t>https://new.land.naver.com/complexes/1472?tab=detail&amp;rf=Y&amp;a=APT:JGC:ABYG&amp;b=A1:B1&amp;e=RETAIL&amp;ad=true&amp;h=86&amp;i=92</t>
    <phoneticPr fontId="2" type="noConversion"/>
  </si>
  <si>
    <t>https://new.land.naver.com/complexes/1472?tab=detail&amp;rf=Y&amp;a=APT:JGC:ABYG&amp;b=A1:B1&amp;e=RETAIL&amp;ad=true&amp;h=100&amp;i=106</t>
    <phoneticPr fontId="2" type="noConversion"/>
  </si>
  <si>
    <t>평촌어바인퍼스트더샵</t>
    <phoneticPr fontId="2" type="noConversion"/>
  </si>
  <si>
    <t>'24.1</t>
    <phoneticPr fontId="2" type="noConversion"/>
  </si>
  <si>
    <t>https://new.land.naver.com/complexes/148980?tab=detail&amp;rf=Y&amp;a=APT:JGC:ABYG&amp;b=A1:B1&amp;e=RETAIL&amp;ad=true&amp;h=82&amp;i=88</t>
    <phoneticPr fontId="2" type="noConversion"/>
  </si>
  <si>
    <t>https://new.land.naver.com/complexes/148980?tab=detail&amp;rf=Y&amp;a=APT:JGC:ABYG&amp;b=A1:B1&amp;e=RETAIL&amp;ad=true&amp;h=134&amp;i=140</t>
    <phoneticPr fontId="2" type="noConversion"/>
  </si>
  <si>
    <t>평촌두산위브리버뷰</t>
    <phoneticPr fontId="2" type="noConversion"/>
  </si>
  <si>
    <t>'22.05</t>
    <phoneticPr fontId="2" type="noConversion"/>
  </si>
  <si>
    <t>https://new.land.naver.com/complexes/123900?tab=detail&amp;rf=Y&amp;a=APT:JGC:ABYG&amp;b=A1:B1&amp;e=RETAIL&amp;ad=true&amp;h=54&amp;i=60</t>
    <phoneticPr fontId="2" type="noConversion"/>
  </si>
  <si>
    <t>https://new.land.naver.com/complexes/123900?tab=detail&amp;rf=Y&amp;a=APT:JGC:ABYG&amp;b=A1:B1&amp;e=RETAIL&amp;ad=true&amp;h=63&amp;i=69</t>
    <phoneticPr fontId="2" type="noConversion"/>
  </si>
  <si>
    <t>https://new.land.naver.com/complexes/123900?tab=detail&amp;rf=Y&amp;a=APT:JGC:ABYG&amp;b=A1:B1&amp;e=RETAIL&amp;ad=true&amp;h=64&amp;i=70</t>
    <phoneticPr fontId="2" type="noConversion"/>
  </si>
  <si>
    <t>https://new.land.naver.com/complexes/123900?tab=detail&amp;rf=Y&amp;a=APT:JGC:ABYG&amp;b=A1:B1&amp;e=RETAIL&amp;ad=true&amp;h=77&amp;i=83</t>
    <phoneticPr fontId="2" type="noConversion"/>
  </si>
  <si>
    <t>https://new.land.naver.com/complexes/123900?tab=detail&amp;rf=Y&amp;a=APT:JGC:ABYG&amp;b=A1:B1&amp;e=RETAIL&amp;ad=true&amp;h=78&amp;i=84</t>
    <phoneticPr fontId="2" type="noConversion"/>
  </si>
  <si>
    <t>https://new.land.naver.com/complexes/123900?tab=detail&amp;rf=Y&amp;a=APT:JGC:ABYG&amp;b=A1:B1&amp;e=RETAIL&amp;ad=true&amp;h=79&amp;i=85</t>
    <phoneticPr fontId="2" type="noConversion"/>
  </si>
  <si>
    <t>https://new.land.naver.com/complexes/123900?tab=detail&amp;rf=Y&amp;a=APT:JGC:ABYG&amp;b=A1:B1&amp;e=RETAIL&amp;ad=true&amp;h=82&amp;i=88</t>
    <phoneticPr fontId="2" type="noConversion"/>
  </si>
  <si>
    <t>https://new.land.naver.com/complexes/123900?tab=detail&amp;rf=Y&amp;a=APT:JGC:ABYG&amp;b=A1:B1&amp;e=RETAIL&amp;ad=true&amp;h=85&amp;i=91</t>
    <phoneticPr fontId="2" type="noConversion"/>
  </si>
  <si>
    <t>https://new.land.naver.com/complexes/123900?tab=detail&amp;rf=Y&amp;a=APT:JGC:ABYG&amp;b=A1:B1&amp;e=RETAIL&amp;ad=true&amp;h=91&amp;i=97</t>
    <phoneticPr fontId="2" type="noConversion"/>
  </si>
  <si>
    <t>https://new.land.naver.com/complexes/123900?tab=detail&amp;rf=Y&amp;a=APT:JGC:ABYG&amp;b=A1:B1&amp;e=RETAIL&amp;ad=true&amp;h=92&amp;i=98</t>
    <phoneticPr fontId="2" type="noConversion"/>
  </si>
  <si>
    <t>https://new.land.naver.com/complexes/123900?tab=detail&amp;rf=Y&amp;a=APT:JGC:ABYG&amp;b=A1:B1&amp;e=RETAIL&amp;ad=true&amp;h=96&amp;i=102</t>
    <phoneticPr fontId="2" type="noConversion"/>
  </si>
  <si>
    <t>https://new.land.naver.com/complexes/123900?tab=detail&amp;rf=Y&amp;a=APT:JGC:ABYG&amp;b=A1:B1&amp;e=RETAIL&amp;ad=true&amp;h=97&amp;i=103</t>
    <phoneticPr fontId="2" type="noConversion"/>
  </si>
  <si>
    <t>https://new.land.naver.com/complexes/123900?tab=detail&amp;rf=Y&amp;a=APT:JGC:ABYG&amp;b=A1:B1&amp;e=RETAIL&amp;ad=true&amp;h=98&amp;i=104</t>
    <phoneticPr fontId="2" type="noConversion"/>
  </si>
  <si>
    <t>https://new.land.naver.com/complexes/123900?tab=detail&amp;rf=Y&amp;a=APT:JGC:ABYG&amp;b=A1:B1&amp;e=RETAIL&amp;ad=true&amp;h=100&amp;i=106</t>
    <phoneticPr fontId="2" type="noConversion"/>
  </si>
  <si>
    <t>https://new.land.naver.com/complexes/123900?tab=detail&amp;rf=Y&amp;a=APT:JGC:ABYG&amp;b=A1:B1&amp;e=RETAIL&amp;ad=true&amp;h=108&amp;i=114</t>
    <phoneticPr fontId="2" type="noConversion"/>
  </si>
  <si>
    <t>https://new.land.naver.com/complexes/123900?tab=detail&amp;rf=Y&amp;a=APT:JGC:ABYG&amp;b=A1:B1&amp;e=RETAIL&amp;ad=true&amp;h=109&amp;i=115</t>
    <phoneticPr fontId="2" type="noConversion"/>
  </si>
  <si>
    <t>https://new.land.naver.com/complexes/123900?tab=detail&amp;rf=Y&amp;a=APT:JGC:ABYG&amp;b=A1:B1&amp;e=RETAIL&amp;ad=true&amp;h=111&amp;i=117</t>
    <phoneticPr fontId="2" type="noConversion"/>
  </si>
  <si>
    <t>https://new.land.naver.com/complexes/123900?tab=detail&amp;rf=Y&amp;a=APT:JGC:ABYG&amp;b=A1:B1&amp;e=RETAIL&amp;ad=true&amp;h=112&amp;i=118</t>
    <phoneticPr fontId="2" type="noConversion"/>
  </si>
  <si>
    <t>https://new.land.naver.com/complexes/123900?tab=detail&amp;rf=Y&amp;a=APT:JGC:ABYG&amp;b=A1:B1&amp;e=RETAIL&amp;ad=true&amp;h=113&amp;i=119</t>
    <phoneticPr fontId="2" type="noConversion"/>
  </si>
  <si>
    <t>평촌트리지아</t>
    <phoneticPr fontId="2" type="noConversion"/>
  </si>
  <si>
    <t>'24.08</t>
    <phoneticPr fontId="2" type="noConversion"/>
  </si>
  <si>
    <t>https://new.land.naver.com/complexes/142558?tab=detail&amp;rf=Y&amp;a=APT:JGC:ABYG&amp;b=A1:B1&amp;e=RETAIL&amp;ad=true&amp;h=81&amp;i=87</t>
    <phoneticPr fontId="2" type="noConversion"/>
  </si>
  <si>
    <t>https://new.land.naver.com/complexes/142558?tab=detail&amp;rf=Y&amp;a=APT:JGC:ABYG&amp;b=A1:B1&amp;e=RETAIL&amp;ad=true&amp;h=83&amp;i=89</t>
    <phoneticPr fontId="2" type="noConversion"/>
  </si>
  <si>
    <t>https://new.land.naver.com/complexes/142558?tab=detail&amp;rf=Y&amp;a=APT:JGC:ABYG&amp;b=A1:B1&amp;e=RETAIL&amp;ad=true&amp;h=99&amp;i=105</t>
    <phoneticPr fontId="2" type="noConversion"/>
  </si>
  <si>
    <t>https://new.land.naver.com/complexes/142558?tab=detail&amp;rf=Y&amp;a=APT:JGC:ABYG&amp;b=A1:B1&amp;e=RETAIL&amp;ad=true&amp;h=107&amp;i=113</t>
    <phoneticPr fontId="2" type="noConversion"/>
  </si>
  <si>
    <t>https://new.land.naver.com/complexes/142558?tab=detail&amp;rf=Y&amp;a=APT:JGC:ABYG&amp;b=A1:B1&amp;e=RETAIL&amp;ad=true&amp;h=109&amp;i=115</t>
    <phoneticPr fontId="2" type="noConversion"/>
  </si>
  <si>
    <t>평촌대성유니드</t>
    <phoneticPr fontId="2" type="noConversion"/>
  </si>
  <si>
    <t>https://new.land.naver.com/complexes/115703?tab=detail&amp;rf=Y&amp;a=APT:JGC:ABYG&amp;b=A1:B1&amp;e=RETAIL&amp;ad=true&amp;h=62&amp;i=68</t>
    <phoneticPr fontId="2" type="noConversion"/>
  </si>
  <si>
    <t>https://new.land.naver.com/complexes/115703?tab=detail&amp;rf=Y&amp;a=APT:JGC:ABYG&amp;b=A1:B1&amp;e=RETAIL&amp;ad=true&amp;h=82&amp;i=88</t>
    <phoneticPr fontId="2" type="noConversion"/>
  </si>
  <si>
    <t>https://new.land.naver.com/complexes/115703?tab=detail&amp;rf=Y&amp;a=APT:JGC:ABYG&amp;b=A1:B1&amp;e=RETAIL&amp;ad=true&amp;h=83&amp;i=89</t>
    <phoneticPr fontId="2" type="noConversion"/>
  </si>
  <si>
    <t>목련6단지</t>
    <phoneticPr fontId="2" type="noConversion"/>
  </si>
  <si>
    <t>https://new.land.naver.com/complexes/1456?tab=detail&amp;rf=Y&amp;a=APT:JGC:ABYG&amp;b=A1:B1&amp;e=RETAIL&amp;ad=true&amp;h=120&amp;i=126</t>
    <phoneticPr fontId="2" type="noConversion"/>
  </si>
  <si>
    <t>https://new.land.naver.com/complexes/1456?tab=detail&amp;rf=Y&amp;a=APT:JGC:ABYG&amp;b=A1:B1&amp;e=RETAIL&amp;ad=true&amp;h=156&amp;i=162</t>
    <phoneticPr fontId="2" type="noConversion"/>
  </si>
  <si>
    <t>https://new.land.naver.com/complexes/1456?tab=detail&amp;rf=Y&amp;a=APT:JGC:ABYG&amp;b=A1:B1&amp;e=RETAIL&amp;ad=true&amp;h=190&amp;i=196</t>
    <phoneticPr fontId="2" type="noConversion"/>
  </si>
  <si>
    <t>평촌트루엘파크</t>
    <phoneticPr fontId="2" type="noConversion"/>
  </si>
  <si>
    <t>'18.03</t>
    <phoneticPr fontId="2" type="noConversion"/>
  </si>
  <si>
    <t>https://new.land.naver.com/complexes/111921?tab=detail&amp;rf=Y&amp;a=APT:JGC:ABYG&amp;b=A1:B1&amp;e=RETAIL&amp;ad=true&amp;h=82&amp;i=88</t>
    <phoneticPr fontId="2" type="noConversion"/>
  </si>
  <si>
    <t>https://new.land.naver.com/complexes/111921?tab=detail&amp;rf=Y&amp;a=APT:JGC:ABYG&amp;b=A1:B1&amp;e=RETAIL&amp;ad=true&amp;h=83&amp;i=89</t>
    <phoneticPr fontId="2" type="noConversion"/>
  </si>
  <si>
    <t>https://new.land.naver.com/complexes/111921?tab=detail&amp;rf=Y&amp;a=APT:JGC:ABYG&amp;b=A1:B1&amp;e=RETAIL&amp;ad=true&amp;h=96&amp;i=102</t>
    <phoneticPr fontId="2" type="noConversion"/>
  </si>
  <si>
    <t>https://new.land.naver.com/complexes/111921?tab=detail&amp;rf=Y&amp;a=APT:JGC:ABYG&amp;b=A1:B1&amp;e=RETAIL&amp;ad=true&amp;h=106&amp;i=112</t>
    <phoneticPr fontId="2" type="noConversion"/>
  </si>
  <si>
    <t>https://new.land.naver.com/complexes/111921?tab=detail&amp;rf=Y&amp;a=APT:JGC:ABYG&amp;b=A1:B1&amp;e=RETAIL&amp;ad=true&amp;h=107&amp;i=113</t>
    <phoneticPr fontId="2" type="noConversion"/>
  </si>
  <si>
    <t>무궁화태영</t>
    <phoneticPr fontId="2" type="noConversion"/>
  </si>
  <si>
    <t>https://new.land.naver.com/complexes/1476?tab=detail&amp;rf=Y&amp;a=APT:JGC:ABYG&amp;b=A1:B1&amp;e=RETAIL&amp;ad=true&amp;h=77&amp;i=83</t>
    <phoneticPr fontId="2" type="noConversion"/>
  </si>
  <si>
    <t>https://new.land.naver.com/complexes/1476?tab=detail&amp;rf=Y&amp;a=APT:JGC:ABYG&amp;b=A1:B1&amp;e=RETAIL&amp;ad=true&amp;h=91&amp;i=97</t>
    <phoneticPr fontId="2" type="noConversion"/>
  </si>
  <si>
    <t>https://new.land.naver.com/complexes/1476?tab=detail&amp;rf=Y&amp;a=APT:JGC:ABYG&amp;b=A1:B1&amp;e=RETAIL&amp;ad=true&amp;h=101&amp;i=107</t>
    <phoneticPr fontId="2" type="noConversion"/>
  </si>
  <si>
    <t>호계e-편한세상</t>
    <phoneticPr fontId="2" type="noConversion"/>
  </si>
  <si>
    <t>https://new.land.naver.com/complexes/8036?tab=detail&amp;rf=Y&amp;a=APT:JGC:ABYG&amp;b=A1:B1&amp;e=RETAIL&amp;ad=true&amp;h=78&amp;i=84</t>
    <phoneticPr fontId="2" type="noConversion"/>
  </si>
  <si>
    <t>https://new.land.naver.com/complexes/8036?tab=detail&amp;rf=Y&amp;a=APT:JGC:ABYG&amp;b=A1:B1&amp;e=RETAIL&amp;ad=true&amp;h=79&amp;i=85</t>
    <phoneticPr fontId="2" type="noConversion"/>
  </si>
  <si>
    <t>https://new.land.naver.com/complexes/8036?tab=detail&amp;rf=Y&amp;a=APT:JGC:ABYG&amp;b=A1:B1&amp;e=RETAIL&amp;ad=true&amp;h=104&amp;i=110</t>
    <phoneticPr fontId="2" type="noConversion"/>
  </si>
  <si>
    <t>https://new.land.naver.com/complexes/8036?tab=detail&amp;rf=Y&amp;a=APT:JGC:ABYG&amp;b=A1:B1&amp;e=RETAIL&amp;ad=true&amp;h=105&amp;i=111</t>
    <phoneticPr fontId="2" type="noConversion"/>
  </si>
  <si>
    <t>https://new.land.naver.com/complexes/8036?tab=detail&amp;rf=Y&amp;a=APT:JGC:ABYG&amp;b=A1:B1&amp;e=RETAIL&amp;ad=true&amp;h=120&amp;i=126</t>
    <phoneticPr fontId="2" type="noConversion"/>
  </si>
  <si>
    <t>https://new.land.naver.com/complexes/8036?tab=detail&amp;rf=Y&amp;a=APT:JGC:ABYG&amp;b=A1:B1&amp;e=RETAIL&amp;ad=true&amp;h=141&amp;i=147</t>
    <phoneticPr fontId="2" type="noConversion"/>
  </si>
  <si>
    <t>https://new.land.naver.com/complexes/8036?tab=detail&amp;rf=Y&amp;a=APT:JGC:ABYG&amp;b=A1:B1&amp;e=RETAIL&amp;ad=true&amp;h=169&amp;i=175</t>
    <phoneticPr fontId="2" type="noConversion"/>
  </si>
  <si>
    <t>샘대우한양</t>
    <phoneticPr fontId="2" type="noConversion"/>
  </si>
  <si>
    <t>https://new.land.naver.com/complexes/1441?tab=detail&amp;rf=Y&amp;a=APT:JGC:ABYG&amp;b=A1:B1&amp;e=RETAIL&amp;ad=true&amp;h=99&amp;i=105</t>
    <phoneticPr fontId="2" type="noConversion"/>
  </si>
  <si>
    <t>https://new.land.naver.com/complexes/1441?tab=detail&amp;rf=Y&amp;a=APT:JGC:ABYG&amp;b=A1:B1&amp;e=RETAIL&amp;ad=true&amp;h=106&amp;i=112</t>
    <phoneticPr fontId="2" type="noConversion"/>
  </si>
  <si>
    <t>https://new.land.naver.com/complexes/1441?tab=detail&amp;rf=Y&amp;a=APT:JGC:ABYG&amp;b=A1:B1&amp;e=RETAIL&amp;ad=true&amp;h=107&amp;i=113</t>
    <phoneticPr fontId="2" type="noConversion"/>
  </si>
  <si>
    <t>https://new.land.naver.com/complexes/1441?tab=detail&amp;rf=Y&amp;a=APT:JGC:ABYG&amp;b=A1:B1&amp;e=RETAIL&amp;ad=true&amp;h=121&amp;i=127</t>
    <phoneticPr fontId="2" type="noConversion"/>
  </si>
  <si>
    <t>https://new.land.naver.com/complexes/1441?tab=detail&amp;rf=Y&amp;a=APT:JGC:ABYG&amp;b=A1:B1&amp;e=RETAIL&amp;ad=true&amp;h=120&amp;i=126</t>
    <phoneticPr fontId="2" type="noConversion"/>
  </si>
  <si>
    <t>https://new.land.naver.com/complexes/1441?tab=detail&amp;rf=Y&amp;a=APT:JGC:ABYG&amp;b=A1:B1&amp;e=RETAIL&amp;ad=true&amp;h=142&amp;i=148</t>
    <phoneticPr fontId="2" type="noConversion"/>
  </si>
  <si>
    <t>https://new.land.naver.com/complexes/1441?tab=detail&amp;rf=Y&amp;a=APT:JGC:ABYG&amp;b=A1:B1&amp;e=RETAIL&amp;ad=true&amp;h=159&amp;i=165</t>
    <phoneticPr fontId="2" type="noConversion"/>
  </si>
  <si>
    <t>https://new.land.naver.com/complexes/1441?tab=detail&amp;rf=Y&amp;a=APT:JGC:ABYG&amp;b=A1:B1&amp;e=RETAIL&amp;ad=true&amp;h=175&amp;i=181</t>
    <phoneticPr fontId="2" type="noConversion"/>
  </si>
  <si>
    <t>https://new.land.naver.com/complexes/1441?tab=detail&amp;rf=Y&amp;a=APT:JGC:ABYG&amp;b=A1:B1&amp;e=RETAIL&amp;ad=true&amp;h=196&amp;i=202</t>
    <phoneticPr fontId="2" type="noConversion"/>
  </si>
  <si>
    <t>https://new.land.naver.com/complexes/1441?tab=detail&amp;rf=Y&amp;a=APT:JGC:ABYG&amp;b=A1:B1&amp;e=RETAIL&amp;ad=true&amp;h=195&amp;i=201</t>
    <phoneticPr fontId="2" type="noConversion"/>
  </si>
  <si>
    <t>푸른마을삼성</t>
    <phoneticPr fontId="2" type="noConversion"/>
  </si>
  <si>
    <t>'99.01</t>
    <phoneticPr fontId="2" type="noConversion"/>
  </si>
  <si>
    <t>https://new.land.naver.com/complexes/2026?tab=detail&amp;rf=Y&amp;a=APT:JGC:ABYG&amp;b=A1:B1&amp;e=RETAIL&amp;ad=true&amp;h=81&amp;i=87</t>
    <phoneticPr fontId="2" type="noConversion"/>
  </si>
  <si>
    <t>https://new.land.naver.com/complexes/2026?tab=detail&amp;rf=Y&amp;a=APT:JGC:ABYG&amp;b=A1:B1&amp;e=RETAIL&amp;ad=true&amp;h=104&amp;i=110</t>
    <phoneticPr fontId="2" type="noConversion"/>
  </si>
  <si>
    <t>무궁화경남</t>
    <phoneticPr fontId="2" type="noConversion"/>
  </si>
  <si>
    <t>'94.08</t>
    <phoneticPr fontId="2" type="noConversion"/>
  </si>
  <si>
    <t>https://new.land.naver.com/complexes/1471?tab=detail&amp;rf=Y&amp;a=APT:JGC:ABYG&amp;b=A1:B1&amp;e=RETAIL&amp;ad=true&amp;h=78&amp;i=84</t>
    <phoneticPr fontId="2" type="noConversion"/>
  </si>
  <si>
    <t>https://new.land.naver.com/complexes/1471?tab=detail&amp;rf=Y&amp;a=APT:JGC:ABYG&amp;b=A1:B1&amp;e=RETAIL&amp;ad=true&amp;h=104&amp;i=110</t>
    <phoneticPr fontId="2" type="noConversion"/>
  </si>
  <si>
    <t>목련7단지</t>
    <phoneticPr fontId="2" type="noConversion"/>
  </si>
  <si>
    <t>https://new.land.naver.com/complexes/1459?tab=detail&amp;rf=Y&amp;a=APT:JGC:ABYG&amp;b=A1:B1&amp;e=RETAIL&amp;ad=true&amp;h=120&amp;i=126</t>
    <phoneticPr fontId="2" type="noConversion"/>
  </si>
  <si>
    <t>https://new.land.naver.com/complexes/1459?tab=detail&amp;rf=Y&amp;a=APT:JGC:ABYG&amp;b=A1:B1&amp;e=RETAIL&amp;ad=true&amp;h=153&amp;i=159</t>
    <phoneticPr fontId="2" type="noConversion"/>
  </si>
  <si>
    <t>https://new.land.naver.com/complexes/1459?tab=detail&amp;rf=Y&amp;a=APT:JGC:ABYG&amp;b=A1:B1&amp;e=RETAIL&amp;ad=true&amp;h=184&amp;i=190</t>
    <phoneticPr fontId="2" type="noConversion"/>
  </si>
  <si>
    <t>샘우방</t>
    <phoneticPr fontId="2" type="noConversion"/>
  </si>
  <si>
    <t>'92.12</t>
    <phoneticPr fontId="2" type="noConversion"/>
  </si>
  <si>
    <t>https://new.land.naver.com/complexes/1443?tab=detail&amp;rf=Y&amp;a=APT:JGC:ABYG&amp;b=A1:B1&amp;e=RETAIL&amp;ad=true&amp;h=118&amp;i=124</t>
    <phoneticPr fontId="2" type="noConversion"/>
  </si>
  <si>
    <t>https://new.land.naver.com/complexes/1443?tab=detail&amp;rf=Y&amp;a=APT:JGC:ABYG&amp;b=A1:B1&amp;e=RETAIL&amp;ad=true&amp;h=158&amp;i=164</t>
    <phoneticPr fontId="2" type="noConversion"/>
  </si>
  <si>
    <t>목련5단지</t>
    <phoneticPr fontId="2" type="noConversion"/>
  </si>
  <si>
    <t>https://new.land.naver.com/complexes/3023?tab=detail&amp;rf=Y&amp;a=APT:JGC:ABYG&amp;b=A1:B1&amp;e=RETAIL&amp;ad=true&amp;h=51&amp;i=57</t>
    <phoneticPr fontId="2" type="noConversion"/>
  </si>
  <si>
    <t>https://new.land.naver.com/complexes/3023?tab=detail&amp;rf=Y&amp;a=APT:JGC:ABYG&amp;b=A1:B1&amp;e=RETAIL&amp;ad=true&amp;h=74&amp;i=80</t>
    <phoneticPr fontId="2" type="noConversion"/>
  </si>
  <si>
    <t>https://new.land.naver.com/complexes/3023?tab=detail&amp;rf=Y&amp;a=APT:JGC:ABYG&amp;b=A1:B1&amp;e=RETAIL&amp;ad=true&amp;h=76&amp;i=82</t>
    <phoneticPr fontId="2" type="noConversion"/>
  </si>
  <si>
    <t>한마음1단지</t>
    <phoneticPr fontId="2" type="noConversion"/>
  </si>
  <si>
    <t>'99.07</t>
    <phoneticPr fontId="2" type="noConversion"/>
  </si>
  <si>
    <t>https://new.land.naver.com/complexes/2042?tab=detail&amp;rf=Y&amp;a=APT:JGC:ABYG&amp;b=A1:B1&amp;e=RETAIL&amp;ad=true&amp;h=77&amp;i=83</t>
    <phoneticPr fontId="2" type="noConversion"/>
  </si>
  <si>
    <t>https://new.land.naver.com/complexes/2042?tab=detail&amp;rf=Y&amp;a=APT:JGC:ABYG&amp;b=A1:B1&amp;e=RETAIL&amp;ad=true&amp;h=104&amp;i=110</t>
    <phoneticPr fontId="2" type="noConversion"/>
  </si>
  <si>
    <t>호계효성</t>
    <phoneticPr fontId="2" type="noConversion"/>
  </si>
  <si>
    <t>'00.1</t>
    <phoneticPr fontId="2" type="noConversion"/>
  </si>
  <si>
    <t>https://new.land.naver.com/complexes/8800?tab=detail&amp;rf=Y&amp;a=APT:JGC:ABYG&amp;b=A1:B1&amp;e=RETAIL&amp;ad=true&amp;h=81&amp;i=87</t>
    <phoneticPr fontId="2" type="noConversion"/>
  </si>
  <si>
    <t>https://new.land.naver.com/complexes/8800?tab=detail&amp;rf=Y&amp;a=APT:JGC:ABYG&amp;b=A1:B1&amp;e=RETAIL&amp;ad=true&amp;h=105&amp;i=111</t>
    <phoneticPr fontId="2" type="noConversion"/>
  </si>
  <si>
    <t>https://new.land.naver.com/complexes/8800?tab=detail&amp;rf=Y&amp;a=APT:JGC:ABYG&amp;b=A1:B1&amp;e=RETAIL&amp;ad=true&amp;h=151&amp;i=157</t>
    <phoneticPr fontId="2" type="noConversion"/>
  </si>
  <si>
    <t>한마음2단지</t>
    <phoneticPr fontId="2" type="noConversion"/>
  </si>
  <si>
    <t>'03.04</t>
    <phoneticPr fontId="2" type="noConversion"/>
  </si>
  <si>
    <t>https://new.land.naver.com/complexes/3083?tab=detail&amp;rf=Y&amp;a=APT:JGC:ABYG&amp;b=A1:B1&amp;e=RETAIL&amp;ad=true&amp;h=72&amp;i=78</t>
    <phoneticPr fontId="2" type="noConversion"/>
  </si>
  <si>
    <t>https://new.land.naver.com/complexes/3083?tab=detail&amp;rf=Y&amp;a=APT:JGC:ABYG&amp;b=A1:B1&amp;e=RETAIL&amp;ad=true&amp;h=96&amp;i=102</t>
    <phoneticPr fontId="2" type="noConversion"/>
  </si>
  <si>
    <t>https://new.land.naver.com/complexes/3083?tab=detail&amp;rf=Y&amp;a=APT:JGC:ABYG&amp;b=A1:B1&amp;e=RETAIL&amp;ad=true&amp;h=127&amp;i=133</t>
    <phoneticPr fontId="2" type="noConversion"/>
  </si>
  <si>
    <t>호계현대홈타운1차</t>
    <phoneticPr fontId="2" type="noConversion"/>
  </si>
  <si>
    <t>'02.11</t>
    <phoneticPr fontId="2" type="noConversion"/>
  </si>
  <si>
    <t>https://new.land.naver.com/complexes/3081?tab=detail&amp;rf=Y&amp;a=APT:JGC:ABYG&amp;b=A1:B1&amp;e=RETAIL&amp;ad=true&amp;h=85&amp;i=91</t>
    <phoneticPr fontId="2" type="noConversion"/>
  </si>
  <si>
    <t>https://new.land.naver.com/complexes/3081?tab=detail&amp;rf=Y&amp;a=APT:JGC:ABYG&amp;b=A1:B1&amp;e=RETAIL&amp;ad=true&amp;h=115&amp;i=121</t>
    <phoneticPr fontId="2" type="noConversion"/>
  </si>
  <si>
    <t>https://new.land.naver.com/complexes/3081?tab=detail&amp;rf=Y&amp;a=APT:JGC:ABYG&amp;b=A1:B1&amp;e=RETAIL&amp;ad=true&amp;h=117&amp;i=123</t>
    <phoneticPr fontId="2" type="noConversion"/>
  </si>
  <si>
    <t>https://new.land.naver.com/complexes/3081?tab=detail&amp;rf=Y&amp;a=APT:JGC:ABYG&amp;b=A1:B1&amp;e=RETAIL&amp;ad=true&amp;h=152&amp;i=158</t>
    <phoneticPr fontId="2" type="noConversion"/>
  </si>
  <si>
    <t>목련8단지</t>
    <phoneticPr fontId="2" type="noConversion"/>
  </si>
  <si>
    <t>https://new.land.naver.com/complexes/3016?tab=detail&amp;rf=Y&amp;a=APT:JGC:ABYG&amp;b=A1:B1&amp;e=RETAIL&amp;ad=true&amp;h=117&amp;i=123</t>
    <phoneticPr fontId="2" type="noConversion"/>
  </si>
  <si>
    <t>https://new.land.naver.com/complexes/3016?tab=detail&amp;rf=Y&amp;a=APT:JGC:ABYG&amp;b=A1:B1&amp;e=RETAIL&amp;ad=true&amp;h=148&amp;i=154</t>
    <phoneticPr fontId="2" type="noConversion"/>
  </si>
  <si>
    <t>https://new.land.naver.com/complexes/3016?tab=detail&amp;rf=Y&amp;a=APT:JGC:ABYG&amp;b=A1:B1&amp;e=RETAIL&amp;ad=true&amp;h=192&amp;i=198</t>
    <phoneticPr fontId="2" type="noConversion"/>
  </si>
  <si>
    <t>무궁화진흥</t>
    <phoneticPr fontId="2" type="noConversion"/>
  </si>
  <si>
    <t>https://new.land.naver.com/complexes/1473?tab=detail&amp;rf=Y&amp;a=APT:JGC:ABYG&amp;b=A1:B1&amp;e=RETAIL&amp;ad=true&amp;h=72&amp;i=78</t>
    <phoneticPr fontId="2" type="noConversion"/>
  </si>
  <si>
    <t>https://new.land.naver.com/complexes/1473?tab=detail&amp;rf=Y&amp;a=APT:JGC:ABYG&amp;b=A1:B1&amp;e=RETAIL&amp;ad=true&amp;h=101&amp;i=107</t>
    <phoneticPr fontId="2" type="noConversion"/>
  </si>
  <si>
    <t>무궁화효성,한양</t>
    <phoneticPr fontId="2" type="noConversion"/>
  </si>
  <si>
    <t>https://new.land.naver.com/complexes/19492?tab=detail&amp;rf=Y&amp;a=APT:JGC:ABYG&amp;b=A1:B1&amp;e=RETAIL&amp;ad=true&amp;h=76&amp;i=82</t>
    <phoneticPr fontId="2" type="noConversion"/>
  </si>
  <si>
    <t>https://new.land.naver.com/complexes/19492?tab=detail&amp;rf=Y&amp;a=APT:JGC:ABYG&amp;b=A1:B1&amp;e=RETAIL&amp;ad=true&amp;h=97&amp;i=103</t>
    <phoneticPr fontId="2" type="noConversion"/>
  </si>
  <si>
    <t>https://new.land.naver.com/complexes/19492?tab=detail&amp;rf=Y&amp;a=APT:JGC:ABYG&amp;b=A1:B1&amp;e=RETAIL&amp;ad=true&amp;h=105&amp;i=111</t>
    <phoneticPr fontId="2" type="noConversion"/>
  </si>
  <si>
    <t>샘마을임광</t>
    <phoneticPr fontId="2" type="noConversion"/>
  </si>
  <si>
    <t>https://new.land.naver.com/complexes/1444?tab=detail&amp;rf=Y&amp;a=APT:JGC:ABYG&amp;b=A1:B1&amp;e=RETAIL&amp;ad=true&amp;h=107&amp;i=113</t>
    <phoneticPr fontId="2" type="noConversion"/>
  </si>
  <si>
    <t>https://new.land.naver.com/complexes/1444?tab=detail&amp;rf=Y&amp;a=APT:JGC:ABYG&amp;b=A1:B1&amp;e=RETAIL&amp;ad=true&amp;h=135&amp;i=141</t>
    <phoneticPr fontId="2" type="noConversion"/>
  </si>
  <si>
    <t>https://new.land.naver.com/complexes/1444?tab=detail&amp;rf=Y&amp;a=APT:JGC:ABYG&amp;b=A1:B1&amp;e=RETAIL&amp;ad=true&amp;h=189&amp;i=195</t>
    <phoneticPr fontId="2" type="noConversion"/>
  </si>
  <si>
    <t>호계럭키</t>
    <phoneticPr fontId="2" type="noConversion"/>
  </si>
  <si>
    <t>https://new.land.naver.com/complexes/2033?tab=detail&amp;rf=Y&amp;a=APT:JGC:ABYG&amp;b=A1:B1&amp;e=RETAIL&amp;ad=true&amp;h=98&amp;i=104</t>
    <phoneticPr fontId="2" type="noConversion"/>
  </si>
  <si>
    <t>https://new.land.naver.com/complexes/2033?tab=detail&amp;rf=Y&amp;a=APT:JGC:ABYG&amp;b=A1:B1&amp;e=RETAIL&amp;ad=true&amp;h=101&amp;i=107</t>
    <phoneticPr fontId="2" type="noConversion"/>
  </si>
  <si>
    <t>https://new.land.naver.com/complexes/2033?tab=detail&amp;rf=Y&amp;a=APT:JGC:ABYG&amp;b=A1:B1&amp;e=RETAIL&amp;ad=true&amp;h=146&amp;i=152</t>
    <phoneticPr fontId="2" type="noConversion"/>
  </si>
  <si>
    <t>5년간 전세매물이 단한건도없음</t>
    <phoneticPr fontId="2" type="noConversion"/>
  </si>
  <si>
    <t>19년도가 마지막계약</t>
    <phoneticPr fontId="2" type="noConversion"/>
  </si>
  <si>
    <t>18년 계약</t>
    <phoneticPr fontId="2" type="noConversion"/>
  </si>
  <si>
    <t>왜 아무 데이터도없을까(임대인가?)</t>
    <phoneticPr fontId="2" type="noConversion"/>
  </si>
  <si>
    <t>24년 10월 분양(현재 가격 X)</t>
    <phoneticPr fontId="2" type="noConversion"/>
  </si>
  <si>
    <t>실거래아예없음</t>
    <phoneticPr fontId="2" type="noConversion"/>
  </si>
  <si>
    <t>25/26</t>
    <phoneticPr fontId="2" type="noConversion"/>
  </si>
  <si>
    <t>4/20</t>
    <phoneticPr fontId="2" type="noConversion"/>
  </si>
  <si>
    <t>중/26</t>
    <phoneticPr fontId="2" type="noConversion"/>
  </si>
  <si>
    <t>10/20</t>
    <phoneticPr fontId="2" type="noConversion"/>
  </si>
  <si>
    <t>20/26</t>
    <phoneticPr fontId="2" type="noConversion"/>
  </si>
  <si>
    <t>중/15</t>
    <phoneticPr fontId="2" type="noConversion"/>
  </si>
  <si>
    <t>2/15</t>
    <phoneticPr fontId="2" type="noConversion"/>
  </si>
  <si>
    <t>13/15</t>
    <phoneticPr fontId="2" type="noConversion"/>
  </si>
  <si>
    <t>7/25</t>
    <phoneticPr fontId="2" type="noConversion"/>
  </si>
  <si>
    <t>중/16</t>
    <phoneticPr fontId="2" type="noConversion"/>
  </si>
  <si>
    <t>9/12</t>
    <phoneticPr fontId="2" type="noConversion"/>
  </si>
  <si>
    <t>3/15</t>
    <phoneticPr fontId="2" type="noConversion"/>
  </si>
  <si>
    <t>고/12</t>
    <phoneticPr fontId="2" type="noConversion"/>
  </si>
  <si>
    <t>2/14</t>
    <phoneticPr fontId="2" type="noConversion"/>
  </si>
  <si>
    <t>저/15</t>
    <phoneticPr fontId="2" type="noConversion"/>
  </si>
  <si>
    <t>9/15</t>
    <phoneticPr fontId="2" type="noConversion"/>
  </si>
  <si>
    <t>12/15</t>
    <phoneticPr fontId="2" type="noConversion"/>
  </si>
  <si>
    <t>2/13</t>
    <phoneticPr fontId="2" type="noConversion"/>
  </si>
  <si>
    <t>3/25</t>
    <phoneticPr fontId="2" type="noConversion"/>
  </si>
  <si>
    <t>10/25</t>
    <phoneticPr fontId="2" type="noConversion"/>
  </si>
  <si>
    <t>7/13</t>
    <phoneticPr fontId="2" type="noConversion"/>
  </si>
  <si>
    <t>2/25</t>
    <phoneticPr fontId="2" type="noConversion"/>
  </si>
  <si>
    <t>고/15</t>
    <phoneticPr fontId="2" type="noConversion"/>
  </si>
  <si>
    <t>14/15</t>
    <phoneticPr fontId="2" type="noConversion"/>
  </si>
  <si>
    <t>20</t>
    <phoneticPr fontId="2" type="noConversion"/>
  </si>
  <si>
    <t>13/14</t>
    <phoneticPr fontId="2" type="noConversion"/>
  </si>
  <si>
    <t>6/15</t>
    <phoneticPr fontId="2" type="noConversion"/>
  </si>
  <si>
    <t>19/25</t>
    <phoneticPr fontId="2" type="noConversion"/>
  </si>
  <si>
    <t>11/25</t>
    <phoneticPr fontId="2" type="noConversion"/>
  </si>
  <si>
    <t>중/14</t>
    <phoneticPr fontId="2" type="noConversion"/>
  </si>
  <si>
    <t>3/13</t>
    <phoneticPr fontId="2" type="noConversion"/>
  </si>
  <si>
    <t>1/13</t>
    <phoneticPr fontId="2" type="noConversion"/>
  </si>
  <si>
    <t>11/15</t>
    <phoneticPr fontId="2" type="noConversion"/>
  </si>
  <si>
    <t>11/13</t>
    <phoneticPr fontId="2" type="noConversion"/>
  </si>
  <si>
    <t>1</t>
    <phoneticPr fontId="2" type="noConversion"/>
  </si>
  <si>
    <t>6/18</t>
    <phoneticPr fontId="2" type="noConversion"/>
  </si>
  <si>
    <t>중/19</t>
    <phoneticPr fontId="2" type="noConversion"/>
  </si>
  <si>
    <t>5/26</t>
    <phoneticPr fontId="2" type="noConversion"/>
  </si>
  <si>
    <t>24/26</t>
    <phoneticPr fontId="2" type="noConversion"/>
  </si>
  <si>
    <t>8</t>
    <phoneticPr fontId="2" type="noConversion"/>
  </si>
  <si>
    <t>7/10</t>
    <phoneticPr fontId="2" type="noConversion"/>
  </si>
  <si>
    <t>중/24</t>
    <phoneticPr fontId="2" type="noConversion"/>
  </si>
  <si>
    <t>19</t>
    <phoneticPr fontId="2" type="noConversion"/>
  </si>
  <si>
    <t>4</t>
    <phoneticPr fontId="2" type="noConversion"/>
  </si>
  <si>
    <t>5/12</t>
    <phoneticPr fontId="2" type="noConversion"/>
  </si>
  <si>
    <t>15/25</t>
    <phoneticPr fontId="2" type="noConversion"/>
  </si>
  <si>
    <t>16/18</t>
    <phoneticPr fontId="2" type="noConversion"/>
  </si>
  <si>
    <t>10/15</t>
    <phoneticPr fontId="2" type="noConversion"/>
  </si>
  <si>
    <t>3/12</t>
    <phoneticPr fontId="2" type="noConversion"/>
  </si>
  <si>
    <t>4/15</t>
    <phoneticPr fontId="2" type="noConversion"/>
  </si>
  <si>
    <t>18/24</t>
    <phoneticPr fontId="2" type="noConversion"/>
  </si>
  <si>
    <t>8/19</t>
    <phoneticPr fontId="2" type="noConversion"/>
  </si>
  <si>
    <t>6/20</t>
    <phoneticPr fontId="2" type="noConversion"/>
  </si>
  <si>
    <t>15</t>
    <phoneticPr fontId="2" type="noConversion"/>
  </si>
  <si>
    <t>11/20</t>
    <phoneticPr fontId="2" type="noConversion"/>
  </si>
  <si>
    <t>5/20</t>
    <phoneticPr fontId="2" type="noConversion"/>
  </si>
  <si>
    <t>중/25</t>
    <phoneticPr fontId="2" type="noConversion"/>
  </si>
  <si>
    <t>고/20</t>
    <phoneticPr fontId="2" type="noConversion"/>
  </si>
  <si>
    <t>10/23</t>
    <phoneticPr fontId="2" type="noConversion"/>
  </si>
  <si>
    <t>2/23</t>
    <phoneticPr fontId="2" type="noConversion"/>
  </si>
  <si>
    <t>3/23</t>
    <phoneticPr fontId="2" type="noConversion"/>
  </si>
  <si>
    <t>9</t>
    <phoneticPr fontId="2" type="noConversion"/>
  </si>
  <si>
    <t>10/24</t>
    <phoneticPr fontId="2" type="noConversion"/>
  </si>
  <si>
    <t>3/26</t>
    <phoneticPr fontId="2" type="noConversion"/>
  </si>
  <si>
    <t>2/24</t>
    <phoneticPr fontId="2" type="noConversion"/>
  </si>
  <si>
    <t>3/17</t>
    <phoneticPr fontId="2" type="noConversion"/>
  </si>
  <si>
    <t>20/21</t>
    <phoneticPr fontId="2" type="noConversion"/>
  </si>
  <si>
    <t>10/21</t>
    <phoneticPr fontId="2" type="noConversion"/>
  </si>
  <si>
    <t>17/18</t>
    <phoneticPr fontId="2" type="noConversion"/>
  </si>
  <si>
    <t>7/15</t>
    <phoneticPr fontId="2" type="noConversion"/>
  </si>
  <si>
    <t>11/21</t>
    <phoneticPr fontId="2" type="noConversion"/>
  </si>
  <si>
    <t>20/22</t>
    <phoneticPr fontId="2" type="noConversion"/>
  </si>
  <si>
    <t>19/22</t>
    <phoneticPr fontId="2" type="noConversion"/>
  </si>
  <si>
    <t>14/22</t>
    <phoneticPr fontId="2" type="noConversion"/>
  </si>
  <si>
    <t>4/25</t>
    <phoneticPr fontId="2" type="noConversion"/>
  </si>
  <si>
    <t>25/25</t>
    <phoneticPr fontId="2" type="noConversion"/>
  </si>
  <si>
    <t>2/22</t>
    <phoneticPr fontId="2" type="noConversion"/>
  </si>
  <si>
    <t>6/22</t>
    <phoneticPr fontId="2" type="noConversion"/>
  </si>
  <si>
    <t>10</t>
    <phoneticPr fontId="2" type="noConversion"/>
  </si>
  <si>
    <t>18/25</t>
    <phoneticPr fontId="2" type="noConversion"/>
  </si>
  <si>
    <t>2/12</t>
    <phoneticPr fontId="2" type="noConversion"/>
  </si>
  <si>
    <t>5/13</t>
    <phoneticPr fontId="2" type="noConversion"/>
  </si>
  <si>
    <t>5/10</t>
    <phoneticPr fontId="2" type="noConversion"/>
  </si>
  <si>
    <t>5/15</t>
    <phoneticPr fontId="2" type="noConversion"/>
  </si>
  <si>
    <t>13/19</t>
    <phoneticPr fontId="2" type="noConversion"/>
  </si>
  <si>
    <t>5/19</t>
    <phoneticPr fontId="2" type="noConversion"/>
  </si>
  <si>
    <t>고/18</t>
    <phoneticPr fontId="2" type="noConversion"/>
  </si>
  <si>
    <t>저/15</t>
    <phoneticPr fontId="2" type="noConversion"/>
  </si>
  <si>
    <t>8</t>
    <phoneticPr fontId="2" type="noConversion"/>
  </si>
  <si>
    <t>15/15</t>
    <phoneticPr fontId="2" type="noConversion"/>
  </si>
  <si>
    <t>4/15</t>
    <phoneticPr fontId="2" type="noConversion"/>
  </si>
  <si>
    <t>11/15</t>
    <phoneticPr fontId="2" type="noConversion"/>
  </si>
  <si>
    <t>6/17</t>
    <phoneticPr fontId="2" type="noConversion"/>
  </si>
  <si>
    <t>7/10</t>
    <phoneticPr fontId="2" type="noConversion"/>
  </si>
  <si>
    <t>고/22</t>
    <phoneticPr fontId="2" type="noConversion"/>
  </si>
  <si>
    <t>11/22</t>
    <phoneticPr fontId="2" type="noConversion"/>
  </si>
  <si>
    <t>중/10</t>
    <phoneticPr fontId="2" type="noConversion"/>
  </si>
  <si>
    <t>5</t>
    <phoneticPr fontId="2" type="noConversion"/>
  </si>
  <si>
    <t>22/01매물</t>
    <phoneticPr fontId="2" type="noConversion"/>
  </si>
  <si>
    <t>10/15</t>
    <phoneticPr fontId="2" type="noConversion"/>
  </si>
  <si>
    <t>매물없음</t>
    <phoneticPr fontId="2" type="noConversion"/>
  </si>
  <si>
    <t>11</t>
    <phoneticPr fontId="2" type="noConversion"/>
  </si>
  <si>
    <t>6/15</t>
    <phoneticPr fontId="2" type="noConversion"/>
  </si>
  <si>
    <t>4</t>
    <phoneticPr fontId="2" type="noConversion"/>
  </si>
  <si>
    <t>11/17</t>
    <phoneticPr fontId="2" type="noConversion"/>
  </si>
  <si>
    <t>6/9</t>
    <phoneticPr fontId="2" type="noConversion"/>
  </si>
  <si>
    <t>3/22</t>
    <phoneticPr fontId="2" type="noConversion"/>
  </si>
  <si>
    <t>12</t>
    <phoneticPr fontId="2" type="noConversion"/>
  </si>
  <si>
    <t>2</t>
    <phoneticPr fontId="2" type="noConversion"/>
  </si>
  <si>
    <t>3년간매물없음</t>
    <phoneticPr fontId="2" type="noConversion"/>
  </si>
  <si>
    <t>저/14</t>
    <phoneticPr fontId="2" type="noConversion"/>
  </si>
  <si>
    <t>4/20</t>
    <phoneticPr fontId="2" type="noConversion"/>
  </si>
  <si>
    <t>8/25</t>
    <phoneticPr fontId="2" type="noConversion"/>
  </si>
  <si>
    <t>2/25</t>
    <phoneticPr fontId="2" type="noConversion"/>
  </si>
  <si>
    <t>6/25</t>
    <phoneticPr fontId="2" type="noConversion"/>
  </si>
  <si>
    <t>고/25</t>
    <phoneticPr fontId="2" type="noConversion"/>
  </si>
  <si>
    <t>15/25</t>
    <phoneticPr fontId="2" type="noConversion"/>
  </si>
  <si>
    <t>22/25</t>
    <phoneticPr fontId="2" type="noConversion"/>
  </si>
  <si>
    <t>중/14</t>
    <phoneticPr fontId="2" type="noConversion"/>
  </si>
  <si>
    <t>고/14</t>
    <phoneticPr fontId="2" type="noConversion"/>
  </si>
  <si>
    <t>3/14</t>
    <phoneticPr fontId="2" type="noConversion"/>
  </si>
  <si>
    <t>12/14</t>
    <phoneticPr fontId="2" type="noConversion"/>
  </si>
  <si>
    <t>7/13</t>
    <phoneticPr fontId="2" type="noConversion"/>
  </si>
  <si>
    <t>10/14</t>
    <phoneticPr fontId="2" type="noConversion"/>
  </si>
  <si>
    <t>2/14</t>
    <phoneticPr fontId="2" type="noConversion"/>
  </si>
  <si>
    <t>14/15</t>
    <phoneticPr fontId="2" type="noConversion"/>
  </si>
  <si>
    <t>저/10</t>
    <phoneticPr fontId="2" type="noConversion"/>
  </si>
  <si>
    <t>고/15</t>
    <phoneticPr fontId="2" type="noConversion"/>
  </si>
  <si>
    <t>3/15</t>
    <phoneticPr fontId="2" type="noConversion"/>
  </si>
  <si>
    <t>저/29</t>
    <phoneticPr fontId="2" type="noConversion"/>
  </si>
  <si>
    <t>19/29</t>
    <phoneticPr fontId="2" type="noConversion"/>
  </si>
  <si>
    <t>중/32</t>
    <phoneticPr fontId="2" type="noConversion"/>
  </si>
  <si>
    <t>중/29</t>
    <phoneticPr fontId="2" type="noConversion"/>
  </si>
  <si>
    <t>6/29</t>
    <phoneticPr fontId="2" type="noConversion"/>
  </si>
  <si>
    <t>저/32</t>
    <phoneticPr fontId="2" type="noConversion"/>
  </si>
  <si>
    <t>5/29</t>
    <phoneticPr fontId="2" type="noConversion"/>
  </si>
  <si>
    <t>9/32</t>
    <phoneticPr fontId="2" type="noConversion"/>
  </si>
  <si>
    <t>23</t>
    <phoneticPr fontId="2" type="noConversion"/>
  </si>
  <si>
    <t>21/11 매물</t>
    <phoneticPr fontId="2" type="noConversion"/>
  </si>
  <si>
    <t>21/6 매물</t>
    <phoneticPr fontId="2" type="noConversion"/>
  </si>
  <si>
    <t>21/9 매물</t>
    <phoneticPr fontId="2" type="noConversion"/>
  </si>
  <si>
    <t>5/5</t>
    <phoneticPr fontId="2" type="noConversion"/>
  </si>
  <si>
    <t>1/5</t>
    <phoneticPr fontId="2" type="noConversion"/>
  </si>
  <si>
    <t>고/5</t>
    <phoneticPr fontId="2" type="noConversion"/>
  </si>
  <si>
    <t>3/12</t>
    <phoneticPr fontId="2" type="noConversion"/>
  </si>
  <si>
    <t>4/17</t>
    <phoneticPr fontId="2" type="noConversion"/>
  </si>
  <si>
    <t>고/12</t>
    <phoneticPr fontId="2" type="noConversion"/>
  </si>
  <si>
    <t>고/23</t>
    <phoneticPr fontId="2" type="noConversion"/>
  </si>
  <si>
    <t>2/15</t>
    <phoneticPr fontId="2" type="noConversion"/>
  </si>
  <si>
    <t>12/15</t>
    <phoneticPr fontId="2" type="noConversion"/>
  </si>
  <si>
    <t>중/15</t>
    <phoneticPr fontId="2" type="noConversion"/>
  </si>
  <si>
    <t>중/20</t>
    <phoneticPr fontId="2" type="noConversion"/>
  </si>
  <si>
    <t>중/23</t>
    <phoneticPr fontId="2" type="noConversion"/>
  </si>
  <si>
    <t>저/25</t>
    <phoneticPr fontId="2" type="noConversion"/>
  </si>
  <si>
    <t>중/17</t>
    <phoneticPr fontId="2" type="noConversion"/>
  </si>
  <si>
    <t>7/14</t>
    <phoneticPr fontId="2" type="noConversion"/>
  </si>
  <si>
    <t>3년간 매물없음</t>
    <phoneticPr fontId="2" type="noConversion"/>
  </si>
  <si>
    <t>2년간 매물없음</t>
    <phoneticPr fontId="2" type="noConversion"/>
  </si>
  <si>
    <t>18/19</t>
    <phoneticPr fontId="2" type="noConversion"/>
  </si>
  <si>
    <t>고/20</t>
    <phoneticPr fontId="2" type="noConversion"/>
  </si>
  <si>
    <t>7/20</t>
    <phoneticPr fontId="2" type="noConversion"/>
  </si>
  <si>
    <t>중/12</t>
    <phoneticPr fontId="2" type="noConversion"/>
  </si>
  <si>
    <t>9</t>
    <phoneticPr fontId="2" type="noConversion"/>
  </si>
  <si>
    <t>7</t>
    <phoneticPr fontId="2" type="noConversion"/>
  </si>
  <si>
    <t>저/19</t>
    <phoneticPr fontId="2" type="noConversion"/>
  </si>
  <si>
    <t>14</t>
    <phoneticPr fontId="2" type="noConversion"/>
  </si>
  <si>
    <t>3년간전세매물없음</t>
    <phoneticPr fontId="2" type="noConversion"/>
  </si>
  <si>
    <t>3년간 매매/전세 매물없음</t>
    <phoneticPr fontId="2" type="noConversion"/>
  </si>
  <si>
    <t>17년도 매물 / 전세 예측도 없음</t>
    <phoneticPr fontId="2" type="noConversion"/>
  </si>
  <si>
    <t>22/23</t>
    <phoneticPr fontId="2" type="noConversion"/>
  </si>
  <si>
    <t>중/23</t>
    <phoneticPr fontId="2" type="noConversion"/>
  </si>
  <si>
    <t>고/22</t>
    <phoneticPr fontId="2" type="noConversion"/>
  </si>
  <si>
    <t>매매:20/12계약</t>
    <phoneticPr fontId="2" type="noConversion"/>
  </si>
  <si>
    <t>12</t>
    <phoneticPr fontId="2" type="noConversion"/>
  </si>
  <si>
    <t>2/23</t>
    <phoneticPr fontId="2" type="noConversion"/>
  </si>
  <si>
    <t>14</t>
    <phoneticPr fontId="2" type="noConversion"/>
  </si>
  <si>
    <t>중/18</t>
    <phoneticPr fontId="2" type="noConversion"/>
  </si>
  <si>
    <t>9/15</t>
    <phoneticPr fontId="2" type="noConversion"/>
  </si>
  <si>
    <t>5/10</t>
    <phoneticPr fontId="2" type="noConversion"/>
  </si>
  <si>
    <t>9/10</t>
    <phoneticPr fontId="2" type="noConversion"/>
  </si>
  <si>
    <t>2/15</t>
    <phoneticPr fontId="2" type="noConversion"/>
  </si>
  <si>
    <t>저/15</t>
    <phoneticPr fontId="2" type="noConversion"/>
  </si>
  <si>
    <t>고/10</t>
    <phoneticPr fontId="2" type="noConversion"/>
  </si>
  <si>
    <t>3/15</t>
    <phoneticPr fontId="2" type="noConversion"/>
  </si>
  <si>
    <t>12/15</t>
    <phoneticPr fontId="2" type="noConversion"/>
  </si>
  <si>
    <t>고/25</t>
    <phoneticPr fontId="2" type="noConversion"/>
  </si>
  <si>
    <t>중/25</t>
    <phoneticPr fontId="2" type="noConversion"/>
  </si>
  <si>
    <t>13/25</t>
    <phoneticPr fontId="2" type="noConversion"/>
  </si>
  <si>
    <t>24/25</t>
    <phoneticPr fontId="2" type="noConversion"/>
  </si>
  <si>
    <t>고/29</t>
    <phoneticPr fontId="2" type="noConversion"/>
  </si>
  <si>
    <t>중/24</t>
    <phoneticPr fontId="2" type="noConversion"/>
  </si>
  <si>
    <t>저/20</t>
    <phoneticPr fontId="2" type="noConversion"/>
  </si>
  <si>
    <t>19/22</t>
    <phoneticPr fontId="2" type="noConversion"/>
  </si>
  <si>
    <t>저/23</t>
    <phoneticPr fontId="2" type="noConversion"/>
  </si>
  <si>
    <t>매매:19년마지막(추정치로적음)</t>
    <phoneticPr fontId="2" type="noConversion"/>
  </si>
  <si>
    <t>고/21</t>
    <phoneticPr fontId="2" type="noConversion"/>
  </si>
  <si>
    <t>19/25</t>
    <phoneticPr fontId="2" type="noConversion"/>
  </si>
  <si>
    <t>4/23</t>
    <phoneticPr fontId="2" type="noConversion"/>
  </si>
  <si>
    <t>10/21</t>
    <phoneticPr fontId="2" type="noConversion"/>
  </si>
  <si>
    <t>고/15</t>
    <phoneticPr fontId="2" type="noConversion"/>
  </si>
  <si>
    <t>22/25</t>
    <phoneticPr fontId="2" type="noConversion"/>
  </si>
  <si>
    <t>7/24</t>
    <phoneticPr fontId="2" type="noConversion"/>
  </si>
  <si>
    <t>4/28</t>
    <phoneticPr fontId="2" type="noConversion"/>
  </si>
  <si>
    <t>12/25</t>
    <phoneticPr fontId="2" type="noConversion"/>
  </si>
  <si>
    <t>27/28</t>
    <phoneticPr fontId="2" type="noConversion"/>
  </si>
  <si>
    <t>2/27</t>
    <phoneticPr fontId="2" type="noConversion"/>
  </si>
  <si>
    <t>저/27</t>
    <phoneticPr fontId="2" type="noConversion"/>
  </si>
  <si>
    <t>전세: 아예계약없음(추정치적용)</t>
    <phoneticPr fontId="2" type="noConversion"/>
  </si>
  <si>
    <t>고/28</t>
    <phoneticPr fontId="2" type="noConversion"/>
  </si>
  <si>
    <t>12/27</t>
    <phoneticPr fontId="2" type="noConversion"/>
  </si>
  <si>
    <t>21/28</t>
    <phoneticPr fontId="2" type="noConversion"/>
  </si>
  <si>
    <t>6/27</t>
    <phoneticPr fontId="2" type="noConversion"/>
  </si>
  <si>
    <t>11</t>
    <phoneticPr fontId="2" type="noConversion"/>
  </si>
  <si>
    <t>매매:21/07 (재개발하는듯)</t>
    <phoneticPr fontId="2" type="noConversion"/>
  </si>
  <si>
    <t>3</t>
    <phoneticPr fontId="2" type="noConversion"/>
  </si>
  <si>
    <t>10/12</t>
    <phoneticPr fontId="2" type="noConversion"/>
  </si>
  <si>
    <t>5/12</t>
    <phoneticPr fontId="2" type="noConversion"/>
  </si>
  <si>
    <t>현재 재개발중이라 전부 전세 X</t>
    <phoneticPr fontId="2" type="noConversion"/>
  </si>
  <si>
    <t>5</t>
    <phoneticPr fontId="2" type="noConversion"/>
  </si>
  <si>
    <t>매매:21/07계약</t>
    <phoneticPr fontId="2" type="noConversion"/>
  </si>
  <si>
    <t>중/15</t>
    <phoneticPr fontId="2" type="noConversion"/>
  </si>
  <si>
    <t>11/15</t>
    <phoneticPr fontId="2" type="noConversion"/>
  </si>
  <si>
    <t>8/15</t>
    <phoneticPr fontId="2" type="noConversion"/>
  </si>
  <si>
    <t>전세: 거래없어 추정치</t>
    <phoneticPr fontId="2" type="noConversion"/>
  </si>
  <si>
    <t>2</t>
    <phoneticPr fontId="2" type="noConversion"/>
  </si>
  <si>
    <t>4/15</t>
    <phoneticPr fontId="2" type="noConversion"/>
  </si>
  <si>
    <t>15</t>
    <phoneticPr fontId="2" type="noConversion"/>
  </si>
  <si>
    <t>3/12</t>
    <phoneticPr fontId="2" type="noConversion"/>
  </si>
  <si>
    <t>4</t>
    <phoneticPr fontId="2" type="noConversion"/>
  </si>
  <si>
    <t>매매:20/07</t>
    <phoneticPr fontId="2" type="noConversion"/>
  </si>
  <si>
    <t>5/20</t>
    <phoneticPr fontId="2" type="noConversion"/>
  </si>
  <si>
    <t>7/12</t>
    <phoneticPr fontId="2" type="noConversion"/>
  </si>
  <si>
    <t>4/5</t>
    <phoneticPr fontId="2" type="noConversion"/>
  </si>
  <si>
    <t>14/20</t>
    <phoneticPr fontId="2" type="noConversion"/>
  </si>
  <si>
    <t>7/18</t>
    <phoneticPr fontId="2" type="noConversion"/>
  </si>
  <si>
    <t>11/18</t>
    <phoneticPr fontId="2" type="noConversion"/>
  </si>
  <si>
    <t>8/18</t>
    <phoneticPr fontId="2" type="noConversion"/>
  </si>
  <si>
    <t>고/24</t>
    <phoneticPr fontId="2" type="noConversion"/>
  </si>
  <si>
    <t>저/24</t>
    <phoneticPr fontId="2" type="noConversion"/>
  </si>
  <si>
    <t>9</t>
    <phoneticPr fontId="2" type="noConversion"/>
  </si>
  <si>
    <t>9/24</t>
    <phoneticPr fontId="2" type="noConversion"/>
  </si>
  <si>
    <t>전세:계약없음(추정치적용)</t>
    <phoneticPr fontId="2" type="noConversion"/>
  </si>
  <si>
    <t>17</t>
    <phoneticPr fontId="2" type="noConversion"/>
  </si>
  <si>
    <t>3/17</t>
    <phoneticPr fontId="2" type="noConversion"/>
  </si>
  <si>
    <t>저/17</t>
    <phoneticPr fontId="2" type="noConversion"/>
  </si>
  <si>
    <t>저/18</t>
    <phoneticPr fontId="2" type="noConversion"/>
  </si>
  <si>
    <t>2/17</t>
    <phoneticPr fontId="2" type="noConversion"/>
  </si>
  <si>
    <t>15/18</t>
    <phoneticPr fontId="2" type="noConversion"/>
  </si>
  <si>
    <t>3/19</t>
    <phoneticPr fontId="2" type="noConversion"/>
  </si>
  <si>
    <t>매매:21/8계약</t>
    <phoneticPr fontId="2" type="noConversion"/>
  </si>
  <si>
    <t>15/20</t>
    <phoneticPr fontId="2" type="noConversion"/>
  </si>
  <si>
    <t>3/20</t>
    <phoneticPr fontId="2" type="noConversion"/>
  </si>
  <si>
    <t>중/12</t>
    <phoneticPr fontId="2" type="noConversion"/>
  </si>
  <si>
    <t>중/20</t>
    <phoneticPr fontId="2" type="noConversion"/>
  </si>
  <si>
    <t>고/20</t>
    <phoneticPr fontId="2" type="noConversion"/>
  </si>
  <si>
    <t>15/19</t>
    <phoneticPr fontId="2" type="noConversion"/>
  </si>
  <si>
    <t>중/17</t>
    <phoneticPr fontId="2" type="noConversion"/>
  </si>
  <si>
    <t>4/19</t>
    <phoneticPr fontId="2" type="noConversion"/>
  </si>
  <si>
    <t>11/20</t>
    <phoneticPr fontId="2" type="noConversion"/>
  </si>
  <si>
    <t>2/21</t>
    <phoneticPr fontId="2" type="noConversion"/>
  </si>
  <si>
    <t>고/23</t>
    <phoneticPr fontId="2" type="noConversion"/>
  </si>
  <si>
    <t>저/21</t>
    <phoneticPr fontId="2" type="noConversion"/>
  </si>
  <si>
    <t>7</t>
    <phoneticPr fontId="2" type="noConversion"/>
  </si>
  <si>
    <t>전세:22/01계약</t>
    <phoneticPr fontId="2" type="noConversion"/>
  </si>
  <si>
    <t>11/25</t>
    <phoneticPr fontId="2" type="noConversion"/>
  </si>
  <si>
    <t>저/28</t>
    <phoneticPr fontId="2" type="noConversion"/>
  </si>
  <si>
    <t>17/24</t>
    <phoneticPr fontId="2" type="noConversion"/>
  </si>
  <si>
    <t>6/24</t>
    <phoneticPr fontId="2" type="noConversion"/>
  </si>
  <si>
    <t>20/29</t>
    <phoneticPr fontId="2" type="noConversion"/>
  </si>
  <si>
    <t>매매:21/02계약</t>
    <phoneticPr fontId="2" type="noConversion"/>
  </si>
  <si>
    <t>중/28</t>
    <phoneticPr fontId="2" type="noConversion"/>
  </si>
  <si>
    <t>26</t>
    <phoneticPr fontId="2" type="noConversion"/>
  </si>
  <si>
    <t>중/29</t>
    <phoneticPr fontId="2" type="noConversion"/>
  </si>
  <si>
    <t>15/29</t>
    <phoneticPr fontId="2" type="noConversion"/>
  </si>
  <si>
    <t>20</t>
    <phoneticPr fontId="2" type="noConversion"/>
  </si>
  <si>
    <t>15/25</t>
    <phoneticPr fontId="2" type="noConversion"/>
  </si>
  <si>
    <t>17/23</t>
    <phoneticPr fontId="2" type="noConversion"/>
  </si>
  <si>
    <t>19</t>
    <phoneticPr fontId="2" type="noConversion"/>
  </si>
  <si>
    <t>20/28</t>
    <phoneticPr fontId="2" type="noConversion"/>
  </si>
  <si>
    <t>25</t>
    <phoneticPr fontId="2" type="noConversion"/>
  </si>
  <si>
    <t>전세:22/04계약</t>
    <phoneticPr fontId="2" type="noConversion"/>
  </si>
  <si>
    <t>12</t>
  </si>
  <si>
    <t>-</t>
  </si>
  <si>
    <t>5</t>
  </si>
  <si>
    <t>4</t>
  </si>
  <si>
    <t>중</t>
  </si>
  <si>
    <t>고</t>
  </si>
  <si>
    <t>33</t>
  </si>
  <si>
    <t>11</t>
  </si>
  <si>
    <t>저</t>
  </si>
  <si>
    <t>27</t>
  </si>
  <si>
    <t>16</t>
  </si>
  <si>
    <t>6</t>
  </si>
  <si>
    <t>6</t>
    <phoneticPr fontId="2" type="noConversion"/>
  </si>
  <si>
    <t>매매:19년도 마지막</t>
    <phoneticPr fontId="2" type="noConversion"/>
  </si>
  <si>
    <t>9</t>
  </si>
  <si>
    <t>17</t>
  </si>
  <si>
    <t>15</t>
  </si>
  <si>
    <t>14</t>
  </si>
  <si>
    <t>18</t>
  </si>
  <si>
    <t>2</t>
  </si>
  <si>
    <t>23</t>
  </si>
  <si>
    <t>7</t>
  </si>
  <si>
    <t>10</t>
  </si>
  <si>
    <t>20</t>
    <phoneticPr fontId="2" type="noConversion"/>
  </si>
  <si>
    <t>12</t>
    <phoneticPr fontId="2" type="noConversion"/>
  </si>
  <si>
    <t>16</t>
    <phoneticPr fontId="2" type="noConversion"/>
  </si>
  <si>
    <t>매매:21/01계약, 전세:21/03계약</t>
    <phoneticPr fontId="2" type="noConversion"/>
  </si>
  <si>
    <t>23</t>
    <phoneticPr fontId="2" type="noConversion"/>
  </si>
  <si>
    <t>3</t>
  </si>
  <si>
    <t>8</t>
  </si>
  <si>
    <t>8/25</t>
    <phoneticPr fontId="2" type="noConversion"/>
  </si>
  <si>
    <t>7/25</t>
    <phoneticPr fontId="2" type="noConversion"/>
  </si>
  <si>
    <t>17/25</t>
    <phoneticPr fontId="2" type="noConversion"/>
  </si>
  <si>
    <t>3/25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</si>
</sst>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#,##0_ "/>
    <numFmt numFmtId="183" formatCode="yyyy&quot;년&quot;\ m&quot;월&quot;\ d&quot;일&quot;;@"/>
    <numFmt numFmtId="184" formatCode="0&quot;년&quot;"/>
    <numFmt numFmtId="185" formatCode="0&quot;세&quot;&quot;대&quot;"/>
    <numFmt numFmtId="186" formatCode="0.00&quot;㎡&quot;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sz val="11"/>
      <color theme="1"/>
      <name val="Arial"/>
      <family val="2"/>
    </font>
    <font>
      <b/>
      <sz val="10"/>
      <color theme="1"/>
      <name val="맑은 고딕"/>
      <family val="3"/>
      <charset val="129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u/>
      <sz val="9"/>
      <color theme="1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/>
        <bgColor theme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/>
  </cellStyleXfs>
  <cellXfs count="118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2" fontId="4" fillId="4" borderId="1" xfId="0" applyNumberFormat="1" applyFont="1" applyFill="1" applyBorder="1" applyProtection="1">
      <alignment vertical="center"/>
      <protection locked="0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11" fontId="0" fillId="0" borderId="0" xfId="0" applyNumberFormat="1">
      <alignment vertical="center"/>
    </xf>
    <xf numFmtId="179" fontId="15" fillId="6" borderId="8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3" fontId="6" fillId="2" borderId="0" xfId="0" quotePrefix="1" applyNumberFormat="1" applyFont="1" applyFill="1" applyAlignment="1" applyProtection="1">
      <alignment horizontal="left" vertical="center"/>
      <protection locked="0"/>
    </xf>
    <xf numFmtId="0" fontId="0" fillId="9" borderId="0" xfId="0" applyFill="1">
      <alignment vertical="center"/>
    </xf>
    <xf numFmtId="0" fontId="18" fillId="2" borderId="1" xfId="2" applyFont="1" applyFill="1" applyBorder="1">
      <alignment vertical="center"/>
    </xf>
    <xf numFmtId="185" fontId="22" fillId="12" borderId="1" xfId="3" applyNumberFormat="1" applyFont="1" applyFill="1" applyBorder="1" applyAlignment="1">
      <alignment horizontal="center" vertical="center" wrapText="1"/>
    </xf>
    <xf numFmtId="0" fontId="22" fillId="0" borderId="1" xfId="3" applyFont="1" applyBorder="1" applyAlignment="1">
      <alignment horizontal="center" vertical="center" wrapText="1" shrinkToFit="1"/>
    </xf>
    <xf numFmtId="186" fontId="22" fillId="12" borderId="1" xfId="3" applyNumberFormat="1" applyFont="1" applyFill="1" applyBorder="1" applyAlignment="1">
      <alignment horizontal="center" vertical="center" wrapText="1"/>
    </xf>
    <xf numFmtId="184" fontId="22" fillId="12" borderId="1" xfId="3" applyNumberFormat="1" applyFont="1" applyFill="1" applyBorder="1" applyAlignment="1">
      <alignment horizontal="center" vertical="center" wrapText="1"/>
    </xf>
    <xf numFmtId="0" fontId="20" fillId="10" borderId="5" xfId="3" applyFont="1" applyFill="1" applyBorder="1" applyAlignment="1">
      <alignment horizontal="center" vertical="center" wrapText="1"/>
    </xf>
    <xf numFmtId="0" fontId="20" fillId="11" borderId="5" xfId="3" applyFont="1" applyFill="1" applyBorder="1" applyAlignment="1">
      <alignment horizontal="center" vertical="center" wrapText="1"/>
    </xf>
    <xf numFmtId="0" fontId="22" fillId="0" borderId="1" xfId="3" applyFont="1" applyBorder="1" applyAlignment="1">
      <alignment horizontal="center" vertical="center" wrapText="1"/>
    </xf>
    <xf numFmtId="0" fontId="23" fillId="0" borderId="1" xfId="3" applyFont="1" applyBorder="1" applyAlignment="1">
      <alignment horizontal="center" vertical="center" wrapText="1"/>
    </xf>
    <xf numFmtId="0" fontId="24" fillId="2" borderId="1" xfId="2" applyFont="1" applyFill="1" applyBorder="1">
      <alignment vertical="center"/>
    </xf>
    <xf numFmtId="182" fontId="24" fillId="0" borderId="1" xfId="2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4">
    <cellStyle name="백분율" xfId="1" builtinId="5"/>
    <cellStyle name="표준" xfId="0" builtinId="0"/>
    <cellStyle name="표준 2" xfId="3" xr:uid="{00000000-0005-0000-0000-000002000000}"/>
    <cellStyle name="하이퍼링크" xfId="2" builtinId="8"/>
  </cellStyles>
  <dxfs count="998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161925</xdr:colOff>
      <xdr:row>4</xdr:row>
      <xdr:rowOff>76200</xdr:rowOff>
    </xdr:from>
    <xdr:to>
      <xdr:col>12</xdr:col>
      <xdr:colOff>95250</xdr:colOff>
      <xdr:row>7</xdr:row>
      <xdr:rowOff>133350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00300" y="933450"/>
          <a:ext cx="4657725" cy="514350"/>
        </a:xfrm>
        <a:prstGeom prst="wedgeRoundRectCallout">
          <a:avLst>
            <a:gd name="adj1" fmla="val -29297"/>
            <a:gd name="adj2" fmla="val -158717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전체단지추출을 누르면 기존에 입력한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시세트래킹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값은 삭제 됩니다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21</xdr:col>
      <xdr:colOff>1314450</xdr:colOff>
      <xdr:row>7</xdr:row>
      <xdr:rowOff>47625</xdr:rowOff>
    </xdr:from>
    <xdr:to>
      <xdr:col>22</xdr:col>
      <xdr:colOff>228600</xdr:colOff>
      <xdr:row>10</xdr:row>
      <xdr:rowOff>76200</xdr:rowOff>
    </xdr:to>
    <xdr:sp macro="" textlink="">
      <xdr:nvSpPr>
        <xdr:cNvPr id="3" name="말풍선: 모서리가 둥근 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735050" y="1590675"/>
          <a:ext cx="1809750" cy="657225"/>
        </a:xfrm>
        <a:prstGeom prst="wedgeRoundRectCallout">
          <a:avLst>
            <a:gd name="adj1" fmla="val 56876"/>
            <a:gd name="adj2" fmla="val -195754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무슨 값이든 입력되어 있다면 추출 대상입니다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161925</xdr:colOff>
      <xdr:row>1</xdr:row>
      <xdr:rowOff>28575</xdr:rowOff>
    </xdr:from>
    <xdr:to>
      <xdr:col>6</xdr:col>
      <xdr:colOff>571500</xdr:colOff>
      <xdr:row>4</xdr:row>
      <xdr:rowOff>142875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43275" y="200025"/>
          <a:ext cx="4848225" cy="628650"/>
        </a:xfrm>
        <a:prstGeom prst="wedgeRoundRectCallout">
          <a:avLst>
            <a:gd name="adj1" fmla="val -66694"/>
            <a:gd name="adj2" fmla="val -49922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28575</xdr:rowOff>
        </xdr:from>
        <xdr:to>
          <xdr:col>1</xdr:col>
          <xdr:colOff>1371600</xdr:colOff>
          <xdr:row>0</xdr:row>
          <xdr:rowOff>285750</xdr:rowOff>
        </xdr:to>
        <xdr:sp macro="" textlink="">
          <xdr:nvSpPr>
            <xdr:cNvPr id="588802" name="Button 2" hidden="1">
              <a:extLst>
                <a:ext uri="{63B3BB69-23CF-44E3-9099-C40C66FF867C}">
                  <a14:compatExt spid="_x0000_s588802"/>
                </a:ext>
                <a:ext uri="{FF2B5EF4-FFF2-40B4-BE49-F238E27FC236}">
                  <a16:creationId xmlns:a16="http://schemas.microsoft.com/office/drawing/2014/main" id="{00000000-0008-0000-0300-000002F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시세트래킹 단지 추출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1933574</xdr:colOff>
      <xdr:row>0</xdr:row>
      <xdr:rowOff>57150</xdr:rowOff>
    </xdr:from>
    <xdr:to>
      <xdr:col>7</xdr:col>
      <xdr:colOff>171450</xdr:colOff>
      <xdr:row>0</xdr:row>
      <xdr:rowOff>704850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43149" y="57150"/>
          <a:ext cx="4981576" cy="647700"/>
        </a:xfrm>
        <a:prstGeom prst="wedgeRoundRectCallout">
          <a:avLst>
            <a:gd name="adj1" fmla="val -61403"/>
            <a:gd name="adj2" fmla="val -30939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_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가격표용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Sheet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의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전체단지추출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_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가격표용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Sheet W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열인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시세트래킹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에 체크된 단지만 추출됩니다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ko-KR" sz="1000">
            <a:solidFill>
              <a:srgbClr val="FF0000"/>
            </a:solidFill>
            <a:effectLst/>
            <a:latin typeface="+mn-ea"/>
            <a:ea typeface="+mn-ea"/>
          </a:endParaRPr>
        </a:p>
        <a:p>
          <a:pPr algn="l"/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 시트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1" name="Button 3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04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2" name="Button 4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04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 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15</xdr:col>
      <xdr:colOff>314325</xdr:colOff>
      <xdr:row>15</xdr:row>
      <xdr:rowOff>57150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206625" y="1631950"/>
          <a:ext cx="6022975" cy="95885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>
    <tabColor theme="5" tint="0.59999389629810485"/>
    <pageSetUpPr fitToPage="1"/>
  </sheetPr>
  <dimension ref="A1:AW561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G22" sqref="G22"/>
    </sheetView>
  </sheetViews>
  <sheetFormatPr defaultColWidth="9" defaultRowHeight="14.1" customHeight="1" x14ac:dyDescent="0.3"/>
  <cols>
    <col min="1" max="1" width="29.375" style="94" bestFit="1" customWidth="1"/>
    <col min="2" max="2" width="5.625" style="94" bestFit="1" customWidth="1"/>
    <col min="3" max="3" width="6.625" style="94" bestFit="1" customWidth="1"/>
    <col min="4" max="4" width="5.625" style="94" bestFit="1" customWidth="1"/>
    <col min="5" max="5" width="4.625" style="94" bestFit="1" customWidth="1"/>
    <col min="6" max="6" width="5.625" style="94" bestFit="1" customWidth="1"/>
    <col min="7" max="7" width="4.625" style="94" bestFit="1" customWidth="1"/>
    <col min="8" max="8" width="6.625" style="94" bestFit="1" customWidth="1"/>
    <col min="9" max="9" width="7.75" style="94" bestFit="1" customWidth="1"/>
    <col min="10" max="10" width="4" style="94" bestFit="1" customWidth="1"/>
    <col min="11" max="11" width="6.875" style="94" bestFit="1" customWidth="1"/>
    <col min="12" max="12" width="4" style="94" bestFit="1" customWidth="1"/>
    <col min="13" max="13" width="6.875" style="94" bestFit="1" customWidth="1"/>
    <col min="14" max="14" width="4.625" style="94" bestFit="1" customWidth="1"/>
    <col min="15" max="16" width="7.625" style="94" bestFit="1" customWidth="1"/>
    <col min="17" max="19" width="3.25" style="94" bestFit="1" customWidth="1"/>
    <col min="20" max="20" width="10.125" style="94" customWidth="1"/>
    <col min="21" max="21" width="25" style="94" customWidth="1"/>
    <col min="22" max="22" width="38" style="94" bestFit="1" customWidth="1"/>
    <col min="23" max="23" width="2.25" style="94" customWidth="1"/>
    <col min="24" max="24" width="5.625" style="94" bestFit="1" customWidth="1"/>
    <col min="25" max="25" width="4.5" style="94" customWidth="1"/>
    <col min="26" max="26" width="6.25" style="94" bestFit="1" customWidth="1"/>
    <col min="27" max="27" width="7.75" style="94" bestFit="1" customWidth="1"/>
    <col min="28" max="28" width="7" style="94" bestFit="1" customWidth="1"/>
    <col min="29" max="29" width="6.875" style="94" bestFit="1" customWidth="1"/>
    <col min="30" max="30" width="4.625" style="94" bestFit="1" customWidth="1"/>
    <col min="31" max="31" width="7.625" style="94" bestFit="1" customWidth="1"/>
    <col min="32" max="32" width="3.25" style="94" bestFit="1" customWidth="1"/>
    <col min="33" max="33" width="4.625" style="94" bestFit="1" customWidth="1"/>
    <col min="34" max="34" width="2.125" style="94" customWidth="1"/>
    <col min="35" max="35" width="22.5" style="94" bestFit="1" customWidth="1"/>
    <col min="36" max="36" width="4.625" style="94" bestFit="1" customWidth="1"/>
    <col min="37" max="41" width="4.625" style="94" customWidth="1"/>
    <col min="42" max="42" width="9.125" style="94" bestFit="1" customWidth="1"/>
    <col min="43" max="44" width="7.625" style="94" bestFit="1" customWidth="1"/>
    <col min="45" max="45" width="9.125" style="94" bestFit="1" customWidth="1"/>
    <col min="46" max="46" width="6.125" style="94" bestFit="1" customWidth="1"/>
    <col min="47" max="47" width="8.625" style="94" bestFit="1" customWidth="1"/>
    <col min="48" max="48" width="9.125" style="94" bestFit="1" customWidth="1"/>
    <col min="49" max="49" width="7.625" style="94" bestFit="1" customWidth="1"/>
    <col min="50" max="16384" width="9" style="38"/>
  </cols>
  <sheetData>
    <row r="1" spans="1:49" ht="17.25" x14ac:dyDescent="0.3">
      <c r="A1" s="37" t="s">
        <v>73</v>
      </c>
      <c r="B1" s="38"/>
      <c r="C1" s="39"/>
      <c r="D1" s="38"/>
      <c r="E1" s="38"/>
      <c r="F1" s="38"/>
      <c r="G1" s="38"/>
      <c r="H1" s="39"/>
      <c r="I1" s="38"/>
      <c r="J1" s="109" t="s">
        <v>47</v>
      </c>
      <c r="K1" s="109"/>
      <c r="L1" s="57" t="s">
        <v>32</v>
      </c>
      <c r="M1"/>
      <c r="N1" s="109" t="s">
        <v>48</v>
      </c>
      <c r="O1" s="109"/>
      <c r="P1" s="58">
        <v>30</v>
      </c>
      <c r="Q1" s="110" t="s">
        <v>49</v>
      </c>
      <c r="R1" s="110"/>
      <c r="S1" s="110"/>
      <c r="T1" s="41"/>
      <c r="U1" s="1"/>
      <c r="V1" s="1"/>
      <c r="W1" s="1"/>
      <c r="X1" s="38"/>
      <c r="Y1" s="1" t="s">
        <v>38</v>
      </c>
      <c r="Z1" s="1"/>
      <c r="AA1" s="1"/>
      <c r="AB1" s="53">
        <v>70000</v>
      </c>
      <c r="AC1" s="38"/>
      <c r="AD1" s="38"/>
      <c r="AE1" s="38"/>
      <c r="AF1" s="40"/>
      <c r="AG1" s="41"/>
      <c r="AH1" s="38"/>
      <c r="AI1" s="37" t="str">
        <f>A1</f>
        <v>OO시 OO구</v>
      </c>
      <c r="AJ1" s="38"/>
      <c r="AK1" s="111" t="str">
        <f>A1&amp;" 전체 등급"</f>
        <v>OO시 OO구 전체 등급</v>
      </c>
      <c r="AL1" s="111"/>
      <c r="AM1" s="111"/>
      <c r="AN1" s="111"/>
      <c r="AO1" s="112"/>
      <c r="AP1" s="35">
        <v>80</v>
      </c>
      <c r="AQ1" s="35">
        <v>45000</v>
      </c>
      <c r="AR1" s="36">
        <v>1000</v>
      </c>
      <c r="AS1" s="35">
        <v>6000</v>
      </c>
      <c r="AT1" s="3"/>
      <c r="AU1" s="3"/>
      <c r="AV1" s="35">
        <v>300</v>
      </c>
      <c r="AW1" s="38"/>
    </row>
    <row r="2" spans="1:49" ht="12" x14ac:dyDescent="0.3">
      <c r="A2" s="93">
        <v>44562</v>
      </c>
      <c r="B2" s="40"/>
      <c r="C2" s="39"/>
      <c r="D2" s="38"/>
      <c r="E2" s="38"/>
      <c r="F2" s="38"/>
      <c r="G2" s="38"/>
      <c r="H2" s="39"/>
      <c r="I2" s="38"/>
      <c r="J2" s="38"/>
      <c r="K2" s="38"/>
      <c r="L2" s="38"/>
      <c r="M2" s="38"/>
      <c r="N2" s="38"/>
      <c r="O2" s="38"/>
      <c r="P2" s="38"/>
      <c r="Q2" s="41"/>
      <c r="R2" s="41"/>
      <c r="S2" s="40"/>
      <c r="T2" s="41"/>
      <c r="U2" s="1"/>
      <c r="V2" s="1"/>
      <c r="W2" s="1"/>
      <c r="X2" s="38"/>
      <c r="Y2" s="52" t="s">
        <v>39</v>
      </c>
      <c r="Z2" s="52"/>
      <c r="AA2" s="1"/>
      <c r="AB2" s="53">
        <v>10000</v>
      </c>
      <c r="AC2" s="38"/>
      <c r="AD2" s="38"/>
      <c r="AE2" s="38"/>
      <c r="AF2" s="40"/>
      <c r="AG2" s="41"/>
      <c r="AH2" s="38"/>
      <c r="AI2" s="43" t="s">
        <v>35</v>
      </c>
      <c r="AJ2" s="44"/>
      <c r="AK2" s="45" t="s">
        <v>44</v>
      </c>
      <c r="AL2" s="45" t="s">
        <v>42</v>
      </c>
      <c r="AM2" s="45" t="s">
        <v>42</v>
      </c>
      <c r="AN2" s="45" t="s">
        <v>42</v>
      </c>
      <c r="AO2" s="45" t="s">
        <v>53</v>
      </c>
      <c r="AP2" s="107" t="s">
        <v>23</v>
      </c>
      <c r="AQ2" s="113"/>
      <c r="AR2" s="108"/>
      <c r="AS2" s="107" t="s">
        <v>24</v>
      </c>
      <c r="AT2" s="108"/>
      <c r="AU2" s="107" t="s">
        <v>25</v>
      </c>
      <c r="AV2" s="108"/>
      <c r="AW2" s="46" t="s">
        <v>36</v>
      </c>
    </row>
    <row r="3" spans="1:49" ht="26.25" x14ac:dyDescent="0.3">
      <c r="A3" s="46" t="s">
        <v>10</v>
      </c>
      <c r="B3" s="46" t="s">
        <v>11</v>
      </c>
      <c r="C3" s="46" t="s">
        <v>12</v>
      </c>
      <c r="D3" s="46" t="s">
        <v>20</v>
      </c>
      <c r="E3" s="46" t="s">
        <v>4</v>
      </c>
      <c r="F3" s="46" t="s">
        <v>21</v>
      </c>
      <c r="G3" s="46" t="s">
        <v>13</v>
      </c>
      <c r="H3" s="60" t="s">
        <v>6</v>
      </c>
      <c r="I3" s="47" t="s">
        <v>14</v>
      </c>
      <c r="J3" s="47" t="s">
        <v>22</v>
      </c>
      <c r="K3" s="47" t="s">
        <v>15</v>
      </c>
      <c r="L3" s="47" t="s">
        <v>22</v>
      </c>
      <c r="M3" s="60" t="s">
        <v>2</v>
      </c>
      <c r="N3" s="46" t="s">
        <v>5</v>
      </c>
      <c r="O3" s="47" t="s">
        <v>17</v>
      </c>
      <c r="P3" s="47" t="s">
        <v>16</v>
      </c>
      <c r="Q3" s="48" t="s">
        <v>18</v>
      </c>
      <c r="R3" s="48" t="s">
        <v>19</v>
      </c>
      <c r="S3" s="46" t="s">
        <v>7</v>
      </c>
      <c r="T3" s="49" t="s">
        <v>34</v>
      </c>
      <c r="U3" s="16" t="s">
        <v>9</v>
      </c>
      <c r="V3" s="60" t="s">
        <v>74</v>
      </c>
      <c r="W3" s="1"/>
      <c r="X3" s="46" t="s">
        <v>37</v>
      </c>
      <c r="Y3" s="46" t="s">
        <v>4</v>
      </c>
      <c r="Z3" s="50" t="s">
        <v>6</v>
      </c>
      <c r="AA3" s="60" t="s">
        <v>0</v>
      </c>
      <c r="AB3" s="60" t="s">
        <v>1</v>
      </c>
      <c r="AC3" s="60" t="s">
        <v>2</v>
      </c>
      <c r="AD3" s="46" t="s">
        <v>5</v>
      </c>
      <c r="AE3" s="60" t="s">
        <v>3</v>
      </c>
      <c r="AF3" s="46" t="s">
        <v>7</v>
      </c>
      <c r="AG3" s="48" t="s">
        <v>8</v>
      </c>
      <c r="AH3" s="38"/>
      <c r="AI3" s="46" t="s">
        <v>61</v>
      </c>
      <c r="AJ3" s="46" t="s">
        <v>62</v>
      </c>
      <c r="AK3" s="46" t="s">
        <v>26</v>
      </c>
      <c r="AL3" s="46" t="s">
        <v>27</v>
      </c>
      <c r="AM3" s="46" t="s">
        <v>28</v>
      </c>
      <c r="AN3" s="46" t="s">
        <v>29</v>
      </c>
      <c r="AO3" s="46" t="s">
        <v>30</v>
      </c>
      <c r="AP3" s="46" t="s">
        <v>63</v>
      </c>
      <c r="AQ3" s="46" t="s">
        <v>64</v>
      </c>
      <c r="AR3" s="46" t="s">
        <v>68</v>
      </c>
      <c r="AS3" s="46" t="s">
        <v>65</v>
      </c>
      <c r="AT3" s="46" t="s">
        <v>31</v>
      </c>
      <c r="AU3" s="51" t="s">
        <v>33</v>
      </c>
      <c r="AV3" s="46" t="s">
        <v>66</v>
      </c>
      <c r="AW3" s="46" t="s">
        <v>36</v>
      </c>
    </row>
    <row r="4" spans="1:49" s="1" customFormat="1" ht="16.5" x14ac:dyDescent="0.3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</row>
    <row r="5" spans="1:49" s="1" customFormat="1" ht="16.5" x14ac:dyDescent="0.3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</row>
    <row r="6" spans="1:49" s="1" customFormat="1" ht="16.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</row>
    <row r="7" spans="1:49" s="1" customFormat="1" ht="16.5" x14ac:dyDescent="0.3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</row>
    <row r="8" spans="1:49" s="1" customFormat="1" ht="16.5" x14ac:dyDescent="0.3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</row>
    <row r="9" spans="1:49" s="1" customFormat="1" ht="16.5" x14ac:dyDescent="0.3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</row>
    <row r="10" spans="1:49" s="1" customFormat="1" ht="16.5" x14ac:dyDescent="0.3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</row>
    <row r="11" spans="1:49" s="1" customFormat="1" ht="16.5" x14ac:dyDescent="0.3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</row>
    <row r="12" spans="1:49" s="1" customFormat="1" ht="16.5" x14ac:dyDescent="0.3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1" customFormat="1" ht="16.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</row>
    <row r="14" spans="1:49" s="1" customFormat="1" ht="16.5" x14ac:dyDescent="0.3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</row>
    <row r="15" spans="1:49" s="1" customFormat="1" ht="16.5" x14ac:dyDescent="0.3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</row>
    <row r="16" spans="1:49" s="1" customFormat="1" ht="16.5" x14ac:dyDescent="0.3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1:49" s="1" customFormat="1" ht="16.5" x14ac:dyDescent="0.3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</row>
    <row r="18" spans="1:49" s="1" customFormat="1" ht="16.5" x14ac:dyDescent="0.3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</row>
    <row r="19" spans="1:49" s="1" customFormat="1" ht="16.5" x14ac:dyDescent="0.3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</row>
    <row r="20" spans="1:49" s="1" customFormat="1" ht="16.5" x14ac:dyDescent="0.3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</row>
    <row r="21" spans="1:49" s="1" customFormat="1" ht="16.5" x14ac:dyDescent="0.3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</row>
    <row r="22" spans="1:49" s="1" customFormat="1" ht="16.5" x14ac:dyDescent="0.3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</row>
    <row r="23" spans="1:49" s="1" customFormat="1" ht="16.5" x14ac:dyDescent="0.3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</row>
    <row r="24" spans="1:49" s="1" customFormat="1" ht="16.5" x14ac:dyDescent="0.3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s="1" customFormat="1" ht="16.5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</row>
    <row r="26" spans="1:49" s="1" customFormat="1" ht="16.5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</row>
    <row r="27" spans="1:49" s="1" customFormat="1" ht="16.5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</row>
    <row r="28" spans="1:49" s="1" customFormat="1" ht="16.5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</row>
    <row r="29" spans="1:49" s="1" customFormat="1" ht="16.5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</row>
    <row r="30" spans="1:49" s="1" customFormat="1" ht="16.5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</row>
    <row r="31" spans="1:49" s="1" customFormat="1" ht="16.5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</row>
    <row r="32" spans="1:49" s="1" customFormat="1" ht="16.5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</row>
    <row r="33" spans="1:49" s="1" customFormat="1" ht="16.5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</row>
    <row r="34" spans="1:49" s="1" customFormat="1" ht="16.5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</row>
    <row r="35" spans="1:49" s="1" customFormat="1" ht="16.5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</row>
    <row r="36" spans="1:49" s="1" customFormat="1" ht="16.5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</row>
    <row r="37" spans="1:49" s="1" customFormat="1" ht="16.5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</row>
    <row r="38" spans="1:49" s="1" customFormat="1" ht="16.5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</row>
    <row r="39" spans="1:49" s="1" customFormat="1" ht="16.5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</row>
    <row r="40" spans="1:49" s="1" customFormat="1" ht="16.5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</row>
    <row r="41" spans="1:49" s="1" customFormat="1" ht="16.5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</row>
    <row r="42" spans="1:49" s="1" customFormat="1" ht="16.5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</row>
    <row r="43" spans="1:49" s="1" customFormat="1" ht="16.5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</row>
    <row r="44" spans="1:49" s="1" customFormat="1" ht="16.5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</row>
    <row r="45" spans="1:49" s="1" customFormat="1" ht="16.5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</row>
    <row r="46" spans="1:49" s="1" customFormat="1" ht="16.5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</row>
    <row r="47" spans="1:49" s="1" customFormat="1" ht="16.5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  <c r="AV47" s="94"/>
      <c r="AW47" s="94"/>
    </row>
    <row r="48" spans="1:49" s="1" customFormat="1" ht="16.5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</row>
    <row r="49" spans="1:49" s="1" customFormat="1" ht="16.5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  <c r="AV49" s="94"/>
      <c r="AW49" s="94"/>
    </row>
    <row r="50" spans="1:49" s="1" customFormat="1" ht="16.5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</row>
    <row r="51" spans="1:49" s="1" customFormat="1" ht="16.5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  <c r="AV51" s="94"/>
      <c r="AW51" s="94"/>
    </row>
    <row r="52" spans="1:49" s="1" customFormat="1" ht="16.5" x14ac:dyDescent="0.3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</row>
    <row r="53" spans="1:49" s="1" customFormat="1" ht="16.5" x14ac:dyDescent="0.3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</row>
    <row r="54" spans="1:49" s="1" customFormat="1" ht="16.5" x14ac:dyDescent="0.3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</row>
    <row r="55" spans="1:49" s="1" customFormat="1" ht="16.5" x14ac:dyDescent="0.3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</row>
    <row r="56" spans="1:49" s="1" customFormat="1" ht="16.5" x14ac:dyDescent="0.3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</row>
    <row r="57" spans="1:49" s="1" customFormat="1" ht="16.5" x14ac:dyDescent="0.3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</row>
    <row r="58" spans="1:49" s="1" customFormat="1" ht="16.5" x14ac:dyDescent="0.3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</row>
    <row r="59" spans="1:49" s="1" customFormat="1" ht="16.5" x14ac:dyDescent="0.3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</row>
    <row r="60" spans="1:49" s="1" customFormat="1" ht="16.5" x14ac:dyDescent="0.3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</row>
    <row r="61" spans="1:49" s="1" customFormat="1" ht="16.5" x14ac:dyDescent="0.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AW61" s="94"/>
    </row>
    <row r="62" spans="1:49" s="1" customFormat="1" ht="16.5" x14ac:dyDescent="0.3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</row>
    <row r="63" spans="1:49" s="1" customFormat="1" ht="16.5" x14ac:dyDescent="0.3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</row>
    <row r="64" spans="1:49" s="1" customFormat="1" ht="16.5" x14ac:dyDescent="0.3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</row>
    <row r="65" spans="1:49" s="1" customFormat="1" ht="16.5" x14ac:dyDescent="0.3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  <c r="AV65" s="94"/>
      <c r="AW65" s="94"/>
    </row>
    <row r="66" spans="1:49" s="1" customFormat="1" ht="16.5" x14ac:dyDescent="0.3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</row>
    <row r="67" spans="1:49" s="1" customFormat="1" ht="16.5" x14ac:dyDescent="0.3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</row>
    <row r="68" spans="1:49" s="1" customFormat="1" ht="16.5" x14ac:dyDescent="0.3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</row>
    <row r="69" spans="1:49" s="1" customFormat="1" ht="16.5" x14ac:dyDescent="0.3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</row>
    <row r="70" spans="1:49" s="1" customFormat="1" ht="16.5" x14ac:dyDescent="0.3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</row>
    <row r="71" spans="1:49" s="1" customFormat="1" ht="16.5" x14ac:dyDescent="0.3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</row>
    <row r="72" spans="1:49" s="1" customFormat="1" ht="16.5" x14ac:dyDescent="0.3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</row>
    <row r="73" spans="1:49" s="1" customFormat="1" ht="16.5" x14ac:dyDescent="0.3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</row>
    <row r="74" spans="1:49" s="1" customFormat="1" ht="16.5" x14ac:dyDescent="0.3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</row>
    <row r="75" spans="1:49" s="1" customFormat="1" ht="16.5" x14ac:dyDescent="0.3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</row>
    <row r="76" spans="1:49" s="1" customFormat="1" ht="16.5" x14ac:dyDescent="0.3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</row>
    <row r="77" spans="1:49" s="1" customFormat="1" ht="16.5" x14ac:dyDescent="0.3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</row>
    <row r="78" spans="1:49" s="1" customFormat="1" ht="16.5" x14ac:dyDescent="0.3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</row>
    <row r="79" spans="1:49" s="1" customFormat="1" ht="16.5" x14ac:dyDescent="0.3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</row>
    <row r="80" spans="1:49" s="1" customFormat="1" ht="16.5" x14ac:dyDescent="0.3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</row>
    <row r="81" spans="1:49" s="1" customFormat="1" ht="16.5" x14ac:dyDescent="0.3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</row>
    <row r="82" spans="1:49" s="1" customFormat="1" ht="16.5" x14ac:dyDescent="0.3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</row>
    <row r="83" spans="1:49" s="1" customFormat="1" ht="16.5" x14ac:dyDescent="0.3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  <c r="AV83" s="94"/>
      <c r="AW83" s="94"/>
    </row>
    <row r="84" spans="1:49" s="1" customFormat="1" ht="16.5" x14ac:dyDescent="0.3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</row>
    <row r="85" spans="1:49" s="1" customFormat="1" ht="16.5" x14ac:dyDescent="0.3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</row>
    <row r="86" spans="1:49" s="1" customFormat="1" ht="16.5" x14ac:dyDescent="0.3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</row>
    <row r="87" spans="1:49" s="1" customFormat="1" ht="16.5" x14ac:dyDescent="0.3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</row>
    <row r="88" spans="1:49" s="1" customFormat="1" ht="16.5" x14ac:dyDescent="0.3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</row>
    <row r="89" spans="1:49" s="1" customFormat="1" ht="16.5" x14ac:dyDescent="0.3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94"/>
    </row>
    <row r="90" spans="1:49" s="1" customFormat="1" ht="16.5" x14ac:dyDescent="0.3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  <c r="AV90" s="94"/>
      <c r="AW90" s="94"/>
    </row>
    <row r="91" spans="1:49" s="1" customFormat="1" ht="16.5" x14ac:dyDescent="0.3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</row>
    <row r="92" spans="1:49" s="1" customFormat="1" ht="16.5" x14ac:dyDescent="0.3">
      <c r="A92" s="94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94"/>
    </row>
    <row r="93" spans="1:49" s="1" customFormat="1" ht="16.5" x14ac:dyDescent="0.3">
      <c r="A93" s="9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</row>
    <row r="94" spans="1:49" s="1" customFormat="1" ht="16.5" x14ac:dyDescent="0.3">
      <c r="A94" s="94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</row>
    <row r="95" spans="1:49" s="1" customFormat="1" ht="16.5" x14ac:dyDescent="0.3">
      <c r="A95" s="9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94"/>
    </row>
    <row r="96" spans="1:49" s="1" customFormat="1" ht="16.5" x14ac:dyDescent="0.3">
      <c r="A96" s="94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</row>
    <row r="97" spans="1:49" s="1" customFormat="1" ht="16.5" x14ac:dyDescent="0.3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</row>
    <row r="98" spans="1:49" s="1" customFormat="1" ht="16.5" x14ac:dyDescent="0.3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</row>
    <row r="99" spans="1:49" s="1" customFormat="1" ht="16.5" x14ac:dyDescent="0.3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</row>
    <row r="100" spans="1:49" s="1" customFormat="1" ht="16.5" x14ac:dyDescent="0.3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</row>
    <row r="101" spans="1:49" s="1" customFormat="1" ht="16.5" x14ac:dyDescent="0.3">
      <c r="A101" s="9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</row>
    <row r="102" spans="1:49" s="1" customFormat="1" ht="16.5" x14ac:dyDescent="0.3">
      <c r="A102" s="94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</row>
    <row r="103" spans="1:49" s="1" customFormat="1" ht="16.5" x14ac:dyDescent="0.3">
      <c r="A103" s="9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</row>
    <row r="104" spans="1:49" s="1" customFormat="1" ht="16.5" x14ac:dyDescent="0.3">
      <c r="A104" s="94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  <c r="AV104" s="94"/>
      <c r="AW104" s="94"/>
    </row>
    <row r="105" spans="1:49" s="1" customFormat="1" ht="16.5" x14ac:dyDescent="0.3">
      <c r="A105" s="9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  <c r="AV105" s="94"/>
      <c r="AW105" s="94"/>
    </row>
    <row r="106" spans="1:49" s="1" customFormat="1" ht="16.5" x14ac:dyDescent="0.3">
      <c r="A106" s="94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</row>
    <row r="107" spans="1:49" s="1" customFormat="1" ht="16.5" x14ac:dyDescent="0.3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</row>
    <row r="108" spans="1:49" s="1" customFormat="1" ht="16.5" x14ac:dyDescent="0.3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</row>
    <row r="109" spans="1:49" s="1" customFormat="1" ht="16.5" x14ac:dyDescent="0.3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</row>
    <row r="110" spans="1:49" s="1" customFormat="1" ht="16.5" x14ac:dyDescent="0.3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</row>
    <row r="111" spans="1:49" s="1" customFormat="1" ht="16.5" x14ac:dyDescent="0.3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</row>
    <row r="112" spans="1:49" s="1" customFormat="1" ht="16.5" x14ac:dyDescent="0.3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</row>
    <row r="113" spans="1:49" s="1" customFormat="1" ht="16.5" x14ac:dyDescent="0.3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</row>
    <row r="114" spans="1:49" s="1" customFormat="1" ht="16.5" x14ac:dyDescent="0.3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</row>
    <row r="115" spans="1:49" s="1" customFormat="1" ht="16.5" x14ac:dyDescent="0.3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</row>
    <row r="116" spans="1:49" s="1" customFormat="1" ht="16.5" x14ac:dyDescent="0.3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</row>
    <row r="117" spans="1:49" s="1" customFormat="1" ht="16.5" x14ac:dyDescent="0.3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</row>
    <row r="118" spans="1:49" s="1" customFormat="1" ht="16.5" x14ac:dyDescent="0.3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</row>
    <row r="119" spans="1:49" s="1" customFormat="1" ht="16.5" x14ac:dyDescent="0.3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</row>
    <row r="120" spans="1:49" s="1" customFormat="1" ht="16.5" x14ac:dyDescent="0.3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  <c r="AV120" s="94"/>
      <c r="AW120" s="94"/>
    </row>
    <row r="121" spans="1:49" s="1" customFormat="1" ht="16.5" x14ac:dyDescent="0.3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</row>
    <row r="122" spans="1:49" s="1" customFormat="1" ht="16.5" x14ac:dyDescent="0.3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</row>
    <row r="123" spans="1:49" s="1" customFormat="1" ht="16.5" x14ac:dyDescent="0.3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  <c r="AV123" s="94"/>
      <c r="AW123" s="94"/>
    </row>
    <row r="124" spans="1:49" s="1" customFormat="1" ht="16.5" x14ac:dyDescent="0.3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</row>
    <row r="125" spans="1:49" s="1" customFormat="1" ht="16.5" x14ac:dyDescent="0.3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  <c r="AV125" s="94"/>
      <c r="AW125" s="94"/>
    </row>
    <row r="126" spans="1:49" s="1" customFormat="1" ht="16.5" x14ac:dyDescent="0.3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  <c r="AV126" s="94"/>
      <c r="AW126" s="94"/>
    </row>
    <row r="127" spans="1:49" s="1" customFormat="1" ht="16.5" x14ac:dyDescent="0.3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</row>
    <row r="128" spans="1:49" s="1" customFormat="1" ht="16.5" x14ac:dyDescent="0.3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</row>
    <row r="129" spans="1:49" s="1" customFormat="1" ht="16.5" x14ac:dyDescent="0.3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  <c r="AV129" s="94"/>
      <c r="AW129" s="94"/>
    </row>
    <row r="130" spans="1:49" s="1" customFormat="1" ht="16.5" x14ac:dyDescent="0.3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</row>
    <row r="131" spans="1:49" s="1" customFormat="1" ht="16.5" x14ac:dyDescent="0.3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</row>
    <row r="132" spans="1:49" s="1" customFormat="1" ht="16.5" x14ac:dyDescent="0.3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</row>
    <row r="133" spans="1:49" s="1" customFormat="1" ht="16.5" x14ac:dyDescent="0.3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</row>
    <row r="134" spans="1:49" s="1" customFormat="1" ht="16.5" x14ac:dyDescent="0.3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  <c r="AV134" s="94"/>
      <c r="AW134" s="94"/>
    </row>
    <row r="135" spans="1:49" s="1" customFormat="1" ht="16.5" x14ac:dyDescent="0.3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  <c r="AV135" s="94"/>
      <c r="AW135" s="94"/>
    </row>
    <row r="136" spans="1:49" s="1" customFormat="1" ht="16.5" x14ac:dyDescent="0.3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</row>
    <row r="137" spans="1:49" s="1" customFormat="1" ht="16.5" x14ac:dyDescent="0.3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  <c r="AV137" s="94"/>
      <c r="AW137" s="94"/>
    </row>
    <row r="138" spans="1:49" s="1" customFormat="1" ht="16.5" x14ac:dyDescent="0.3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  <c r="AV138" s="94"/>
      <c r="AW138" s="94"/>
    </row>
    <row r="139" spans="1:49" s="1" customFormat="1" ht="16.5" x14ac:dyDescent="0.3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</row>
    <row r="140" spans="1:49" s="1" customFormat="1" ht="16.5" x14ac:dyDescent="0.3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  <c r="AV140" s="94"/>
      <c r="AW140" s="94"/>
    </row>
    <row r="141" spans="1:49" s="1" customFormat="1" ht="16.5" x14ac:dyDescent="0.3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  <c r="AV141" s="94"/>
      <c r="AW141" s="94"/>
    </row>
    <row r="142" spans="1:49" s="1" customFormat="1" ht="16.5" x14ac:dyDescent="0.3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</row>
    <row r="143" spans="1:49" s="1" customFormat="1" ht="16.5" x14ac:dyDescent="0.3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  <c r="AV143" s="94"/>
      <c r="AW143" s="94"/>
    </row>
    <row r="144" spans="1:49" s="1" customFormat="1" ht="16.5" x14ac:dyDescent="0.3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  <c r="AV144" s="94"/>
      <c r="AW144" s="94"/>
    </row>
    <row r="145" spans="1:49" s="1" customFormat="1" ht="16.5" x14ac:dyDescent="0.3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</row>
    <row r="146" spans="1:49" s="1" customFormat="1" ht="16.5" x14ac:dyDescent="0.3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  <c r="AV146" s="94"/>
      <c r="AW146" s="94"/>
    </row>
    <row r="147" spans="1:49" s="1" customFormat="1" ht="16.5" x14ac:dyDescent="0.3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  <c r="AV147" s="94"/>
      <c r="AW147" s="94"/>
    </row>
    <row r="148" spans="1:49" s="1" customFormat="1" ht="16.5" x14ac:dyDescent="0.3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</row>
    <row r="149" spans="1:49" s="1" customFormat="1" ht="16.5" x14ac:dyDescent="0.3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</row>
    <row r="150" spans="1:49" s="1" customFormat="1" ht="16.5" x14ac:dyDescent="0.3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</row>
    <row r="151" spans="1:49" s="1" customFormat="1" ht="16.5" x14ac:dyDescent="0.3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</row>
    <row r="152" spans="1:49" s="1" customFormat="1" ht="16.5" x14ac:dyDescent="0.3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</row>
    <row r="153" spans="1:49" s="1" customFormat="1" ht="16.5" x14ac:dyDescent="0.3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</row>
    <row r="154" spans="1:49" s="1" customFormat="1" ht="16.5" x14ac:dyDescent="0.3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</row>
    <row r="155" spans="1:49" s="1" customFormat="1" ht="16.5" x14ac:dyDescent="0.3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</row>
    <row r="156" spans="1:49" s="1" customFormat="1" ht="16.5" x14ac:dyDescent="0.3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  <c r="AV156" s="94"/>
      <c r="AW156" s="94"/>
    </row>
    <row r="157" spans="1:49" s="1" customFormat="1" ht="16.5" x14ac:dyDescent="0.3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</row>
    <row r="158" spans="1:49" s="1" customFormat="1" ht="16.5" x14ac:dyDescent="0.3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  <c r="AV158" s="94"/>
      <c r="AW158" s="94"/>
    </row>
    <row r="159" spans="1:49" s="1" customFormat="1" ht="16.5" x14ac:dyDescent="0.3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  <c r="AV159" s="94"/>
      <c r="AW159" s="94"/>
    </row>
    <row r="160" spans="1:49" s="1" customFormat="1" ht="16.5" x14ac:dyDescent="0.3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</row>
    <row r="161" spans="1:49" s="1" customFormat="1" ht="16.5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</row>
    <row r="162" spans="1:49" s="1" customFormat="1" ht="16.5" x14ac:dyDescent="0.3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</row>
    <row r="163" spans="1:49" s="1" customFormat="1" ht="16.5" x14ac:dyDescent="0.3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</row>
    <row r="164" spans="1:49" s="1" customFormat="1" ht="16.5" x14ac:dyDescent="0.3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</row>
    <row r="165" spans="1:49" s="1" customFormat="1" ht="16.5" x14ac:dyDescent="0.3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</row>
    <row r="166" spans="1:49" s="1" customFormat="1" ht="16.5" x14ac:dyDescent="0.3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</row>
    <row r="167" spans="1:49" s="1" customFormat="1" ht="16.5" x14ac:dyDescent="0.3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</row>
    <row r="168" spans="1:49" s="1" customFormat="1" ht="16.5" x14ac:dyDescent="0.3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  <c r="AV168" s="94"/>
      <c r="AW168" s="94"/>
    </row>
    <row r="169" spans="1:49" s="1" customFormat="1" ht="16.5" x14ac:dyDescent="0.3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</row>
    <row r="170" spans="1:49" s="1" customFormat="1" ht="16.5" x14ac:dyDescent="0.3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  <c r="AV170" s="94"/>
      <c r="AW170" s="94"/>
    </row>
    <row r="171" spans="1:49" s="1" customFormat="1" ht="16.5" x14ac:dyDescent="0.3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  <c r="AV171" s="94"/>
      <c r="AW171" s="94"/>
    </row>
    <row r="172" spans="1:49" s="1" customFormat="1" ht="16.5" x14ac:dyDescent="0.3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</row>
    <row r="173" spans="1:49" s="1" customFormat="1" ht="16.5" x14ac:dyDescent="0.3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  <c r="AV173" s="94"/>
      <c r="AW173" s="94"/>
    </row>
    <row r="174" spans="1:49" s="1" customFormat="1" ht="16.5" x14ac:dyDescent="0.3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  <c r="AV174" s="94"/>
      <c r="AW174" s="94"/>
    </row>
    <row r="175" spans="1:49" s="1" customFormat="1" ht="16.5" x14ac:dyDescent="0.3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</row>
    <row r="176" spans="1:49" s="1" customFormat="1" ht="16.5" x14ac:dyDescent="0.3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</row>
    <row r="177" spans="1:49" s="1" customFormat="1" ht="16.5" x14ac:dyDescent="0.3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  <c r="AV177" s="94"/>
      <c r="AW177" s="94"/>
    </row>
    <row r="178" spans="1:49" s="1" customFormat="1" ht="16.5" x14ac:dyDescent="0.3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</row>
    <row r="179" spans="1:49" s="1" customFormat="1" ht="16.5" x14ac:dyDescent="0.3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</row>
    <row r="180" spans="1:49" s="1" customFormat="1" ht="16.5" x14ac:dyDescent="0.3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</row>
    <row r="181" spans="1:49" s="1" customFormat="1" ht="16.5" x14ac:dyDescent="0.3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</row>
    <row r="182" spans="1:49" s="1" customFormat="1" ht="16.5" x14ac:dyDescent="0.3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</row>
    <row r="183" spans="1:49" s="1" customFormat="1" ht="16.5" x14ac:dyDescent="0.3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</row>
    <row r="184" spans="1:49" s="1" customFormat="1" ht="16.5" x14ac:dyDescent="0.3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</row>
    <row r="185" spans="1:49" s="1" customFormat="1" ht="16.5" x14ac:dyDescent="0.3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</row>
    <row r="186" spans="1:49" s="1" customFormat="1" ht="16.5" x14ac:dyDescent="0.3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</row>
    <row r="187" spans="1:49" s="1" customFormat="1" ht="16.5" x14ac:dyDescent="0.3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</row>
    <row r="188" spans="1:49" s="1" customFormat="1" ht="16.5" x14ac:dyDescent="0.3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</row>
    <row r="189" spans="1:49" s="1" customFormat="1" ht="16.5" x14ac:dyDescent="0.3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</row>
    <row r="190" spans="1:49" s="1" customFormat="1" ht="16.5" x14ac:dyDescent="0.3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</row>
    <row r="191" spans="1:49" s="1" customFormat="1" ht="16.5" x14ac:dyDescent="0.3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  <c r="AV191" s="94"/>
      <c r="AW191" s="94"/>
    </row>
    <row r="192" spans="1:49" s="1" customFormat="1" ht="16.5" x14ac:dyDescent="0.3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  <c r="AI192" s="94"/>
      <c r="AJ192" s="94"/>
      <c r="AK192" s="94"/>
      <c r="AL192" s="94"/>
      <c r="AM192" s="94"/>
      <c r="AN192" s="94"/>
      <c r="AO192" s="94"/>
      <c r="AP192" s="94"/>
      <c r="AQ192" s="94"/>
      <c r="AR192" s="94"/>
      <c r="AS192" s="94"/>
      <c r="AT192" s="94"/>
      <c r="AU192" s="94"/>
      <c r="AV192" s="94"/>
      <c r="AW192" s="94"/>
    </row>
    <row r="193" spans="1:49" s="1" customFormat="1" ht="16.5" x14ac:dyDescent="0.3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</row>
    <row r="194" spans="1:49" s="1" customFormat="1" ht="16.5" x14ac:dyDescent="0.3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  <c r="AI194" s="94"/>
      <c r="AJ194" s="94"/>
      <c r="AK194" s="94"/>
      <c r="AL194" s="94"/>
      <c r="AM194" s="94"/>
      <c r="AN194" s="94"/>
      <c r="AO194" s="94"/>
      <c r="AP194" s="94"/>
      <c r="AQ194" s="94"/>
      <c r="AR194" s="94"/>
      <c r="AS194" s="94"/>
      <c r="AT194" s="94"/>
      <c r="AU194" s="94"/>
      <c r="AV194" s="94"/>
      <c r="AW194" s="94"/>
    </row>
    <row r="195" spans="1:49" s="1" customFormat="1" ht="16.5" x14ac:dyDescent="0.3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</row>
    <row r="196" spans="1:49" s="1" customFormat="1" ht="16.5" x14ac:dyDescent="0.3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</row>
    <row r="197" spans="1:49" s="1" customFormat="1" ht="16.5" x14ac:dyDescent="0.3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  <c r="AV197" s="94"/>
      <c r="AW197" s="94"/>
    </row>
    <row r="198" spans="1:49" s="1" customFormat="1" ht="16.5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  <c r="AV198" s="94"/>
      <c r="AW198" s="94"/>
    </row>
    <row r="199" spans="1:49" s="1" customFormat="1" ht="16.5" x14ac:dyDescent="0.3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</row>
    <row r="200" spans="1:49" s="1" customFormat="1" ht="16.5" x14ac:dyDescent="0.3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</row>
    <row r="201" spans="1:49" s="1" customFormat="1" ht="16.5" x14ac:dyDescent="0.3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</row>
    <row r="202" spans="1:49" s="1" customFormat="1" ht="16.5" x14ac:dyDescent="0.3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</row>
    <row r="203" spans="1:49" s="1" customFormat="1" ht="16.5" x14ac:dyDescent="0.3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</row>
    <row r="204" spans="1:49" s="1" customFormat="1" ht="16.5" x14ac:dyDescent="0.3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</row>
    <row r="205" spans="1:49" s="1" customFormat="1" ht="16.5" x14ac:dyDescent="0.3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</row>
    <row r="206" spans="1:49" s="1" customFormat="1" ht="16.5" x14ac:dyDescent="0.3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</row>
    <row r="207" spans="1:49" s="1" customFormat="1" ht="16.5" x14ac:dyDescent="0.3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  <c r="AI207" s="94"/>
      <c r="AJ207" s="94"/>
      <c r="AK207" s="94"/>
      <c r="AL207" s="94"/>
      <c r="AM207" s="94"/>
      <c r="AN207" s="94"/>
      <c r="AO207" s="94"/>
      <c r="AP207" s="94"/>
      <c r="AQ207" s="94"/>
      <c r="AR207" s="94"/>
      <c r="AS207" s="94"/>
      <c r="AT207" s="94"/>
      <c r="AU207" s="94"/>
      <c r="AV207" s="94"/>
      <c r="AW207" s="94"/>
    </row>
    <row r="208" spans="1:49" s="1" customFormat="1" ht="16.5" x14ac:dyDescent="0.3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</row>
    <row r="209" spans="1:49" s="1" customFormat="1" ht="16.5" x14ac:dyDescent="0.3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</row>
    <row r="210" spans="1:49" s="1" customFormat="1" ht="16.5" x14ac:dyDescent="0.3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</row>
    <row r="211" spans="1:49" s="1" customFormat="1" ht="16.5" x14ac:dyDescent="0.3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</row>
    <row r="212" spans="1:49" s="1" customFormat="1" ht="16.5" x14ac:dyDescent="0.3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</row>
    <row r="213" spans="1:49" s="1" customFormat="1" ht="16.5" x14ac:dyDescent="0.3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</row>
    <row r="214" spans="1:49" s="1" customFormat="1" ht="16.5" x14ac:dyDescent="0.3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</row>
    <row r="215" spans="1:49" s="1" customFormat="1" ht="16.5" x14ac:dyDescent="0.3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  <c r="AI215" s="94"/>
      <c r="AJ215" s="94"/>
      <c r="AK215" s="94"/>
      <c r="AL215" s="94"/>
      <c r="AM215" s="94"/>
      <c r="AN215" s="94"/>
      <c r="AO215" s="94"/>
      <c r="AP215" s="94"/>
      <c r="AQ215" s="94"/>
      <c r="AR215" s="94"/>
      <c r="AS215" s="94"/>
      <c r="AT215" s="94"/>
      <c r="AU215" s="94"/>
      <c r="AV215" s="94"/>
      <c r="AW215" s="94"/>
    </row>
    <row r="216" spans="1:49" s="1" customFormat="1" ht="16.5" x14ac:dyDescent="0.3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</row>
    <row r="217" spans="1:49" s="1" customFormat="1" ht="16.5" x14ac:dyDescent="0.3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</row>
    <row r="218" spans="1:49" s="1" customFormat="1" ht="16.5" x14ac:dyDescent="0.3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</row>
    <row r="219" spans="1:49" s="1" customFormat="1" ht="16.5" x14ac:dyDescent="0.3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</row>
    <row r="220" spans="1:49" s="1" customFormat="1" ht="16.5" x14ac:dyDescent="0.3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</row>
    <row r="221" spans="1:49" s="1" customFormat="1" ht="16.5" x14ac:dyDescent="0.3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</row>
    <row r="222" spans="1:49" s="1" customFormat="1" ht="16.5" x14ac:dyDescent="0.3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</row>
    <row r="223" spans="1:49" s="1" customFormat="1" ht="16.5" x14ac:dyDescent="0.3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</row>
    <row r="224" spans="1:49" s="1" customFormat="1" ht="16.5" x14ac:dyDescent="0.3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</row>
    <row r="225" spans="1:49" s="1" customFormat="1" ht="16.5" x14ac:dyDescent="0.3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</row>
    <row r="226" spans="1:49" s="1" customFormat="1" ht="16.5" x14ac:dyDescent="0.3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</row>
    <row r="227" spans="1:49" s="1" customFormat="1" ht="16.5" x14ac:dyDescent="0.3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</row>
    <row r="228" spans="1:49" s="1" customFormat="1" ht="16.5" x14ac:dyDescent="0.3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  <c r="AI228" s="94"/>
      <c r="AJ228" s="94"/>
      <c r="AK228" s="94"/>
      <c r="AL228" s="94"/>
      <c r="AM228" s="94"/>
      <c r="AN228" s="94"/>
      <c r="AO228" s="94"/>
      <c r="AP228" s="94"/>
      <c r="AQ228" s="94"/>
      <c r="AR228" s="94"/>
      <c r="AS228" s="94"/>
      <c r="AT228" s="94"/>
      <c r="AU228" s="94"/>
      <c r="AV228" s="94"/>
      <c r="AW228" s="94"/>
    </row>
    <row r="229" spans="1:49" s="1" customFormat="1" ht="16.5" x14ac:dyDescent="0.3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</row>
    <row r="230" spans="1:49" s="1" customFormat="1" ht="16.5" x14ac:dyDescent="0.3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</row>
    <row r="231" spans="1:49" s="1" customFormat="1" ht="16.5" x14ac:dyDescent="0.3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  <c r="AK231" s="94"/>
      <c r="AL231" s="94"/>
      <c r="AM231" s="94"/>
      <c r="AN231" s="94"/>
      <c r="AO231" s="94"/>
      <c r="AP231" s="94"/>
      <c r="AQ231" s="94"/>
      <c r="AR231" s="94"/>
      <c r="AS231" s="94"/>
      <c r="AT231" s="94"/>
      <c r="AU231" s="94"/>
      <c r="AV231" s="94"/>
      <c r="AW231" s="94"/>
    </row>
    <row r="232" spans="1:49" s="1" customFormat="1" ht="16.5" x14ac:dyDescent="0.3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  <c r="AI232" s="94"/>
      <c r="AJ232" s="94"/>
      <c r="AK232" s="94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</row>
    <row r="233" spans="1:49" s="1" customFormat="1" ht="16.5" x14ac:dyDescent="0.3">
      <c r="A233" s="9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</row>
    <row r="234" spans="1:49" s="1" customFormat="1" ht="16.5" x14ac:dyDescent="0.3">
      <c r="A234" s="94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</row>
    <row r="235" spans="1:49" s="1" customFormat="1" ht="16.5" x14ac:dyDescent="0.3">
      <c r="A235" s="9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</row>
    <row r="236" spans="1:49" s="1" customFormat="1" ht="16.5" x14ac:dyDescent="0.3">
      <c r="A236" s="94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</row>
    <row r="237" spans="1:49" s="1" customFormat="1" ht="16.5" x14ac:dyDescent="0.3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</row>
    <row r="238" spans="1:49" s="1" customFormat="1" ht="16.5" x14ac:dyDescent="0.3">
      <c r="A238" s="94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</row>
    <row r="239" spans="1:49" s="1" customFormat="1" ht="16.5" x14ac:dyDescent="0.3">
      <c r="A239" s="9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</row>
    <row r="240" spans="1:49" s="1" customFormat="1" ht="16.5" x14ac:dyDescent="0.3">
      <c r="A240" s="94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</row>
    <row r="241" spans="1:49" s="1" customFormat="1" ht="16.5" x14ac:dyDescent="0.3">
      <c r="A241" s="9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</row>
    <row r="242" spans="1:49" s="1" customFormat="1" ht="16.5" x14ac:dyDescent="0.3">
      <c r="A242" s="94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</row>
    <row r="243" spans="1:49" s="1" customFormat="1" ht="16.5" x14ac:dyDescent="0.3">
      <c r="A243" s="9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</row>
    <row r="244" spans="1:49" s="1" customFormat="1" ht="16.5" x14ac:dyDescent="0.3">
      <c r="A244" s="94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</row>
    <row r="245" spans="1:49" s="1" customFormat="1" ht="16.5" x14ac:dyDescent="0.3">
      <c r="A245" s="9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</row>
    <row r="246" spans="1:49" s="1" customFormat="1" ht="16.5" x14ac:dyDescent="0.3">
      <c r="A246" s="94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</row>
    <row r="247" spans="1:49" s="1" customFormat="1" ht="16.5" x14ac:dyDescent="0.3">
      <c r="A247" s="9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</row>
    <row r="248" spans="1:49" s="1" customFormat="1" ht="16.5" x14ac:dyDescent="0.3">
      <c r="A248" s="94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</row>
    <row r="249" spans="1:49" s="1" customFormat="1" ht="16.5" x14ac:dyDescent="0.3">
      <c r="A249" s="9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</row>
    <row r="250" spans="1:49" s="1" customFormat="1" ht="16.5" x14ac:dyDescent="0.3">
      <c r="A250" s="94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</row>
    <row r="251" spans="1:49" s="1" customFormat="1" ht="16.5" x14ac:dyDescent="0.3">
      <c r="A251" s="9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</row>
    <row r="252" spans="1:49" s="1" customFormat="1" ht="16.5" x14ac:dyDescent="0.3">
      <c r="A252" s="94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</row>
    <row r="253" spans="1:49" s="1" customFormat="1" ht="16.5" x14ac:dyDescent="0.3">
      <c r="A253" s="9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</row>
    <row r="254" spans="1:49" s="1" customFormat="1" ht="16.5" x14ac:dyDescent="0.3">
      <c r="A254" s="94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</row>
    <row r="255" spans="1:49" s="1" customFormat="1" ht="16.5" x14ac:dyDescent="0.3">
      <c r="A255" s="9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</row>
    <row r="256" spans="1:49" s="1" customFormat="1" ht="16.5" x14ac:dyDescent="0.3">
      <c r="A256" s="94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  <c r="AA256" s="94"/>
      <c r="AB256" s="94"/>
      <c r="AC256" s="94"/>
      <c r="AD256" s="94"/>
      <c r="AE256" s="94"/>
      <c r="AF256" s="94"/>
      <c r="AG256" s="94"/>
      <c r="AH256" s="94"/>
      <c r="AI256" s="94"/>
      <c r="AJ256" s="94"/>
      <c r="AK256" s="94"/>
      <c r="AL256" s="94"/>
      <c r="AM256" s="94"/>
      <c r="AN256" s="94"/>
      <c r="AO256" s="94"/>
      <c r="AP256" s="94"/>
      <c r="AQ256" s="94"/>
      <c r="AR256" s="94"/>
      <c r="AS256" s="94"/>
      <c r="AT256" s="94"/>
      <c r="AU256" s="94"/>
      <c r="AV256" s="94"/>
      <c r="AW256" s="94"/>
    </row>
    <row r="257" spans="1:49" s="1" customFormat="1" ht="16.5" x14ac:dyDescent="0.3">
      <c r="A257" s="9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  <c r="AA257" s="94"/>
      <c r="AB257" s="94"/>
      <c r="AC257" s="94"/>
      <c r="AD257" s="94"/>
      <c r="AE257" s="94"/>
      <c r="AF257" s="94"/>
      <c r="AG257" s="94"/>
      <c r="AH257" s="94"/>
      <c r="AI257" s="94"/>
      <c r="AJ257" s="94"/>
      <c r="AK257" s="94"/>
      <c r="AL257" s="94"/>
      <c r="AM257" s="94"/>
      <c r="AN257" s="94"/>
      <c r="AO257" s="94"/>
      <c r="AP257" s="94"/>
      <c r="AQ257" s="94"/>
      <c r="AR257" s="94"/>
      <c r="AS257" s="94"/>
      <c r="AT257" s="94"/>
      <c r="AU257" s="94"/>
      <c r="AV257" s="94"/>
      <c r="AW257" s="94"/>
    </row>
    <row r="258" spans="1:49" s="1" customFormat="1" ht="16.5" x14ac:dyDescent="0.3">
      <c r="A258" s="94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  <c r="AA258" s="94"/>
      <c r="AB258" s="94"/>
      <c r="AC258" s="94"/>
      <c r="AD258" s="94"/>
      <c r="AE258" s="94"/>
      <c r="AF258" s="94"/>
      <c r="AG258" s="94"/>
      <c r="AH258" s="94"/>
      <c r="AI258" s="94"/>
      <c r="AJ258" s="94"/>
      <c r="AK258" s="94"/>
      <c r="AL258" s="94"/>
      <c r="AM258" s="94"/>
      <c r="AN258" s="94"/>
      <c r="AO258" s="94"/>
      <c r="AP258" s="94"/>
      <c r="AQ258" s="94"/>
      <c r="AR258" s="94"/>
      <c r="AS258" s="94"/>
      <c r="AT258" s="94"/>
      <c r="AU258" s="94"/>
      <c r="AV258" s="94"/>
      <c r="AW258" s="94"/>
    </row>
    <row r="259" spans="1:49" s="1" customFormat="1" ht="16.5" x14ac:dyDescent="0.3">
      <c r="A259" s="9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  <c r="AA259" s="94"/>
      <c r="AB259" s="94"/>
      <c r="AC259" s="94"/>
      <c r="AD259" s="94"/>
      <c r="AE259" s="94"/>
      <c r="AF259" s="94"/>
      <c r="AG259" s="94"/>
      <c r="AH259" s="94"/>
      <c r="AI259" s="94"/>
      <c r="AJ259" s="94"/>
      <c r="AK259" s="94"/>
      <c r="AL259" s="94"/>
      <c r="AM259" s="94"/>
      <c r="AN259" s="94"/>
      <c r="AO259" s="94"/>
      <c r="AP259" s="94"/>
      <c r="AQ259" s="94"/>
      <c r="AR259" s="94"/>
      <c r="AS259" s="94"/>
      <c r="AT259" s="94"/>
      <c r="AU259" s="94"/>
      <c r="AV259" s="94"/>
      <c r="AW259" s="94"/>
    </row>
    <row r="260" spans="1:49" s="1" customFormat="1" ht="16.5" x14ac:dyDescent="0.3">
      <c r="A260" s="94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  <c r="AA260" s="94"/>
      <c r="AB260" s="94"/>
      <c r="AC260" s="94"/>
      <c r="AD260" s="94"/>
      <c r="AE260" s="94"/>
      <c r="AF260" s="94"/>
      <c r="AG260" s="94"/>
      <c r="AH260" s="94"/>
      <c r="AI260" s="94"/>
      <c r="AJ260" s="94"/>
      <c r="AK260" s="94"/>
      <c r="AL260" s="94"/>
      <c r="AM260" s="94"/>
      <c r="AN260" s="94"/>
      <c r="AO260" s="94"/>
      <c r="AP260" s="94"/>
      <c r="AQ260" s="94"/>
      <c r="AR260" s="94"/>
      <c r="AS260" s="94"/>
      <c r="AT260" s="94"/>
      <c r="AU260" s="94"/>
      <c r="AV260" s="94"/>
      <c r="AW260" s="94"/>
    </row>
    <row r="261" spans="1:49" s="1" customFormat="1" ht="16.5" x14ac:dyDescent="0.3">
      <c r="A261" s="9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  <c r="AA261" s="94"/>
      <c r="AB261" s="94"/>
      <c r="AC261" s="94"/>
      <c r="AD261" s="94"/>
      <c r="AE261" s="94"/>
      <c r="AF261" s="94"/>
      <c r="AG261" s="94"/>
      <c r="AH261" s="94"/>
      <c r="AI261" s="94"/>
      <c r="AJ261" s="94"/>
      <c r="AK261" s="94"/>
      <c r="AL261" s="94"/>
      <c r="AM261" s="94"/>
      <c r="AN261" s="94"/>
      <c r="AO261" s="94"/>
      <c r="AP261" s="94"/>
      <c r="AQ261" s="94"/>
      <c r="AR261" s="94"/>
      <c r="AS261" s="94"/>
      <c r="AT261" s="94"/>
      <c r="AU261" s="94"/>
      <c r="AV261" s="94"/>
      <c r="AW261" s="94"/>
    </row>
    <row r="262" spans="1:49" s="1" customFormat="1" ht="16.5" x14ac:dyDescent="0.3">
      <c r="A262" s="94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  <c r="AA262" s="94"/>
      <c r="AB262" s="94"/>
      <c r="AC262" s="94"/>
      <c r="AD262" s="94"/>
      <c r="AE262" s="94"/>
      <c r="AF262" s="94"/>
      <c r="AG262" s="94"/>
      <c r="AH262" s="94"/>
      <c r="AI262" s="94"/>
      <c r="AJ262" s="94"/>
      <c r="AK262" s="94"/>
      <c r="AL262" s="94"/>
      <c r="AM262" s="94"/>
      <c r="AN262" s="94"/>
      <c r="AO262" s="94"/>
      <c r="AP262" s="94"/>
      <c r="AQ262" s="94"/>
      <c r="AR262" s="94"/>
      <c r="AS262" s="94"/>
      <c r="AT262" s="94"/>
      <c r="AU262" s="94"/>
      <c r="AV262" s="94"/>
      <c r="AW262" s="94"/>
    </row>
    <row r="263" spans="1:49" s="1" customFormat="1" ht="16.5" x14ac:dyDescent="0.3">
      <c r="A263" s="9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  <c r="AA263" s="94"/>
      <c r="AB263" s="94"/>
      <c r="AC263" s="94"/>
      <c r="AD263" s="94"/>
      <c r="AE263" s="94"/>
      <c r="AF263" s="94"/>
      <c r="AG263" s="94"/>
      <c r="AH263" s="94"/>
      <c r="AI263" s="94"/>
      <c r="AJ263" s="94"/>
      <c r="AK263" s="94"/>
      <c r="AL263" s="94"/>
      <c r="AM263" s="94"/>
      <c r="AN263" s="94"/>
      <c r="AO263" s="94"/>
      <c r="AP263" s="94"/>
      <c r="AQ263" s="94"/>
      <c r="AR263" s="94"/>
      <c r="AS263" s="94"/>
      <c r="AT263" s="94"/>
      <c r="AU263" s="94"/>
      <c r="AV263" s="94"/>
      <c r="AW263" s="94"/>
    </row>
    <row r="264" spans="1:49" s="1" customFormat="1" ht="16.5" x14ac:dyDescent="0.3">
      <c r="A264" s="94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  <c r="AK264" s="94"/>
      <c r="AL264" s="94"/>
      <c r="AM264" s="94"/>
      <c r="AN264" s="94"/>
      <c r="AO264" s="94"/>
      <c r="AP264" s="94"/>
      <c r="AQ264" s="94"/>
      <c r="AR264" s="94"/>
      <c r="AS264" s="94"/>
      <c r="AT264" s="94"/>
      <c r="AU264" s="94"/>
      <c r="AV264" s="94"/>
      <c r="AW264" s="94"/>
    </row>
    <row r="265" spans="1:49" s="1" customFormat="1" ht="16.5" x14ac:dyDescent="0.3">
      <c r="A265" s="9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  <c r="AA265" s="94"/>
      <c r="AB265" s="94"/>
      <c r="AC265" s="94"/>
      <c r="AD265" s="94"/>
      <c r="AE265" s="94"/>
      <c r="AF265" s="94"/>
      <c r="AG265" s="94"/>
      <c r="AH265" s="94"/>
      <c r="AI265" s="94"/>
      <c r="AJ265" s="94"/>
      <c r="AK265" s="94"/>
      <c r="AL265" s="94"/>
      <c r="AM265" s="94"/>
      <c r="AN265" s="94"/>
      <c r="AO265" s="94"/>
      <c r="AP265" s="94"/>
      <c r="AQ265" s="94"/>
      <c r="AR265" s="94"/>
      <c r="AS265" s="94"/>
      <c r="AT265" s="94"/>
      <c r="AU265" s="94"/>
      <c r="AV265" s="94"/>
      <c r="AW265" s="94"/>
    </row>
    <row r="266" spans="1:49" s="1" customFormat="1" ht="16.5" x14ac:dyDescent="0.3">
      <c r="A266" s="94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B266" s="94"/>
      <c r="AC266" s="94"/>
      <c r="AD266" s="94"/>
      <c r="AE266" s="94"/>
      <c r="AF266" s="94"/>
      <c r="AG266" s="94"/>
      <c r="AH266" s="94"/>
      <c r="AI266" s="94"/>
      <c r="AJ266" s="94"/>
      <c r="AK266" s="94"/>
      <c r="AL266" s="94"/>
      <c r="AM266" s="94"/>
      <c r="AN266" s="94"/>
      <c r="AO266" s="94"/>
      <c r="AP266" s="94"/>
      <c r="AQ266" s="94"/>
      <c r="AR266" s="94"/>
      <c r="AS266" s="94"/>
      <c r="AT266" s="94"/>
      <c r="AU266" s="94"/>
      <c r="AV266" s="94"/>
      <c r="AW266" s="94"/>
    </row>
    <row r="267" spans="1:49" s="1" customFormat="1" ht="16.5" x14ac:dyDescent="0.3">
      <c r="A267" s="9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  <c r="AA267" s="94"/>
      <c r="AB267" s="94"/>
      <c r="AC267" s="94"/>
      <c r="AD267" s="94"/>
      <c r="AE267" s="94"/>
      <c r="AF267" s="94"/>
      <c r="AG267" s="94"/>
      <c r="AH267" s="94"/>
      <c r="AI267" s="94"/>
      <c r="AJ267" s="94"/>
      <c r="AK267" s="94"/>
      <c r="AL267" s="94"/>
      <c r="AM267" s="94"/>
      <c r="AN267" s="94"/>
      <c r="AO267" s="94"/>
      <c r="AP267" s="94"/>
      <c r="AQ267" s="94"/>
      <c r="AR267" s="94"/>
      <c r="AS267" s="94"/>
      <c r="AT267" s="94"/>
      <c r="AU267" s="94"/>
      <c r="AV267" s="94"/>
      <c r="AW267" s="94"/>
    </row>
    <row r="268" spans="1:49" s="1" customFormat="1" ht="16.5" x14ac:dyDescent="0.3">
      <c r="A268" s="94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</row>
    <row r="269" spans="1:49" s="1" customFormat="1" ht="16.5" x14ac:dyDescent="0.3">
      <c r="A269" s="9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  <c r="AA269" s="94"/>
      <c r="AB269" s="94"/>
      <c r="AC269" s="94"/>
      <c r="AD269" s="94"/>
      <c r="AE269" s="94"/>
      <c r="AF269" s="94"/>
      <c r="AG269" s="94"/>
      <c r="AH269" s="94"/>
      <c r="AI269" s="94"/>
      <c r="AJ269" s="94"/>
      <c r="AK269" s="94"/>
      <c r="AL269" s="94"/>
      <c r="AM269" s="94"/>
      <c r="AN269" s="94"/>
      <c r="AO269" s="94"/>
      <c r="AP269" s="94"/>
      <c r="AQ269" s="94"/>
      <c r="AR269" s="94"/>
      <c r="AS269" s="94"/>
      <c r="AT269" s="94"/>
      <c r="AU269" s="94"/>
      <c r="AV269" s="94"/>
      <c r="AW269" s="94"/>
    </row>
    <row r="270" spans="1:49" s="1" customFormat="1" ht="16.5" x14ac:dyDescent="0.3">
      <c r="A270" s="94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  <c r="AA270" s="94"/>
      <c r="AB270" s="94"/>
      <c r="AC270" s="94"/>
      <c r="AD270" s="94"/>
      <c r="AE270" s="94"/>
      <c r="AF270" s="94"/>
      <c r="AG270" s="94"/>
      <c r="AH270" s="94"/>
      <c r="AI270" s="94"/>
      <c r="AJ270" s="94"/>
      <c r="AK270" s="94"/>
      <c r="AL270" s="94"/>
      <c r="AM270" s="94"/>
      <c r="AN270" s="94"/>
      <c r="AO270" s="94"/>
      <c r="AP270" s="94"/>
      <c r="AQ270" s="94"/>
      <c r="AR270" s="94"/>
      <c r="AS270" s="94"/>
      <c r="AT270" s="94"/>
      <c r="AU270" s="94"/>
      <c r="AV270" s="94"/>
      <c r="AW270" s="94"/>
    </row>
    <row r="271" spans="1:49" s="1" customFormat="1" ht="16.5" x14ac:dyDescent="0.3">
      <c r="A271" s="9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  <c r="AA271" s="94"/>
      <c r="AB271" s="94"/>
      <c r="AC271" s="94"/>
      <c r="AD271" s="94"/>
      <c r="AE271" s="94"/>
      <c r="AF271" s="94"/>
      <c r="AG271" s="94"/>
      <c r="AH271" s="94"/>
      <c r="AI271" s="94"/>
      <c r="AJ271" s="94"/>
      <c r="AK271" s="94"/>
      <c r="AL271" s="94"/>
      <c r="AM271" s="94"/>
      <c r="AN271" s="94"/>
      <c r="AO271" s="94"/>
      <c r="AP271" s="94"/>
      <c r="AQ271" s="94"/>
      <c r="AR271" s="94"/>
      <c r="AS271" s="94"/>
      <c r="AT271" s="94"/>
      <c r="AU271" s="94"/>
      <c r="AV271" s="94"/>
      <c r="AW271" s="94"/>
    </row>
    <row r="272" spans="1:49" s="1" customFormat="1" ht="16.5" x14ac:dyDescent="0.3">
      <c r="A272" s="94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  <c r="AA272" s="94"/>
      <c r="AB272" s="94"/>
      <c r="AC272" s="94"/>
      <c r="AD272" s="94"/>
      <c r="AE272" s="94"/>
      <c r="AF272" s="94"/>
      <c r="AG272" s="94"/>
      <c r="AH272" s="94"/>
      <c r="AI272" s="94"/>
      <c r="AJ272" s="94"/>
      <c r="AK272" s="94"/>
      <c r="AL272" s="94"/>
      <c r="AM272" s="94"/>
      <c r="AN272" s="94"/>
      <c r="AO272" s="94"/>
      <c r="AP272" s="94"/>
      <c r="AQ272" s="94"/>
      <c r="AR272" s="94"/>
      <c r="AS272" s="94"/>
      <c r="AT272" s="94"/>
      <c r="AU272" s="94"/>
      <c r="AV272" s="94"/>
      <c r="AW272" s="94"/>
    </row>
    <row r="273" spans="1:49" s="1" customFormat="1" ht="16.5" x14ac:dyDescent="0.3">
      <c r="A273" s="9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  <c r="AA273" s="94"/>
      <c r="AB273" s="94"/>
      <c r="AC273" s="94"/>
      <c r="AD273" s="94"/>
      <c r="AE273" s="94"/>
      <c r="AF273" s="94"/>
      <c r="AG273" s="94"/>
      <c r="AH273" s="94"/>
      <c r="AI273" s="94"/>
      <c r="AJ273" s="94"/>
      <c r="AK273" s="94"/>
      <c r="AL273" s="94"/>
      <c r="AM273" s="94"/>
      <c r="AN273" s="94"/>
      <c r="AO273" s="94"/>
      <c r="AP273" s="94"/>
      <c r="AQ273" s="94"/>
      <c r="AR273" s="94"/>
      <c r="AS273" s="94"/>
      <c r="AT273" s="94"/>
      <c r="AU273" s="94"/>
      <c r="AV273" s="94"/>
      <c r="AW273" s="94"/>
    </row>
    <row r="274" spans="1:49" s="1" customFormat="1" ht="16.5" x14ac:dyDescent="0.3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</row>
    <row r="275" spans="1:49" s="1" customFormat="1" ht="16.5" x14ac:dyDescent="0.3">
      <c r="A275" s="9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</row>
    <row r="276" spans="1:49" s="1" customFormat="1" ht="16.5" x14ac:dyDescent="0.3">
      <c r="A276" s="94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</row>
    <row r="277" spans="1:49" s="1" customFormat="1" ht="16.5" x14ac:dyDescent="0.3">
      <c r="A277" s="9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</row>
    <row r="278" spans="1:49" s="1" customFormat="1" ht="16.5" x14ac:dyDescent="0.3">
      <c r="A278" s="94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</row>
    <row r="279" spans="1:49" s="1" customFormat="1" ht="16.5" x14ac:dyDescent="0.3">
      <c r="A279" s="9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</row>
    <row r="280" spans="1:49" s="1" customFormat="1" ht="16.5" x14ac:dyDescent="0.3">
      <c r="A280" s="94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</row>
    <row r="281" spans="1:49" s="1" customFormat="1" ht="16.5" x14ac:dyDescent="0.3">
      <c r="A281" s="9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</row>
    <row r="282" spans="1:49" s="1" customFormat="1" ht="16.5" x14ac:dyDescent="0.3">
      <c r="A282" s="94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</row>
    <row r="283" spans="1:49" s="1" customFormat="1" ht="16.5" x14ac:dyDescent="0.3">
      <c r="A283" s="9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</row>
    <row r="284" spans="1:49" s="1" customFormat="1" ht="16.5" x14ac:dyDescent="0.3">
      <c r="A284" s="94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</row>
    <row r="285" spans="1:49" s="1" customFormat="1" ht="16.5" x14ac:dyDescent="0.3">
      <c r="A285" s="9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</row>
    <row r="286" spans="1:49" s="1" customFormat="1" ht="16.5" x14ac:dyDescent="0.3">
      <c r="A286" s="94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</row>
    <row r="287" spans="1:49" s="1" customFormat="1" ht="16.5" x14ac:dyDescent="0.3">
      <c r="A287" s="9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</row>
    <row r="288" spans="1:49" s="1" customFormat="1" ht="16.5" x14ac:dyDescent="0.3">
      <c r="A288" s="94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</row>
    <row r="289" spans="1:49" s="1" customFormat="1" ht="16.5" x14ac:dyDescent="0.3">
      <c r="A289" s="9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</row>
    <row r="290" spans="1:49" s="1" customFormat="1" ht="16.5" x14ac:dyDescent="0.3">
      <c r="A290" s="94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</row>
    <row r="291" spans="1:49" s="1" customFormat="1" ht="16.5" x14ac:dyDescent="0.3">
      <c r="A291" s="9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</row>
    <row r="292" spans="1:49" s="1" customFormat="1" ht="16.5" x14ac:dyDescent="0.3">
      <c r="A292" s="94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</row>
    <row r="293" spans="1:49" s="1" customFormat="1" ht="16.5" x14ac:dyDescent="0.3">
      <c r="A293" s="9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</row>
    <row r="294" spans="1:49" s="1" customFormat="1" ht="16.5" x14ac:dyDescent="0.3">
      <c r="A294" s="94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</row>
    <row r="295" spans="1:49" s="1" customFormat="1" ht="16.5" x14ac:dyDescent="0.3">
      <c r="A295" s="9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</row>
    <row r="296" spans="1:49" s="1" customFormat="1" ht="16.5" x14ac:dyDescent="0.3">
      <c r="A296" s="94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</row>
    <row r="297" spans="1:49" s="1" customFormat="1" ht="16.5" x14ac:dyDescent="0.3">
      <c r="A297" s="9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</row>
    <row r="298" spans="1:49" s="1" customFormat="1" ht="16.5" x14ac:dyDescent="0.3">
      <c r="A298" s="94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</row>
    <row r="299" spans="1:49" s="1" customFormat="1" ht="16.5" x14ac:dyDescent="0.3">
      <c r="A299" s="9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</row>
    <row r="300" spans="1:49" s="1" customFormat="1" ht="16.5" x14ac:dyDescent="0.3">
      <c r="A300" s="94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</row>
    <row r="301" spans="1:49" s="1" customFormat="1" ht="16.5" x14ac:dyDescent="0.3">
      <c r="A301" s="9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</row>
    <row r="302" spans="1:49" s="1" customFormat="1" ht="16.5" x14ac:dyDescent="0.3">
      <c r="A302" s="94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</row>
    <row r="303" spans="1:49" s="1" customFormat="1" ht="16.5" x14ac:dyDescent="0.3">
      <c r="A303" s="9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</row>
    <row r="304" spans="1:49" s="1" customFormat="1" ht="16.5" x14ac:dyDescent="0.3">
      <c r="A304" s="94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</row>
    <row r="305" spans="1:49" s="1" customFormat="1" ht="16.5" x14ac:dyDescent="0.3">
      <c r="A305" s="9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</row>
    <row r="306" spans="1:49" s="1" customFormat="1" ht="16.5" x14ac:dyDescent="0.3">
      <c r="A306" s="94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</row>
    <row r="307" spans="1:49" s="1" customFormat="1" ht="16.5" x14ac:dyDescent="0.3">
      <c r="A307" s="9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</row>
    <row r="308" spans="1:49" s="1" customFormat="1" ht="16.5" x14ac:dyDescent="0.3">
      <c r="A308" s="94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</row>
    <row r="309" spans="1:49" s="1" customFormat="1" ht="16.5" x14ac:dyDescent="0.3">
      <c r="A309" s="9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</row>
    <row r="310" spans="1:49" s="1" customFormat="1" ht="16.5" x14ac:dyDescent="0.3">
      <c r="A310" s="94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</row>
    <row r="311" spans="1:49" s="1" customFormat="1" ht="16.5" x14ac:dyDescent="0.3">
      <c r="A311" s="9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</row>
    <row r="312" spans="1:49" s="1" customFormat="1" ht="16.5" x14ac:dyDescent="0.3">
      <c r="A312" s="94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</row>
    <row r="313" spans="1:49" s="1" customFormat="1" ht="16.5" x14ac:dyDescent="0.3">
      <c r="A313" s="9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</row>
    <row r="314" spans="1:49" s="1" customFormat="1" ht="16.5" x14ac:dyDescent="0.3">
      <c r="A314" s="94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</row>
    <row r="315" spans="1:49" s="1" customFormat="1" ht="16.5" x14ac:dyDescent="0.3">
      <c r="A315" s="9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</row>
    <row r="316" spans="1:49" s="1" customFormat="1" ht="16.5" x14ac:dyDescent="0.3">
      <c r="A316" s="94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  <c r="AA316" s="94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</row>
    <row r="317" spans="1:49" s="1" customFormat="1" ht="16.5" x14ac:dyDescent="0.3">
      <c r="A317" s="9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  <c r="AA317" s="94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</row>
    <row r="318" spans="1:49" s="1" customFormat="1" ht="16.5" x14ac:dyDescent="0.3">
      <c r="A318" s="94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</row>
    <row r="319" spans="1:49" s="1" customFormat="1" ht="16.5" x14ac:dyDescent="0.3">
      <c r="A319" s="9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</row>
    <row r="320" spans="1:49" s="1" customFormat="1" ht="16.5" x14ac:dyDescent="0.3">
      <c r="A320" s="94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</row>
    <row r="321" spans="1:49" s="1" customFormat="1" ht="16.5" x14ac:dyDescent="0.3">
      <c r="A321" s="9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</row>
    <row r="322" spans="1:49" s="1" customFormat="1" ht="16.5" x14ac:dyDescent="0.3">
      <c r="A322" s="94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</row>
    <row r="323" spans="1:49" s="1" customFormat="1" ht="16.5" x14ac:dyDescent="0.3">
      <c r="A323" s="9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</row>
    <row r="324" spans="1:49" s="1" customFormat="1" ht="16.5" x14ac:dyDescent="0.3">
      <c r="A324" s="94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</row>
    <row r="325" spans="1:49" s="1" customFormat="1" ht="16.5" x14ac:dyDescent="0.3">
      <c r="A325" s="9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</row>
    <row r="326" spans="1:49" s="1" customFormat="1" ht="16.5" x14ac:dyDescent="0.3">
      <c r="A326" s="94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  <c r="AA326" s="94"/>
      <c r="AB326" s="94"/>
      <c r="AC326" s="94"/>
      <c r="AD326" s="94"/>
      <c r="AE326" s="94"/>
      <c r="AF326" s="94"/>
      <c r="AG326" s="94"/>
      <c r="AH326" s="94"/>
      <c r="AI326" s="94"/>
      <c r="AJ326" s="94"/>
      <c r="AK326" s="94"/>
      <c r="AL326" s="94"/>
      <c r="AM326" s="94"/>
      <c r="AN326" s="94"/>
      <c r="AO326" s="94"/>
      <c r="AP326" s="94"/>
      <c r="AQ326" s="94"/>
      <c r="AR326" s="94"/>
      <c r="AS326" s="94"/>
      <c r="AT326" s="94"/>
      <c r="AU326" s="94"/>
      <c r="AV326" s="94"/>
      <c r="AW326" s="94"/>
    </row>
    <row r="327" spans="1:49" s="1" customFormat="1" ht="16.5" x14ac:dyDescent="0.3">
      <c r="A327" s="9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  <c r="AA327" s="94"/>
      <c r="AB327" s="94"/>
      <c r="AC327" s="94"/>
      <c r="AD327" s="94"/>
      <c r="AE327" s="94"/>
      <c r="AF327" s="94"/>
      <c r="AG327" s="94"/>
      <c r="AH327" s="94"/>
      <c r="AI327" s="94"/>
      <c r="AJ327" s="94"/>
      <c r="AK327" s="94"/>
      <c r="AL327" s="94"/>
      <c r="AM327" s="94"/>
      <c r="AN327" s="94"/>
      <c r="AO327" s="94"/>
      <c r="AP327" s="94"/>
      <c r="AQ327" s="94"/>
      <c r="AR327" s="94"/>
      <c r="AS327" s="94"/>
      <c r="AT327" s="94"/>
      <c r="AU327" s="94"/>
      <c r="AV327" s="94"/>
      <c r="AW327" s="94"/>
    </row>
    <row r="328" spans="1:49" s="1" customFormat="1" ht="16.5" x14ac:dyDescent="0.3">
      <c r="A328" s="94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</row>
    <row r="329" spans="1:49" s="1" customFormat="1" ht="16.5" x14ac:dyDescent="0.3">
      <c r="A329" s="9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</row>
    <row r="330" spans="1:49" s="1" customFormat="1" ht="16.5" x14ac:dyDescent="0.3">
      <c r="A330" s="94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</row>
    <row r="331" spans="1:49" s="1" customFormat="1" ht="16.5" x14ac:dyDescent="0.3">
      <c r="A331" s="9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</row>
    <row r="332" spans="1:49" s="1" customFormat="1" ht="16.5" x14ac:dyDescent="0.3">
      <c r="A332" s="94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</row>
    <row r="333" spans="1:49" s="1" customFormat="1" ht="16.5" x14ac:dyDescent="0.3">
      <c r="A333" s="9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</row>
    <row r="334" spans="1:49" s="1" customFormat="1" ht="16.5" x14ac:dyDescent="0.3">
      <c r="A334" s="94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</row>
    <row r="335" spans="1:49" s="1" customFormat="1" ht="16.5" x14ac:dyDescent="0.3">
      <c r="A335" s="9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</row>
    <row r="336" spans="1:49" s="1" customFormat="1" ht="16.5" x14ac:dyDescent="0.3">
      <c r="A336" s="94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</row>
    <row r="337" spans="1:49" s="1" customFormat="1" ht="16.5" x14ac:dyDescent="0.3">
      <c r="A337" s="9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</row>
    <row r="338" spans="1:49" s="1" customFormat="1" ht="16.5" x14ac:dyDescent="0.3">
      <c r="A338" s="94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</row>
    <row r="339" spans="1:49" s="1" customFormat="1" ht="16.5" x14ac:dyDescent="0.3">
      <c r="A339" s="9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</row>
    <row r="340" spans="1:49" s="1" customFormat="1" ht="16.5" x14ac:dyDescent="0.3">
      <c r="A340" s="94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</row>
    <row r="341" spans="1:49" s="1" customFormat="1" ht="16.5" x14ac:dyDescent="0.3">
      <c r="A341" s="9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</row>
    <row r="342" spans="1:49" s="1" customFormat="1" ht="16.5" x14ac:dyDescent="0.3">
      <c r="A342" s="94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</row>
    <row r="343" spans="1:49" s="1" customFormat="1" ht="16.5" x14ac:dyDescent="0.3">
      <c r="A343" s="9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  <c r="AA343" s="94"/>
      <c r="AB343" s="94"/>
      <c r="AC343" s="94"/>
      <c r="AD343" s="94"/>
      <c r="AE343" s="94"/>
      <c r="AF343" s="94"/>
      <c r="AG343" s="94"/>
      <c r="AH343" s="94"/>
      <c r="AI343" s="94"/>
      <c r="AJ343" s="94"/>
      <c r="AK343" s="94"/>
      <c r="AL343" s="94"/>
      <c r="AM343" s="94"/>
      <c r="AN343" s="94"/>
      <c r="AO343" s="94"/>
      <c r="AP343" s="94"/>
      <c r="AQ343" s="94"/>
      <c r="AR343" s="94"/>
      <c r="AS343" s="94"/>
      <c r="AT343" s="94"/>
      <c r="AU343" s="94"/>
      <c r="AV343" s="94"/>
      <c r="AW343" s="94"/>
    </row>
    <row r="344" spans="1:49" s="1" customFormat="1" ht="16.5" x14ac:dyDescent="0.3">
      <c r="A344" s="94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  <c r="AA344" s="94"/>
      <c r="AB344" s="94"/>
      <c r="AC344" s="94"/>
      <c r="AD344" s="94"/>
      <c r="AE344" s="94"/>
      <c r="AF344" s="94"/>
      <c r="AG344" s="94"/>
      <c r="AH344" s="94"/>
      <c r="AI344" s="94"/>
      <c r="AJ344" s="94"/>
      <c r="AK344" s="94"/>
      <c r="AL344" s="94"/>
      <c r="AM344" s="94"/>
      <c r="AN344" s="94"/>
      <c r="AO344" s="94"/>
      <c r="AP344" s="94"/>
      <c r="AQ344" s="94"/>
      <c r="AR344" s="94"/>
      <c r="AS344" s="94"/>
      <c r="AT344" s="94"/>
      <c r="AU344" s="94"/>
      <c r="AV344" s="94"/>
      <c r="AW344" s="94"/>
    </row>
    <row r="345" spans="1:49" s="1" customFormat="1" ht="16.5" x14ac:dyDescent="0.3">
      <c r="A345" s="9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  <c r="AA345" s="94"/>
      <c r="AB345" s="94"/>
      <c r="AC345" s="94"/>
      <c r="AD345" s="94"/>
      <c r="AE345" s="94"/>
      <c r="AF345" s="94"/>
      <c r="AG345" s="94"/>
      <c r="AH345" s="94"/>
      <c r="AI345" s="94"/>
      <c r="AJ345" s="94"/>
      <c r="AK345" s="94"/>
      <c r="AL345" s="94"/>
      <c r="AM345" s="94"/>
      <c r="AN345" s="94"/>
      <c r="AO345" s="94"/>
      <c r="AP345" s="94"/>
      <c r="AQ345" s="94"/>
      <c r="AR345" s="94"/>
      <c r="AS345" s="94"/>
      <c r="AT345" s="94"/>
      <c r="AU345" s="94"/>
      <c r="AV345" s="94"/>
      <c r="AW345" s="94"/>
    </row>
    <row r="346" spans="1:49" s="1" customFormat="1" ht="16.5" x14ac:dyDescent="0.3">
      <c r="A346" s="94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  <c r="AA346" s="94"/>
      <c r="AB346" s="94"/>
      <c r="AC346" s="94"/>
      <c r="AD346" s="94"/>
      <c r="AE346" s="94"/>
      <c r="AF346" s="94"/>
      <c r="AG346" s="94"/>
      <c r="AH346" s="94"/>
      <c r="AI346" s="94"/>
      <c r="AJ346" s="94"/>
      <c r="AK346" s="94"/>
      <c r="AL346" s="94"/>
      <c r="AM346" s="94"/>
      <c r="AN346" s="94"/>
      <c r="AO346" s="94"/>
      <c r="AP346" s="94"/>
      <c r="AQ346" s="94"/>
      <c r="AR346" s="94"/>
      <c r="AS346" s="94"/>
      <c r="AT346" s="94"/>
      <c r="AU346" s="94"/>
      <c r="AV346" s="94"/>
      <c r="AW346" s="94"/>
    </row>
    <row r="347" spans="1:49" s="1" customFormat="1" ht="16.5" x14ac:dyDescent="0.3">
      <c r="A347" s="9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  <c r="AA347" s="94"/>
      <c r="AB347" s="94"/>
      <c r="AC347" s="94"/>
      <c r="AD347" s="94"/>
      <c r="AE347" s="94"/>
      <c r="AF347" s="94"/>
      <c r="AG347" s="94"/>
      <c r="AH347" s="94"/>
      <c r="AI347" s="94"/>
      <c r="AJ347" s="94"/>
      <c r="AK347" s="94"/>
      <c r="AL347" s="94"/>
      <c r="AM347" s="94"/>
      <c r="AN347" s="94"/>
      <c r="AO347" s="94"/>
      <c r="AP347" s="94"/>
      <c r="AQ347" s="94"/>
      <c r="AR347" s="94"/>
      <c r="AS347" s="94"/>
      <c r="AT347" s="94"/>
      <c r="AU347" s="94"/>
      <c r="AV347" s="94"/>
      <c r="AW347" s="94"/>
    </row>
    <row r="348" spans="1:49" s="1" customFormat="1" ht="16.5" x14ac:dyDescent="0.3">
      <c r="A348" s="94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  <c r="AA348" s="94"/>
      <c r="AB348" s="94"/>
      <c r="AC348" s="94"/>
      <c r="AD348" s="94"/>
      <c r="AE348" s="94"/>
      <c r="AF348" s="94"/>
      <c r="AG348" s="94"/>
      <c r="AH348" s="94"/>
      <c r="AI348" s="94"/>
      <c r="AJ348" s="94"/>
      <c r="AK348" s="94"/>
      <c r="AL348" s="94"/>
      <c r="AM348" s="94"/>
      <c r="AN348" s="94"/>
      <c r="AO348" s="94"/>
      <c r="AP348" s="94"/>
      <c r="AQ348" s="94"/>
      <c r="AR348" s="94"/>
      <c r="AS348" s="94"/>
      <c r="AT348" s="94"/>
      <c r="AU348" s="94"/>
      <c r="AV348" s="94"/>
      <c r="AW348" s="94"/>
    </row>
    <row r="349" spans="1:49" s="1" customFormat="1" ht="16.5" x14ac:dyDescent="0.3">
      <c r="A349" s="9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  <c r="AA349" s="94"/>
      <c r="AB349" s="94"/>
      <c r="AC349" s="94"/>
      <c r="AD349" s="94"/>
      <c r="AE349" s="94"/>
      <c r="AF349" s="94"/>
      <c r="AG349" s="94"/>
      <c r="AH349" s="94"/>
      <c r="AI349" s="94"/>
      <c r="AJ349" s="94"/>
      <c r="AK349" s="94"/>
      <c r="AL349" s="94"/>
      <c r="AM349" s="94"/>
      <c r="AN349" s="94"/>
      <c r="AO349" s="94"/>
      <c r="AP349" s="94"/>
      <c r="AQ349" s="94"/>
      <c r="AR349" s="94"/>
      <c r="AS349" s="94"/>
      <c r="AT349" s="94"/>
      <c r="AU349" s="94"/>
      <c r="AV349" s="94"/>
      <c r="AW349" s="94"/>
    </row>
    <row r="350" spans="1:49" s="1" customFormat="1" ht="16.5" x14ac:dyDescent="0.3">
      <c r="A350" s="94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  <c r="AA350" s="94"/>
      <c r="AB350" s="94"/>
      <c r="AC350" s="94"/>
      <c r="AD350" s="94"/>
      <c r="AE350" s="94"/>
      <c r="AF350" s="94"/>
      <c r="AG350" s="94"/>
      <c r="AH350" s="94"/>
      <c r="AI350" s="94"/>
      <c r="AJ350" s="94"/>
      <c r="AK350" s="94"/>
      <c r="AL350" s="94"/>
      <c r="AM350" s="94"/>
      <c r="AN350" s="94"/>
      <c r="AO350" s="94"/>
      <c r="AP350" s="94"/>
      <c r="AQ350" s="94"/>
      <c r="AR350" s="94"/>
      <c r="AS350" s="94"/>
      <c r="AT350" s="94"/>
      <c r="AU350" s="94"/>
      <c r="AV350" s="94"/>
      <c r="AW350" s="94"/>
    </row>
    <row r="351" spans="1:49" s="1" customFormat="1" ht="16.5" x14ac:dyDescent="0.3">
      <c r="A351" s="9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  <c r="AA351" s="94"/>
      <c r="AB351" s="94"/>
      <c r="AC351" s="94"/>
      <c r="AD351" s="94"/>
      <c r="AE351" s="94"/>
      <c r="AF351" s="94"/>
      <c r="AG351" s="94"/>
      <c r="AH351" s="94"/>
      <c r="AI351" s="94"/>
      <c r="AJ351" s="94"/>
      <c r="AK351" s="94"/>
      <c r="AL351" s="94"/>
      <c r="AM351" s="94"/>
      <c r="AN351" s="94"/>
      <c r="AO351" s="94"/>
      <c r="AP351" s="94"/>
      <c r="AQ351" s="94"/>
      <c r="AR351" s="94"/>
      <c r="AS351" s="94"/>
      <c r="AT351" s="94"/>
      <c r="AU351" s="94"/>
      <c r="AV351" s="94"/>
      <c r="AW351" s="94"/>
    </row>
    <row r="352" spans="1:49" s="1" customFormat="1" ht="16.5" x14ac:dyDescent="0.3">
      <c r="A352" s="94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  <c r="AA352" s="94"/>
      <c r="AB352" s="94"/>
      <c r="AC352" s="94"/>
      <c r="AD352" s="94"/>
      <c r="AE352" s="94"/>
      <c r="AF352" s="94"/>
      <c r="AG352" s="94"/>
      <c r="AH352" s="94"/>
      <c r="AI352" s="94"/>
      <c r="AJ352" s="94"/>
      <c r="AK352" s="94"/>
      <c r="AL352" s="94"/>
      <c r="AM352" s="94"/>
      <c r="AN352" s="94"/>
      <c r="AO352" s="94"/>
      <c r="AP352" s="94"/>
      <c r="AQ352" s="94"/>
      <c r="AR352" s="94"/>
      <c r="AS352" s="94"/>
      <c r="AT352" s="94"/>
      <c r="AU352" s="94"/>
      <c r="AV352" s="94"/>
      <c r="AW352" s="94"/>
    </row>
    <row r="353" spans="1:49" s="1" customFormat="1" ht="16.5" x14ac:dyDescent="0.3">
      <c r="A353" s="9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  <c r="AA353" s="94"/>
      <c r="AB353" s="94"/>
      <c r="AC353" s="94"/>
      <c r="AD353" s="94"/>
      <c r="AE353" s="94"/>
      <c r="AF353" s="94"/>
      <c r="AG353" s="94"/>
      <c r="AH353" s="94"/>
      <c r="AI353" s="94"/>
      <c r="AJ353" s="94"/>
      <c r="AK353" s="94"/>
      <c r="AL353" s="94"/>
      <c r="AM353" s="94"/>
      <c r="AN353" s="94"/>
      <c r="AO353" s="94"/>
      <c r="AP353" s="94"/>
      <c r="AQ353" s="94"/>
      <c r="AR353" s="94"/>
      <c r="AS353" s="94"/>
      <c r="AT353" s="94"/>
      <c r="AU353" s="94"/>
      <c r="AV353" s="94"/>
      <c r="AW353" s="94"/>
    </row>
    <row r="354" spans="1:49" s="1" customFormat="1" ht="16.5" x14ac:dyDescent="0.3">
      <c r="A354" s="94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  <c r="AA354" s="94"/>
      <c r="AB354" s="94"/>
      <c r="AC354" s="94"/>
      <c r="AD354" s="94"/>
      <c r="AE354" s="94"/>
      <c r="AF354" s="94"/>
      <c r="AG354" s="94"/>
      <c r="AH354" s="94"/>
      <c r="AI354" s="94"/>
      <c r="AJ354" s="94"/>
      <c r="AK354" s="94"/>
      <c r="AL354" s="94"/>
      <c r="AM354" s="94"/>
      <c r="AN354" s="94"/>
      <c r="AO354" s="94"/>
      <c r="AP354" s="94"/>
      <c r="AQ354" s="94"/>
      <c r="AR354" s="94"/>
      <c r="AS354" s="94"/>
      <c r="AT354" s="94"/>
      <c r="AU354" s="94"/>
      <c r="AV354" s="94"/>
      <c r="AW354" s="94"/>
    </row>
    <row r="355" spans="1:49" s="1" customFormat="1" ht="16.5" x14ac:dyDescent="0.3">
      <c r="A355" s="9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  <c r="AA355" s="94"/>
      <c r="AB355" s="94"/>
      <c r="AC355" s="94"/>
      <c r="AD355" s="94"/>
      <c r="AE355" s="94"/>
      <c r="AF355" s="94"/>
      <c r="AG355" s="94"/>
      <c r="AH355" s="94"/>
      <c r="AI355" s="94"/>
      <c r="AJ355" s="94"/>
      <c r="AK355" s="94"/>
      <c r="AL355" s="94"/>
      <c r="AM355" s="94"/>
      <c r="AN355" s="94"/>
      <c r="AO355" s="94"/>
      <c r="AP355" s="94"/>
      <c r="AQ355" s="94"/>
      <c r="AR355" s="94"/>
      <c r="AS355" s="94"/>
      <c r="AT355" s="94"/>
      <c r="AU355" s="94"/>
      <c r="AV355" s="94"/>
      <c r="AW355" s="94"/>
    </row>
    <row r="356" spans="1:49" s="1" customFormat="1" ht="16.5" x14ac:dyDescent="0.3">
      <c r="A356" s="94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  <c r="AA356" s="94"/>
      <c r="AB356" s="94"/>
      <c r="AC356" s="94"/>
      <c r="AD356" s="94"/>
      <c r="AE356" s="94"/>
      <c r="AF356" s="94"/>
      <c r="AG356" s="94"/>
      <c r="AH356" s="94"/>
      <c r="AI356" s="94"/>
      <c r="AJ356" s="94"/>
      <c r="AK356" s="94"/>
      <c r="AL356" s="94"/>
      <c r="AM356" s="94"/>
      <c r="AN356" s="94"/>
      <c r="AO356" s="94"/>
      <c r="AP356" s="94"/>
      <c r="AQ356" s="94"/>
      <c r="AR356" s="94"/>
      <c r="AS356" s="94"/>
      <c r="AT356" s="94"/>
      <c r="AU356" s="94"/>
      <c r="AV356" s="94"/>
      <c r="AW356" s="94"/>
    </row>
    <row r="357" spans="1:49" s="1" customFormat="1" ht="16.5" x14ac:dyDescent="0.3">
      <c r="A357" s="9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  <c r="AA357" s="94"/>
      <c r="AB357" s="94"/>
      <c r="AC357" s="94"/>
      <c r="AD357" s="94"/>
      <c r="AE357" s="94"/>
      <c r="AF357" s="94"/>
      <c r="AG357" s="94"/>
      <c r="AH357" s="94"/>
      <c r="AI357" s="94"/>
      <c r="AJ357" s="94"/>
      <c r="AK357" s="94"/>
      <c r="AL357" s="94"/>
      <c r="AM357" s="94"/>
      <c r="AN357" s="94"/>
      <c r="AO357" s="94"/>
      <c r="AP357" s="94"/>
      <c r="AQ357" s="94"/>
      <c r="AR357" s="94"/>
      <c r="AS357" s="94"/>
      <c r="AT357" s="94"/>
      <c r="AU357" s="94"/>
      <c r="AV357" s="94"/>
      <c r="AW357" s="94"/>
    </row>
    <row r="358" spans="1:49" s="1" customFormat="1" ht="16.5" x14ac:dyDescent="0.3">
      <c r="A358" s="94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  <c r="AA358" s="94"/>
      <c r="AB358" s="94"/>
      <c r="AC358" s="94"/>
      <c r="AD358" s="94"/>
      <c r="AE358" s="94"/>
      <c r="AF358" s="94"/>
      <c r="AG358" s="94"/>
      <c r="AH358" s="94"/>
      <c r="AI358" s="94"/>
      <c r="AJ358" s="94"/>
      <c r="AK358" s="94"/>
      <c r="AL358" s="94"/>
      <c r="AM358" s="94"/>
      <c r="AN358" s="94"/>
      <c r="AO358" s="94"/>
      <c r="AP358" s="94"/>
      <c r="AQ358" s="94"/>
      <c r="AR358" s="94"/>
      <c r="AS358" s="94"/>
      <c r="AT358" s="94"/>
      <c r="AU358" s="94"/>
      <c r="AV358" s="94"/>
      <c r="AW358" s="94"/>
    </row>
    <row r="359" spans="1:49" s="1" customFormat="1" ht="16.5" x14ac:dyDescent="0.3">
      <c r="A359" s="9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  <c r="AA359" s="94"/>
      <c r="AB359" s="94"/>
      <c r="AC359" s="94"/>
      <c r="AD359" s="94"/>
      <c r="AE359" s="94"/>
      <c r="AF359" s="94"/>
      <c r="AG359" s="94"/>
      <c r="AH359" s="94"/>
      <c r="AI359" s="94"/>
      <c r="AJ359" s="94"/>
      <c r="AK359" s="94"/>
      <c r="AL359" s="94"/>
      <c r="AM359" s="94"/>
      <c r="AN359" s="94"/>
      <c r="AO359" s="94"/>
      <c r="AP359" s="94"/>
      <c r="AQ359" s="94"/>
      <c r="AR359" s="94"/>
      <c r="AS359" s="94"/>
      <c r="AT359" s="94"/>
      <c r="AU359" s="94"/>
      <c r="AV359" s="94"/>
      <c r="AW359" s="94"/>
    </row>
    <row r="360" spans="1:49" s="1" customFormat="1" ht="16.5" x14ac:dyDescent="0.3">
      <c r="A360" s="94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  <c r="AA360" s="94"/>
      <c r="AB360" s="94"/>
      <c r="AC360" s="94"/>
      <c r="AD360" s="94"/>
      <c r="AE360" s="94"/>
      <c r="AF360" s="94"/>
      <c r="AG360" s="94"/>
      <c r="AH360" s="94"/>
      <c r="AI360" s="94"/>
      <c r="AJ360" s="94"/>
      <c r="AK360" s="94"/>
      <c r="AL360" s="94"/>
      <c r="AM360" s="94"/>
      <c r="AN360" s="94"/>
      <c r="AO360" s="94"/>
      <c r="AP360" s="94"/>
      <c r="AQ360" s="94"/>
      <c r="AR360" s="94"/>
      <c r="AS360" s="94"/>
      <c r="AT360" s="94"/>
      <c r="AU360" s="94"/>
      <c r="AV360" s="94"/>
      <c r="AW360" s="94"/>
    </row>
    <row r="361" spans="1:49" s="1" customFormat="1" ht="16.5" x14ac:dyDescent="0.3">
      <c r="A361" s="9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  <c r="AA361" s="94"/>
      <c r="AB361" s="94"/>
      <c r="AC361" s="94"/>
      <c r="AD361" s="94"/>
      <c r="AE361" s="94"/>
      <c r="AF361" s="94"/>
      <c r="AG361" s="94"/>
      <c r="AH361" s="94"/>
      <c r="AI361" s="94"/>
      <c r="AJ361" s="94"/>
      <c r="AK361" s="94"/>
      <c r="AL361" s="94"/>
      <c r="AM361" s="94"/>
      <c r="AN361" s="94"/>
      <c r="AO361" s="94"/>
      <c r="AP361" s="94"/>
      <c r="AQ361" s="94"/>
      <c r="AR361" s="94"/>
      <c r="AS361" s="94"/>
      <c r="AT361" s="94"/>
      <c r="AU361" s="94"/>
      <c r="AV361" s="94"/>
      <c r="AW361" s="94"/>
    </row>
    <row r="362" spans="1:49" s="1" customFormat="1" ht="16.5" x14ac:dyDescent="0.3">
      <c r="A362" s="94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  <c r="AA362" s="94"/>
      <c r="AB362" s="94"/>
      <c r="AC362" s="94"/>
      <c r="AD362" s="94"/>
      <c r="AE362" s="94"/>
      <c r="AF362" s="94"/>
      <c r="AG362" s="94"/>
      <c r="AH362" s="94"/>
      <c r="AI362" s="94"/>
      <c r="AJ362" s="94"/>
      <c r="AK362" s="94"/>
      <c r="AL362" s="94"/>
      <c r="AM362" s="94"/>
      <c r="AN362" s="94"/>
      <c r="AO362" s="94"/>
      <c r="AP362" s="94"/>
      <c r="AQ362" s="94"/>
      <c r="AR362" s="94"/>
      <c r="AS362" s="94"/>
      <c r="AT362" s="94"/>
      <c r="AU362" s="94"/>
      <c r="AV362" s="94"/>
      <c r="AW362" s="94"/>
    </row>
    <row r="363" spans="1:49" s="1" customFormat="1" ht="16.5" x14ac:dyDescent="0.3">
      <c r="A363" s="9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  <c r="AA363" s="94"/>
      <c r="AB363" s="94"/>
      <c r="AC363" s="94"/>
      <c r="AD363" s="94"/>
      <c r="AE363" s="94"/>
      <c r="AF363" s="94"/>
      <c r="AG363" s="94"/>
      <c r="AH363" s="94"/>
      <c r="AI363" s="94"/>
      <c r="AJ363" s="94"/>
      <c r="AK363" s="94"/>
      <c r="AL363" s="94"/>
      <c r="AM363" s="94"/>
      <c r="AN363" s="94"/>
      <c r="AO363" s="94"/>
      <c r="AP363" s="94"/>
      <c r="AQ363" s="94"/>
      <c r="AR363" s="94"/>
      <c r="AS363" s="94"/>
      <c r="AT363" s="94"/>
      <c r="AU363" s="94"/>
      <c r="AV363" s="94"/>
      <c r="AW363" s="94"/>
    </row>
    <row r="364" spans="1:49" s="1" customFormat="1" ht="16.5" x14ac:dyDescent="0.3">
      <c r="A364" s="94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  <c r="AA364" s="94"/>
      <c r="AB364" s="94"/>
      <c r="AC364" s="94"/>
      <c r="AD364" s="94"/>
      <c r="AE364" s="94"/>
      <c r="AF364" s="94"/>
      <c r="AG364" s="94"/>
      <c r="AH364" s="94"/>
      <c r="AI364" s="94"/>
      <c r="AJ364" s="94"/>
      <c r="AK364" s="94"/>
      <c r="AL364" s="94"/>
      <c r="AM364" s="94"/>
      <c r="AN364" s="94"/>
      <c r="AO364" s="94"/>
      <c r="AP364" s="94"/>
      <c r="AQ364" s="94"/>
      <c r="AR364" s="94"/>
      <c r="AS364" s="94"/>
      <c r="AT364" s="94"/>
      <c r="AU364" s="94"/>
      <c r="AV364" s="94"/>
      <c r="AW364" s="94"/>
    </row>
    <row r="365" spans="1:49" s="1" customFormat="1" ht="16.5" x14ac:dyDescent="0.3">
      <c r="A365" s="9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  <c r="AA365" s="94"/>
      <c r="AB365" s="94"/>
      <c r="AC365" s="94"/>
      <c r="AD365" s="94"/>
      <c r="AE365" s="94"/>
      <c r="AF365" s="94"/>
      <c r="AG365" s="94"/>
      <c r="AH365" s="94"/>
      <c r="AI365" s="94"/>
      <c r="AJ365" s="94"/>
      <c r="AK365" s="94"/>
      <c r="AL365" s="94"/>
      <c r="AM365" s="94"/>
      <c r="AN365" s="94"/>
      <c r="AO365" s="94"/>
      <c r="AP365" s="94"/>
      <c r="AQ365" s="94"/>
      <c r="AR365" s="94"/>
      <c r="AS365" s="94"/>
      <c r="AT365" s="94"/>
      <c r="AU365" s="94"/>
      <c r="AV365" s="94"/>
      <c r="AW365" s="94"/>
    </row>
    <row r="366" spans="1:49" s="1" customFormat="1" ht="16.5" x14ac:dyDescent="0.3">
      <c r="A366" s="94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  <c r="AA366" s="94"/>
      <c r="AB366" s="94"/>
      <c r="AC366" s="94"/>
      <c r="AD366" s="94"/>
      <c r="AE366" s="94"/>
      <c r="AF366" s="94"/>
      <c r="AG366" s="94"/>
      <c r="AH366" s="94"/>
      <c r="AI366" s="94"/>
      <c r="AJ366" s="94"/>
      <c r="AK366" s="94"/>
      <c r="AL366" s="94"/>
      <c r="AM366" s="94"/>
      <c r="AN366" s="94"/>
      <c r="AO366" s="94"/>
      <c r="AP366" s="94"/>
      <c r="AQ366" s="94"/>
      <c r="AR366" s="94"/>
      <c r="AS366" s="94"/>
      <c r="AT366" s="94"/>
      <c r="AU366" s="94"/>
      <c r="AV366" s="94"/>
      <c r="AW366" s="94"/>
    </row>
    <row r="367" spans="1:49" s="1" customFormat="1" ht="16.5" x14ac:dyDescent="0.3">
      <c r="A367" s="9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  <c r="AA367" s="94"/>
      <c r="AB367" s="94"/>
      <c r="AC367" s="94"/>
      <c r="AD367" s="94"/>
      <c r="AE367" s="94"/>
      <c r="AF367" s="94"/>
      <c r="AG367" s="94"/>
      <c r="AH367" s="94"/>
      <c r="AI367" s="94"/>
      <c r="AJ367" s="94"/>
      <c r="AK367" s="94"/>
      <c r="AL367" s="94"/>
      <c r="AM367" s="94"/>
      <c r="AN367" s="94"/>
      <c r="AO367" s="94"/>
      <c r="AP367" s="94"/>
      <c r="AQ367" s="94"/>
      <c r="AR367" s="94"/>
      <c r="AS367" s="94"/>
      <c r="AT367" s="94"/>
      <c r="AU367" s="94"/>
      <c r="AV367" s="94"/>
      <c r="AW367" s="94"/>
    </row>
    <row r="368" spans="1:49" s="1" customFormat="1" ht="16.5" x14ac:dyDescent="0.3">
      <c r="A368" s="94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  <c r="AA368" s="94"/>
      <c r="AB368" s="94"/>
      <c r="AC368" s="94"/>
      <c r="AD368" s="94"/>
      <c r="AE368" s="94"/>
      <c r="AF368" s="94"/>
      <c r="AG368" s="94"/>
      <c r="AH368" s="94"/>
      <c r="AI368" s="94"/>
      <c r="AJ368" s="94"/>
      <c r="AK368" s="94"/>
      <c r="AL368" s="94"/>
      <c r="AM368" s="94"/>
      <c r="AN368" s="94"/>
      <c r="AO368" s="94"/>
      <c r="AP368" s="94"/>
      <c r="AQ368" s="94"/>
      <c r="AR368" s="94"/>
      <c r="AS368" s="94"/>
      <c r="AT368" s="94"/>
      <c r="AU368" s="94"/>
      <c r="AV368" s="94"/>
      <c r="AW368" s="94"/>
    </row>
    <row r="369" spans="1:49" s="1" customFormat="1" ht="16.5" x14ac:dyDescent="0.3">
      <c r="A369" s="9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  <c r="AA369" s="94"/>
      <c r="AB369" s="94"/>
      <c r="AC369" s="94"/>
      <c r="AD369" s="94"/>
      <c r="AE369" s="94"/>
      <c r="AF369" s="94"/>
      <c r="AG369" s="94"/>
      <c r="AH369" s="94"/>
      <c r="AI369" s="94"/>
      <c r="AJ369" s="94"/>
      <c r="AK369" s="94"/>
      <c r="AL369" s="94"/>
      <c r="AM369" s="94"/>
      <c r="AN369" s="94"/>
      <c r="AO369" s="94"/>
      <c r="AP369" s="94"/>
      <c r="AQ369" s="94"/>
      <c r="AR369" s="94"/>
      <c r="AS369" s="94"/>
      <c r="AT369" s="94"/>
      <c r="AU369" s="94"/>
      <c r="AV369" s="94"/>
      <c r="AW369" s="94"/>
    </row>
    <row r="370" spans="1:49" s="1" customFormat="1" ht="16.5" x14ac:dyDescent="0.3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  <c r="AA370" s="94"/>
      <c r="AB370" s="94"/>
      <c r="AC370" s="94"/>
      <c r="AD370" s="94"/>
      <c r="AE370" s="94"/>
      <c r="AF370" s="94"/>
      <c r="AG370" s="94"/>
      <c r="AH370" s="94"/>
      <c r="AI370" s="94"/>
      <c r="AJ370" s="94"/>
      <c r="AK370" s="94"/>
      <c r="AL370" s="94"/>
      <c r="AM370" s="94"/>
      <c r="AN370" s="94"/>
      <c r="AO370" s="94"/>
      <c r="AP370" s="94"/>
      <c r="AQ370" s="94"/>
      <c r="AR370" s="94"/>
      <c r="AS370" s="94"/>
      <c r="AT370" s="94"/>
      <c r="AU370" s="94"/>
      <c r="AV370" s="94"/>
      <c r="AW370" s="94"/>
    </row>
    <row r="371" spans="1:49" s="1" customFormat="1" ht="16.5" x14ac:dyDescent="0.3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  <c r="AA371" s="94"/>
      <c r="AB371" s="94"/>
      <c r="AC371" s="94"/>
      <c r="AD371" s="94"/>
      <c r="AE371" s="94"/>
      <c r="AF371" s="94"/>
      <c r="AG371" s="94"/>
      <c r="AH371" s="94"/>
      <c r="AI371" s="94"/>
      <c r="AJ371" s="94"/>
      <c r="AK371" s="94"/>
      <c r="AL371" s="94"/>
      <c r="AM371" s="94"/>
      <c r="AN371" s="94"/>
      <c r="AO371" s="94"/>
      <c r="AP371" s="94"/>
      <c r="AQ371" s="94"/>
      <c r="AR371" s="94"/>
      <c r="AS371" s="94"/>
      <c r="AT371" s="94"/>
      <c r="AU371" s="94"/>
      <c r="AV371" s="94"/>
      <c r="AW371" s="94"/>
    </row>
    <row r="372" spans="1:49" s="1" customFormat="1" ht="16.5" x14ac:dyDescent="0.3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  <c r="AA372" s="94"/>
      <c r="AB372" s="94"/>
      <c r="AC372" s="94"/>
      <c r="AD372" s="94"/>
      <c r="AE372" s="94"/>
      <c r="AF372" s="94"/>
      <c r="AG372" s="94"/>
      <c r="AH372" s="94"/>
      <c r="AI372" s="94"/>
      <c r="AJ372" s="94"/>
      <c r="AK372" s="94"/>
      <c r="AL372" s="94"/>
      <c r="AM372" s="94"/>
      <c r="AN372" s="94"/>
      <c r="AO372" s="94"/>
      <c r="AP372" s="94"/>
      <c r="AQ372" s="94"/>
      <c r="AR372" s="94"/>
      <c r="AS372" s="94"/>
      <c r="AT372" s="94"/>
      <c r="AU372" s="94"/>
      <c r="AV372" s="94"/>
      <c r="AW372" s="94"/>
    </row>
    <row r="373" spans="1:49" s="1" customFormat="1" ht="16.5" x14ac:dyDescent="0.3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  <c r="AA373" s="94"/>
      <c r="AB373" s="94"/>
      <c r="AC373" s="94"/>
      <c r="AD373" s="94"/>
      <c r="AE373" s="94"/>
      <c r="AF373" s="94"/>
      <c r="AG373" s="94"/>
      <c r="AH373" s="94"/>
      <c r="AI373" s="94"/>
      <c r="AJ373" s="94"/>
      <c r="AK373" s="94"/>
      <c r="AL373" s="94"/>
      <c r="AM373" s="94"/>
      <c r="AN373" s="94"/>
      <c r="AO373" s="94"/>
      <c r="AP373" s="94"/>
      <c r="AQ373" s="94"/>
      <c r="AR373" s="94"/>
      <c r="AS373" s="94"/>
      <c r="AT373" s="94"/>
      <c r="AU373" s="94"/>
      <c r="AV373" s="94"/>
      <c r="AW373" s="94"/>
    </row>
    <row r="374" spans="1:49" s="1" customFormat="1" ht="16.5" x14ac:dyDescent="0.3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  <c r="AA374" s="94"/>
      <c r="AB374" s="94"/>
      <c r="AC374" s="94"/>
      <c r="AD374" s="94"/>
      <c r="AE374" s="94"/>
      <c r="AF374" s="94"/>
      <c r="AG374" s="94"/>
      <c r="AH374" s="94"/>
      <c r="AI374" s="94"/>
      <c r="AJ374" s="94"/>
      <c r="AK374" s="94"/>
      <c r="AL374" s="94"/>
      <c r="AM374" s="94"/>
      <c r="AN374" s="94"/>
      <c r="AO374" s="94"/>
      <c r="AP374" s="94"/>
      <c r="AQ374" s="94"/>
      <c r="AR374" s="94"/>
      <c r="AS374" s="94"/>
      <c r="AT374" s="94"/>
      <c r="AU374" s="94"/>
      <c r="AV374" s="94"/>
      <c r="AW374" s="94"/>
    </row>
    <row r="375" spans="1:49" s="1" customFormat="1" ht="16.5" x14ac:dyDescent="0.3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  <c r="AA375" s="94"/>
      <c r="AB375" s="94"/>
      <c r="AC375" s="94"/>
      <c r="AD375" s="94"/>
      <c r="AE375" s="94"/>
      <c r="AF375" s="94"/>
      <c r="AG375" s="94"/>
      <c r="AH375" s="94"/>
      <c r="AI375" s="94"/>
      <c r="AJ375" s="94"/>
      <c r="AK375" s="94"/>
      <c r="AL375" s="94"/>
      <c r="AM375" s="94"/>
      <c r="AN375" s="94"/>
      <c r="AO375" s="94"/>
      <c r="AP375" s="94"/>
      <c r="AQ375" s="94"/>
      <c r="AR375" s="94"/>
      <c r="AS375" s="94"/>
      <c r="AT375" s="94"/>
      <c r="AU375" s="94"/>
      <c r="AV375" s="94"/>
      <c r="AW375" s="94"/>
    </row>
    <row r="376" spans="1:49" s="1" customFormat="1" ht="16.5" x14ac:dyDescent="0.3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  <c r="AA376" s="94"/>
      <c r="AB376" s="94"/>
      <c r="AC376" s="94"/>
      <c r="AD376" s="94"/>
      <c r="AE376" s="94"/>
      <c r="AF376" s="94"/>
      <c r="AG376" s="94"/>
      <c r="AH376" s="94"/>
      <c r="AI376" s="94"/>
      <c r="AJ376" s="94"/>
      <c r="AK376" s="94"/>
      <c r="AL376" s="94"/>
      <c r="AM376" s="94"/>
      <c r="AN376" s="94"/>
      <c r="AO376" s="94"/>
      <c r="AP376" s="94"/>
      <c r="AQ376" s="94"/>
      <c r="AR376" s="94"/>
      <c r="AS376" s="94"/>
      <c r="AT376" s="94"/>
      <c r="AU376" s="94"/>
      <c r="AV376" s="94"/>
      <c r="AW376" s="94"/>
    </row>
    <row r="377" spans="1:49" s="1" customFormat="1" ht="16.5" x14ac:dyDescent="0.3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  <c r="AA377" s="94"/>
      <c r="AB377" s="94"/>
      <c r="AC377" s="94"/>
      <c r="AD377" s="94"/>
      <c r="AE377" s="94"/>
      <c r="AF377" s="94"/>
      <c r="AG377" s="94"/>
      <c r="AH377" s="94"/>
      <c r="AI377" s="94"/>
      <c r="AJ377" s="94"/>
      <c r="AK377" s="94"/>
      <c r="AL377" s="94"/>
      <c r="AM377" s="94"/>
      <c r="AN377" s="94"/>
      <c r="AO377" s="94"/>
      <c r="AP377" s="94"/>
      <c r="AQ377" s="94"/>
      <c r="AR377" s="94"/>
      <c r="AS377" s="94"/>
      <c r="AT377" s="94"/>
      <c r="AU377" s="94"/>
      <c r="AV377" s="94"/>
      <c r="AW377" s="94"/>
    </row>
    <row r="378" spans="1:49" s="1" customFormat="1" ht="16.5" x14ac:dyDescent="0.3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  <c r="AA378" s="94"/>
      <c r="AB378" s="94"/>
      <c r="AC378" s="94"/>
      <c r="AD378" s="94"/>
      <c r="AE378" s="94"/>
      <c r="AF378" s="94"/>
      <c r="AG378" s="94"/>
      <c r="AH378" s="94"/>
      <c r="AI378" s="94"/>
      <c r="AJ378" s="94"/>
      <c r="AK378" s="94"/>
      <c r="AL378" s="94"/>
      <c r="AM378" s="94"/>
      <c r="AN378" s="94"/>
      <c r="AO378" s="94"/>
      <c r="AP378" s="94"/>
      <c r="AQ378" s="94"/>
      <c r="AR378" s="94"/>
      <c r="AS378" s="94"/>
      <c r="AT378" s="94"/>
      <c r="AU378" s="94"/>
      <c r="AV378" s="94"/>
      <c r="AW378" s="94"/>
    </row>
    <row r="379" spans="1:49" s="1" customFormat="1" ht="16.5" x14ac:dyDescent="0.3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  <c r="AA379" s="94"/>
      <c r="AB379" s="94"/>
      <c r="AC379" s="94"/>
      <c r="AD379" s="94"/>
      <c r="AE379" s="94"/>
      <c r="AF379" s="94"/>
      <c r="AG379" s="94"/>
      <c r="AH379" s="94"/>
      <c r="AI379" s="94"/>
      <c r="AJ379" s="94"/>
      <c r="AK379" s="94"/>
      <c r="AL379" s="94"/>
      <c r="AM379" s="94"/>
      <c r="AN379" s="94"/>
      <c r="AO379" s="94"/>
      <c r="AP379" s="94"/>
      <c r="AQ379" s="94"/>
      <c r="AR379" s="94"/>
      <c r="AS379" s="94"/>
      <c r="AT379" s="94"/>
      <c r="AU379" s="94"/>
      <c r="AV379" s="94"/>
      <c r="AW379" s="94"/>
    </row>
    <row r="380" spans="1:49" s="1" customFormat="1" ht="16.5" x14ac:dyDescent="0.3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  <c r="AA380" s="94"/>
      <c r="AB380" s="94"/>
      <c r="AC380" s="94"/>
      <c r="AD380" s="94"/>
      <c r="AE380" s="94"/>
      <c r="AF380" s="94"/>
      <c r="AG380" s="94"/>
      <c r="AH380" s="94"/>
      <c r="AI380" s="94"/>
      <c r="AJ380" s="94"/>
      <c r="AK380" s="94"/>
      <c r="AL380" s="94"/>
      <c r="AM380" s="94"/>
      <c r="AN380" s="94"/>
      <c r="AO380" s="94"/>
      <c r="AP380" s="94"/>
      <c r="AQ380" s="94"/>
      <c r="AR380" s="94"/>
      <c r="AS380" s="94"/>
      <c r="AT380" s="94"/>
      <c r="AU380" s="94"/>
      <c r="AV380" s="94"/>
      <c r="AW380" s="94"/>
    </row>
    <row r="381" spans="1:49" s="1" customFormat="1" ht="16.5" x14ac:dyDescent="0.3">
      <c r="A381" s="9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  <c r="AA381" s="94"/>
      <c r="AB381" s="94"/>
      <c r="AC381" s="94"/>
      <c r="AD381" s="94"/>
      <c r="AE381" s="94"/>
      <c r="AF381" s="94"/>
      <c r="AG381" s="94"/>
      <c r="AH381" s="94"/>
      <c r="AI381" s="94"/>
      <c r="AJ381" s="94"/>
      <c r="AK381" s="94"/>
      <c r="AL381" s="94"/>
      <c r="AM381" s="94"/>
      <c r="AN381" s="94"/>
      <c r="AO381" s="94"/>
      <c r="AP381" s="94"/>
      <c r="AQ381" s="94"/>
      <c r="AR381" s="94"/>
      <c r="AS381" s="94"/>
      <c r="AT381" s="94"/>
      <c r="AU381" s="94"/>
      <c r="AV381" s="94"/>
      <c r="AW381" s="94"/>
    </row>
    <row r="382" spans="1:49" s="1" customFormat="1" ht="16.5" x14ac:dyDescent="0.3">
      <c r="A382" s="94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  <c r="AA382" s="94"/>
      <c r="AB382" s="94"/>
      <c r="AC382" s="94"/>
      <c r="AD382" s="94"/>
      <c r="AE382" s="94"/>
      <c r="AF382" s="94"/>
      <c r="AG382" s="94"/>
      <c r="AH382" s="94"/>
      <c r="AI382" s="94"/>
      <c r="AJ382" s="94"/>
      <c r="AK382" s="94"/>
      <c r="AL382" s="94"/>
      <c r="AM382" s="94"/>
      <c r="AN382" s="94"/>
      <c r="AO382" s="94"/>
      <c r="AP382" s="94"/>
      <c r="AQ382" s="94"/>
      <c r="AR382" s="94"/>
      <c r="AS382" s="94"/>
      <c r="AT382" s="94"/>
      <c r="AU382" s="94"/>
      <c r="AV382" s="94"/>
      <c r="AW382" s="94"/>
    </row>
    <row r="383" spans="1:49" s="1" customFormat="1" ht="16.5" x14ac:dyDescent="0.3">
      <c r="A383" s="9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  <c r="AA383" s="94"/>
      <c r="AB383" s="94"/>
      <c r="AC383" s="94"/>
      <c r="AD383" s="94"/>
      <c r="AE383" s="94"/>
      <c r="AF383" s="94"/>
      <c r="AG383" s="94"/>
      <c r="AH383" s="94"/>
      <c r="AI383" s="94"/>
      <c r="AJ383" s="94"/>
      <c r="AK383" s="94"/>
      <c r="AL383" s="94"/>
      <c r="AM383" s="94"/>
      <c r="AN383" s="94"/>
      <c r="AO383" s="94"/>
      <c r="AP383" s="94"/>
      <c r="AQ383" s="94"/>
      <c r="AR383" s="94"/>
      <c r="AS383" s="94"/>
      <c r="AT383" s="94"/>
      <c r="AU383" s="94"/>
      <c r="AV383" s="94"/>
      <c r="AW383" s="94"/>
    </row>
    <row r="384" spans="1:49" s="1" customFormat="1" ht="16.5" x14ac:dyDescent="0.3">
      <c r="A384" s="94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  <c r="AA384" s="94"/>
      <c r="AB384" s="94"/>
      <c r="AC384" s="94"/>
      <c r="AD384" s="94"/>
      <c r="AE384" s="94"/>
      <c r="AF384" s="94"/>
      <c r="AG384" s="94"/>
      <c r="AH384" s="94"/>
      <c r="AI384" s="94"/>
      <c r="AJ384" s="94"/>
      <c r="AK384" s="94"/>
      <c r="AL384" s="94"/>
      <c r="AM384" s="94"/>
      <c r="AN384" s="94"/>
      <c r="AO384" s="94"/>
      <c r="AP384" s="94"/>
      <c r="AQ384" s="94"/>
      <c r="AR384" s="94"/>
      <c r="AS384" s="94"/>
      <c r="AT384" s="94"/>
      <c r="AU384" s="94"/>
      <c r="AV384" s="94"/>
      <c r="AW384" s="94"/>
    </row>
    <row r="385" spans="1:49" s="1" customFormat="1" ht="16.5" x14ac:dyDescent="0.3">
      <c r="A385" s="9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  <c r="AA385" s="94"/>
      <c r="AB385" s="94"/>
      <c r="AC385" s="94"/>
      <c r="AD385" s="94"/>
      <c r="AE385" s="94"/>
      <c r="AF385" s="94"/>
      <c r="AG385" s="94"/>
      <c r="AH385" s="94"/>
      <c r="AI385" s="94"/>
      <c r="AJ385" s="94"/>
      <c r="AK385" s="94"/>
      <c r="AL385" s="94"/>
      <c r="AM385" s="94"/>
      <c r="AN385" s="94"/>
      <c r="AO385" s="94"/>
      <c r="AP385" s="94"/>
      <c r="AQ385" s="94"/>
      <c r="AR385" s="94"/>
      <c r="AS385" s="94"/>
      <c r="AT385" s="94"/>
      <c r="AU385" s="94"/>
      <c r="AV385" s="94"/>
      <c r="AW385" s="94"/>
    </row>
    <row r="386" spans="1:49" s="1" customFormat="1" ht="16.5" x14ac:dyDescent="0.3">
      <c r="A386" s="94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  <c r="AA386" s="94"/>
      <c r="AB386" s="94"/>
      <c r="AC386" s="94"/>
      <c r="AD386" s="94"/>
      <c r="AE386" s="94"/>
      <c r="AF386" s="94"/>
      <c r="AG386" s="94"/>
      <c r="AH386" s="94"/>
      <c r="AI386" s="94"/>
      <c r="AJ386" s="94"/>
      <c r="AK386" s="94"/>
      <c r="AL386" s="94"/>
      <c r="AM386" s="94"/>
      <c r="AN386" s="94"/>
      <c r="AO386" s="94"/>
      <c r="AP386" s="94"/>
      <c r="AQ386" s="94"/>
      <c r="AR386" s="94"/>
      <c r="AS386" s="94"/>
      <c r="AT386" s="94"/>
      <c r="AU386" s="94"/>
      <c r="AV386" s="94"/>
      <c r="AW386" s="94"/>
    </row>
    <row r="387" spans="1:49" s="1" customFormat="1" ht="16.5" x14ac:dyDescent="0.3">
      <c r="A387" s="9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  <c r="AA387" s="94"/>
      <c r="AB387" s="94"/>
      <c r="AC387" s="94"/>
      <c r="AD387" s="94"/>
      <c r="AE387" s="94"/>
      <c r="AF387" s="94"/>
      <c r="AG387" s="94"/>
      <c r="AH387" s="94"/>
      <c r="AI387" s="94"/>
      <c r="AJ387" s="94"/>
      <c r="AK387" s="94"/>
      <c r="AL387" s="94"/>
      <c r="AM387" s="94"/>
      <c r="AN387" s="94"/>
      <c r="AO387" s="94"/>
      <c r="AP387" s="94"/>
      <c r="AQ387" s="94"/>
      <c r="AR387" s="94"/>
      <c r="AS387" s="94"/>
      <c r="AT387" s="94"/>
      <c r="AU387" s="94"/>
      <c r="AV387" s="94"/>
      <c r="AW387" s="94"/>
    </row>
    <row r="388" spans="1:49" s="1" customFormat="1" ht="16.5" x14ac:dyDescent="0.3">
      <c r="A388" s="94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  <c r="AA388" s="94"/>
      <c r="AB388" s="94"/>
      <c r="AC388" s="94"/>
      <c r="AD388" s="94"/>
      <c r="AE388" s="94"/>
      <c r="AF388" s="94"/>
      <c r="AG388" s="94"/>
      <c r="AH388" s="94"/>
      <c r="AI388" s="94"/>
      <c r="AJ388" s="94"/>
      <c r="AK388" s="94"/>
      <c r="AL388" s="94"/>
      <c r="AM388" s="94"/>
      <c r="AN388" s="94"/>
      <c r="AO388" s="94"/>
      <c r="AP388" s="94"/>
      <c r="AQ388" s="94"/>
      <c r="AR388" s="94"/>
      <c r="AS388" s="94"/>
      <c r="AT388" s="94"/>
      <c r="AU388" s="94"/>
      <c r="AV388" s="94"/>
      <c r="AW388" s="94"/>
    </row>
    <row r="389" spans="1:49" s="1" customFormat="1" ht="16.5" x14ac:dyDescent="0.3">
      <c r="A389" s="9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  <c r="AA389" s="94"/>
      <c r="AB389" s="94"/>
      <c r="AC389" s="94"/>
      <c r="AD389" s="94"/>
      <c r="AE389" s="94"/>
      <c r="AF389" s="94"/>
      <c r="AG389" s="94"/>
      <c r="AH389" s="94"/>
      <c r="AI389" s="94"/>
      <c r="AJ389" s="94"/>
      <c r="AK389" s="94"/>
      <c r="AL389" s="94"/>
      <c r="AM389" s="94"/>
      <c r="AN389" s="94"/>
      <c r="AO389" s="94"/>
      <c r="AP389" s="94"/>
      <c r="AQ389" s="94"/>
      <c r="AR389" s="94"/>
      <c r="AS389" s="94"/>
      <c r="AT389" s="94"/>
      <c r="AU389" s="94"/>
      <c r="AV389" s="94"/>
      <c r="AW389" s="94"/>
    </row>
    <row r="390" spans="1:49" s="1" customFormat="1" ht="16.5" x14ac:dyDescent="0.3">
      <c r="A390" s="94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B390" s="94"/>
      <c r="AC390" s="94"/>
      <c r="AD390" s="94"/>
      <c r="AE390" s="94"/>
      <c r="AF390" s="94"/>
      <c r="AG390" s="94"/>
      <c r="AH390" s="94"/>
      <c r="AI390" s="94"/>
      <c r="AJ390" s="94"/>
      <c r="AK390" s="94"/>
      <c r="AL390" s="94"/>
      <c r="AM390" s="94"/>
      <c r="AN390" s="94"/>
      <c r="AO390" s="94"/>
      <c r="AP390" s="94"/>
      <c r="AQ390" s="94"/>
      <c r="AR390" s="94"/>
      <c r="AS390" s="94"/>
      <c r="AT390" s="94"/>
      <c r="AU390" s="94"/>
      <c r="AV390" s="94"/>
      <c r="AW390" s="94"/>
    </row>
    <row r="391" spans="1:49" s="1" customFormat="1" ht="16.5" x14ac:dyDescent="0.3">
      <c r="A391" s="9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  <c r="AA391" s="94"/>
      <c r="AB391" s="94"/>
      <c r="AC391" s="94"/>
      <c r="AD391" s="94"/>
      <c r="AE391" s="94"/>
      <c r="AF391" s="94"/>
      <c r="AG391" s="94"/>
      <c r="AH391" s="94"/>
      <c r="AI391" s="94"/>
      <c r="AJ391" s="94"/>
      <c r="AK391" s="94"/>
      <c r="AL391" s="94"/>
      <c r="AM391" s="94"/>
      <c r="AN391" s="94"/>
      <c r="AO391" s="94"/>
      <c r="AP391" s="94"/>
      <c r="AQ391" s="94"/>
      <c r="AR391" s="94"/>
      <c r="AS391" s="94"/>
      <c r="AT391" s="94"/>
      <c r="AU391" s="94"/>
      <c r="AV391" s="94"/>
      <c r="AW391" s="94"/>
    </row>
    <row r="392" spans="1:49" s="1" customFormat="1" ht="16.5" x14ac:dyDescent="0.3">
      <c r="A392" s="94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  <c r="AA392" s="94"/>
      <c r="AB392" s="94"/>
      <c r="AC392" s="94"/>
      <c r="AD392" s="94"/>
      <c r="AE392" s="94"/>
      <c r="AF392" s="94"/>
      <c r="AG392" s="94"/>
      <c r="AH392" s="94"/>
      <c r="AI392" s="94"/>
      <c r="AJ392" s="94"/>
      <c r="AK392" s="94"/>
      <c r="AL392" s="94"/>
      <c r="AM392" s="94"/>
      <c r="AN392" s="94"/>
      <c r="AO392" s="94"/>
      <c r="AP392" s="94"/>
      <c r="AQ392" s="94"/>
      <c r="AR392" s="94"/>
      <c r="AS392" s="94"/>
      <c r="AT392" s="94"/>
      <c r="AU392" s="94"/>
      <c r="AV392" s="94"/>
      <c r="AW392" s="94"/>
    </row>
    <row r="393" spans="1:49" s="1" customFormat="1" ht="16.5" x14ac:dyDescent="0.3">
      <c r="A393" s="9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  <c r="AA393" s="94"/>
      <c r="AB393" s="94"/>
      <c r="AC393" s="94"/>
      <c r="AD393" s="94"/>
      <c r="AE393" s="94"/>
      <c r="AF393" s="94"/>
      <c r="AG393" s="94"/>
      <c r="AH393" s="94"/>
      <c r="AI393" s="94"/>
      <c r="AJ393" s="94"/>
      <c r="AK393" s="94"/>
      <c r="AL393" s="94"/>
      <c r="AM393" s="94"/>
      <c r="AN393" s="94"/>
      <c r="AO393" s="94"/>
      <c r="AP393" s="94"/>
      <c r="AQ393" s="94"/>
      <c r="AR393" s="94"/>
      <c r="AS393" s="94"/>
      <c r="AT393" s="94"/>
      <c r="AU393" s="94"/>
      <c r="AV393" s="94"/>
      <c r="AW393" s="94"/>
    </row>
    <row r="394" spans="1:49" s="1" customFormat="1" ht="16.5" x14ac:dyDescent="0.3">
      <c r="A394" s="94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  <c r="AA394" s="94"/>
      <c r="AB394" s="94"/>
      <c r="AC394" s="94"/>
      <c r="AD394" s="94"/>
      <c r="AE394" s="94"/>
      <c r="AF394" s="94"/>
      <c r="AG394" s="94"/>
      <c r="AH394" s="94"/>
      <c r="AI394" s="94"/>
      <c r="AJ394" s="94"/>
      <c r="AK394" s="94"/>
      <c r="AL394" s="94"/>
      <c r="AM394" s="94"/>
      <c r="AN394" s="94"/>
      <c r="AO394" s="94"/>
      <c r="AP394" s="94"/>
      <c r="AQ394" s="94"/>
      <c r="AR394" s="94"/>
      <c r="AS394" s="94"/>
      <c r="AT394" s="94"/>
      <c r="AU394" s="94"/>
      <c r="AV394" s="94"/>
      <c r="AW394" s="94"/>
    </row>
    <row r="395" spans="1:49" s="1" customFormat="1" ht="16.5" x14ac:dyDescent="0.3">
      <c r="A395" s="9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  <c r="AA395" s="94"/>
      <c r="AB395" s="94"/>
      <c r="AC395" s="94"/>
      <c r="AD395" s="94"/>
      <c r="AE395" s="94"/>
      <c r="AF395" s="94"/>
      <c r="AG395" s="94"/>
      <c r="AH395" s="94"/>
      <c r="AI395" s="94"/>
      <c r="AJ395" s="94"/>
      <c r="AK395" s="94"/>
      <c r="AL395" s="94"/>
      <c r="AM395" s="94"/>
      <c r="AN395" s="94"/>
      <c r="AO395" s="94"/>
      <c r="AP395" s="94"/>
      <c r="AQ395" s="94"/>
      <c r="AR395" s="94"/>
      <c r="AS395" s="94"/>
      <c r="AT395" s="94"/>
      <c r="AU395" s="94"/>
      <c r="AV395" s="94"/>
      <c r="AW395" s="94"/>
    </row>
    <row r="396" spans="1:49" s="1" customFormat="1" ht="16.5" x14ac:dyDescent="0.3">
      <c r="A396" s="94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  <c r="AA396" s="94"/>
      <c r="AB396" s="94"/>
      <c r="AC396" s="94"/>
      <c r="AD396" s="94"/>
      <c r="AE396" s="94"/>
      <c r="AF396" s="94"/>
      <c r="AG396" s="94"/>
      <c r="AH396" s="94"/>
      <c r="AI396" s="94"/>
      <c r="AJ396" s="94"/>
      <c r="AK396" s="94"/>
      <c r="AL396" s="94"/>
      <c r="AM396" s="94"/>
      <c r="AN396" s="94"/>
      <c r="AO396" s="94"/>
      <c r="AP396" s="94"/>
      <c r="AQ396" s="94"/>
      <c r="AR396" s="94"/>
      <c r="AS396" s="94"/>
      <c r="AT396" s="94"/>
      <c r="AU396" s="94"/>
      <c r="AV396" s="94"/>
      <c r="AW396" s="94"/>
    </row>
    <row r="397" spans="1:49" s="1" customFormat="1" ht="16.5" x14ac:dyDescent="0.3">
      <c r="A397" s="9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  <c r="AA397" s="94"/>
      <c r="AB397" s="94"/>
      <c r="AC397" s="94"/>
      <c r="AD397" s="94"/>
      <c r="AE397" s="94"/>
      <c r="AF397" s="94"/>
      <c r="AG397" s="94"/>
      <c r="AH397" s="94"/>
      <c r="AI397" s="94"/>
      <c r="AJ397" s="94"/>
      <c r="AK397" s="94"/>
      <c r="AL397" s="94"/>
      <c r="AM397" s="94"/>
      <c r="AN397" s="94"/>
      <c r="AO397" s="94"/>
      <c r="AP397" s="94"/>
      <c r="AQ397" s="94"/>
      <c r="AR397" s="94"/>
      <c r="AS397" s="94"/>
      <c r="AT397" s="94"/>
      <c r="AU397" s="94"/>
      <c r="AV397" s="94"/>
      <c r="AW397" s="94"/>
    </row>
    <row r="398" spans="1:49" s="1" customFormat="1" ht="16.5" x14ac:dyDescent="0.3">
      <c r="A398" s="94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  <c r="AA398" s="94"/>
      <c r="AB398" s="94"/>
      <c r="AC398" s="94"/>
      <c r="AD398" s="94"/>
      <c r="AE398" s="94"/>
      <c r="AF398" s="94"/>
      <c r="AG398" s="94"/>
      <c r="AH398" s="94"/>
      <c r="AI398" s="94"/>
      <c r="AJ398" s="94"/>
      <c r="AK398" s="94"/>
      <c r="AL398" s="94"/>
      <c r="AM398" s="94"/>
      <c r="AN398" s="94"/>
      <c r="AO398" s="94"/>
      <c r="AP398" s="94"/>
      <c r="AQ398" s="94"/>
      <c r="AR398" s="94"/>
      <c r="AS398" s="94"/>
      <c r="AT398" s="94"/>
      <c r="AU398" s="94"/>
      <c r="AV398" s="94"/>
      <c r="AW398" s="94"/>
    </row>
    <row r="399" spans="1:49" s="1" customFormat="1" ht="16.5" x14ac:dyDescent="0.3">
      <c r="A399" s="9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  <c r="AA399" s="94"/>
      <c r="AB399" s="94"/>
      <c r="AC399" s="94"/>
      <c r="AD399" s="94"/>
      <c r="AE399" s="94"/>
      <c r="AF399" s="94"/>
      <c r="AG399" s="94"/>
      <c r="AH399" s="94"/>
      <c r="AI399" s="94"/>
      <c r="AJ399" s="94"/>
      <c r="AK399" s="94"/>
      <c r="AL399" s="94"/>
      <c r="AM399" s="94"/>
      <c r="AN399" s="94"/>
      <c r="AO399" s="94"/>
      <c r="AP399" s="94"/>
      <c r="AQ399" s="94"/>
      <c r="AR399" s="94"/>
      <c r="AS399" s="94"/>
      <c r="AT399" s="94"/>
      <c r="AU399" s="94"/>
      <c r="AV399" s="94"/>
      <c r="AW399" s="94"/>
    </row>
    <row r="400" spans="1:49" s="1" customFormat="1" ht="16.5" x14ac:dyDescent="0.3">
      <c r="A400" s="94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  <c r="AA400" s="94"/>
      <c r="AB400" s="94"/>
      <c r="AC400" s="94"/>
      <c r="AD400" s="94"/>
      <c r="AE400" s="94"/>
      <c r="AF400" s="94"/>
      <c r="AG400" s="94"/>
      <c r="AH400" s="94"/>
      <c r="AI400" s="94"/>
      <c r="AJ400" s="94"/>
      <c r="AK400" s="94"/>
      <c r="AL400" s="94"/>
      <c r="AM400" s="94"/>
      <c r="AN400" s="94"/>
      <c r="AO400" s="94"/>
      <c r="AP400" s="94"/>
      <c r="AQ400" s="94"/>
      <c r="AR400" s="94"/>
      <c r="AS400" s="94"/>
      <c r="AT400" s="94"/>
      <c r="AU400" s="94"/>
      <c r="AV400" s="94"/>
      <c r="AW400" s="94"/>
    </row>
    <row r="401" spans="1:49" s="1" customFormat="1" ht="16.5" x14ac:dyDescent="0.3">
      <c r="A401" s="9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  <c r="AA401" s="94"/>
      <c r="AB401" s="94"/>
      <c r="AC401" s="94"/>
      <c r="AD401" s="94"/>
      <c r="AE401" s="94"/>
      <c r="AF401" s="94"/>
      <c r="AG401" s="94"/>
      <c r="AH401" s="94"/>
      <c r="AI401" s="94"/>
      <c r="AJ401" s="94"/>
      <c r="AK401" s="94"/>
      <c r="AL401" s="94"/>
      <c r="AM401" s="94"/>
      <c r="AN401" s="94"/>
      <c r="AO401" s="94"/>
      <c r="AP401" s="94"/>
      <c r="AQ401" s="94"/>
      <c r="AR401" s="94"/>
      <c r="AS401" s="94"/>
      <c r="AT401" s="94"/>
      <c r="AU401" s="94"/>
      <c r="AV401" s="94"/>
      <c r="AW401" s="94"/>
    </row>
    <row r="402" spans="1:49" s="1" customFormat="1" ht="16.5" x14ac:dyDescent="0.3">
      <c r="A402" s="94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  <c r="AA402" s="94"/>
      <c r="AB402" s="94"/>
      <c r="AC402" s="94"/>
      <c r="AD402" s="94"/>
      <c r="AE402" s="94"/>
      <c r="AF402" s="94"/>
      <c r="AG402" s="94"/>
      <c r="AH402" s="94"/>
      <c r="AI402" s="94"/>
      <c r="AJ402" s="94"/>
      <c r="AK402" s="94"/>
      <c r="AL402" s="94"/>
      <c r="AM402" s="94"/>
      <c r="AN402" s="94"/>
      <c r="AO402" s="94"/>
      <c r="AP402" s="94"/>
      <c r="AQ402" s="94"/>
      <c r="AR402" s="94"/>
      <c r="AS402" s="94"/>
      <c r="AT402" s="94"/>
      <c r="AU402" s="94"/>
      <c r="AV402" s="94"/>
      <c r="AW402" s="94"/>
    </row>
    <row r="403" spans="1:49" s="1" customFormat="1" ht="16.5" x14ac:dyDescent="0.3">
      <c r="A403" s="94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  <c r="AA403" s="94"/>
      <c r="AB403" s="94"/>
      <c r="AC403" s="94"/>
      <c r="AD403" s="94"/>
      <c r="AE403" s="94"/>
      <c r="AF403" s="94"/>
      <c r="AG403" s="94"/>
      <c r="AH403" s="94"/>
      <c r="AI403" s="94"/>
      <c r="AJ403" s="94"/>
      <c r="AK403" s="94"/>
      <c r="AL403" s="94"/>
      <c r="AM403" s="94"/>
      <c r="AN403" s="94"/>
      <c r="AO403" s="94"/>
      <c r="AP403" s="94"/>
      <c r="AQ403" s="94"/>
      <c r="AR403" s="94"/>
      <c r="AS403" s="94"/>
      <c r="AT403" s="94"/>
      <c r="AU403" s="94"/>
      <c r="AV403" s="94"/>
      <c r="AW403" s="94"/>
    </row>
    <row r="404" spans="1:49" s="1" customFormat="1" ht="16.5" x14ac:dyDescent="0.3">
      <c r="A404" s="94"/>
      <c r="B404" s="94"/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  <c r="AA404" s="94"/>
      <c r="AB404" s="94"/>
      <c r="AC404" s="94"/>
      <c r="AD404" s="94"/>
      <c r="AE404" s="94"/>
      <c r="AF404" s="94"/>
      <c r="AG404" s="94"/>
      <c r="AH404" s="94"/>
      <c r="AI404" s="94"/>
      <c r="AJ404" s="94"/>
      <c r="AK404" s="94"/>
      <c r="AL404" s="94"/>
      <c r="AM404" s="94"/>
      <c r="AN404" s="94"/>
      <c r="AO404" s="94"/>
      <c r="AP404" s="94"/>
      <c r="AQ404" s="94"/>
      <c r="AR404" s="94"/>
      <c r="AS404" s="94"/>
      <c r="AT404" s="94"/>
      <c r="AU404" s="94"/>
      <c r="AV404" s="94"/>
      <c r="AW404" s="94"/>
    </row>
    <row r="405" spans="1:49" s="1" customFormat="1" ht="16.5" x14ac:dyDescent="0.3">
      <c r="A405" s="94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  <c r="AA405" s="94"/>
      <c r="AB405" s="94"/>
      <c r="AC405" s="94"/>
      <c r="AD405" s="94"/>
      <c r="AE405" s="94"/>
      <c r="AF405" s="94"/>
      <c r="AG405" s="94"/>
      <c r="AH405" s="94"/>
      <c r="AI405" s="94"/>
      <c r="AJ405" s="94"/>
      <c r="AK405" s="94"/>
      <c r="AL405" s="94"/>
      <c r="AM405" s="94"/>
      <c r="AN405" s="94"/>
      <c r="AO405" s="94"/>
      <c r="AP405" s="94"/>
      <c r="AQ405" s="94"/>
      <c r="AR405" s="94"/>
      <c r="AS405" s="94"/>
      <c r="AT405" s="94"/>
      <c r="AU405" s="94"/>
      <c r="AV405" s="94"/>
      <c r="AW405" s="94"/>
    </row>
    <row r="406" spans="1:49" s="1" customFormat="1" ht="16.5" x14ac:dyDescent="0.3">
      <c r="A406" s="94"/>
      <c r="B406" s="94"/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  <c r="AA406" s="94"/>
      <c r="AB406" s="94"/>
      <c r="AC406" s="94"/>
      <c r="AD406" s="94"/>
      <c r="AE406" s="94"/>
      <c r="AF406" s="94"/>
      <c r="AG406" s="94"/>
      <c r="AH406" s="94"/>
      <c r="AI406" s="94"/>
      <c r="AJ406" s="94"/>
      <c r="AK406" s="94"/>
      <c r="AL406" s="94"/>
      <c r="AM406" s="94"/>
      <c r="AN406" s="94"/>
      <c r="AO406" s="94"/>
      <c r="AP406" s="94"/>
      <c r="AQ406" s="94"/>
      <c r="AR406" s="94"/>
      <c r="AS406" s="94"/>
      <c r="AT406" s="94"/>
      <c r="AU406" s="94"/>
      <c r="AV406" s="94"/>
      <c r="AW406" s="94"/>
    </row>
    <row r="407" spans="1:49" s="1" customFormat="1" ht="16.5" x14ac:dyDescent="0.3">
      <c r="A407" s="94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  <c r="AA407" s="94"/>
      <c r="AB407" s="94"/>
      <c r="AC407" s="94"/>
      <c r="AD407" s="94"/>
      <c r="AE407" s="94"/>
      <c r="AF407" s="94"/>
      <c r="AG407" s="94"/>
      <c r="AH407" s="94"/>
      <c r="AI407" s="94"/>
      <c r="AJ407" s="94"/>
      <c r="AK407" s="94"/>
      <c r="AL407" s="94"/>
      <c r="AM407" s="94"/>
      <c r="AN407" s="94"/>
      <c r="AO407" s="94"/>
      <c r="AP407" s="94"/>
      <c r="AQ407" s="94"/>
      <c r="AR407" s="94"/>
      <c r="AS407" s="94"/>
      <c r="AT407" s="94"/>
      <c r="AU407" s="94"/>
      <c r="AV407" s="94"/>
      <c r="AW407" s="94"/>
    </row>
    <row r="408" spans="1:49" s="1" customFormat="1" ht="16.5" x14ac:dyDescent="0.3">
      <c r="A408" s="94"/>
      <c r="B408" s="94"/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  <c r="AA408" s="94"/>
      <c r="AB408" s="94"/>
      <c r="AC408" s="94"/>
      <c r="AD408" s="94"/>
      <c r="AE408" s="94"/>
      <c r="AF408" s="94"/>
      <c r="AG408" s="94"/>
      <c r="AH408" s="94"/>
      <c r="AI408" s="94"/>
      <c r="AJ408" s="94"/>
      <c r="AK408" s="94"/>
      <c r="AL408" s="94"/>
      <c r="AM408" s="94"/>
      <c r="AN408" s="94"/>
      <c r="AO408" s="94"/>
      <c r="AP408" s="94"/>
      <c r="AQ408" s="94"/>
      <c r="AR408" s="94"/>
      <c r="AS408" s="94"/>
      <c r="AT408" s="94"/>
      <c r="AU408" s="94"/>
      <c r="AV408" s="94"/>
      <c r="AW408" s="94"/>
    </row>
    <row r="409" spans="1:49" s="1" customFormat="1" ht="16.5" x14ac:dyDescent="0.3">
      <c r="A409" s="94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  <c r="AA409" s="94"/>
      <c r="AB409" s="94"/>
      <c r="AC409" s="94"/>
      <c r="AD409" s="94"/>
      <c r="AE409" s="94"/>
      <c r="AF409" s="94"/>
      <c r="AG409" s="94"/>
      <c r="AH409" s="94"/>
      <c r="AI409" s="94"/>
      <c r="AJ409" s="94"/>
      <c r="AK409" s="94"/>
      <c r="AL409" s="94"/>
      <c r="AM409" s="94"/>
      <c r="AN409" s="94"/>
      <c r="AO409" s="94"/>
      <c r="AP409" s="94"/>
      <c r="AQ409" s="94"/>
      <c r="AR409" s="94"/>
      <c r="AS409" s="94"/>
      <c r="AT409" s="94"/>
      <c r="AU409" s="94"/>
      <c r="AV409" s="94"/>
      <c r="AW409" s="94"/>
    </row>
    <row r="410" spans="1:49" s="1" customFormat="1" ht="16.5" x14ac:dyDescent="0.3">
      <c r="A410" s="94"/>
      <c r="B410" s="94"/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  <c r="AA410" s="94"/>
      <c r="AB410" s="94"/>
      <c r="AC410" s="94"/>
      <c r="AD410" s="94"/>
      <c r="AE410" s="94"/>
      <c r="AF410" s="94"/>
      <c r="AG410" s="94"/>
      <c r="AH410" s="94"/>
      <c r="AI410" s="94"/>
      <c r="AJ410" s="94"/>
      <c r="AK410" s="94"/>
      <c r="AL410" s="94"/>
      <c r="AM410" s="94"/>
      <c r="AN410" s="94"/>
      <c r="AO410" s="94"/>
      <c r="AP410" s="94"/>
      <c r="AQ410" s="94"/>
      <c r="AR410" s="94"/>
      <c r="AS410" s="94"/>
      <c r="AT410" s="94"/>
      <c r="AU410" s="94"/>
      <c r="AV410" s="94"/>
      <c r="AW410" s="94"/>
    </row>
    <row r="411" spans="1:49" s="1" customFormat="1" ht="16.5" x14ac:dyDescent="0.3">
      <c r="A411" s="94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  <c r="AA411" s="94"/>
      <c r="AB411" s="94"/>
      <c r="AC411" s="94"/>
      <c r="AD411" s="94"/>
      <c r="AE411" s="94"/>
      <c r="AF411" s="94"/>
      <c r="AG411" s="94"/>
      <c r="AH411" s="94"/>
      <c r="AI411" s="94"/>
      <c r="AJ411" s="94"/>
      <c r="AK411" s="94"/>
      <c r="AL411" s="94"/>
      <c r="AM411" s="94"/>
      <c r="AN411" s="94"/>
      <c r="AO411" s="94"/>
      <c r="AP411" s="94"/>
      <c r="AQ411" s="94"/>
      <c r="AR411" s="94"/>
      <c r="AS411" s="94"/>
      <c r="AT411" s="94"/>
      <c r="AU411" s="94"/>
      <c r="AV411" s="94"/>
      <c r="AW411" s="94"/>
    </row>
    <row r="412" spans="1:49" s="1" customFormat="1" ht="16.5" x14ac:dyDescent="0.3">
      <c r="A412" s="94"/>
      <c r="B412" s="94"/>
      <c r="C412" s="94"/>
      <c r="D412" s="94"/>
      <c r="E412" s="94"/>
      <c r="F412" s="94"/>
      <c r="G412" s="94"/>
      <c r="H412" s="94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  <c r="AA412" s="94"/>
      <c r="AB412" s="94"/>
      <c r="AC412" s="94"/>
      <c r="AD412" s="94"/>
      <c r="AE412" s="94"/>
      <c r="AF412" s="94"/>
      <c r="AG412" s="94"/>
      <c r="AH412" s="94"/>
      <c r="AI412" s="94"/>
      <c r="AJ412" s="94"/>
      <c r="AK412" s="94"/>
      <c r="AL412" s="94"/>
      <c r="AM412" s="94"/>
      <c r="AN412" s="94"/>
      <c r="AO412" s="94"/>
      <c r="AP412" s="94"/>
      <c r="AQ412" s="94"/>
      <c r="AR412" s="94"/>
      <c r="AS412" s="94"/>
      <c r="AT412" s="94"/>
      <c r="AU412" s="94"/>
      <c r="AV412" s="94"/>
      <c r="AW412" s="94"/>
    </row>
    <row r="413" spans="1:49" s="1" customFormat="1" ht="16.5" x14ac:dyDescent="0.3">
      <c r="A413" s="94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  <c r="AA413" s="94"/>
      <c r="AB413" s="94"/>
      <c r="AC413" s="94"/>
      <c r="AD413" s="94"/>
      <c r="AE413" s="94"/>
      <c r="AF413" s="94"/>
      <c r="AG413" s="94"/>
      <c r="AH413" s="94"/>
      <c r="AI413" s="94"/>
      <c r="AJ413" s="94"/>
      <c r="AK413" s="94"/>
      <c r="AL413" s="94"/>
      <c r="AM413" s="94"/>
      <c r="AN413" s="94"/>
      <c r="AO413" s="94"/>
      <c r="AP413" s="94"/>
      <c r="AQ413" s="94"/>
      <c r="AR413" s="94"/>
      <c r="AS413" s="94"/>
      <c r="AT413" s="94"/>
      <c r="AU413" s="94"/>
      <c r="AV413" s="94"/>
      <c r="AW413" s="94"/>
    </row>
    <row r="414" spans="1:49" s="1" customFormat="1" ht="16.5" x14ac:dyDescent="0.3">
      <c r="A414" s="94"/>
      <c r="B414" s="94"/>
      <c r="C414" s="94"/>
      <c r="D414" s="94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  <c r="AA414" s="94"/>
      <c r="AB414" s="94"/>
      <c r="AC414" s="94"/>
      <c r="AD414" s="94"/>
      <c r="AE414" s="94"/>
      <c r="AF414" s="94"/>
      <c r="AG414" s="94"/>
      <c r="AH414" s="94"/>
      <c r="AI414" s="94"/>
      <c r="AJ414" s="94"/>
      <c r="AK414" s="94"/>
      <c r="AL414" s="94"/>
      <c r="AM414" s="94"/>
      <c r="AN414" s="94"/>
      <c r="AO414" s="94"/>
      <c r="AP414" s="94"/>
      <c r="AQ414" s="94"/>
      <c r="AR414" s="94"/>
      <c r="AS414" s="94"/>
      <c r="AT414" s="94"/>
      <c r="AU414" s="94"/>
      <c r="AV414" s="94"/>
      <c r="AW414" s="94"/>
    </row>
    <row r="415" spans="1:49" s="1" customFormat="1" ht="16.5" x14ac:dyDescent="0.3">
      <c r="A415" s="94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  <c r="AA415" s="94"/>
      <c r="AB415" s="94"/>
      <c r="AC415" s="94"/>
      <c r="AD415" s="94"/>
      <c r="AE415" s="94"/>
      <c r="AF415" s="94"/>
      <c r="AG415" s="94"/>
      <c r="AH415" s="94"/>
      <c r="AI415" s="94"/>
      <c r="AJ415" s="94"/>
      <c r="AK415" s="94"/>
      <c r="AL415" s="94"/>
      <c r="AM415" s="94"/>
      <c r="AN415" s="94"/>
      <c r="AO415" s="94"/>
      <c r="AP415" s="94"/>
      <c r="AQ415" s="94"/>
      <c r="AR415" s="94"/>
      <c r="AS415" s="94"/>
      <c r="AT415" s="94"/>
      <c r="AU415" s="94"/>
      <c r="AV415" s="94"/>
      <c r="AW415" s="94"/>
    </row>
    <row r="416" spans="1:49" s="1" customFormat="1" ht="16.5" x14ac:dyDescent="0.3">
      <c r="A416" s="94"/>
      <c r="B416" s="94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  <c r="AA416" s="94"/>
      <c r="AB416" s="94"/>
      <c r="AC416" s="94"/>
      <c r="AD416" s="94"/>
      <c r="AE416" s="94"/>
      <c r="AF416" s="94"/>
      <c r="AG416" s="94"/>
      <c r="AH416" s="94"/>
      <c r="AI416" s="94"/>
      <c r="AJ416" s="94"/>
      <c r="AK416" s="94"/>
      <c r="AL416" s="94"/>
      <c r="AM416" s="94"/>
      <c r="AN416" s="94"/>
      <c r="AO416" s="94"/>
      <c r="AP416" s="94"/>
      <c r="AQ416" s="94"/>
      <c r="AR416" s="94"/>
      <c r="AS416" s="94"/>
      <c r="AT416" s="94"/>
      <c r="AU416" s="94"/>
      <c r="AV416" s="94"/>
      <c r="AW416" s="94"/>
    </row>
    <row r="417" spans="1:49" s="1" customFormat="1" ht="16.5" x14ac:dyDescent="0.3">
      <c r="A417" s="94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  <c r="AA417" s="94"/>
      <c r="AB417" s="94"/>
      <c r="AC417" s="94"/>
      <c r="AD417" s="94"/>
      <c r="AE417" s="94"/>
      <c r="AF417" s="94"/>
      <c r="AG417" s="94"/>
      <c r="AH417" s="94"/>
      <c r="AI417" s="94"/>
      <c r="AJ417" s="94"/>
      <c r="AK417" s="94"/>
      <c r="AL417" s="94"/>
      <c r="AM417" s="94"/>
      <c r="AN417" s="94"/>
      <c r="AO417" s="94"/>
      <c r="AP417" s="94"/>
      <c r="AQ417" s="94"/>
      <c r="AR417" s="94"/>
      <c r="AS417" s="94"/>
      <c r="AT417" s="94"/>
      <c r="AU417" s="94"/>
      <c r="AV417" s="94"/>
      <c r="AW417" s="94"/>
    </row>
    <row r="418" spans="1:49" s="1" customFormat="1" ht="16.5" x14ac:dyDescent="0.3">
      <c r="A418" s="94"/>
      <c r="B418" s="94"/>
      <c r="C418" s="94"/>
      <c r="D418" s="94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  <c r="AA418" s="94"/>
      <c r="AB418" s="94"/>
      <c r="AC418" s="94"/>
      <c r="AD418" s="94"/>
      <c r="AE418" s="94"/>
      <c r="AF418" s="94"/>
      <c r="AG418" s="94"/>
      <c r="AH418" s="94"/>
      <c r="AI418" s="94"/>
      <c r="AJ418" s="94"/>
      <c r="AK418" s="94"/>
      <c r="AL418" s="94"/>
      <c r="AM418" s="94"/>
      <c r="AN418" s="94"/>
      <c r="AO418" s="94"/>
      <c r="AP418" s="94"/>
      <c r="AQ418" s="94"/>
      <c r="AR418" s="94"/>
      <c r="AS418" s="94"/>
      <c r="AT418" s="94"/>
      <c r="AU418" s="94"/>
      <c r="AV418" s="94"/>
      <c r="AW418" s="94"/>
    </row>
    <row r="419" spans="1:49" s="1" customFormat="1" ht="16.5" x14ac:dyDescent="0.3">
      <c r="A419" s="94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  <c r="AK419" s="94"/>
      <c r="AL419" s="94"/>
      <c r="AM419" s="94"/>
      <c r="AN419" s="94"/>
      <c r="AO419" s="94"/>
      <c r="AP419" s="94"/>
      <c r="AQ419" s="94"/>
      <c r="AR419" s="94"/>
      <c r="AS419" s="94"/>
      <c r="AT419" s="94"/>
      <c r="AU419" s="94"/>
      <c r="AV419" s="94"/>
      <c r="AW419" s="94"/>
    </row>
    <row r="420" spans="1:49" s="1" customFormat="1" ht="16.5" x14ac:dyDescent="0.3">
      <c r="A420" s="94"/>
      <c r="B420" s="94"/>
      <c r="C420" s="94"/>
      <c r="D420" s="94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  <c r="AA420" s="94"/>
      <c r="AB420" s="94"/>
      <c r="AC420" s="94"/>
      <c r="AD420" s="94"/>
      <c r="AE420" s="94"/>
      <c r="AF420" s="94"/>
      <c r="AG420" s="94"/>
      <c r="AH420" s="94"/>
      <c r="AI420" s="94"/>
      <c r="AJ420" s="94"/>
      <c r="AK420" s="94"/>
      <c r="AL420" s="94"/>
      <c r="AM420" s="94"/>
      <c r="AN420" s="94"/>
      <c r="AO420" s="94"/>
      <c r="AP420" s="94"/>
      <c r="AQ420" s="94"/>
      <c r="AR420" s="94"/>
      <c r="AS420" s="94"/>
      <c r="AT420" s="94"/>
      <c r="AU420" s="94"/>
      <c r="AV420" s="94"/>
      <c r="AW420" s="94"/>
    </row>
    <row r="421" spans="1:49" s="1" customFormat="1" ht="16.5" x14ac:dyDescent="0.3">
      <c r="A421" s="94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  <c r="AA421" s="94"/>
      <c r="AB421" s="94"/>
      <c r="AC421" s="94"/>
      <c r="AD421" s="94"/>
      <c r="AE421" s="94"/>
      <c r="AF421" s="94"/>
      <c r="AG421" s="94"/>
      <c r="AH421" s="94"/>
      <c r="AI421" s="94"/>
      <c r="AJ421" s="94"/>
      <c r="AK421" s="94"/>
      <c r="AL421" s="94"/>
      <c r="AM421" s="94"/>
      <c r="AN421" s="94"/>
      <c r="AO421" s="94"/>
      <c r="AP421" s="94"/>
      <c r="AQ421" s="94"/>
      <c r="AR421" s="94"/>
      <c r="AS421" s="94"/>
      <c r="AT421" s="94"/>
      <c r="AU421" s="94"/>
      <c r="AV421" s="94"/>
      <c r="AW421" s="94"/>
    </row>
    <row r="422" spans="1:49" s="1" customFormat="1" ht="16.5" x14ac:dyDescent="0.3">
      <c r="A422" s="94"/>
      <c r="B422" s="94"/>
      <c r="C422" s="94"/>
      <c r="D422" s="94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  <c r="AA422" s="94"/>
      <c r="AB422" s="94"/>
      <c r="AC422" s="94"/>
      <c r="AD422" s="94"/>
      <c r="AE422" s="94"/>
      <c r="AF422" s="94"/>
      <c r="AG422" s="94"/>
      <c r="AH422" s="94"/>
      <c r="AI422" s="94"/>
      <c r="AJ422" s="94"/>
      <c r="AK422" s="94"/>
      <c r="AL422" s="94"/>
      <c r="AM422" s="94"/>
      <c r="AN422" s="94"/>
      <c r="AO422" s="94"/>
      <c r="AP422" s="94"/>
      <c r="AQ422" s="94"/>
      <c r="AR422" s="94"/>
      <c r="AS422" s="94"/>
      <c r="AT422" s="94"/>
      <c r="AU422" s="94"/>
      <c r="AV422" s="94"/>
      <c r="AW422" s="94"/>
    </row>
    <row r="423" spans="1:49" s="1" customFormat="1" ht="16.5" x14ac:dyDescent="0.3">
      <c r="A423" s="94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  <c r="AA423" s="94"/>
      <c r="AB423" s="94"/>
      <c r="AC423" s="94"/>
      <c r="AD423" s="94"/>
      <c r="AE423" s="94"/>
      <c r="AF423" s="94"/>
      <c r="AG423" s="94"/>
      <c r="AH423" s="94"/>
      <c r="AI423" s="94"/>
      <c r="AJ423" s="94"/>
      <c r="AK423" s="94"/>
      <c r="AL423" s="94"/>
      <c r="AM423" s="94"/>
      <c r="AN423" s="94"/>
      <c r="AO423" s="94"/>
      <c r="AP423" s="94"/>
      <c r="AQ423" s="94"/>
      <c r="AR423" s="94"/>
      <c r="AS423" s="94"/>
      <c r="AT423" s="94"/>
      <c r="AU423" s="94"/>
      <c r="AV423" s="94"/>
      <c r="AW423" s="94"/>
    </row>
    <row r="424" spans="1:49" s="1" customFormat="1" ht="16.5" x14ac:dyDescent="0.3">
      <c r="A424" s="94"/>
      <c r="B424" s="94"/>
      <c r="C424" s="94"/>
      <c r="D424" s="94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  <c r="AA424" s="94"/>
      <c r="AB424" s="94"/>
      <c r="AC424" s="94"/>
      <c r="AD424" s="94"/>
      <c r="AE424" s="94"/>
      <c r="AF424" s="94"/>
      <c r="AG424" s="94"/>
      <c r="AH424" s="94"/>
      <c r="AI424" s="94"/>
      <c r="AJ424" s="94"/>
      <c r="AK424" s="94"/>
      <c r="AL424" s="94"/>
      <c r="AM424" s="94"/>
      <c r="AN424" s="94"/>
      <c r="AO424" s="94"/>
      <c r="AP424" s="94"/>
      <c r="AQ424" s="94"/>
      <c r="AR424" s="94"/>
      <c r="AS424" s="94"/>
      <c r="AT424" s="94"/>
      <c r="AU424" s="94"/>
      <c r="AV424" s="94"/>
      <c r="AW424" s="94"/>
    </row>
    <row r="425" spans="1:49" s="1" customFormat="1" ht="16.5" x14ac:dyDescent="0.3">
      <c r="A425" s="94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  <c r="AA425" s="94"/>
      <c r="AB425" s="94"/>
      <c r="AC425" s="94"/>
      <c r="AD425" s="94"/>
      <c r="AE425" s="94"/>
      <c r="AF425" s="94"/>
      <c r="AG425" s="94"/>
      <c r="AH425" s="94"/>
      <c r="AI425" s="94"/>
      <c r="AJ425" s="94"/>
      <c r="AK425" s="94"/>
      <c r="AL425" s="94"/>
      <c r="AM425" s="94"/>
      <c r="AN425" s="94"/>
      <c r="AO425" s="94"/>
      <c r="AP425" s="94"/>
      <c r="AQ425" s="94"/>
      <c r="AR425" s="94"/>
      <c r="AS425" s="94"/>
      <c r="AT425" s="94"/>
      <c r="AU425" s="94"/>
      <c r="AV425" s="94"/>
      <c r="AW425" s="94"/>
    </row>
    <row r="426" spans="1:49" s="1" customFormat="1" ht="16.5" x14ac:dyDescent="0.3">
      <c r="A426" s="94"/>
      <c r="B426" s="94"/>
      <c r="C426" s="94"/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  <c r="AA426" s="94"/>
      <c r="AB426" s="94"/>
      <c r="AC426" s="94"/>
      <c r="AD426" s="94"/>
      <c r="AE426" s="94"/>
      <c r="AF426" s="94"/>
      <c r="AG426" s="94"/>
      <c r="AH426" s="94"/>
      <c r="AI426" s="94"/>
      <c r="AJ426" s="94"/>
      <c r="AK426" s="94"/>
      <c r="AL426" s="94"/>
      <c r="AM426" s="94"/>
      <c r="AN426" s="94"/>
      <c r="AO426" s="94"/>
      <c r="AP426" s="94"/>
      <c r="AQ426" s="94"/>
      <c r="AR426" s="94"/>
      <c r="AS426" s="94"/>
      <c r="AT426" s="94"/>
      <c r="AU426" s="94"/>
      <c r="AV426" s="94"/>
      <c r="AW426" s="94"/>
    </row>
    <row r="427" spans="1:49" s="1" customFormat="1" ht="16.5" x14ac:dyDescent="0.3">
      <c r="A427" s="94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  <c r="AA427" s="94"/>
      <c r="AB427" s="94"/>
      <c r="AC427" s="94"/>
      <c r="AD427" s="94"/>
      <c r="AE427" s="94"/>
      <c r="AF427" s="94"/>
      <c r="AG427" s="94"/>
      <c r="AH427" s="94"/>
      <c r="AI427" s="94"/>
      <c r="AJ427" s="94"/>
      <c r="AK427" s="94"/>
      <c r="AL427" s="94"/>
      <c r="AM427" s="94"/>
      <c r="AN427" s="94"/>
      <c r="AO427" s="94"/>
      <c r="AP427" s="94"/>
      <c r="AQ427" s="94"/>
      <c r="AR427" s="94"/>
      <c r="AS427" s="94"/>
      <c r="AT427" s="94"/>
      <c r="AU427" s="94"/>
      <c r="AV427" s="94"/>
      <c r="AW427" s="94"/>
    </row>
    <row r="428" spans="1:49" s="1" customFormat="1" ht="16.5" x14ac:dyDescent="0.3">
      <c r="A428" s="94"/>
      <c r="B428" s="94"/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  <c r="AA428" s="94"/>
      <c r="AB428" s="94"/>
      <c r="AC428" s="94"/>
      <c r="AD428" s="94"/>
      <c r="AE428" s="94"/>
      <c r="AF428" s="94"/>
      <c r="AG428" s="94"/>
      <c r="AH428" s="94"/>
      <c r="AI428" s="94"/>
      <c r="AJ428" s="94"/>
      <c r="AK428" s="94"/>
      <c r="AL428" s="94"/>
      <c r="AM428" s="94"/>
      <c r="AN428" s="94"/>
      <c r="AO428" s="94"/>
      <c r="AP428" s="94"/>
      <c r="AQ428" s="94"/>
      <c r="AR428" s="94"/>
      <c r="AS428" s="94"/>
      <c r="AT428" s="94"/>
      <c r="AU428" s="94"/>
      <c r="AV428" s="94"/>
      <c r="AW428" s="94"/>
    </row>
    <row r="429" spans="1:49" s="1" customFormat="1" ht="16.5" x14ac:dyDescent="0.3">
      <c r="A429" s="94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  <c r="AA429" s="94"/>
      <c r="AB429" s="94"/>
      <c r="AC429" s="94"/>
      <c r="AD429" s="94"/>
      <c r="AE429" s="94"/>
      <c r="AF429" s="94"/>
      <c r="AG429" s="94"/>
      <c r="AH429" s="94"/>
      <c r="AI429" s="94"/>
      <c r="AJ429" s="94"/>
      <c r="AK429" s="94"/>
      <c r="AL429" s="94"/>
      <c r="AM429" s="94"/>
      <c r="AN429" s="94"/>
      <c r="AO429" s="94"/>
      <c r="AP429" s="94"/>
      <c r="AQ429" s="94"/>
      <c r="AR429" s="94"/>
      <c r="AS429" s="94"/>
      <c r="AT429" s="94"/>
      <c r="AU429" s="94"/>
      <c r="AV429" s="94"/>
      <c r="AW429" s="94"/>
    </row>
    <row r="430" spans="1:49" s="1" customFormat="1" ht="16.5" x14ac:dyDescent="0.3">
      <c r="A430" s="94"/>
      <c r="B430" s="94"/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  <c r="AA430" s="94"/>
      <c r="AB430" s="94"/>
      <c r="AC430" s="94"/>
      <c r="AD430" s="94"/>
      <c r="AE430" s="94"/>
      <c r="AF430" s="94"/>
      <c r="AG430" s="94"/>
      <c r="AH430" s="94"/>
      <c r="AI430" s="94"/>
      <c r="AJ430" s="94"/>
      <c r="AK430" s="94"/>
      <c r="AL430" s="94"/>
      <c r="AM430" s="94"/>
      <c r="AN430" s="94"/>
      <c r="AO430" s="94"/>
      <c r="AP430" s="94"/>
      <c r="AQ430" s="94"/>
      <c r="AR430" s="94"/>
      <c r="AS430" s="94"/>
      <c r="AT430" s="94"/>
      <c r="AU430" s="94"/>
      <c r="AV430" s="94"/>
      <c r="AW430" s="94"/>
    </row>
    <row r="431" spans="1:49" s="1" customFormat="1" ht="16.5" x14ac:dyDescent="0.3">
      <c r="A431" s="94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  <c r="AA431" s="94"/>
      <c r="AB431" s="94"/>
      <c r="AC431" s="94"/>
      <c r="AD431" s="94"/>
      <c r="AE431" s="94"/>
      <c r="AF431" s="94"/>
      <c r="AG431" s="94"/>
      <c r="AH431" s="94"/>
      <c r="AI431" s="94"/>
      <c r="AJ431" s="94"/>
      <c r="AK431" s="94"/>
      <c r="AL431" s="94"/>
      <c r="AM431" s="94"/>
      <c r="AN431" s="94"/>
      <c r="AO431" s="94"/>
      <c r="AP431" s="94"/>
      <c r="AQ431" s="94"/>
      <c r="AR431" s="94"/>
      <c r="AS431" s="94"/>
      <c r="AT431" s="94"/>
      <c r="AU431" s="94"/>
      <c r="AV431" s="94"/>
      <c r="AW431" s="94"/>
    </row>
    <row r="432" spans="1:49" s="1" customFormat="1" ht="16.5" x14ac:dyDescent="0.3">
      <c r="A432" s="94"/>
      <c r="B432" s="94"/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  <c r="AA432" s="94"/>
      <c r="AB432" s="94"/>
      <c r="AC432" s="94"/>
      <c r="AD432" s="94"/>
      <c r="AE432" s="94"/>
      <c r="AF432" s="94"/>
      <c r="AG432" s="94"/>
      <c r="AH432" s="94"/>
      <c r="AI432" s="94"/>
      <c r="AJ432" s="94"/>
      <c r="AK432" s="94"/>
      <c r="AL432" s="94"/>
      <c r="AM432" s="94"/>
      <c r="AN432" s="94"/>
      <c r="AO432" s="94"/>
      <c r="AP432" s="94"/>
      <c r="AQ432" s="94"/>
      <c r="AR432" s="94"/>
      <c r="AS432" s="94"/>
      <c r="AT432" s="94"/>
      <c r="AU432" s="94"/>
      <c r="AV432" s="94"/>
      <c r="AW432" s="94"/>
    </row>
    <row r="433" spans="1:49" s="1" customFormat="1" ht="16.5" x14ac:dyDescent="0.3">
      <c r="A433" s="94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  <c r="AA433" s="94"/>
      <c r="AB433" s="94"/>
      <c r="AC433" s="94"/>
      <c r="AD433" s="94"/>
      <c r="AE433" s="94"/>
      <c r="AF433" s="94"/>
      <c r="AG433" s="94"/>
      <c r="AH433" s="94"/>
      <c r="AI433" s="94"/>
      <c r="AJ433" s="94"/>
      <c r="AK433" s="94"/>
      <c r="AL433" s="94"/>
      <c r="AM433" s="94"/>
      <c r="AN433" s="94"/>
      <c r="AO433" s="94"/>
      <c r="AP433" s="94"/>
      <c r="AQ433" s="94"/>
      <c r="AR433" s="94"/>
      <c r="AS433" s="94"/>
      <c r="AT433" s="94"/>
      <c r="AU433" s="94"/>
      <c r="AV433" s="94"/>
      <c r="AW433" s="94"/>
    </row>
    <row r="434" spans="1:49" s="1" customFormat="1" ht="16.5" x14ac:dyDescent="0.3">
      <c r="A434" s="94"/>
      <c r="B434" s="94"/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  <c r="AA434" s="94"/>
      <c r="AB434" s="94"/>
      <c r="AC434" s="94"/>
      <c r="AD434" s="94"/>
      <c r="AE434" s="94"/>
      <c r="AF434" s="94"/>
      <c r="AG434" s="94"/>
      <c r="AH434" s="94"/>
      <c r="AI434" s="94"/>
      <c r="AJ434" s="94"/>
      <c r="AK434" s="94"/>
      <c r="AL434" s="94"/>
      <c r="AM434" s="94"/>
      <c r="AN434" s="94"/>
      <c r="AO434" s="94"/>
      <c r="AP434" s="94"/>
      <c r="AQ434" s="94"/>
      <c r="AR434" s="94"/>
      <c r="AS434" s="94"/>
      <c r="AT434" s="94"/>
      <c r="AU434" s="94"/>
      <c r="AV434" s="94"/>
      <c r="AW434" s="94"/>
    </row>
    <row r="435" spans="1:49" s="1" customFormat="1" ht="16.5" x14ac:dyDescent="0.3">
      <c r="A435" s="94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  <c r="AA435" s="94"/>
      <c r="AB435" s="94"/>
      <c r="AC435" s="94"/>
      <c r="AD435" s="94"/>
      <c r="AE435" s="94"/>
      <c r="AF435" s="94"/>
      <c r="AG435" s="94"/>
      <c r="AH435" s="94"/>
      <c r="AI435" s="94"/>
      <c r="AJ435" s="94"/>
      <c r="AK435" s="94"/>
      <c r="AL435" s="94"/>
      <c r="AM435" s="94"/>
      <c r="AN435" s="94"/>
      <c r="AO435" s="94"/>
      <c r="AP435" s="94"/>
      <c r="AQ435" s="94"/>
      <c r="AR435" s="94"/>
      <c r="AS435" s="94"/>
      <c r="AT435" s="94"/>
      <c r="AU435" s="94"/>
      <c r="AV435" s="94"/>
      <c r="AW435" s="94"/>
    </row>
    <row r="436" spans="1:49" s="1" customFormat="1" ht="16.5" x14ac:dyDescent="0.3">
      <c r="A436" s="94"/>
      <c r="B436" s="94"/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  <c r="AA436" s="94"/>
      <c r="AB436" s="94"/>
      <c r="AC436" s="94"/>
      <c r="AD436" s="94"/>
      <c r="AE436" s="94"/>
      <c r="AF436" s="94"/>
      <c r="AG436" s="94"/>
      <c r="AH436" s="94"/>
      <c r="AI436" s="94"/>
      <c r="AJ436" s="94"/>
      <c r="AK436" s="94"/>
      <c r="AL436" s="94"/>
      <c r="AM436" s="94"/>
      <c r="AN436" s="94"/>
      <c r="AO436" s="94"/>
      <c r="AP436" s="94"/>
      <c r="AQ436" s="94"/>
      <c r="AR436" s="94"/>
      <c r="AS436" s="94"/>
      <c r="AT436" s="94"/>
      <c r="AU436" s="94"/>
      <c r="AV436" s="94"/>
      <c r="AW436" s="94"/>
    </row>
    <row r="437" spans="1:49" s="1" customFormat="1" ht="16.5" x14ac:dyDescent="0.3">
      <c r="A437" s="94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  <c r="AA437" s="94"/>
      <c r="AB437" s="94"/>
      <c r="AC437" s="94"/>
      <c r="AD437" s="94"/>
      <c r="AE437" s="94"/>
      <c r="AF437" s="94"/>
      <c r="AG437" s="94"/>
      <c r="AH437" s="94"/>
      <c r="AI437" s="94"/>
      <c r="AJ437" s="94"/>
      <c r="AK437" s="94"/>
      <c r="AL437" s="94"/>
      <c r="AM437" s="94"/>
      <c r="AN437" s="94"/>
      <c r="AO437" s="94"/>
      <c r="AP437" s="94"/>
      <c r="AQ437" s="94"/>
      <c r="AR437" s="94"/>
      <c r="AS437" s="94"/>
      <c r="AT437" s="94"/>
      <c r="AU437" s="94"/>
      <c r="AV437" s="94"/>
      <c r="AW437" s="94"/>
    </row>
    <row r="438" spans="1:49" s="1" customFormat="1" ht="16.5" x14ac:dyDescent="0.3">
      <c r="A438" s="94"/>
      <c r="B438" s="94"/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  <c r="AA438" s="94"/>
      <c r="AB438" s="94"/>
      <c r="AC438" s="94"/>
      <c r="AD438" s="94"/>
      <c r="AE438" s="94"/>
      <c r="AF438" s="94"/>
      <c r="AG438" s="94"/>
      <c r="AH438" s="94"/>
      <c r="AI438" s="94"/>
      <c r="AJ438" s="94"/>
      <c r="AK438" s="94"/>
      <c r="AL438" s="94"/>
      <c r="AM438" s="94"/>
      <c r="AN438" s="94"/>
      <c r="AO438" s="94"/>
      <c r="AP438" s="94"/>
      <c r="AQ438" s="94"/>
      <c r="AR438" s="94"/>
      <c r="AS438" s="94"/>
      <c r="AT438" s="94"/>
      <c r="AU438" s="94"/>
      <c r="AV438" s="94"/>
      <c r="AW438" s="94"/>
    </row>
    <row r="439" spans="1:49" s="1" customFormat="1" ht="16.5" x14ac:dyDescent="0.3">
      <c r="A439" s="94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  <c r="AA439" s="94"/>
      <c r="AB439" s="94"/>
      <c r="AC439" s="94"/>
      <c r="AD439" s="94"/>
      <c r="AE439" s="94"/>
      <c r="AF439" s="94"/>
      <c r="AG439" s="94"/>
      <c r="AH439" s="94"/>
      <c r="AI439" s="94"/>
      <c r="AJ439" s="94"/>
      <c r="AK439" s="94"/>
      <c r="AL439" s="94"/>
      <c r="AM439" s="94"/>
      <c r="AN439" s="94"/>
      <c r="AO439" s="94"/>
      <c r="AP439" s="94"/>
      <c r="AQ439" s="94"/>
      <c r="AR439" s="94"/>
      <c r="AS439" s="94"/>
      <c r="AT439" s="94"/>
      <c r="AU439" s="94"/>
      <c r="AV439" s="94"/>
      <c r="AW439" s="94"/>
    </row>
    <row r="440" spans="1:49" s="1" customFormat="1" ht="16.5" x14ac:dyDescent="0.3">
      <c r="A440" s="94"/>
      <c r="B440" s="94"/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  <c r="AA440" s="94"/>
      <c r="AB440" s="94"/>
      <c r="AC440" s="94"/>
      <c r="AD440" s="94"/>
      <c r="AE440" s="94"/>
      <c r="AF440" s="94"/>
      <c r="AG440" s="94"/>
      <c r="AH440" s="94"/>
      <c r="AI440" s="94"/>
      <c r="AJ440" s="94"/>
      <c r="AK440" s="94"/>
      <c r="AL440" s="94"/>
      <c r="AM440" s="94"/>
      <c r="AN440" s="94"/>
      <c r="AO440" s="94"/>
      <c r="AP440" s="94"/>
      <c r="AQ440" s="94"/>
      <c r="AR440" s="94"/>
      <c r="AS440" s="94"/>
      <c r="AT440" s="94"/>
      <c r="AU440" s="94"/>
      <c r="AV440" s="94"/>
      <c r="AW440" s="94"/>
    </row>
    <row r="441" spans="1:49" s="1" customFormat="1" ht="16.5" x14ac:dyDescent="0.3">
      <c r="A441" s="94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  <c r="AA441" s="94"/>
      <c r="AB441" s="94"/>
      <c r="AC441" s="94"/>
      <c r="AD441" s="94"/>
      <c r="AE441" s="94"/>
      <c r="AF441" s="94"/>
      <c r="AG441" s="94"/>
      <c r="AH441" s="94"/>
      <c r="AI441" s="94"/>
      <c r="AJ441" s="94"/>
      <c r="AK441" s="94"/>
      <c r="AL441" s="94"/>
      <c r="AM441" s="94"/>
      <c r="AN441" s="94"/>
      <c r="AO441" s="94"/>
      <c r="AP441" s="94"/>
      <c r="AQ441" s="94"/>
      <c r="AR441" s="94"/>
      <c r="AS441" s="94"/>
      <c r="AT441" s="94"/>
      <c r="AU441" s="94"/>
      <c r="AV441" s="94"/>
      <c r="AW441" s="94"/>
    </row>
    <row r="442" spans="1:49" s="1" customFormat="1" ht="16.5" x14ac:dyDescent="0.3">
      <c r="A442" s="94"/>
      <c r="B442" s="94"/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  <c r="AA442" s="94"/>
      <c r="AB442" s="94"/>
      <c r="AC442" s="94"/>
      <c r="AD442" s="94"/>
      <c r="AE442" s="94"/>
      <c r="AF442" s="94"/>
      <c r="AG442" s="94"/>
      <c r="AH442" s="94"/>
      <c r="AI442" s="94"/>
      <c r="AJ442" s="94"/>
      <c r="AK442" s="94"/>
      <c r="AL442" s="94"/>
      <c r="AM442" s="94"/>
      <c r="AN442" s="94"/>
      <c r="AO442" s="94"/>
      <c r="AP442" s="94"/>
      <c r="AQ442" s="94"/>
      <c r="AR442" s="94"/>
      <c r="AS442" s="94"/>
      <c r="AT442" s="94"/>
      <c r="AU442" s="94"/>
      <c r="AV442" s="94"/>
      <c r="AW442" s="94"/>
    </row>
    <row r="443" spans="1:49" s="1" customFormat="1" ht="16.5" x14ac:dyDescent="0.3">
      <c r="A443" s="94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  <c r="AA443" s="94"/>
      <c r="AB443" s="94"/>
      <c r="AC443" s="94"/>
      <c r="AD443" s="94"/>
      <c r="AE443" s="94"/>
      <c r="AF443" s="94"/>
      <c r="AG443" s="94"/>
      <c r="AH443" s="94"/>
      <c r="AI443" s="94"/>
      <c r="AJ443" s="94"/>
      <c r="AK443" s="94"/>
      <c r="AL443" s="94"/>
      <c r="AM443" s="94"/>
      <c r="AN443" s="94"/>
      <c r="AO443" s="94"/>
      <c r="AP443" s="94"/>
      <c r="AQ443" s="94"/>
      <c r="AR443" s="94"/>
      <c r="AS443" s="94"/>
      <c r="AT443" s="94"/>
      <c r="AU443" s="94"/>
      <c r="AV443" s="94"/>
      <c r="AW443" s="94"/>
    </row>
    <row r="444" spans="1:49" s="1" customFormat="1" ht="16.5" x14ac:dyDescent="0.3">
      <c r="A444" s="94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  <c r="AA444" s="94"/>
      <c r="AB444" s="94"/>
      <c r="AC444" s="94"/>
      <c r="AD444" s="94"/>
      <c r="AE444" s="94"/>
      <c r="AF444" s="94"/>
      <c r="AG444" s="94"/>
      <c r="AH444" s="94"/>
      <c r="AI444" s="94"/>
      <c r="AJ444" s="94"/>
      <c r="AK444" s="94"/>
      <c r="AL444" s="94"/>
      <c r="AM444" s="94"/>
      <c r="AN444" s="94"/>
      <c r="AO444" s="94"/>
      <c r="AP444" s="94"/>
      <c r="AQ444" s="94"/>
      <c r="AR444" s="94"/>
      <c r="AS444" s="94"/>
      <c r="AT444" s="94"/>
      <c r="AU444" s="94"/>
      <c r="AV444" s="94"/>
      <c r="AW444" s="94"/>
    </row>
    <row r="445" spans="1:49" s="1" customFormat="1" ht="16.5" x14ac:dyDescent="0.3">
      <c r="A445" s="94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  <c r="AA445" s="94"/>
      <c r="AB445" s="94"/>
      <c r="AC445" s="94"/>
      <c r="AD445" s="94"/>
      <c r="AE445" s="94"/>
      <c r="AF445" s="94"/>
      <c r="AG445" s="94"/>
      <c r="AH445" s="94"/>
      <c r="AI445" s="94"/>
      <c r="AJ445" s="94"/>
      <c r="AK445" s="94"/>
      <c r="AL445" s="94"/>
      <c r="AM445" s="94"/>
      <c r="AN445" s="94"/>
      <c r="AO445" s="94"/>
      <c r="AP445" s="94"/>
      <c r="AQ445" s="94"/>
      <c r="AR445" s="94"/>
      <c r="AS445" s="94"/>
      <c r="AT445" s="94"/>
      <c r="AU445" s="94"/>
      <c r="AV445" s="94"/>
      <c r="AW445" s="94"/>
    </row>
    <row r="446" spans="1:49" s="1" customFormat="1" ht="16.5" x14ac:dyDescent="0.3">
      <c r="A446" s="94"/>
      <c r="B446" s="94"/>
      <c r="C446" s="94"/>
      <c r="D446" s="94"/>
      <c r="E446" s="94"/>
      <c r="F446" s="94"/>
      <c r="G446" s="94"/>
      <c r="H446" s="94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  <c r="AA446" s="94"/>
      <c r="AB446" s="94"/>
      <c r="AC446" s="94"/>
      <c r="AD446" s="94"/>
      <c r="AE446" s="94"/>
      <c r="AF446" s="94"/>
      <c r="AG446" s="94"/>
      <c r="AH446" s="94"/>
      <c r="AI446" s="94"/>
      <c r="AJ446" s="94"/>
      <c r="AK446" s="94"/>
      <c r="AL446" s="94"/>
      <c r="AM446" s="94"/>
      <c r="AN446" s="94"/>
      <c r="AO446" s="94"/>
      <c r="AP446" s="94"/>
      <c r="AQ446" s="94"/>
      <c r="AR446" s="94"/>
      <c r="AS446" s="94"/>
      <c r="AT446" s="94"/>
      <c r="AU446" s="94"/>
      <c r="AV446" s="94"/>
      <c r="AW446" s="94"/>
    </row>
    <row r="447" spans="1:49" s="1" customFormat="1" ht="16.5" x14ac:dyDescent="0.3">
      <c r="A447" s="94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  <c r="AA447" s="94"/>
      <c r="AB447" s="94"/>
      <c r="AC447" s="94"/>
      <c r="AD447" s="94"/>
      <c r="AE447" s="94"/>
      <c r="AF447" s="94"/>
      <c r="AG447" s="94"/>
      <c r="AH447" s="94"/>
      <c r="AI447" s="94"/>
      <c r="AJ447" s="94"/>
      <c r="AK447" s="94"/>
      <c r="AL447" s="94"/>
      <c r="AM447" s="94"/>
      <c r="AN447" s="94"/>
      <c r="AO447" s="94"/>
      <c r="AP447" s="94"/>
      <c r="AQ447" s="94"/>
      <c r="AR447" s="94"/>
      <c r="AS447" s="94"/>
      <c r="AT447" s="94"/>
      <c r="AU447" s="94"/>
      <c r="AV447" s="94"/>
      <c r="AW447" s="94"/>
    </row>
    <row r="448" spans="1:49" s="1" customFormat="1" ht="16.5" x14ac:dyDescent="0.3">
      <c r="A448" s="94"/>
      <c r="B448" s="94"/>
      <c r="C448" s="94"/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B448" s="94"/>
      <c r="AC448" s="94"/>
      <c r="AD448" s="94"/>
      <c r="AE448" s="94"/>
      <c r="AF448" s="94"/>
      <c r="AG448" s="94"/>
      <c r="AH448" s="94"/>
      <c r="AI448" s="94"/>
      <c r="AJ448" s="94"/>
      <c r="AK448" s="94"/>
      <c r="AL448" s="94"/>
      <c r="AM448" s="94"/>
      <c r="AN448" s="94"/>
      <c r="AO448" s="94"/>
      <c r="AP448" s="94"/>
      <c r="AQ448" s="94"/>
      <c r="AR448" s="94"/>
      <c r="AS448" s="94"/>
      <c r="AT448" s="94"/>
      <c r="AU448" s="94"/>
      <c r="AV448" s="94"/>
      <c r="AW448" s="94"/>
    </row>
    <row r="449" spans="1:49" s="1" customFormat="1" ht="16.5" x14ac:dyDescent="0.3">
      <c r="A449" s="94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  <c r="AA449" s="94"/>
      <c r="AB449" s="94"/>
      <c r="AC449" s="94"/>
      <c r="AD449" s="94"/>
      <c r="AE449" s="94"/>
      <c r="AF449" s="94"/>
      <c r="AG449" s="94"/>
      <c r="AH449" s="94"/>
      <c r="AI449" s="94"/>
      <c r="AJ449" s="94"/>
      <c r="AK449" s="94"/>
      <c r="AL449" s="94"/>
      <c r="AM449" s="94"/>
      <c r="AN449" s="94"/>
      <c r="AO449" s="94"/>
      <c r="AP449" s="94"/>
      <c r="AQ449" s="94"/>
      <c r="AR449" s="94"/>
      <c r="AS449" s="94"/>
      <c r="AT449" s="94"/>
      <c r="AU449" s="94"/>
      <c r="AV449" s="94"/>
      <c r="AW449" s="94"/>
    </row>
    <row r="450" spans="1:49" s="1" customFormat="1" ht="16.5" x14ac:dyDescent="0.3">
      <c r="A450" s="94"/>
      <c r="B450" s="94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  <c r="AA450" s="94"/>
      <c r="AB450" s="94"/>
      <c r="AC450" s="94"/>
      <c r="AD450" s="94"/>
      <c r="AE450" s="94"/>
      <c r="AF450" s="94"/>
      <c r="AG450" s="94"/>
      <c r="AH450" s="94"/>
      <c r="AI450" s="94"/>
      <c r="AJ450" s="94"/>
      <c r="AK450" s="94"/>
      <c r="AL450" s="94"/>
      <c r="AM450" s="94"/>
      <c r="AN450" s="94"/>
      <c r="AO450" s="94"/>
      <c r="AP450" s="94"/>
      <c r="AQ450" s="94"/>
      <c r="AR450" s="94"/>
      <c r="AS450" s="94"/>
      <c r="AT450" s="94"/>
      <c r="AU450" s="94"/>
      <c r="AV450" s="94"/>
      <c r="AW450" s="94"/>
    </row>
    <row r="451" spans="1:49" s="1" customFormat="1" ht="16.5" x14ac:dyDescent="0.3">
      <c r="A451" s="94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  <c r="AA451" s="94"/>
      <c r="AB451" s="94"/>
      <c r="AC451" s="94"/>
      <c r="AD451" s="94"/>
      <c r="AE451" s="94"/>
      <c r="AF451" s="94"/>
      <c r="AG451" s="94"/>
      <c r="AH451" s="94"/>
      <c r="AI451" s="94"/>
      <c r="AJ451" s="94"/>
      <c r="AK451" s="94"/>
      <c r="AL451" s="94"/>
      <c r="AM451" s="94"/>
      <c r="AN451" s="94"/>
      <c r="AO451" s="94"/>
      <c r="AP451" s="94"/>
      <c r="AQ451" s="94"/>
      <c r="AR451" s="94"/>
      <c r="AS451" s="94"/>
      <c r="AT451" s="94"/>
      <c r="AU451" s="94"/>
      <c r="AV451" s="94"/>
      <c r="AW451" s="94"/>
    </row>
    <row r="452" spans="1:49" s="1" customFormat="1" ht="16.5" x14ac:dyDescent="0.3">
      <c r="A452" s="94"/>
      <c r="B452" s="94"/>
      <c r="C452" s="94"/>
      <c r="D452" s="94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  <c r="AA452" s="94"/>
      <c r="AB452" s="94"/>
      <c r="AC452" s="94"/>
      <c r="AD452" s="94"/>
      <c r="AE452" s="94"/>
      <c r="AF452" s="94"/>
      <c r="AG452" s="94"/>
      <c r="AH452" s="94"/>
      <c r="AI452" s="94"/>
      <c r="AJ452" s="94"/>
      <c r="AK452" s="94"/>
      <c r="AL452" s="94"/>
      <c r="AM452" s="94"/>
      <c r="AN452" s="94"/>
      <c r="AO452" s="94"/>
      <c r="AP452" s="94"/>
      <c r="AQ452" s="94"/>
      <c r="AR452" s="94"/>
      <c r="AS452" s="94"/>
      <c r="AT452" s="94"/>
      <c r="AU452" s="94"/>
      <c r="AV452" s="94"/>
      <c r="AW452" s="94"/>
    </row>
    <row r="453" spans="1:49" s="1" customFormat="1" ht="16.5" x14ac:dyDescent="0.3">
      <c r="A453" s="94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  <c r="AA453" s="94"/>
      <c r="AB453" s="94"/>
      <c r="AC453" s="94"/>
      <c r="AD453" s="94"/>
      <c r="AE453" s="94"/>
      <c r="AF453" s="94"/>
      <c r="AG453" s="94"/>
      <c r="AH453" s="94"/>
      <c r="AI453" s="94"/>
      <c r="AJ453" s="94"/>
      <c r="AK453" s="94"/>
      <c r="AL453" s="94"/>
      <c r="AM453" s="94"/>
      <c r="AN453" s="94"/>
      <c r="AO453" s="94"/>
      <c r="AP453" s="94"/>
      <c r="AQ453" s="94"/>
      <c r="AR453" s="94"/>
      <c r="AS453" s="94"/>
      <c r="AT453" s="94"/>
      <c r="AU453" s="94"/>
      <c r="AV453" s="94"/>
      <c r="AW453" s="94"/>
    </row>
    <row r="454" spans="1:49" s="1" customFormat="1" ht="16.5" x14ac:dyDescent="0.3">
      <c r="A454" s="94"/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  <c r="AA454" s="94"/>
      <c r="AB454" s="94"/>
      <c r="AC454" s="94"/>
      <c r="AD454" s="94"/>
      <c r="AE454" s="94"/>
      <c r="AF454" s="94"/>
      <c r="AG454" s="94"/>
      <c r="AH454" s="94"/>
      <c r="AI454" s="94"/>
      <c r="AJ454" s="94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</row>
    <row r="455" spans="1:49" s="1" customFormat="1" ht="16.5" x14ac:dyDescent="0.3">
      <c r="A455" s="94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  <c r="AA455" s="94"/>
      <c r="AB455" s="94"/>
      <c r="AC455" s="94"/>
      <c r="AD455" s="94"/>
      <c r="AE455" s="94"/>
      <c r="AF455" s="94"/>
      <c r="AG455" s="94"/>
      <c r="AH455" s="94"/>
      <c r="AI455" s="94"/>
      <c r="AJ455" s="94"/>
      <c r="AK455" s="94"/>
      <c r="AL455" s="94"/>
      <c r="AM455" s="94"/>
      <c r="AN455" s="94"/>
      <c r="AO455" s="94"/>
      <c r="AP455" s="94"/>
      <c r="AQ455" s="94"/>
      <c r="AR455" s="94"/>
      <c r="AS455" s="94"/>
      <c r="AT455" s="94"/>
      <c r="AU455" s="94"/>
      <c r="AV455" s="94"/>
      <c r="AW455" s="94"/>
    </row>
    <row r="456" spans="1:49" s="1" customFormat="1" ht="16.5" x14ac:dyDescent="0.3">
      <c r="A456" s="94"/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  <c r="AA456" s="94"/>
      <c r="AB456" s="94"/>
      <c r="AC456" s="94"/>
      <c r="AD456" s="94"/>
      <c r="AE456" s="94"/>
      <c r="AF456" s="94"/>
      <c r="AG456" s="94"/>
      <c r="AH456" s="94"/>
      <c r="AI456" s="94"/>
      <c r="AJ456" s="94"/>
      <c r="AK456" s="94"/>
      <c r="AL456" s="94"/>
      <c r="AM456" s="94"/>
      <c r="AN456" s="94"/>
      <c r="AO456" s="94"/>
      <c r="AP456" s="94"/>
      <c r="AQ456" s="94"/>
      <c r="AR456" s="94"/>
      <c r="AS456" s="94"/>
      <c r="AT456" s="94"/>
      <c r="AU456" s="94"/>
      <c r="AV456" s="94"/>
      <c r="AW456" s="94"/>
    </row>
    <row r="457" spans="1:49" s="1" customFormat="1" ht="16.5" x14ac:dyDescent="0.3">
      <c r="A457" s="94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  <c r="AA457" s="94"/>
      <c r="AB457" s="94"/>
      <c r="AC457" s="94"/>
      <c r="AD457" s="94"/>
      <c r="AE457" s="94"/>
      <c r="AF457" s="94"/>
      <c r="AG457" s="94"/>
      <c r="AH457" s="94"/>
      <c r="AI457" s="94"/>
      <c r="AJ457" s="94"/>
      <c r="AK457" s="94"/>
      <c r="AL457" s="94"/>
      <c r="AM457" s="94"/>
      <c r="AN457" s="94"/>
      <c r="AO457" s="94"/>
      <c r="AP457" s="94"/>
      <c r="AQ457" s="94"/>
      <c r="AR457" s="94"/>
      <c r="AS457" s="94"/>
      <c r="AT457" s="94"/>
      <c r="AU457" s="94"/>
      <c r="AV457" s="94"/>
      <c r="AW457" s="94"/>
    </row>
    <row r="458" spans="1:49" s="1" customFormat="1" ht="16.5" x14ac:dyDescent="0.3">
      <c r="A458" s="94"/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  <c r="AA458" s="94"/>
      <c r="AB458" s="94"/>
      <c r="AC458" s="94"/>
      <c r="AD458" s="94"/>
      <c r="AE458" s="94"/>
      <c r="AF458" s="94"/>
      <c r="AG458" s="94"/>
      <c r="AH458" s="94"/>
      <c r="AI458" s="94"/>
      <c r="AJ458" s="94"/>
      <c r="AK458" s="94"/>
      <c r="AL458" s="94"/>
      <c r="AM458" s="94"/>
      <c r="AN458" s="94"/>
      <c r="AO458" s="94"/>
      <c r="AP458" s="94"/>
      <c r="AQ458" s="94"/>
      <c r="AR458" s="94"/>
      <c r="AS458" s="94"/>
      <c r="AT458" s="94"/>
      <c r="AU458" s="94"/>
      <c r="AV458" s="94"/>
      <c r="AW458" s="94"/>
    </row>
    <row r="459" spans="1:49" s="1" customFormat="1" ht="16.5" x14ac:dyDescent="0.3">
      <c r="A459" s="94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  <c r="AK459" s="94"/>
      <c r="AL459" s="94"/>
      <c r="AM459" s="94"/>
      <c r="AN459" s="94"/>
      <c r="AO459" s="94"/>
      <c r="AP459" s="94"/>
      <c r="AQ459" s="94"/>
      <c r="AR459" s="94"/>
      <c r="AS459" s="94"/>
      <c r="AT459" s="94"/>
      <c r="AU459" s="94"/>
      <c r="AV459" s="94"/>
      <c r="AW459" s="94"/>
    </row>
    <row r="460" spans="1:49" s="1" customFormat="1" ht="16.5" x14ac:dyDescent="0.3">
      <c r="A460" s="94"/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  <c r="AK460" s="94"/>
      <c r="AL460" s="94"/>
      <c r="AM460" s="94"/>
      <c r="AN460" s="94"/>
      <c r="AO460" s="94"/>
      <c r="AP460" s="94"/>
      <c r="AQ460" s="94"/>
      <c r="AR460" s="94"/>
      <c r="AS460" s="94"/>
      <c r="AT460" s="94"/>
      <c r="AU460" s="94"/>
      <c r="AV460" s="94"/>
      <c r="AW460" s="94"/>
    </row>
    <row r="461" spans="1:49" s="1" customFormat="1" ht="16.5" x14ac:dyDescent="0.3">
      <c r="A461" s="94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  <c r="AA461" s="94"/>
      <c r="AB461" s="94"/>
      <c r="AC461" s="94"/>
      <c r="AD461" s="94"/>
      <c r="AE461" s="94"/>
      <c r="AF461" s="94"/>
      <c r="AG461" s="94"/>
      <c r="AH461" s="94"/>
      <c r="AI461" s="94"/>
      <c r="AJ461" s="94"/>
      <c r="AK461" s="94"/>
      <c r="AL461" s="94"/>
      <c r="AM461" s="94"/>
      <c r="AN461" s="94"/>
      <c r="AO461" s="94"/>
      <c r="AP461" s="94"/>
      <c r="AQ461" s="94"/>
      <c r="AR461" s="94"/>
      <c r="AS461" s="94"/>
      <c r="AT461" s="94"/>
      <c r="AU461" s="94"/>
      <c r="AV461" s="94"/>
      <c r="AW461" s="94"/>
    </row>
    <row r="462" spans="1:49" s="1" customFormat="1" ht="16.5" x14ac:dyDescent="0.3">
      <c r="A462" s="94"/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  <c r="AA462" s="94"/>
      <c r="AB462" s="94"/>
      <c r="AC462" s="94"/>
      <c r="AD462" s="94"/>
      <c r="AE462" s="94"/>
      <c r="AF462" s="94"/>
      <c r="AG462" s="94"/>
      <c r="AH462" s="94"/>
      <c r="AI462" s="94"/>
      <c r="AJ462" s="94"/>
      <c r="AK462" s="94"/>
      <c r="AL462" s="94"/>
      <c r="AM462" s="94"/>
      <c r="AN462" s="94"/>
      <c r="AO462" s="94"/>
      <c r="AP462" s="94"/>
      <c r="AQ462" s="94"/>
      <c r="AR462" s="94"/>
      <c r="AS462" s="94"/>
      <c r="AT462" s="94"/>
      <c r="AU462" s="94"/>
      <c r="AV462" s="94"/>
      <c r="AW462" s="94"/>
    </row>
    <row r="463" spans="1:49" s="1" customFormat="1" ht="16.5" x14ac:dyDescent="0.3">
      <c r="A463" s="94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  <c r="AA463" s="94"/>
      <c r="AB463" s="94"/>
      <c r="AC463" s="94"/>
      <c r="AD463" s="94"/>
      <c r="AE463" s="94"/>
      <c r="AF463" s="94"/>
      <c r="AG463" s="94"/>
      <c r="AH463" s="94"/>
      <c r="AI463" s="94"/>
      <c r="AJ463" s="94"/>
      <c r="AK463" s="94"/>
      <c r="AL463" s="94"/>
      <c r="AM463" s="94"/>
      <c r="AN463" s="94"/>
      <c r="AO463" s="94"/>
      <c r="AP463" s="94"/>
      <c r="AQ463" s="94"/>
      <c r="AR463" s="94"/>
      <c r="AS463" s="94"/>
      <c r="AT463" s="94"/>
      <c r="AU463" s="94"/>
      <c r="AV463" s="94"/>
      <c r="AW463" s="94"/>
    </row>
    <row r="464" spans="1:49" s="1" customFormat="1" ht="16.5" x14ac:dyDescent="0.3">
      <c r="A464" s="94"/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  <c r="AK464" s="94"/>
      <c r="AL464" s="94"/>
      <c r="AM464" s="94"/>
      <c r="AN464" s="94"/>
      <c r="AO464" s="94"/>
      <c r="AP464" s="94"/>
      <c r="AQ464" s="94"/>
      <c r="AR464" s="94"/>
      <c r="AS464" s="94"/>
      <c r="AT464" s="94"/>
      <c r="AU464" s="94"/>
      <c r="AV464" s="94"/>
      <c r="AW464" s="94"/>
    </row>
    <row r="465" spans="1:49" s="1" customFormat="1" ht="16.5" x14ac:dyDescent="0.3">
      <c r="A465" s="94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  <c r="AK465" s="94"/>
      <c r="AL465" s="94"/>
      <c r="AM465" s="94"/>
      <c r="AN465" s="94"/>
      <c r="AO465" s="94"/>
      <c r="AP465" s="94"/>
      <c r="AQ465" s="94"/>
      <c r="AR465" s="94"/>
      <c r="AS465" s="94"/>
      <c r="AT465" s="94"/>
      <c r="AU465" s="94"/>
      <c r="AV465" s="94"/>
      <c r="AW465" s="94"/>
    </row>
    <row r="466" spans="1:49" s="1" customFormat="1" ht="16.5" x14ac:dyDescent="0.3">
      <c r="A466" s="94"/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  <c r="AK466" s="94"/>
      <c r="AL466" s="94"/>
      <c r="AM466" s="94"/>
      <c r="AN466" s="94"/>
      <c r="AO466" s="94"/>
      <c r="AP466" s="94"/>
      <c r="AQ466" s="94"/>
      <c r="AR466" s="94"/>
      <c r="AS466" s="94"/>
      <c r="AT466" s="94"/>
      <c r="AU466" s="94"/>
      <c r="AV466" s="94"/>
      <c r="AW466" s="94"/>
    </row>
    <row r="467" spans="1:49" s="1" customFormat="1" ht="16.5" x14ac:dyDescent="0.3">
      <c r="A467" s="94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  <c r="AA467" s="94"/>
      <c r="AB467" s="94"/>
      <c r="AC467" s="94"/>
      <c r="AD467" s="94"/>
      <c r="AE467" s="94"/>
      <c r="AF467" s="94"/>
      <c r="AG467" s="94"/>
      <c r="AH467" s="94"/>
      <c r="AI467" s="94"/>
      <c r="AJ467" s="94"/>
      <c r="AK467" s="94"/>
      <c r="AL467" s="94"/>
      <c r="AM467" s="94"/>
      <c r="AN467" s="94"/>
      <c r="AO467" s="94"/>
      <c r="AP467" s="94"/>
      <c r="AQ467" s="94"/>
      <c r="AR467" s="94"/>
      <c r="AS467" s="94"/>
      <c r="AT467" s="94"/>
      <c r="AU467" s="94"/>
      <c r="AV467" s="94"/>
      <c r="AW467" s="94"/>
    </row>
    <row r="468" spans="1:49" s="1" customFormat="1" ht="16.5" x14ac:dyDescent="0.3">
      <c r="A468" s="94"/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  <c r="AK468" s="94"/>
      <c r="AL468" s="94"/>
      <c r="AM468" s="94"/>
      <c r="AN468" s="94"/>
      <c r="AO468" s="94"/>
      <c r="AP468" s="94"/>
      <c r="AQ468" s="94"/>
      <c r="AR468" s="94"/>
      <c r="AS468" s="94"/>
      <c r="AT468" s="94"/>
      <c r="AU468" s="94"/>
      <c r="AV468" s="94"/>
      <c r="AW468" s="94"/>
    </row>
    <row r="469" spans="1:49" s="1" customFormat="1" ht="16.5" x14ac:dyDescent="0.3">
      <c r="A469" s="94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  <c r="AK469" s="94"/>
      <c r="AL469" s="94"/>
      <c r="AM469" s="94"/>
      <c r="AN469" s="94"/>
      <c r="AO469" s="94"/>
      <c r="AP469" s="94"/>
      <c r="AQ469" s="94"/>
      <c r="AR469" s="94"/>
      <c r="AS469" s="94"/>
      <c r="AT469" s="94"/>
      <c r="AU469" s="94"/>
      <c r="AV469" s="94"/>
      <c r="AW469" s="94"/>
    </row>
    <row r="470" spans="1:49" s="1" customFormat="1" ht="16.5" x14ac:dyDescent="0.3">
      <c r="A470" s="94"/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  <c r="AA470" s="94"/>
      <c r="AB470" s="94"/>
      <c r="AC470" s="94"/>
      <c r="AD470" s="94"/>
      <c r="AE470" s="94"/>
      <c r="AF470" s="94"/>
      <c r="AG470" s="94"/>
      <c r="AH470" s="94"/>
      <c r="AI470" s="94"/>
      <c r="AJ470" s="94"/>
      <c r="AK470" s="94"/>
      <c r="AL470" s="94"/>
      <c r="AM470" s="94"/>
      <c r="AN470" s="94"/>
      <c r="AO470" s="94"/>
      <c r="AP470" s="94"/>
      <c r="AQ470" s="94"/>
      <c r="AR470" s="94"/>
      <c r="AS470" s="94"/>
      <c r="AT470" s="94"/>
      <c r="AU470" s="94"/>
      <c r="AV470" s="94"/>
      <c r="AW470" s="94"/>
    </row>
    <row r="471" spans="1:49" s="1" customFormat="1" ht="16.5" x14ac:dyDescent="0.3">
      <c r="A471" s="94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  <c r="AA471" s="94"/>
      <c r="AB471" s="94"/>
      <c r="AC471" s="94"/>
      <c r="AD471" s="94"/>
      <c r="AE471" s="94"/>
      <c r="AF471" s="94"/>
      <c r="AG471" s="94"/>
      <c r="AH471" s="94"/>
      <c r="AI471" s="94"/>
      <c r="AJ471" s="94"/>
      <c r="AK471" s="94"/>
      <c r="AL471" s="94"/>
      <c r="AM471" s="94"/>
      <c r="AN471" s="94"/>
      <c r="AO471" s="94"/>
      <c r="AP471" s="94"/>
      <c r="AQ471" s="94"/>
      <c r="AR471" s="94"/>
      <c r="AS471" s="94"/>
      <c r="AT471" s="94"/>
      <c r="AU471" s="94"/>
      <c r="AV471" s="94"/>
      <c r="AW471" s="94"/>
    </row>
    <row r="472" spans="1:49" s="1" customFormat="1" ht="16.5" x14ac:dyDescent="0.3">
      <c r="A472" s="94"/>
      <c r="B472" s="94"/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  <c r="AA472" s="94"/>
      <c r="AB472" s="94"/>
      <c r="AC472" s="94"/>
      <c r="AD472" s="94"/>
      <c r="AE472" s="94"/>
      <c r="AF472" s="94"/>
      <c r="AG472" s="94"/>
      <c r="AH472" s="94"/>
      <c r="AI472" s="94"/>
      <c r="AJ472" s="94"/>
      <c r="AK472" s="94"/>
      <c r="AL472" s="94"/>
      <c r="AM472" s="94"/>
      <c r="AN472" s="94"/>
      <c r="AO472" s="94"/>
      <c r="AP472" s="94"/>
      <c r="AQ472" s="94"/>
      <c r="AR472" s="94"/>
      <c r="AS472" s="94"/>
      <c r="AT472" s="94"/>
      <c r="AU472" s="94"/>
      <c r="AV472" s="94"/>
      <c r="AW472" s="94"/>
    </row>
    <row r="473" spans="1:49" s="1" customFormat="1" ht="16.5" x14ac:dyDescent="0.3">
      <c r="A473" s="94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  <c r="AA473" s="94"/>
      <c r="AB473" s="94"/>
      <c r="AC473" s="94"/>
      <c r="AD473" s="94"/>
      <c r="AE473" s="94"/>
      <c r="AF473" s="94"/>
      <c r="AG473" s="94"/>
      <c r="AH473" s="94"/>
      <c r="AI473" s="94"/>
      <c r="AJ473" s="94"/>
      <c r="AK473" s="94"/>
      <c r="AL473" s="94"/>
      <c r="AM473" s="94"/>
      <c r="AN473" s="94"/>
      <c r="AO473" s="94"/>
      <c r="AP473" s="94"/>
      <c r="AQ473" s="94"/>
      <c r="AR473" s="94"/>
      <c r="AS473" s="94"/>
      <c r="AT473" s="94"/>
      <c r="AU473" s="94"/>
      <c r="AV473" s="94"/>
      <c r="AW473" s="94"/>
    </row>
    <row r="474" spans="1:49" s="1" customFormat="1" ht="16.5" x14ac:dyDescent="0.3">
      <c r="A474" s="94"/>
      <c r="B474" s="94"/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  <c r="AA474" s="94"/>
      <c r="AB474" s="94"/>
      <c r="AC474" s="94"/>
      <c r="AD474" s="94"/>
      <c r="AE474" s="94"/>
      <c r="AF474" s="94"/>
      <c r="AG474" s="94"/>
      <c r="AH474" s="94"/>
      <c r="AI474" s="94"/>
      <c r="AJ474" s="94"/>
      <c r="AK474" s="94"/>
      <c r="AL474" s="94"/>
      <c r="AM474" s="94"/>
      <c r="AN474" s="94"/>
      <c r="AO474" s="94"/>
      <c r="AP474" s="94"/>
      <c r="AQ474" s="94"/>
      <c r="AR474" s="94"/>
      <c r="AS474" s="94"/>
      <c r="AT474" s="94"/>
      <c r="AU474" s="94"/>
      <c r="AV474" s="94"/>
      <c r="AW474" s="94"/>
    </row>
    <row r="475" spans="1:49" s="1" customFormat="1" ht="16.5" x14ac:dyDescent="0.3">
      <c r="A475" s="94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  <c r="AA475" s="94"/>
      <c r="AB475" s="94"/>
      <c r="AC475" s="94"/>
      <c r="AD475" s="94"/>
      <c r="AE475" s="94"/>
      <c r="AF475" s="94"/>
      <c r="AG475" s="94"/>
      <c r="AH475" s="94"/>
      <c r="AI475" s="94"/>
      <c r="AJ475" s="94"/>
      <c r="AK475" s="94"/>
      <c r="AL475" s="94"/>
      <c r="AM475" s="94"/>
      <c r="AN475" s="94"/>
      <c r="AO475" s="94"/>
      <c r="AP475" s="94"/>
      <c r="AQ475" s="94"/>
      <c r="AR475" s="94"/>
      <c r="AS475" s="94"/>
      <c r="AT475" s="94"/>
      <c r="AU475" s="94"/>
      <c r="AV475" s="94"/>
      <c r="AW475" s="94"/>
    </row>
    <row r="476" spans="1:49" s="1" customFormat="1" ht="16.5" x14ac:dyDescent="0.3">
      <c r="A476" s="94"/>
      <c r="B476" s="94"/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  <c r="AA476" s="94"/>
      <c r="AB476" s="94"/>
      <c r="AC476" s="94"/>
      <c r="AD476" s="94"/>
      <c r="AE476" s="94"/>
      <c r="AF476" s="94"/>
      <c r="AG476" s="94"/>
      <c r="AH476" s="94"/>
      <c r="AI476" s="94"/>
      <c r="AJ476" s="94"/>
      <c r="AK476" s="94"/>
      <c r="AL476" s="94"/>
      <c r="AM476" s="94"/>
      <c r="AN476" s="94"/>
      <c r="AO476" s="94"/>
      <c r="AP476" s="94"/>
      <c r="AQ476" s="94"/>
      <c r="AR476" s="94"/>
      <c r="AS476" s="94"/>
      <c r="AT476" s="94"/>
      <c r="AU476" s="94"/>
      <c r="AV476" s="94"/>
      <c r="AW476" s="94"/>
    </row>
    <row r="477" spans="1:49" s="1" customFormat="1" ht="16.5" x14ac:dyDescent="0.3">
      <c r="A477" s="94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B477" s="94"/>
      <c r="AC477" s="94"/>
      <c r="AD477" s="94"/>
      <c r="AE477" s="94"/>
      <c r="AF477" s="94"/>
      <c r="AG477" s="94"/>
      <c r="AH477" s="94"/>
      <c r="AI477" s="94"/>
      <c r="AJ477" s="94"/>
      <c r="AK477" s="94"/>
      <c r="AL477" s="94"/>
      <c r="AM477" s="94"/>
      <c r="AN477" s="94"/>
      <c r="AO477" s="94"/>
      <c r="AP477" s="94"/>
      <c r="AQ477" s="94"/>
      <c r="AR477" s="94"/>
      <c r="AS477" s="94"/>
      <c r="AT477" s="94"/>
      <c r="AU477" s="94"/>
      <c r="AV477" s="94"/>
      <c r="AW477" s="94"/>
    </row>
    <row r="478" spans="1:49" s="1" customFormat="1" ht="16.5" x14ac:dyDescent="0.3">
      <c r="A478" s="94"/>
      <c r="B478" s="94"/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  <c r="AA478" s="94"/>
      <c r="AB478" s="94"/>
      <c r="AC478" s="94"/>
      <c r="AD478" s="94"/>
      <c r="AE478" s="94"/>
      <c r="AF478" s="94"/>
      <c r="AG478" s="94"/>
      <c r="AH478" s="94"/>
      <c r="AI478" s="94"/>
      <c r="AJ478" s="94"/>
      <c r="AK478" s="94"/>
      <c r="AL478" s="94"/>
      <c r="AM478" s="94"/>
      <c r="AN478" s="94"/>
      <c r="AO478" s="94"/>
      <c r="AP478" s="94"/>
      <c r="AQ478" s="94"/>
      <c r="AR478" s="94"/>
      <c r="AS478" s="94"/>
      <c r="AT478" s="94"/>
      <c r="AU478" s="94"/>
      <c r="AV478" s="94"/>
      <c r="AW478" s="94"/>
    </row>
    <row r="479" spans="1:49" s="1" customFormat="1" ht="16.5" x14ac:dyDescent="0.3">
      <c r="A479" s="94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  <c r="AA479" s="94"/>
      <c r="AB479" s="94"/>
      <c r="AC479" s="94"/>
      <c r="AD479" s="94"/>
      <c r="AE479" s="94"/>
      <c r="AF479" s="94"/>
      <c r="AG479" s="94"/>
      <c r="AH479" s="94"/>
      <c r="AI479" s="94"/>
      <c r="AJ479" s="94"/>
      <c r="AK479" s="94"/>
      <c r="AL479" s="94"/>
      <c r="AM479" s="94"/>
      <c r="AN479" s="94"/>
      <c r="AO479" s="94"/>
      <c r="AP479" s="94"/>
      <c r="AQ479" s="94"/>
      <c r="AR479" s="94"/>
      <c r="AS479" s="94"/>
      <c r="AT479" s="94"/>
      <c r="AU479" s="94"/>
      <c r="AV479" s="94"/>
      <c r="AW479" s="94"/>
    </row>
    <row r="480" spans="1:49" s="1" customFormat="1" ht="16.5" x14ac:dyDescent="0.3">
      <c r="A480" s="94"/>
      <c r="B480" s="94"/>
      <c r="C480" s="94"/>
      <c r="D480" s="94"/>
      <c r="E480" s="94"/>
      <c r="F480" s="94"/>
      <c r="G480" s="94"/>
      <c r="H480" s="94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  <c r="AA480" s="94"/>
      <c r="AB480" s="94"/>
      <c r="AC480" s="94"/>
      <c r="AD480" s="94"/>
      <c r="AE480" s="94"/>
      <c r="AF480" s="94"/>
      <c r="AG480" s="94"/>
      <c r="AH480" s="94"/>
      <c r="AI480" s="94"/>
      <c r="AJ480" s="94"/>
      <c r="AK480" s="94"/>
      <c r="AL480" s="94"/>
      <c r="AM480" s="94"/>
      <c r="AN480" s="94"/>
      <c r="AO480" s="94"/>
      <c r="AP480" s="94"/>
      <c r="AQ480" s="94"/>
      <c r="AR480" s="94"/>
      <c r="AS480" s="94"/>
      <c r="AT480" s="94"/>
      <c r="AU480" s="94"/>
      <c r="AV480" s="94"/>
      <c r="AW480" s="94"/>
    </row>
    <row r="481" spans="1:49" s="1" customFormat="1" ht="16.5" x14ac:dyDescent="0.3">
      <c r="A481" s="94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  <c r="AA481" s="94"/>
      <c r="AB481" s="94"/>
      <c r="AC481" s="94"/>
      <c r="AD481" s="94"/>
      <c r="AE481" s="94"/>
      <c r="AF481" s="94"/>
      <c r="AG481" s="94"/>
      <c r="AH481" s="94"/>
      <c r="AI481" s="94"/>
      <c r="AJ481" s="94"/>
      <c r="AK481" s="94"/>
      <c r="AL481" s="94"/>
      <c r="AM481" s="94"/>
      <c r="AN481" s="94"/>
      <c r="AO481" s="94"/>
      <c r="AP481" s="94"/>
      <c r="AQ481" s="94"/>
      <c r="AR481" s="94"/>
      <c r="AS481" s="94"/>
      <c r="AT481" s="94"/>
      <c r="AU481" s="94"/>
      <c r="AV481" s="94"/>
      <c r="AW481" s="94"/>
    </row>
    <row r="482" spans="1:49" s="1" customFormat="1" ht="16.5" x14ac:dyDescent="0.3">
      <c r="A482" s="94"/>
      <c r="B482" s="94"/>
      <c r="C482" s="94"/>
      <c r="D482" s="94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  <c r="AA482" s="94"/>
      <c r="AB482" s="94"/>
      <c r="AC482" s="94"/>
      <c r="AD482" s="94"/>
      <c r="AE482" s="94"/>
      <c r="AF482" s="94"/>
      <c r="AG482" s="94"/>
      <c r="AH482" s="94"/>
      <c r="AI482" s="94"/>
      <c r="AJ482" s="94"/>
      <c r="AK482" s="94"/>
      <c r="AL482" s="94"/>
      <c r="AM482" s="94"/>
      <c r="AN482" s="94"/>
      <c r="AO482" s="94"/>
      <c r="AP482" s="94"/>
      <c r="AQ482" s="94"/>
      <c r="AR482" s="94"/>
      <c r="AS482" s="94"/>
      <c r="AT482" s="94"/>
      <c r="AU482" s="94"/>
      <c r="AV482" s="94"/>
      <c r="AW482" s="94"/>
    </row>
    <row r="483" spans="1:49" s="1" customFormat="1" ht="16.5" x14ac:dyDescent="0.3">
      <c r="A483" s="94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  <c r="AA483" s="94"/>
      <c r="AB483" s="94"/>
      <c r="AC483" s="94"/>
      <c r="AD483" s="94"/>
      <c r="AE483" s="94"/>
      <c r="AF483" s="94"/>
      <c r="AG483" s="94"/>
      <c r="AH483" s="94"/>
      <c r="AI483" s="94"/>
      <c r="AJ483" s="94"/>
      <c r="AK483" s="94"/>
      <c r="AL483" s="94"/>
      <c r="AM483" s="94"/>
      <c r="AN483" s="94"/>
      <c r="AO483" s="94"/>
      <c r="AP483" s="94"/>
      <c r="AQ483" s="94"/>
      <c r="AR483" s="94"/>
      <c r="AS483" s="94"/>
      <c r="AT483" s="94"/>
      <c r="AU483" s="94"/>
      <c r="AV483" s="94"/>
      <c r="AW483" s="94"/>
    </row>
    <row r="484" spans="1:49" s="1" customFormat="1" ht="16.5" x14ac:dyDescent="0.3">
      <c r="A484" s="94"/>
      <c r="B484" s="94"/>
      <c r="C484" s="94"/>
      <c r="D484" s="94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  <c r="AA484" s="94"/>
      <c r="AB484" s="94"/>
      <c r="AC484" s="94"/>
      <c r="AD484" s="94"/>
      <c r="AE484" s="94"/>
      <c r="AF484" s="94"/>
      <c r="AG484" s="94"/>
      <c r="AH484" s="94"/>
      <c r="AI484" s="94"/>
      <c r="AJ484" s="94"/>
      <c r="AK484" s="94"/>
      <c r="AL484" s="94"/>
      <c r="AM484" s="94"/>
      <c r="AN484" s="94"/>
      <c r="AO484" s="94"/>
      <c r="AP484" s="94"/>
      <c r="AQ484" s="94"/>
      <c r="AR484" s="94"/>
      <c r="AS484" s="94"/>
      <c r="AT484" s="94"/>
      <c r="AU484" s="94"/>
      <c r="AV484" s="94"/>
      <c r="AW484" s="94"/>
    </row>
    <row r="485" spans="1:49" s="1" customFormat="1" ht="16.5" x14ac:dyDescent="0.3">
      <c r="A485" s="94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  <c r="AA485" s="94"/>
      <c r="AB485" s="94"/>
      <c r="AC485" s="94"/>
      <c r="AD485" s="94"/>
      <c r="AE485" s="94"/>
      <c r="AF485" s="94"/>
      <c r="AG485" s="94"/>
      <c r="AH485" s="94"/>
      <c r="AI485" s="94"/>
      <c r="AJ485" s="94"/>
      <c r="AK485" s="94"/>
      <c r="AL485" s="94"/>
      <c r="AM485" s="94"/>
      <c r="AN485" s="94"/>
      <c r="AO485" s="94"/>
      <c r="AP485" s="94"/>
      <c r="AQ485" s="94"/>
      <c r="AR485" s="94"/>
      <c r="AS485" s="94"/>
      <c r="AT485" s="94"/>
      <c r="AU485" s="94"/>
      <c r="AV485" s="94"/>
      <c r="AW485" s="94"/>
    </row>
    <row r="486" spans="1:49" s="1" customFormat="1" ht="16.5" x14ac:dyDescent="0.3">
      <c r="A486" s="94"/>
      <c r="B486" s="94"/>
      <c r="C486" s="94"/>
      <c r="D486" s="94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  <c r="AA486" s="94"/>
      <c r="AB486" s="94"/>
      <c r="AC486" s="94"/>
      <c r="AD486" s="94"/>
      <c r="AE486" s="94"/>
      <c r="AF486" s="94"/>
      <c r="AG486" s="94"/>
      <c r="AH486" s="94"/>
      <c r="AI486" s="94"/>
      <c r="AJ486" s="94"/>
      <c r="AK486" s="94"/>
      <c r="AL486" s="94"/>
      <c r="AM486" s="94"/>
      <c r="AN486" s="94"/>
      <c r="AO486" s="94"/>
      <c r="AP486" s="94"/>
      <c r="AQ486" s="94"/>
      <c r="AR486" s="94"/>
      <c r="AS486" s="94"/>
      <c r="AT486" s="94"/>
      <c r="AU486" s="94"/>
      <c r="AV486" s="94"/>
      <c r="AW486" s="94"/>
    </row>
    <row r="487" spans="1:49" s="1" customFormat="1" ht="16.5" x14ac:dyDescent="0.3">
      <c r="A487" s="94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  <c r="AA487" s="94"/>
      <c r="AB487" s="94"/>
      <c r="AC487" s="94"/>
      <c r="AD487" s="94"/>
      <c r="AE487" s="94"/>
      <c r="AF487" s="94"/>
      <c r="AG487" s="94"/>
      <c r="AH487" s="94"/>
      <c r="AI487" s="94"/>
      <c r="AJ487" s="94"/>
      <c r="AK487" s="94"/>
      <c r="AL487" s="94"/>
      <c r="AM487" s="94"/>
      <c r="AN487" s="94"/>
      <c r="AO487" s="94"/>
      <c r="AP487" s="94"/>
      <c r="AQ487" s="94"/>
      <c r="AR487" s="94"/>
      <c r="AS487" s="94"/>
      <c r="AT487" s="94"/>
      <c r="AU487" s="94"/>
      <c r="AV487" s="94"/>
      <c r="AW487" s="94"/>
    </row>
    <row r="488" spans="1:49" s="1" customFormat="1" ht="16.5" x14ac:dyDescent="0.3">
      <c r="A488" s="94"/>
      <c r="B488" s="94"/>
      <c r="C488" s="94"/>
      <c r="D488" s="94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  <c r="AA488" s="94"/>
      <c r="AB488" s="94"/>
      <c r="AC488" s="94"/>
      <c r="AD488" s="94"/>
      <c r="AE488" s="94"/>
      <c r="AF488" s="94"/>
      <c r="AG488" s="94"/>
      <c r="AH488" s="94"/>
      <c r="AI488" s="94"/>
      <c r="AJ488" s="94"/>
      <c r="AK488" s="94"/>
      <c r="AL488" s="94"/>
      <c r="AM488" s="94"/>
      <c r="AN488" s="94"/>
      <c r="AO488" s="94"/>
      <c r="AP488" s="94"/>
      <c r="AQ488" s="94"/>
      <c r="AR488" s="94"/>
      <c r="AS488" s="94"/>
      <c r="AT488" s="94"/>
      <c r="AU488" s="94"/>
      <c r="AV488" s="94"/>
      <c r="AW488" s="94"/>
    </row>
    <row r="489" spans="1:49" s="1" customFormat="1" ht="16.5" x14ac:dyDescent="0.3">
      <c r="A489" s="94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  <c r="AA489" s="94"/>
      <c r="AB489" s="94"/>
      <c r="AC489" s="94"/>
      <c r="AD489" s="94"/>
      <c r="AE489" s="94"/>
      <c r="AF489" s="94"/>
      <c r="AG489" s="94"/>
      <c r="AH489" s="94"/>
      <c r="AI489" s="94"/>
      <c r="AJ489" s="94"/>
      <c r="AK489" s="94"/>
      <c r="AL489" s="94"/>
      <c r="AM489" s="94"/>
      <c r="AN489" s="94"/>
      <c r="AO489" s="94"/>
      <c r="AP489" s="94"/>
      <c r="AQ489" s="94"/>
      <c r="AR489" s="94"/>
      <c r="AS489" s="94"/>
      <c r="AT489" s="94"/>
      <c r="AU489" s="94"/>
      <c r="AV489" s="94"/>
      <c r="AW489" s="94"/>
    </row>
    <row r="490" spans="1:49" s="1" customFormat="1" ht="16.5" x14ac:dyDescent="0.3">
      <c r="A490" s="94"/>
      <c r="B490" s="94"/>
      <c r="C490" s="94"/>
      <c r="D490" s="94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  <c r="AA490" s="94"/>
      <c r="AB490" s="94"/>
      <c r="AC490" s="94"/>
      <c r="AD490" s="94"/>
      <c r="AE490" s="94"/>
      <c r="AF490" s="94"/>
      <c r="AG490" s="94"/>
      <c r="AH490" s="94"/>
      <c r="AI490" s="94"/>
      <c r="AJ490" s="94"/>
      <c r="AK490" s="94"/>
      <c r="AL490" s="94"/>
      <c r="AM490" s="94"/>
      <c r="AN490" s="94"/>
      <c r="AO490" s="94"/>
      <c r="AP490" s="94"/>
      <c r="AQ490" s="94"/>
      <c r="AR490" s="94"/>
      <c r="AS490" s="94"/>
      <c r="AT490" s="94"/>
      <c r="AU490" s="94"/>
      <c r="AV490" s="94"/>
      <c r="AW490" s="94"/>
    </row>
    <row r="491" spans="1:49" s="1" customFormat="1" ht="16.5" x14ac:dyDescent="0.3">
      <c r="A491" s="94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  <c r="AA491" s="94"/>
      <c r="AB491" s="94"/>
      <c r="AC491" s="94"/>
      <c r="AD491" s="94"/>
      <c r="AE491" s="94"/>
      <c r="AF491" s="94"/>
      <c r="AG491" s="94"/>
      <c r="AH491" s="94"/>
      <c r="AI491" s="94"/>
      <c r="AJ491" s="94"/>
      <c r="AK491" s="94"/>
      <c r="AL491" s="94"/>
      <c r="AM491" s="94"/>
      <c r="AN491" s="94"/>
      <c r="AO491" s="94"/>
      <c r="AP491" s="94"/>
      <c r="AQ491" s="94"/>
      <c r="AR491" s="94"/>
      <c r="AS491" s="94"/>
      <c r="AT491" s="94"/>
      <c r="AU491" s="94"/>
      <c r="AV491" s="94"/>
      <c r="AW491" s="94"/>
    </row>
    <row r="492" spans="1:49" s="1" customFormat="1" ht="16.5" x14ac:dyDescent="0.3">
      <c r="A492" s="94"/>
      <c r="B492" s="94"/>
      <c r="C492" s="94"/>
      <c r="D492" s="94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  <c r="AA492" s="94"/>
      <c r="AB492" s="94"/>
      <c r="AC492" s="94"/>
      <c r="AD492" s="94"/>
      <c r="AE492" s="94"/>
      <c r="AF492" s="94"/>
      <c r="AG492" s="94"/>
      <c r="AH492" s="94"/>
      <c r="AI492" s="94"/>
      <c r="AJ492" s="94"/>
      <c r="AK492" s="94"/>
      <c r="AL492" s="94"/>
      <c r="AM492" s="94"/>
      <c r="AN492" s="94"/>
      <c r="AO492" s="94"/>
      <c r="AP492" s="94"/>
      <c r="AQ492" s="94"/>
      <c r="AR492" s="94"/>
      <c r="AS492" s="94"/>
      <c r="AT492" s="94"/>
      <c r="AU492" s="94"/>
      <c r="AV492" s="94"/>
      <c r="AW492" s="94"/>
    </row>
    <row r="493" spans="1:49" s="1" customFormat="1" ht="16.5" x14ac:dyDescent="0.3">
      <c r="A493" s="94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  <c r="AA493" s="94"/>
      <c r="AB493" s="94"/>
      <c r="AC493" s="94"/>
      <c r="AD493" s="94"/>
      <c r="AE493" s="94"/>
      <c r="AF493" s="94"/>
      <c r="AG493" s="94"/>
      <c r="AH493" s="94"/>
      <c r="AI493" s="94"/>
      <c r="AJ493" s="94"/>
      <c r="AK493" s="94"/>
      <c r="AL493" s="94"/>
      <c r="AM493" s="94"/>
      <c r="AN493" s="94"/>
      <c r="AO493" s="94"/>
      <c r="AP493" s="94"/>
      <c r="AQ493" s="94"/>
      <c r="AR493" s="94"/>
      <c r="AS493" s="94"/>
      <c r="AT493" s="94"/>
      <c r="AU493" s="94"/>
      <c r="AV493" s="94"/>
      <c r="AW493" s="94"/>
    </row>
    <row r="494" spans="1:49" s="1" customFormat="1" ht="16.5" x14ac:dyDescent="0.3">
      <c r="A494" s="94"/>
      <c r="B494" s="94"/>
      <c r="C494" s="94"/>
      <c r="D494" s="94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  <c r="AA494" s="94"/>
      <c r="AB494" s="94"/>
      <c r="AC494" s="94"/>
      <c r="AD494" s="94"/>
      <c r="AE494" s="94"/>
      <c r="AF494" s="94"/>
      <c r="AG494" s="94"/>
      <c r="AH494" s="94"/>
      <c r="AI494" s="94"/>
      <c r="AJ494" s="94"/>
      <c r="AK494" s="94"/>
      <c r="AL494" s="94"/>
      <c r="AM494" s="94"/>
      <c r="AN494" s="94"/>
      <c r="AO494" s="94"/>
      <c r="AP494" s="94"/>
      <c r="AQ494" s="94"/>
      <c r="AR494" s="94"/>
      <c r="AS494" s="94"/>
      <c r="AT494" s="94"/>
      <c r="AU494" s="94"/>
      <c r="AV494" s="94"/>
      <c r="AW494" s="94"/>
    </row>
    <row r="495" spans="1:49" s="1" customFormat="1" ht="16.5" x14ac:dyDescent="0.3">
      <c r="A495" s="94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  <c r="AA495" s="94"/>
      <c r="AB495" s="94"/>
      <c r="AC495" s="94"/>
      <c r="AD495" s="94"/>
      <c r="AE495" s="94"/>
      <c r="AF495" s="94"/>
      <c r="AG495" s="94"/>
      <c r="AH495" s="94"/>
      <c r="AI495" s="94"/>
      <c r="AJ495" s="94"/>
      <c r="AK495" s="94"/>
      <c r="AL495" s="94"/>
      <c r="AM495" s="94"/>
      <c r="AN495" s="94"/>
      <c r="AO495" s="94"/>
      <c r="AP495" s="94"/>
      <c r="AQ495" s="94"/>
      <c r="AR495" s="94"/>
      <c r="AS495" s="94"/>
      <c r="AT495" s="94"/>
      <c r="AU495" s="94"/>
      <c r="AV495" s="94"/>
      <c r="AW495" s="94"/>
    </row>
    <row r="496" spans="1:49" s="1" customFormat="1" ht="16.5" x14ac:dyDescent="0.3">
      <c r="A496" s="94"/>
      <c r="B496" s="94"/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  <c r="AA496" s="94"/>
      <c r="AB496" s="94"/>
      <c r="AC496" s="94"/>
      <c r="AD496" s="94"/>
      <c r="AE496" s="94"/>
      <c r="AF496" s="94"/>
      <c r="AG496" s="94"/>
      <c r="AH496" s="94"/>
      <c r="AI496" s="94"/>
      <c r="AJ496" s="94"/>
      <c r="AK496" s="94"/>
      <c r="AL496" s="94"/>
      <c r="AM496" s="94"/>
      <c r="AN496" s="94"/>
      <c r="AO496" s="94"/>
      <c r="AP496" s="94"/>
      <c r="AQ496" s="94"/>
      <c r="AR496" s="94"/>
      <c r="AS496" s="94"/>
      <c r="AT496" s="94"/>
      <c r="AU496" s="94"/>
      <c r="AV496" s="94"/>
      <c r="AW496" s="94"/>
    </row>
    <row r="497" spans="1:49" s="1" customFormat="1" ht="16.5" x14ac:dyDescent="0.3">
      <c r="A497" s="94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  <c r="AA497" s="94"/>
      <c r="AB497" s="94"/>
      <c r="AC497" s="94"/>
      <c r="AD497" s="94"/>
      <c r="AE497" s="94"/>
      <c r="AF497" s="94"/>
      <c r="AG497" s="94"/>
      <c r="AH497" s="94"/>
      <c r="AI497" s="94"/>
      <c r="AJ497" s="94"/>
      <c r="AK497" s="94"/>
      <c r="AL497" s="94"/>
      <c r="AM497" s="94"/>
      <c r="AN497" s="94"/>
      <c r="AO497" s="94"/>
      <c r="AP497" s="94"/>
      <c r="AQ497" s="94"/>
      <c r="AR497" s="94"/>
      <c r="AS497" s="94"/>
      <c r="AT497" s="94"/>
      <c r="AU497" s="94"/>
      <c r="AV497" s="94"/>
      <c r="AW497" s="94"/>
    </row>
    <row r="498" spans="1:49" s="1" customFormat="1" ht="16.5" x14ac:dyDescent="0.3">
      <c r="A498" s="94"/>
      <c r="B498" s="94"/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  <c r="AA498" s="94"/>
      <c r="AB498" s="94"/>
      <c r="AC498" s="94"/>
      <c r="AD498" s="94"/>
      <c r="AE498" s="94"/>
      <c r="AF498" s="94"/>
      <c r="AG498" s="94"/>
      <c r="AH498" s="94"/>
      <c r="AI498" s="94"/>
      <c r="AJ498" s="94"/>
      <c r="AK498" s="94"/>
      <c r="AL498" s="94"/>
      <c r="AM498" s="94"/>
      <c r="AN498" s="94"/>
      <c r="AO498" s="94"/>
      <c r="AP498" s="94"/>
      <c r="AQ498" s="94"/>
      <c r="AR498" s="94"/>
      <c r="AS498" s="94"/>
      <c r="AT498" s="94"/>
      <c r="AU498" s="94"/>
      <c r="AV498" s="94"/>
      <c r="AW498" s="94"/>
    </row>
    <row r="499" spans="1:49" s="1" customFormat="1" ht="16.5" x14ac:dyDescent="0.3">
      <c r="A499" s="94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  <c r="AA499" s="94"/>
      <c r="AB499" s="94"/>
      <c r="AC499" s="94"/>
      <c r="AD499" s="94"/>
      <c r="AE499" s="94"/>
      <c r="AF499" s="94"/>
      <c r="AG499" s="94"/>
      <c r="AH499" s="94"/>
      <c r="AI499" s="94"/>
      <c r="AJ499" s="94"/>
      <c r="AK499" s="94"/>
      <c r="AL499" s="94"/>
      <c r="AM499" s="94"/>
      <c r="AN499" s="94"/>
      <c r="AO499" s="94"/>
      <c r="AP499" s="94"/>
      <c r="AQ499" s="94"/>
      <c r="AR499" s="94"/>
      <c r="AS499" s="94"/>
      <c r="AT499" s="94"/>
      <c r="AU499" s="94"/>
      <c r="AV499" s="94"/>
      <c r="AW499" s="94"/>
    </row>
    <row r="500" spans="1:49" s="1" customFormat="1" ht="16.5" x14ac:dyDescent="0.3">
      <c r="A500" s="94"/>
      <c r="B500" s="94"/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  <c r="AA500" s="94"/>
      <c r="AB500" s="94"/>
      <c r="AC500" s="94"/>
      <c r="AD500" s="94"/>
      <c r="AE500" s="94"/>
      <c r="AF500" s="94"/>
      <c r="AG500" s="94"/>
      <c r="AH500" s="94"/>
      <c r="AI500" s="94"/>
      <c r="AJ500" s="94"/>
      <c r="AK500" s="94"/>
      <c r="AL500" s="94"/>
      <c r="AM500" s="94"/>
      <c r="AN500" s="94"/>
      <c r="AO500" s="94"/>
      <c r="AP500" s="94"/>
      <c r="AQ500" s="94"/>
      <c r="AR500" s="94"/>
      <c r="AS500" s="94"/>
      <c r="AT500" s="94"/>
      <c r="AU500" s="94"/>
      <c r="AV500" s="94"/>
      <c r="AW500" s="94"/>
    </row>
    <row r="501" spans="1:49" s="1" customFormat="1" ht="16.5" x14ac:dyDescent="0.3">
      <c r="A501" s="94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  <c r="AA501" s="94"/>
      <c r="AB501" s="94"/>
      <c r="AC501" s="94"/>
      <c r="AD501" s="94"/>
      <c r="AE501" s="94"/>
      <c r="AF501" s="94"/>
      <c r="AG501" s="94"/>
      <c r="AH501" s="94"/>
      <c r="AI501" s="94"/>
      <c r="AJ501" s="94"/>
      <c r="AK501" s="94"/>
      <c r="AL501" s="94"/>
      <c r="AM501" s="94"/>
      <c r="AN501" s="94"/>
      <c r="AO501" s="94"/>
      <c r="AP501" s="94"/>
      <c r="AQ501" s="94"/>
      <c r="AR501" s="94"/>
      <c r="AS501" s="94"/>
      <c r="AT501" s="94"/>
      <c r="AU501" s="94"/>
      <c r="AV501" s="94"/>
      <c r="AW501" s="94"/>
    </row>
    <row r="502" spans="1:49" s="1" customFormat="1" ht="16.5" x14ac:dyDescent="0.3">
      <c r="A502" s="94"/>
      <c r="B502" s="94"/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  <c r="AA502" s="94"/>
      <c r="AB502" s="94"/>
      <c r="AC502" s="94"/>
      <c r="AD502" s="94"/>
      <c r="AE502" s="94"/>
      <c r="AF502" s="94"/>
      <c r="AG502" s="94"/>
      <c r="AH502" s="94"/>
      <c r="AI502" s="94"/>
      <c r="AJ502" s="94"/>
      <c r="AK502" s="94"/>
      <c r="AL502" s="94"/>
      <c r="AM502" s="94"/>
      <c r="AN502" s="94"/>
      <c r="AO502" s="94"/>
      <c r="AP502" s="94"/>
      <c r="AQ502" s="94"/>
      <c r="AR502" s="94"/>
      <c r="AS502" s="94"/>
      <c r="AT502" s="94"/>
      <c r="AU502" s="94"/>
      <c r="AV502" s="94"/>
      <c r="AW502" s="94"/>
    </row>
    <row r="503" spans="1:49" s="1" customFormat="1" ht="16.5" x14ac:dyDescent="0.3">
      <c r="A503" s="94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  <c r="AA503" s="94"/>
      <c r="AB503" s="94"/>
      <c r="AC503" s="94"/>
      <c r="AD503" s="94"/>
      <c r="AE503" s="94"/>
      <c r="AF503" s="94"/>
      <c r="AG503" s="94"/>
      <c r="AH503" s="94"/>
      <c r="AI503" s="94"/>
      <c r="AJ503" s="94"/>
      <c r="AK503" s="94"/>
      <c r="AL503" s="94"/>
      <c r="AM503" s="94"/>
      <c r="AN503" s="94"/>
      <c r="AO503" s="94"/>
      <c r="AP503" s="94"/>
      <c r="AQ503" s="94"/>
      <c r="AR503" s="94"/>
      <c r="AS503" s="94"/>
      <c r="AT503" s="94"/>
      <c r="AU503" s="94"/>
      <c r="AV503" s="94"/>
      <c r="AW503" s="94"/>
    </row>
    <row r="504" spans="1:49" s="1" customFormat="1" ht="16.5" x14ac:dyDescent="0.3">
      <c r="A504" s="94"/>
      <c r="B504" s="94"/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  <c r="AA504" s="94"/>
      <c r="AB504" s="94"/>
      <c r="AC504" s="94"/>
      <c r="AD504" s="94"/>
      <c r="AE504" s="94"/>
      <c r="AF504" s="94"/>
      <c r="AG504" s="94"/>
      <c r="AH504" s="94"/>
      <c r="AI504" s="94"/>
      <c r="AJ504" s="94"/>
      <c r="AK504" s="94"/>
      <c r="AL504" s="94"/>
      <c r="AM504" s="94"/>
      <c r="AN504" s="94"/>
      <c r="AO504" s="94"/>
      <c r="AP504" s="94"/>
      <c r="AQ504" s="94"/>
      <c r="AR504" s="94"/>
      <c r="AS504" s="94"/>
      <c r="AT504" s="94"/>
      <c r="AU504" s="94"/>
      <c r="AV504" s="94"/>
      <c r="AW504" s="94"/>
    </row>
    <row r="505" spans="1:49" s="1" customFormat="1" ht="16.5" x14ac:dyDescent="0.3">
      <c r="A505" s="94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  <c r="AA505" s="94"/>
      <c r="AB505" s="94"/>
      <c r="AC505" s="94"/>
      <c r="AD505" s="94"/>
      <c r="AE505" s="94"/>
      <c r="AF505" s="94"/>
      <c r="AG505" s="94"/>
      <c r="AH505" s="94"/>
      <c r="AI505" s="94"/>
      <c r="AJ505" s="94"/>
      <c r="AK505" s="94"/>
      <c r="AL505" s="94"/>
      <c r="AM505" s="94"/>
      <c r="AN505" s="94"/>
      <c r="AO505" s="94"/>
      <c r="AP505" s="94"/>
      <c r="AQ505" s="94"/>
      <c r="AR505" s="94"/>
      <c r="AS505" s="94"/>
      <c r="AT505" s="94"/>
      <c r="AU505" s="94"/>
      <c r="AV505" s="94"/>
      <c r="AW505" s="94"/>
    </row>
    <row r="506" spans="1:49" s="1" customFormat="1" ht="16.5" x14ac:dyDescent="0.3">
      <c r="A506" s="94"/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  <c r="AA506" s="94"/>
      <c r="AB506" s="94"/>
      <c r="AC506" s="94"/>
      <c r="AD506" s="94"/>
      <c r="AE506" s="94"/>
      <c r="AF506" s="94"/>
      <c r="AG506" s="94"/>
      <c r="AH506" s="94"/>
      <c r="AI506" s="94"/>
      <c r="AJ506" s="94"/>
      <c r="AK506" s="94"/>
      <c r="AL506" s="94"/>
      <c r="AM506" s="94"/>
      <c r="AN506" s="94"/>
      <c r="AO506" s="94"/>
      <c r="AP506" s="94"/>
      <c r="AQ506" s="94"/>
      <c r="AR506" s="94"/>
      <c r="AS506" s="94"/>
      <c r="AT506" s="94"/>
      <c r="AU506" s="94"/>
      <c r="AV506" s="94"/>
      <c r="AW506" s="94"/>
    </row>
    <row r="507" spans="1:49" s="1" customFormat="1" ht="16.5" x14ac:dyDescent="0.3">
      <c r="A507" s="94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  <c r="AA507" s="94"/>
      <c r="AB507" s="94"/>
      <c r="AC507" s="94"/>
      <c r="AD507" s="94"/>
      <c r="AE507" s="94"/>
      <c r="AF507" s="94"/>
      <c r="AG507" s="94"/>
      <c r="AH507" s="94"/>
      <c r="AI507" s="94"/>
      <c r="AJ507" s="94"/>
      <c r="AK507" s="94"/>
      <c r="AL507" s="94"/>
      <c r="AM507" s="94"/>
      <c r="AN507" s="94"/>
      <c r="AO507" s="94"/>
      <c r="AP507" s="94"/>
      <c r="AQ507" s="94"/>
      <c r="AR507" s="94"/>
      <c r="AS507" s="94"/>
      <c r="AT507" s="94"/>
      <c r="AU507" s="94"/>
      <c r="AV507" s="94"/>
      <c r="AW507" s="94"/>
    </row>
    <row r="508" spans="1:49" s="1" customFormat="1" ht="16.5" x14ac:dyDescent="0.3">
      <c r="A508" s="94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  <c r="AA508" s="94"/>
      <c r="AB508" s="94"/>
      <c r="AC508" s="94"/>
      <c r="AD508" s="94"/>
      <c r="AE508" s="94"/>
      <c r="AF508" s="94"/>
      <c r="AG508" s="94"/>
      <c r="AH508" s="94"/>
      <c r="AI508" s="94"/>
      <c r="AJ508" s="94"/>
      <c r="AK508" s="94"/>
      <c r="AL508" s="94"/>
      <c r="AM508" s="94"/>
      <c r="AN508" s="94"/>
      <c r="AO508" s="94"/>
      <c r="AP508" s="94"/>
      <c r="AQ508" s="94"/>
      <c r="AR508" s="94"/>
      <c r="AS508" s="94"/>
      <c r="AT508" s="94"/>
      <c r="AU508" s="94"/>
      <c r="AV508" s="94"/>
      <c r="AW508" s="94"/>
    </row>
    <row r="509" spans="1:49" s="1" customFormat="1" ht="16.5" x14ac:dyDescent="0.3">
      <c r="A509" s="94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  <c r="AA509" s="94"/>
      <c r="AB509" s="94"/>
      <c r="AC509" s="94"/>
      <c r="AD509" s="94"/>
      <c r="AE509" s="94"/>
      <c r="AF509" s="94"/>
      <c r="AG509" s="94"/>
      <c r="AH509" s="94"/>
      <c r="AI509" s="94"/>
      <c r="AJ509" s="94"/>
      <c r="AK509" s="94"/>
      <c r="AL509" s="94"/>
      <c r="AM509" s="94"/>
      <c r="AN509" s="94"/>
      <c r="AO509" s="94"/>
      <c r="AP509" s="94"/>
      <c r="AQ509" s="94"/>
      <c r="AR509" s="94"/>
      <c r="AS509" s="94"/>
      <c r="AT509" s="94"/>
      <c r="AU509" s="94"/>
      <c r="AV509" s="94"/>
      <c r="AW509" s="94"/>
    </row>
    <row r="510" spans="1:49" s="1" customFormat="1" ht="16.5" x14ac:dyDescent="0.3">
      <c r="A510" s="94"/>
      <c r="B510" s="94"/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  <c r="AA510" s="94"/>
      <c r="AB510" s="94"/>
      <c r="AC510" s="94"/>
      <c r="AD510" s="94"/>
      <c r="AE510" s="94"/>
      <c r="AF510" s="94"/>
      <c r="AG510" s="94"/>
      <c r="AH510" s="94"/>
      <c r="AI510" s="94"/>
      <c r="AJ510" s="94"/>
      <c r="AK510" s="94"/>
      <c r="AL510" s="94"/>
      <c r="AM510" s="94"/>
      <c r="AN510" s="94"/>
      <c r="AO510" s="94"/>
      <c r="AP510" s="94"/>
      <c r="AQ510" s="94"/>
      <c r="AR510" s="94"/>
      <c r="AS510" s="94"/>
      <c r="AT510" s="94"/>
      <c r="AU510" s="94"/>
      <c r="AV510" s="94"/>
      <c r="AW510" s="94"/>
    </row>
    <row r="511" spans="1:49" s="1" customFormat="1" ht="16.5" x14ac:dyDescent="0.3">
      <c r="A511" s="94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  <c r="AA511" s="94"/>
      <c r="AB511" s="94"/>
      <c r="AC511" s="94"/>
      <c r="AD511" s="94"/>
      <c r="AE511" s="94"/>
      <c r="AF511" s="94"/>
      <c r="AG511" s="94"/>
      <c r="AH511" s="94"/>
      <c r="AI511" s="94"/>
      <c r="AJ511" s="94"/>
      <c r="AK511" s="94"/>
      <c r="AL511" s="94"/>
      <c r="AM511" s="94"/>
      <c r="AN511" s="94"/>
      <c r="AO511" s="94"/>
      <c r="AP511" s="94"/>
      <c r="AQ511" s="94"/>
      <c r="AR511" s="94"/>
      <c r="AS511" s="94"/>
      <c r="AT511" s="94"/>
      <c r="AU511" s="94"/>
      <c r="AV511" s="94"/>
      <c r="AW511" s="94"/>
    </row>
    <row r="512" spans="1:49" s="1" customFormat="1" ht="16.5" x14ac:dyDescent="0.3">
      <c r="A512" s="94"/>
      <c r="B512" s="94"/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  <c r="AA512" s="94"/>
      <c r="AB512" s="94"/>
      <c r="AC512" s="94"/>
      <c r="AD512" s="94"/>
      <c r="AE512" s="94"/>
      <c r="AF512" s="94"/>
      <c r="AG512" s="94"/>
      <c r="AH512" s="94"/>
      <c r="AI512" s="94"/>
      <c r="AJ512" s="94"/>
      <c r="AK512" s="94"/>
      <c r="AL512" s="94"/>
      <c r="AM512" s="94"/>
      <c r="AN512" s="94"/>
      <c r="AO512" s="94"/>
      <c r="AP512" s="94"/>
      <c r="AQ512" s="94"/>
      <c r="AR512" s="94"/>
      <c r="AS512" s="94"/>
      <c r="AT512" s="94"/>
      <c r="AU512" s="94"/>
      <c r="AV512" s="94"/>
      <c r="AW512" s="94"/>
    </row>
    <row r="513" spans="1:49" s="1" customFormat="1" ht="16.5" x14ac:dyDescent="0.3">
      <c r="A513" s="94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  <c r="AA513" s="94"/>
      <c r="AB513" s="94"/>
      <c r="AC513" s="94"/>
      <c r="AD513" s="94"/>
      <c r="AE513" s="94"/>
      <c r="AF513" s="94"/>
      <c r="AG513" s="94"/>
      <c r="AH513" s="94"/>
      <c r="AI513" s="94"/>
      <c r="AJ513" s="94"/>
      <c r="AK513" s="94"/>
      <c r="AL513" s="94"/>
      <c r="AM513" s="94"/>
      <c r="AN513" s="94"/>
      <c r="AO513" s="94"/>
      <c r="AP513" s="94"/>
      <c r="AQ513" s="94"/>
      <c r="AR513" s="94"/>
      <c r="AS513" s="94"/>
      <c r="AT513" s="94"/>
      <c r="AU513" s="94"/>
      <c r="AV513" s="94"/>
      <c r="AW513" s="94"/>
    </row>
    <row r="514" spans="1:49" s="1" customFormat="1" ht="16.5" x14ac:dyDescent="0.3">
      <c r="A514" s="94"/>
      <c r="B514" s="94"/>
      <c r="C514" s="94"/>
      <c r="D514" s="94"/>
      <c r="E514" s="94"/>
      <c r="F514" s="94"/>
      <c r="G514" s="94"/>
      <c r="H514" s="94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  <c r="AA514" s="94"/>
      <c r="AB514" s="94"/>
      <c r="AC514" s="94"/>
      <c r="AD514" s="94"/>
      <c r="AE514" s="94"/>
      <c r="AF514" s="94"/>
      <c r="AG514" s="94"/>
      <c r="AH514" s="94"/>
      <c r="AI514" s="94"/>
      <c r="AJ514" s="94"/>
      <c r="AK514" s="94"/>
      <c r="AL514" s="94"/>
      <c r="AM514" s="94"/>
      <c r="AN514" s="94"/>
      <c r="AO514" s="94"/>
      <c r="AP514" s="94"/>
      <c r="AQ514" s="94"/>
      <c r="AR514" s="94"/>
      <c r="AS514" s="94"/>
      <c r="AT514" s="94"/>
      <c r="AU514" s="94"/>
      <c r="AV514" s="94"/>
      <c r="AW514" s="94"/>
    </row>
    <row r="515" spans="1:49" s="1" customFormat="1" ht="16.5" x14ac:dyDescent="0.3">
      <c r="A515" s="94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  <c r="AA515" s="94"/>
      <c r="AB515" s="94"/>
      <c r="AC515" s="94"/>
      <c r="AD515" s="94"/>
      <c r="AE515" s="94"/>
      <c r="AF515" s="94"/>
      <c r="AG515" s="94"/>
      <c r="AH515" s="94"/>
      <c r="AI515" s="94"/>
      <c r="AJ515" s="94"/>
      <c r="AK515" s="94"/>
      <c r="AL515" s="94"/>
      <c r="AM515" s="94"/>
      <c r="AN515" s="94"/>
      <c r="AO515" s="94"/>
      <c r="AP515" s="94"/>
      <c r="AQ515" s="94"/>
      <c r="AR515" s="94"/>
      <c r="AS515" s="94"/>
      <c r="AT515" s="94"/>
      <c r="AU515" s="94"/>
      <c r="AV515" s="94"/>
      <c r="AW515" s="94"/>
    </row>
    <row r="516" spans="1:49" s="1" customFormat="1" ht="16.5" x14ac:dyDescent="0.3">
      <c r="A516" s="94"/>
      <c r="B516" s="94"/>
      <c r="C516" s="94"/>
      <c r="D516" s="94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  <c r="AA516" s="94"/>
      <c r="AB516" s="94"/>
      <c r="AC516" s="94"/>
      <c r="AD516" s="94"/>
      <c r="AE516" s="94"/>
      <c r="AF516" s="94"/>
      <c r="AG516" s="94"/>
      <c r="AH516" s="94"/>
      <c r="AI516" s="94"/>
      <c r="AJ516" s="94"/>
      <c r="AK516" s="94"/>
      <c r="AL516" s="94"/>
      <c r="AM516" s="94"/>
      <c r="AN516" s="94"/>
      <c r="AO516" s="94"/>
      <c r="AP516" s="94"/>
      <c r="AQ516" s="94"/>
      <c r="AR516" s="94"/>
      <c r="AS516" s="94"/>
      <c r="AT516" s="94"/>
      <c r="AU516" s="94"/>
      <c r="AV516" s="94"/>
      <c r="AW516" s="94"/>
    </row>
    <row r="517" spans="1:49" s="1" customFormat="1" ht="16.5" x14ac:dyDescent="0.3">
      <c r="A517" s="94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  <c r="AA517" s="94"/>
      <c r="AB517" s="94"/>
      <c r="AC517" s="94"/>
      <c r="AD517" s="94"/>
      <c r="AE517" s="94"/>
      <c r="AF517" s="94"/>
      <c r="AG517" s="94"/>
      <c r="AH517" s="94"/>
      <c r="AI517" s="94"/>
      <c r="AJ517" s="94"/>
      <c r="AK517" s="94"/>
      <c r="AL517" s="94"/>
      <c r="AM517" s="94"/>
      <c r="AN517" s="94"/>
      <c r="AO517" s="94"/>
      <c r="AP517" s="94"/>
      <c r="AQ517" s="94"/>
      <c r="AR517" s="94"/>
      <c r="AS517" s="94"/>
      <c r="AT517" s="94"/>
      <c r="AU517" s="94"/>
      <c r="AV517" s="94"/>
      <c r="AW517" s="94"/>
    </row>
    <row r="518" spans="1:49" s="1" customFormat="1" ht="16.5" x14ac:dyDescent="0.3">
      <c r="A518" s="94"/>
      <c r="B518" s="94"/>
      <c r="C518" s="94"/>
      <c r="D518" s="94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  <c r="AA518" s="94"/>
      <c r="AB518" s="94"/>
      <c r="AC518" s="94"/>
      <c r="AD518" s="94"/>
      <c r="AE518" s="94"/>
      <c r="AF518" s="94"/>
      <c r="AG518" s="94"/>
      <c r="AH518" s="94"/>
      <c r="AI518" s="94"/>
      <c r="AJ518" s="94"/>
      <c r="AK518" s="94"/>
      <c r="AL518" s="94"/>
      <c r="AM518" s="94"/>
      <c r="AN518" s="94"/>
      <c r="AO518" s="94"/>
      <c r="AP518" s="94"/>
      <c r="AQ518" s="94"/>
      <c r="AR518" s="94"/>
      <c r="AS518" s="94"/>
      <c r="AT518" s="94"/>
      <c r="AU518" s="94"/>
      <c r="AV518" s="94"/>
      <c r="AW518" s="94"/>
    </row>
    <row r="519" spans="1:49" s="1" customFormat="1" ht="16.5" x14ac:dyDescent="0.3">
      <c r="A519" s="94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  <c r="AA519" s="94"/>
      <c r="AB519" s="94"/>
      <c r="AC519" s="94"/>
      <c r="AD519" s="94"/>
      <c r="AE519" s="94"/>
      <c r="AF519" s="94"/>
      <c r="AG519" s="94"/>
      <c r="AH519" s="94"/>
      <c r="AI519" s="94"/>
      <c r="AJ519" s="94"/>
      <c r="AK519" s="94"/>
      <c r="AL519" s="94"/>
      <c r="AM519" s="94"/>
      <c r="AN519" s="94"/>
      <c r="AO519" s="94"/>
      <c r="AP519" s="94"/>
      <c r="AQ519" s="94"/>
      <c r="AR519" s="94"/>
      <c r="AS519" s="94"/>
      <c r="AT519" s="94"/>
      <c r="AU519" s="94"/>
      <c r="AV519" s="94"/>
      <c r="AW519" s="94"/>
    </row>
    <row r="520" spans="1:49" s="1" customFormat="1" ht="16.5" x14ac:dyDescent="0.3">
      <c r="A520" s="94"/>
      <c r="B520" s="94"/>
      <c r="C520" s="94"/>
      <c r="D520" s="94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  <c r="AA520" s="94"/>
      <c r="AB520" s="94"/>
      <c r="AC520" s="94"/>
      <c r="AD520" s="94"/>
      <c r="AE520" s="94"/>
      <c r="AF520" s="94"/>
      <c r="AG520" s="94"/>
      <c r="AH520" s="94"/>
      <c r="AI520" s="94"/>
      <c r="AJ520" s="94"/>
      <c r="AK520" s="94"/>
      <c r="AL520" s="94"/>
      <c r="AM520" s="94"/>
      <c r="AN520" s="94"/>
      <c r="AO520" s="94"/>
      <c r="AP520" s="94"/>
      <c r="AQ520" s="94"/>
      <c r="AR520" s="94"/>
      <c r="AS520" s="94"/>
      <c r="AT520" s="94"/>
      <c r="AU520" s="94"/>
      <c r="AV520" s="94"/>
      <c r="AW520" s="94"/>
    </row>
    <row r="521" spans="1:49" s="1" customFormat="1" ht="16.5" x14ac:dyDescent="0.3">
      <c r="A521" s="94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  <c r="AA521" s="94"/>
      <c r="AB521" s="94"/>
      <c r="AC521" s="94"/>
      <c r="AD521" s="94"/>
      <c r="AE521" s="94"/>
      <c r="AF521" s="94"/>
      <c r="AG521" s="94"/>
      <c r="AH521" s="94"/>
      <c r="AI521" s="94"/>
      <c r="AJ521" s="94"/>
      <c r="AK521" s="94"/>
      <c r="AL521" s="94"/>
      <c r="AM521" s="94"/>
      <c r="AN521" s="94"/>
      <c r="AO521" s="94"/>
      <c r="AP521" s="94"/>
      <c r="AQ521" s="94"/>
      <c r="AR521" s="94"/>
      <c r="AS521" s="94"/>
      <c r="AT521" s="94"/>
      <c r="AU521" s="94"/>
      <c r="AV521" s="94"/>
      <c r="AW521" s="94"/>
    </row>
    <row r="522" spans="1:49" s="1" customFormat="1" ht="16.5" x14ac:dyDescent="0.3">
      <c r="A522" s="94"/>
      <c r="B522" s="94"/>
      <c r="C522" s="94"/>
      <c r="D522" s="94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  <c r="AA522" s="94"/>
      <c r="AB522" s="94"/>
      <c r="AC522" s="94"/>
      <c r="AD522" s="94"/>
      <c r="AE522" s="94"/>
      <c r="AF522" s="94"/>
      <c r="AG522" s="94"/>
      <c r="AH522" s="94"/>
      <c r="AI522" s="94"/>
      <c r="AJ522" s="94"/>
      <c r="AK522" s="94"/>
      <c r="AL522" s="94"/>
      <c r="AM522" s="94"/>
      <c r="AN522" s="94"/>
      <c r="AO522" s="94"/>
      <c r="AP522" s="94"/>
      <c r="AQ522" s="94"/>
      <c r="AR522" s="94"/>
      <c r="AS522" s="94"/>
      <c r="AT522" s="94"/>
      <c r="AU522" s="94"/>
      <c r="AV522" s="94"/>
      <c r="AW522" s="94"/>
    </row>
    <row r="523" spans="1:49" s="1" customFormat="1" ht="16.5" x14ac:dyDescent="0.3">
      <c r="A523" s="94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B523" s="94"/>
      <c r="AC523" s="94"/>
      <c r="AD523" s="94"/>
      <c r="AE523" s="94"/>
      <c r="AF523" s="94"/>
      <c r="AG523" s="94"/>
      <c r="AH523" s="94"/>
      <c r="AI523" s="94"/>
      <c r="AJ523" s="94"/>
      <c r="AK523" s="94"/>
      <c r="AL523" s="94"/>
      <c r="AM523" s="94"/>
      <c r="AN523" s="94"/>
      <c r="AO523" s="94"/>
      <c r="AP523" s="94"/>
      <c r="AQ523" s="94"/>
      <c r="AR523" s="94"/>
      <c r="AS523" s="94"/>
      <c r="AT523" s="94"/>
      <c r="AU523" s="94"/>
      <c r="AV523" s="94"/>
      <c r="AW523" s="94"/>
    </row>
    <row r="524" spans="1:49" s="1" customFormat="1" ht="16.5" x14ac:dyDescent="0.3">
      <c r="A524" s="94"/>
      <c r="B524" s="94"/>
      <c r="C524" s="94"/>
      <c r="D524" s="94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  <c r="AA524" s="94"/>
      <c r="AB524" s="94"/>
      <c r="AC524" s="94"/>
      <c r="AD524" s="94"/>
      <c r="AE524" s="94"/>
      <c r="AF524" s="94"/>
      <c r="AG524" s="94"/>
      <c r="AH524" s="94"/>
      <c r="AI524" s="94"/>
      <c r="AJ524" s="94"/>
      <c r="AK524" s="94"/>
      <c r="AL524" s="94"/>
      <c r="AM524" s="94"/>
      <c r="AN524" s="94"/>
      <c r="AO524" s="94"/>
      <c r="AP524" s="94"/>
      <c r="AQ524" s="94"/>
      <c r="AR524" s="94"/>
      <c r="AS524" s="94"/>
      <c r="AT524" s="94"/>
      <c r="AU524" s="94"/>
      <c r="AV524" s="94"/>
      <c r="AW524" s="94"/>
    </row>
    <row r="525" spans="1:49" s="1" customFormat="1" ht="16.5" x14ac:dyDescent="0.3">
      <c r="A525" s="94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  <c r="AA525" s="94"/>
      <c r="AB525" s="94"/>
      <c r="AC525" s="94"/>
      <c r="AD525" s="94"/>
      <c r="AE525" s="94"/>
      <c r="AF525" s="94"/>
      <c r="AG525" s="94"/>
      <c r="AH525" s="94"/>
      <c r="AI525" s="94"/>
      <c r="AJ525" s="94"/>
      <c r="AK525" s="94"/>
      <c r="AL525" s="94"/>
      <c r="AM525" s="94"/>
      <c r="AN525" s="94"/>
      <c r="AO525" s="94"/>
      <c r="AP525" s="94"/>
      <c r="AQ525" s="94"/>
      <c r="AR525" s="94"/>
      <c r="AS525" s="94"/>
      <c r="AT525" s="94"/>
      <c r="AU525" s="94"/>
      <c r="AV525" s="94"/>
      <c r="AW525" s="94"/>
    </row>
    <row r="526" spans="1:49" s="1" customFormat="1" ht="16.5" x14ac:dyDescent="0.3">
      <c r="A526" s="94"/>
      <c r="B526" s="94"/>
      <c r="C526" s="94"/>
      <c r="D526" s="94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  <c r="AA526" s="94"/>
      <c r="AB526" s="94"/>
      <c r="AC526" s="94"/>
      <c r="AD526" s="94"/>
      <c r="AE526" s="94"/>
      <c r="AF526" s="94"/>
      <c r="AG526" s="94"/>
      <c r="AH526" s="94"/>
      <c r="AI526" s="94"/>
      <c r="AJ526" s="94"/>
      <c r="AK526" s="94"/>
      <c r="AL526" s="94"/>
      <c r="AM526" s="94"/>
      <c r="AN526" s="94"/>
      <c r="AO526" s="94"/>
      <c r="AP526" s="94"/>
      <c r="AQ526" s="94"/>
      <c r="AR526" s="94"/>
      <c r="AS526" s="94"/>
      <c r="AT526" s="94"/>
      <c r="AU526" s="94"/>
      <c r="AV526" s="94"/>
      <c r="AW526" s="94"/>
    </row>
    <row r="527" spans="1:49" s="1" customFormat="1" ht="16.5" x14ac:dyDescent="0.3">
      <c r="A527" s="94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  <c r="AA527" s="94"/>
      <c r="AB527" s="94"/>
      <c r="AC527" s="94"/>
      <c r="AD527" s="94"/>
      <c r="AE527" s="94"/>
      <c r="AF527" s="94"/>
      <c r="AG527" s="94"/>
      <c r="AH527" s="94"/>
      <c r="AI527" s="94"/>
      <c r="AJ527" s="94"/>
      <c r="AK527" s="94"/>
      <c r="AL527" s="94"/>
      <c r="AM527" s="94"/>
      <c r="AN527" s="94"/>
      <c r="AO527" s="94"/>
      <c r="AP527" s="94"/>
      <c r="AQ527" s="94"/>
      <c r="AR527" s="94"/>
      <c r="AS527" s="94"/>
      <c r="AT527" s="94"/>
      <c r="AU527" s="94"/>
      <c r="AV527" s="94"/>
      <c r="AW527" s="94"/>
    </row>
    <row r="528" spans="1:49" s="1" customFormat="1" ht="16.5" x14ac:dyDescent="0.3">
      <c r="A528" s="94"/>
      <c r="B528" s="94"/>
      <c r="C528" s="94"/>
      <c r="D528" s="94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  <c r="AA528" s="94"/>
      <c r="AB528" s="94"/>
      <c r="AC528" s="94"/>
      <c r="AD528" s="94"/>
      <c r="AE528" s="94"/>
      <c r="AF528" s="94"/>
      <c r="AG528" s="94"/>
      <c r="AH528" s="94"/>
      <c r="AI528" s="94"/>
      <c r="AJ528" s="94"/>
      <c r="AK528" s="94"/>
      <c r="AL528" s="94"/>
      <c r="AM528" s="94"/>
      <c r="AN528" s="94"/>
      <c r="AO528" s="94"/>
      <c r="AP528" s="94"/>
      <c r="AQ528" s="94"/>
      <c r="AR528" s="94"/>
      <c r="AS528" s="94"/>
      <c r="AT528" s="94"/>
      <c r="AU528" s="94"/>
      <c r="AV528" s="94"/>
      <c r="AW528" s="94"/>
    </row>
    <row r="529" spans="1:49" s="1" customFormat="1" ht="16.5" x14ac:dyDescent="0.3">
      <c r="A529" s="94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  <c r="AA529" s="94"/>
      <c r="AB529" s="94"/>
      <c r="AC529" s="94"/>
      <c r="AD529" s="94"/>
      <c r="AE529" s="94"/>
      <c r="AF529" s="94"/>
      <c r="AG529" s="94"/>
      <c r="AH529" s="94"/>
      <c r="AI529" s="94"/>
      <c r="AJ529" s="94"/>
      <c r="AK529" s="94"/>
      <c r="AL529" s="94"/>
      <c r="AM529" s="94"/>
      <c r="AN529" s="94"/>
      <c r="AO529" s="94"/>
      <c r="AP529" s="94"/>
      <c r="AQ529" s="94"/>
      <c r="AR529" s="94"/>
      <c r="AS529" s="94"/>
      <c r="AT529" s="94"/>
      <c r="AU529" s="94"/>
      <c r="AV529" s="94"/>
      <c r="AW529" s="94"/>
    </row>
    <row r="530" spans="1:49" s="1" customFormat="1" ht="16.5" x14ac:dyDescent="0.3">
      <c r="A530" s="94"/>
      <c r="B530" s="94"/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  <c r="AA530" s="94"/>
      <c r="AB530" s="94"/>
      <c r="AC530" s="94"/>
      <c r="AD530" s="94"/>
      <c r="AE530" s="94"/>
      <c r="AF530" s="94"/>
      <c r="AG530" s="94"/>
      <c r="AH530" s="94"/>
      <c r="AI530" s="94"/>
      <c r="AJ530" s="94"/>
      <c r="AK530" s="94"/>
      <c r="AL530" s="94"/>
      <c r="AM530" s="94"/>
      <c r="AN530" s="94"/>
      <c r="AO530" s="94"/>
      <c r="AP530" s="94"/>
      <c r="AQ530" s="94"/>
      <c r="AR530" s="94"/>
      <c r="AS530" s="94"/>
      <c r="AT530" s="94"/>
      <c r="AU530" s="94"/>
      <c r="AV530" s="94"/>
      <c r="AW530" s="94"/>
    </row>
    <row r="531" spans="1:49" s="1" customFormat="1" ht="16.5" x14ac:dyDescent="0.3">
      <c r="A531" s="94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  <c r="AA531" s="94"/>
      <c r="AB531" s="94"/>
      <c r="AC531" s="94"/>
      <c r="AD531" s="94"/>
      <c r="AE531" s="94"/>
      <c r="AF531" s="94"/>
      <c r="AG531" s="94"/>
      <c r="AH531" s="94"/>
      <c r="AI531" s="94"/>
      <c r="AJ531" s="94"/>
      <c r="AK531" s="94"/>
      <c r="AL531" s="94"/>
      <c r="AM531" s="94"/>
      <c r="AN531" s="94"/>
      <c r="AO531" s="94"/>
      <c r="AP531" s="94"/>
      <c r="AQ531" s="94"/>
      <c r="AR531" s="94"/>
      <c r="AS531" s="94"/>
      <c r="AT531" s="94"/>
      <c r="AU531" s="94"/>
      <c r="AV531" s="94"/>
      <c r="AW531" s="94"/>
    </row>
    <row r="532" spans="1:49" s="1" customFormat="1" ht="16.5" x14ac:dyDescent="0.3">
      <c r="A532" s="94"/>
      <c r="B532" s="94"/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  <c r="AA532" s="94"/>
      <c r="AB532" s="94"/>
      <c r="AC532" s="94"/>
      <c r="AD532" s="94"/>
      <c r="AE532" s="94"/>
      <c r="AF532" s="94"/>
      <c r="AG532" s="94"/>
      <c r="AH532" s="94"/>
      <c r="AI532" s="94"/>
      <c r="AJ532" s="94"/>
      <c r="AK532" s="94"/>
      <c r="AL532" s="94"/>
      <c r="AM532" s="94"/>
      <c r="AN532" s="94"/>
      <c r="AO532" s="94"/>
      <c r="AP532" s="94"/>
      <c r="AQ532" s="94"/>
      <c r="AR532" s="94"/>
      <c r="AS532" s="94"/>
      <c r="AT532" s="94"/>
      <c r="AU532" s="94"/>
      <c r="AV532" s="94"/>
      <c r="AW532" s="94"/>
    </row>
    <row r="533" spans="1:49" s="1" customFormat="1" ht="16.5" x14ac:dyDescent="0.3">
      <c r="A533" s="94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  <c r="AA533" s="94"/>
      <c r="AB533" s="94"/>
      <c r="AC533" s="94"/>
      <c r="AD533" s="94"/>
      <c r="AE533" s="94"/>
      <c r="AF533" s="94"/>
      <c r="AG533" s="94"/>
      <c r="AH533" s="94"/>
      <c r="AI533" s="94"/>
      <c r="AJ533" s="94"/>
      <c r="AK533" s="94"/>
      <c r="AL533" s="94"/>
      <c r="AM533" s="94"/>
      <c r="AN533" s="94"/>
      <c r="AO533" s="94"/>
      <c r="AP533" s="94"/>
      <c r="AQ533" s="94"/>
      <c r="AR533" s="94"/>
      <c r="AS533" s="94"/>
      <c r="AT533" s="94"/>
      <c r="AU533" s="94"/>
      <c r="AV533" s="94"/>
      <c r="AW533" s="94"/>
    </row>
    <row r="534" spans="1:49" s="1" customFormat="1" ht="16.5" x14ac:dyDescent="0.3">
      <c r="A534" s="94"/>
      <c r="B534" s="94"/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  <c r="AA534" s="94"/>
      <c r="AB534" s="94"/>
      <c r="AC534" s="94"/>
      <c r="AD534" s="94"/>
      <c r="AE534" s="94"/>
      <c r="AF534" s="94"/>
      <c r="AG534" s="94"/>
      <c r="AH534" s="94"/>
      <c r="AI534" s="94"/>
      <c r="AJ534" s="94"/>
      <c r="AK534" s="94"/>
      <c r="AL534" s="94"/>
      <c r="AM534" s="94"/>
      <c r="AN534" s="94"/>
      <c r="AO534" s="94"/>
      <c r="AP534" s="94"/>
      <c r="AQ534" s="94"/>
      <c r="AR534" s="94"/>
      <c r="AS534" s="94"/>
      <c r="AT534" s="94"/>
      <c r="AU534" s="94"/>
      <c r="AV534" s="94"/>
      <c r="AW534" s="94"/>
    </row>
    <row r="535" spans="1:49" s="1" customFormat="1" ht="16.5" x14ac:dyDescent="0.3">
      <c r="A535" s="94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  <c r="AA535" s="94"/>
      <c r="AB535" s="94"/>
      <c r="AC535" s="94"/>
      <c r="AD535" s="94"/>
      <c r="AE535" s="94"/>
      <c r="AF535" s="94"/>
      <c r="AG535" s="94"/>
      <c r="AH535" s="94"/>
      <c r="AI535" s="94"/>
      <c r="AJ535" s="94"/>
      <c r="AK535" s="94"/>
      <c r="AL535" s="94"/>
      <c r="AM535" s="94"/>
      <c r="AN535" s="94"/>
      <c r="AO535" s="94"/>
      <c r="AP535" s="94"/>
      <c r="AQ535" s="94"/>
      <c r="AR535" s="94"/>
      <c r="AS535" s="94"/>
      <c r="AT535" s="94"/>
      <c r="AU535" s="94"/>
      <c r="AV535" s="94"/>
      <c r="AW535" s="94"/>
    </row>
    <row r="536" spans="1:49" s="1" customFormat="1" ht="16.5" x14ac:dyDescent="0.3">
      <c r="A536" s="94"/>
      <c r="B536" s="94"/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  <c r="AA536" s="94"/>
      <c r="AB536" s="94"/>
      <c r="AC536" s="94"/>
      <c r="AD536" s="94"/>
      <c r="AE536" s="94"/>
      <c r="AF536" s="94"/>
      <c r="AG536" s="94"/>
      <c r="AH536" s="94"/>
      <c r="AI536" s="94"/>
      <c r="AJ536" s="94"/>
      <c r="AK536" s="94"/>
      <c r="AL536" s="94"/>
      <c r="AM536" s="94"/>
      <c r="AN536" s="94"/>
      <c r="AO536" s="94"/>
      <c r="AP536" s="94"/>
      <c r="AQ536" s="94"/>
      <c r="AR536" s="94"/>
      <c r="AS536" s="94"/>
      <c r="AT536" s="94"/>
      <c r="AU536" s="94"/>
      <c r="AV536" s="94"/>
      <c r="AW536" s="94"/>
    </row>
    <row r="537" spans="1:49" s="1" customFormat="1" ht="16.5" x14ac:dyDescent="0.3">
      <c r="A537" s="94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  <c r="AA537" s="94"/>
      <c r="AB537" s="94"/>
      <c r="AC537" s="94"/>
      <c r="AD537" s="94"/>
      <c r="AE537" s="94"/>
      <c r="AF537" s="94"/>
      <c r="AG537" s="94"/>
      <c r="AH537" s="94"/>
      <c r="AI537" s="94"/>
      <c r="AJ537" s="94"/>
      <c r="AK537" s="94"/>
      <c r="AL537" s="94"/>
      <c r="AM537" s="94"/>
      <c r="AN537" s="94"/>
      <c r="AO537" s="94"/>
      <c r="AP537" s="94"/>
      <c r="AQ537" s="94"/>
      <c r="AR537" s="94"/>
      <c r="AS537" s="94"/>
      <c r="AT537" s="94"/>
      <c r="AU537" s="94"/>
      <c r="AV537" s="94"/>
      <c r="AW537" s="94"/>
    </row>
    <row r="538" spans="1:49" s="1" customFormat="1" ht="16.5" x14ac:dyDescent="0.3">
      <c r="A538" s="94"/>
      <c r="B538" s="94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</row>
    <row r="539" spans="1:49" s="1" customFormat="1" ht="16.5" x14ac:dyDescent="0.3">
      <c r="A539" s="94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  <c r="AA539" s="94"/>
      <c r="AB539" s="94"/>
      <c r="AC539" s="94"/>
      <c r="AD539" s="94"/>
      <c r="AE539" s="94"/>
      <c r="AF539" s="94"/>
      <c r="AG539" s="94"/>
      <c r="AH539" s="94"/>
      <c r="AI539" s="94"/>
      <c r="AJ539" s="94"/>
      <c r="AK539" s="94"/>
      <c r="AL539" s="94"/>
      <c r="AM539" s="94"/>
      <c r="AN539" s="94"/>
      <c r="AO539" s="94"/>
      <c r="AP539" s="94"/>
      <c r="AQ539" s="94"/>
      <c r="AR539" s="94"/>
      <c r="AS539" s="94"/>
      <c r="AT539" s="94"/>
      <c r="AU539" s="94"/>
      <c r="AV539" s="94"/>
      <c r="AW539" s="94"/>
    </row>
    <row r="540" spans="1:49" s="1" customFormat="1" ht="16.5" x14ac:dyDescent="0.3">
      <c r="A540" s="94"/>
      <c r="B540" s="94"/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  <c r="AA540" s="94"/>
      <c r="AB540" s="94"/>
      <c r="AC540" s="94"/>
      <c r="AD540" s="94"/>
      <c r="AE540" s="94"/>
      <c r="AF540" s="94"/>
      <c r="AG540" s="94"/>
      <c r="AH540" s="94"/>
      <c r="AI540" s="94"/>
      <c r="AJ540" s="94"/>
      <c r="AK540" s="94"/>
      <c r="AL540" s="94"/>
      <c r="AM540" s="94"/>
      <c r="AN540" s="94"/>
      <c r="AO540" s="94"/>
      <c r="AP540" s="94"/>
      <c r="AQ540" s="94"/>
      <c r="AR540" s="94"/>
      <c r="AS540" s="94"/>
      <c r="AT540" s="94"/>
      <c r="AU540" s="94"/>
      <c r="AV540" s="94"/>
      <c r="AW540" s="94"/>
    </row>
    <row r="541" spans="1:49" s="1" customFormat="1" ht="16.5" x14ac:dyDescent="0.3">
      <c r="A541" s="94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  <c r="AA541" s="94"/>
      <c r="AB541" s="94"/>
      <c r="AC541" s="94"/>
      <c r="AD541" s="94"/>
      <c r="AE541" s="94"/>
      <c r="AF541" s="94"/>
      <c r="AG541" s="94"/>
      <c r="AH541" s="94"/>
      <c r="AI541" s="94"/>
      <c r="AJ541" s="94"/>
      <c r="AK541" s="94"/>
      <c r="AL541" s="94"/>
      <c r="AM541" s="94"/>
      <c r="AN541" s="94"/>
      <c r="AO541" s="94"/>
      <c r="AP541" s="94"/>
      <c r="AQ541" s="94"/>
      <c r="AR541" s="94"/>
      <c r="AS541" s="94"/>
      <c r="AT541" s="94"/>
      <c r="AU541" s="94"/>
      <c r="AV541" s="94"/>
      <c r="AW541" s="94"/>
    </row>
    <row r="542" spans="1:49" s="1" customFormat="1" ht="16.5" x14ac:dyDescent="0.3">
      <c r="A542" s="94"/>
      <c r="B542" s="94"/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  <c r="AA542" s="94"/>
      <c r="AB542" s="94"/>
      <c r="AC542" s="94"/>
      <c r="AD542" s="94"/>
      <c r="AE542" s="94"/>
      <c r="AF542" s="94"/>
      <c r="AG542" s="94"/>
      <c r="AH542" s="94"/>
      <c r="AI542" s="94"/>
      <c r="AJ542" s="94"/>
      <c r="AK542" s="94"/>
      <c r="AL542" s="94"/>
      <c r="AM542" s="94"/>
      <c r="AN542" s="94"/>
      <c r="AO542" s="94"/>
      <c r="AP542" s="94"/>
      <c r="AQ542" s="94"/>
      <c r="AR542" s="94"/>
      <c r="AS542" s="94"/>
      <c r="AT542" s="94"/>
      <c r="AU542" s="94"/>
      <c r="AV542" s="94"/>
      <c r="AW542" s="94"/>
    </row>
    <row r="543" spans="1:49" s="1" customFormat="1" ht="16.5" x14ac:dyDescent="0.3">
      <c r="A543" s="94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  <c r="AA543" s="94"/>
      <c r="AB543" s="94"/>
      <c r="AC543" s="94"/>
      <c r="AD543" s="94"/>
      <c r="AE543" s="94"/>
      <c r="AF543" s="94"/>
      <c r="AG543" s="94"/>
      <c r="AH543" s="94"/>
      <c r="AI543" s="94"/>
      <c r="AJ543" s="94"/>
      <c r="AK543" s="94"/>
      <c r="AL543" s="94"/>
      <c r="AM543" s="94"/>
      <c r="AN543" s="94"/>
      <c r="AO543" s="94"/>
      <c r="AP543" s="94"/>
      <c r="AQ543" s="94"/>
      <c r="AR543" s="94"/>
      <c r="AS543" s="94"/>
      <c r="AT543" s="94"/>
      <c r="AU543" s="94"/>
      <c r="AV543" s="94"/>
      <c r="AW543" s="94"/>
    </row>
    <row r="544" spans="1:49" s="1" customFormat="1" ht="16.5" x14ac:dyDescent="0.3">
      <c r="A544" s="94"/>
      <c r="B544" s="94"/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  <c r="AA544" s="94"/>
      <c r="AB544" s="94"/>
      <c r="AC544" s="94"/>
      <c r="AD544" s="94"/>
      <c r="AE544" s="94"/>
      <c r="AF544" s="94"/>
      <c r="AG544" s="94"/>
      <c r="AH544" s="94"/>
      <c r="AI544" s="94"/>
      <c r="AJ544" s="94"/>
      <c r="AK544" s="94"/>
      <c r="AL544" s="94"/>
      <c r="AM544" s="94"/>
      <c r="AN544" s="94"/>
      <c r="AO544" s="94"/>
      <c r="AP544" s="94"/>
      <c r="AQ544" s="94"/>
      <c r="AR544" s="94"/>
      <c r="AS544" s="94"/>
      <c r="AT544" s="94"/>
      <c r="AU544" s="94"/>
      <c r="AV544" s="94"/>
      <c r="AW544" s="94"/>
    </row>
    <row r="545" spans="1:49" s="1" customFormat="1" ht="16.5" x14ac:dyDescent="0.3">
      <c r="A545" s="94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  <c r="AA545" s="94"/>
      <c r="AB545" s="94"/>
      <c r="AC545" s="94"/>
      <c r="AD545" s="94"/>
      <c r="AE545" s="94"/>
      <c r="AF545" s="94"/>
      <c r="AG545" s="94"/>
      <c r="AH545" s="94"/>
      <c r="AI545" s="94"/>
      <c r="AJ545" s="94"/>
      <c r="AK545" s="94"/>
      <c r="AL545" s="94"/>
      <c r="AM545" s="94"/>
      <c r="AN545" s="94"/>
      <c r="AO545" s="94"/>
      <c r="AP545" s="94"/>
      <c r="AQ545" s="94"/>
      <c r="AR545" s="94"/>
      <c r="AS545" s="94"/>
      <c r="AT545" s="94"/>
      <c r="AU545" s="94"/>
      <c r="AV545" s="94"/>
      <c r="AW545" s="94"/>
    </row>
    <row r="546" spans="1:49" s="1" customFormat="1" ht="16.5" x14ac:dyDescent="0.3">
      <c r="A546" s="94"/>
      <c r="B546" s="94"/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  <c r="AA546" s="94"/>
      <c r="AB546" s="94"/>
      <c r="AC546" s="94"/>
      <c r="AD546" s="94"/>
      <c r="AE546" s="94"/>
      <c r="AF546" s="94"/>
      <c r="AG546" s="94"/>
      <c r="AH546" s="94"/>
      <c r="AI546" s="94"/>
      <c r="AJ546" s="94"/>
      <c r="AK546" s="94"/>
      <c r="AL546" s="94"/>
      <c r="AM546" s="94"/>
      <c r="AN546" s="94"/>
      <c r="AO546" s="94"/>
      <c r="AP546" s="94"/>
      <c r="AQ546" s="94"/>
      <c r="AR546" s="94"/>
      <c r="AS546" s="94"/>
      <c r="AT546" s="94"/>
      <c r="AU546" s="94"/>
      <c r="AV546" s="94"/>
      <c r="AW546" s="94"/>
    </row>
    <row r="547" spans="1:49" s="1" customFormat="1" ht="16.5" x14ac:dyDescent="0.3">
      <c r="A547" s="94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  <c r="AA547" s="94"/>
      <c r="AB547" s="94"/>
      <c r="AC547" s="94"/>
      <c r="AD547" s="94"/>
      <c r="AE547" s="94"/>
      <c r="AF547" s="94"/>
      <c r="AG547" s="94"/>
      <c r="AH547" s="94"/>
      <c r="AI547" s="94"/>
      <c r="AJ547" s="94"/>
      <c r="AK547" s="94"/>
      <c r="AL547" s="94"/>
      <c r="AM547" s="94"/>
      <c r="AN547" s="94"/>
      <c r="AO547" s="94"/>
      <c r="AP547" s="94"/>
      <c r="AQ547" s="94"/>
      <c r="AR547" s="94"/>
      <c r="AS547" s="94"/>
      <c r="AT547" s="94"/>
      <c r="AU547" s="94"/>
      <c r="AV547" s="94"/>
      <c r="AW547" s="94"/>
    </row>
    <row r="548" spans="1:49" s="1" customFormat="1" ht="16.5" x14ac:dyDescent="0.3">
      <c r="A548" s="94"/>
      <c r="B548" s="94"/>
      <c r="C548" s="94"/>
      <c r="D548" s="94"/>
      <c r="E548" s="94"/>
      <c r="F548" s="94"/>
      <c r="G548" s="94"/>
      <c r="H548" s="94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  <c r="AA548" s="94"/>
      <c r="AB548" s="94"/>
      <c r="AC548" s="94"/>
      <c r="AD548" s="94"/>
      <c r="AE548" s="94"/>
      <c r="AF548" s="94"/>
      <c r="AG548" s="94"/>
      <c r="AH548" s="94"/>
      <c r="AI548" s="94"/>
      <c r="AJ548" s="94"/>
      <c r="AK548" s="94"/>
      <c r="AL548" s="94"/>
      <c r="AM548" s="94"/>
      <c r="AN548" s="94"/>
      <c r="AO548" s="94"/>
      <c r="AP548" s="94"/>
      <c r="AQ548" s="94"/>
      <c r="AR548" s="94"/>
      <c r="AS548" s="94"/>
      <c r="AT548" s="94"/>
      <c r="AU548" s="94"/>
      <c r="AV548" s="94"/>
      <c r="AW548" s="94"/>
    </row>
    <row r="549" spans="1:49" s="1" customFormat="1" ht="16.5" x14ac:dyDescent="0.3">
      <c r="A549" s="94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  <c r="AA549" s="94"/>
      <c r="AB549" s="94"/>
      <c r="AC549" s="94"/>
      <c r="AD549" s="94"/>
      <c r="AE549" s="94"/>
      <c r="AF549" s="94"/>
      <c r="AG549" s="94"/>
      <c r="AH549" s="94"/>
      <c r="AI549" s="94"/>
      <c r="AJ549" s="94"/>
      <c r="AK549" s="94"/>
      <c r="AL549" s="94"/>
      <c r="AM549" s="94"/>
      <c r="AN549" s="94"/>
      <c r="AO549" s="94"/>
      <c r="AP549" s="94"/>
      <c r="AQ549" s="94"/>
      <c r="AR549" s="94"/>
      <c r="AS549" s="94"/>
      <c r="AT549" s="94"/>
      <c r="AU549" s="94"/>
      <c r="AV549" s="94"/>
      <c r="AW549" s="94"/>
    </row>
    <row r="550" spans="1:49" s="1" customFormat="1" ht="16.5" x14ac:dyDescent="0.3">
      <c r="A550" s="94"/>
      <c r="B550" s="94"/>
      <c r="C550" s="94"/>
      <c r="D550" s="94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  <c r="AA550" s="94"/>
      <c r="AB550" s="94"/>
      <c r="AC550" s="94"/>
      <c r="AD550" s="94"/>
      <c r="AE550" s="94"/>
      <c r="AF550" s="94"/>
      <c r="AG550" s="94"/>
      <c r="AH550" s="94"/>
      <c r="AI550" s="94"/>
      <c r="AJ550" s="94"/>
      <c r="AK550" s="94"/>
      <c r="AL550" s="94"/>
      <c r="AM550" s="94"/>
      <c r="AN550" s="94"/>
      <c r="AO550" s="94"/>
      <c r="AP550" s="94"/>
      <c r="AQ550" s="94"/>
      <c r="AR550" s="94"/>
      <c r="AS550" s="94"/>
      <c r="AT550" s="94"/>
      <c r="AU550" s="94"/>
      <c r="AV550" s="94"/>
      <c r="AW550" s="94"/>
    </row>
    <row r="551" spans="1:49" s="1" customFormat="1" ht="16.5" x14ac:dyDescent="0.3">
      <c r="A551" s="94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  <c r="AA551" s="94"/>
      <c r="AB551" s="94"/>
      <c r="AC551" s="94"/>
      <c r="AD551" s="94"/>
      <c r="AE551" s="94"/>
      <c r="AF551" s="94"/>
      <c r="AG551" s="94"/>
      <c r="AH551" s="94"/>
      <c r="AI551" s="94"/>
      <c r="AJ551" s="94"/>
      <c r="AK551" s="94"/>
      <c r="AL551" s="94"/>
      <c r="AM551" s="94"/>
      <c r="AN551" s="94"/>
      <c r="AO551" s="94"/>
      <c r="AP551" s="94"/>
      <c r="AQ551" s="94"/>
      <c r="AR551" s="94"/>
      <c r="AS551" s="94"/>
      <c r="AT551" s="94"/>
      <c r="AU551" s="94"/>
      <c r="AV551" s="94"/>
      <c r="AW551" s="94"/>
    </row>
    <row r="552" spans="1:49" s="1" customFormat="1" ht="16.5" x14ac:dyDescent="0.3">
      <c r="A552" s="94"/>
      <c r="B552" s="94"/>
      <c r="C552" s="94"/>
      <c r="D552" s="94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  <c r="AA552" s="94"/>
      <c r="AB552" s="94"/>
      <c r="AC552" s="94"/>
      <c r="AD552" s="94"/>
      <c r="AE552" s="94"/>
      <c r="AF552" s="94"/>
      <c r="AG552" s="94"/>
      <c r="AH552" s="94"/>
      <c r="AI552" s="94"/>
      <c r="AJ552" s="94"/>
      <c r="AK552" s="94"/>
      <c r="AL552" s="94"/>
      <c r="AM552" s="94"/>
      <c r="AN552" s="94"/>
      <c r="AO552" s="94"/>
      <c r="AP552" s="94"/>
      <c r="AQ552" s="94"/>
      <c r="AR552" s="94"/>
      <c r="AS552" s="94"/>
      <c r="AT552" s="94"/>
      <c r="AU552" s="94"/>
      <c r="AV552" s="94"/>
      <c r="AW552" s="94"/>
    </row>
    <row r="553" spans="1:49" s="1" customFormat="1" ht="16.5" x14ac:dyDescent="0.3">
      <c r="A553" s="94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  <c r="AA553" s="94"/>
      <c r="AB553" s="94"/>
      <c r="AC553" s="94"/>
      <c r="AD553" s="94"/>
      <c r="AE553" s="94"/>
      <c r="AF553" s="94"/>
      <c r="AG553" s="94"/>
      <c r="AH553" s="94"/>
      <c r="AI553" s="94"/>
      <c r="AJ553" s="94"/>
      <c r="AK553" s="94"/>
      <c r="AL553" s="94"/>
      <c r="AM553" s="94"/>
      <c r="AN553" s="94"/>
      <c r="AO553" s="94"/>
      <c r="AP553" s="94"/>
      <c r="AQ553" s="94"/>
      <c r="AR553" s="94"/>
      <c r="AS553" s="94"/>
      <c r="AT553" s="94"/>
      <c r="AU553" s="94"/>
      <c r="AV553" s="94"/>
      <c r="AW553" s="94"/>
    </row>
    <row r="554" spans="1:49" s="1" customFormat="1" ht="16.5" x14ac:dyDescent="0.3">
      <c r="A554" s="94"/>
      <c r="B554" s="94"/>
      <c r="C554" s="94"/>
      <c r="D554" s="94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  <c r="AA554" s="94"/>
      <c r="AB554" s="94"/>
      <c r="AC554" s="94"/>
      <c r="AD554" s="94"/>
      <c r="AE554" s="94"/>
      <c r="AF554" s="94"/>
      <c r="AG554" s="94"/>
      <c r="AH554" s="94"/>
      <c r="AI554" s="94"/>
      <c r="AJ554" s="94"/>
      <c r="AK554" s="94"/>
      <c r="AL554" s="94"/>
      <c r="AM554" s="94"/>
      <c r="AN554" s="94"/>
      <c r="AO554" s="94"/>
      <c r="AP554" s="94"/>
      <c r="AQ554" s="94"/>
      <c r="AR554" s="94"/>
      <c r="AS554" s="94"/>
      <c r="AT554" s="94"/>
      <c r="AU554" s="94"/>
      <c r="AV554" s="94"/>
      <c r="AW554" s="94"/>
    </row>
    <row r="555" spans="1:49" s="1" customFormat="1" ht="16.5" x14ac:dyDescent="0.3">
      <c r="A555" s="94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  <c r="AA555" s="94"/>
      <c r="AB555" s="94"/>
      <c r="AC555" s="94"/>
      <c r="AD555" s="94"/>
      <c r="AE555" s="94"/>
      <c r="AF555" s="94"/>
      <c r="AG555" s="94"/>
      <c r="AH555" s="94"/>
      <c r="AI555" s="94"/>
      <c r="AJ555" s="94"/>
      <c r="AK555" s="94"/>
      <c r="AL555" s="94"/>
      <c r="AM555" s="94"/>
      <c r="AN555" s="94"/>
      <c r="AO555" s="94"/>
      <c r="AP555" s="94"/>
      <c r="AQ555" s="94"/>
      <c r="AR555" s="94"/>
      <c r="AS555" s="94"/>
      <c r="AT555" s="94"/>
      <c r="AU555" s="94"/>
      <c r="AV555" s="94"/>
      <c r="AW555" s="94"/>
    </row>
    <row r="556" spans="1:49" s="1" customFormat="1" ht="16.5" x14ac:dyDescent="0.3">
      <c r="A556" s="94"/>
      <c r="B556" s="94"/>
      <c r="C556" s="94"/>
      <c r="D556" s="94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  <c r="AA556" s="94"/>
      <c r="AB556" s="94"/>
      <c r="AC556" s="94"/>
      <c r="AD556" s="94"/>
      <c r="AE556" s="94"/>
      <c r="AF556" s="94"/>
      <c r="AG556" s="94"/>
      <c r="AH556" s="94"/>
      <c r="AI556" s="94"/>
      <c r="AJ556" s="94"/>
      <c r="AK556" s="94"/>
      <c r="AL556" s="94"/>
      <c r="AM556" s="94"/>
      <c r="AN556" s="94"/>
      <c r="AO556" s="94"/>
      <c r="AP556" s="94"/>
      <c r="AQ556" s="94"/>
      <c r="AR556" s="94"/>
      <c r="AS556" s="94"/>
      <c r="AT556" s="94"/>
      <c r="AU556" s="94"/>
      <c r="AV556" s="94"/>
      <c r="AW556" s="94"/>
    </row>
    <row r="557" spans="1:49" s="1" customFormat="1" ht="16.5" x14ac:dyDescent="0.3">
      <c r="A557" s="94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  <c r="AA557" s="94"/>
      <c r="AB557" s="94"/>
      <c r="AC557" s="94"/>
      <c r="AD557" s="94"/>
      <c r="AE557" s="94"/>
      <c r="AF557" s="94"/>
      <c r="AG557" s="94"/>
      <c r="AH557" s="94"/>
      <c r="AI557" s="94"/>
      <c r="AJ557" s="94"/>
      <c r="AK557" s="94"/>
      <c r="AL557" s="94"/>
      <c r="AM557" s="94"/>
      <c r="AN557" s="94"/>
      <c r="AO557" s="94"/>
      <c r="AP557" s="94"/>
      <c r="AQ557" s="94"/>
      <c r="AR557" s="94"/>
      <c r="AS557" s="94"/>
      <c r="AT557" s="94"/>
      <c r="AU557" s="94"/>
      <c r="AV557" s="94"/>
      <c r="AW557" s="94"/>
    </row>
    <row r="558" spans="1:49" s="1" customFormat="1" ht="16.5" x14ac:dyDescent="0.3">
      <c r="A558" s="94"/>
      <c r="B558" s="94"/>
      <c r="C558" s="94"/>
      <c r="D558" s="94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  <c r="AA558" s="94"/>
      <c r="AB558" s="94"/>
      <c r="AC558" s="94"/>
      <c r="AD558" s="94"/>
      <c r="AE558" s="94"/>
      <c r="AF558" s="94"/>
      <c r="AG558" s="94"/>
      <c r="AH558" s="94"/>
      <c r="AI558" s="94"/>
      <c r="AJ558" s="94"/>
      <c r="AK558" s="94"/>
      <c r="AL558" s="94"/>
      <c r="AM558" s="94"/>
      <c r="AN558" s="94"/>
      <c r="AO558" s="94"/>
      <c r="AP558" s="94"/>
      <c r="AQ558" s="94"/>
      <c r="AR558" s="94"/>
      <c r="AS558" s="94"/>
      <c r="AT558" s="94"/>
      <c r="AU558" s="94"/>
      <c r="AV558" s="94"/>
      <c r="AW558" s="94"/>
    </row>
    <row r="559" spans="1:49" s="1" customFormat="1" ht="16.5" x14ac:dyDescent="0.3">
      <c r="A559" s="94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  <c r="AA559" s="94"/>
      <c r="AB559" s="94"/>
      <c r="AC559" s="94"/>
      <c r="AD559" s="94"/>
      <c r="AE559" s="94"/>
      <c r="AF559" s="94"/>
      <c r="AG559" s="94"/>
      <c r="AH559" s="94"/>
      <c r="AI559" s="94"/>
      <c r="AJ559" s="94"/>
      <c r="AK559" s="94"/>
      <c r="AL559" s="94"/>
      <c r="AM559" s="94"/>
      <c r="AN559" s="94"/>
      <c r="AO559" s="94"/>
      <c r="AP559" s="94"/>
      <c r="AQ559" s="94"/>
      <c r="AR559" s="94"/>
      <c r="AS559" s="94"/>
      <c r="AT559" s="94"/>
      <c r="AU559" s="94"/>
      <c r="AV559" s="94"/>
      <c r="AW559" s="94"/>
    </row>
    <row r="560" spans="1:49" s="1" customFormat="1" ht="16.5" x14ac:dyDescent="0.3">
      <c r="A560" s="94"/>
      <c r="B560" s="94"/>
      <c r="C560" s="94"/>
      <c r="D560" s="94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  <c r="AA560" s="94"/>
      <c r="AB560" s="94"/>
      <c r="AC560" s="94"/>
      <c r="AD560" s="94"/>
      <c r="AE560" s="94"/>
      <c r="AF560" s="94"/>
      <c r="AG560" s="94"/>
      <c r="AH560" s="94"/>
      <c r="AI560" s="94"/>
      <c r="AJ560" s="94"/>
      <c r="AK560" s="94"/>
      <c r="AL560" s="94"/>
      <c r="AM560" s="94"/>
      <c r="AN560" s="94"/>
      <c r="AO560" s="94"/>
      <c r="AP560" s="94"/>
      <c r="AQ560" s="94"/>
      <c r="AR560" s="94"/>
      <c r="AS560" s="94"/>
      <c r="AT560" s="94"/>
      <c r="AU560" s="94"/>
      <c r="AV560" s="94"/>
      <c r="AW560" s="94"/>
    </row>
    <row r="561" spans="1:49" s="1" customFormat="1" ht="16.5" x14ac:dyDescent="0.3">
      <c r="A561" s="94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  <c r="AA561" s="94"/>
      <c r="AB561" s="94"/>
      <c r="AC561" s="94"/>
      <c r="AD561" s="94"/>
      <c r="AE561" s="94"/>
      <c r="AF561" s="94"/>
      <c r="AG561" s="94"/>
      <c r="AH561" s="94"/>
      <c r="AI561" s="94"/>
      <c r="AJ561" s="94"/>
      <c r="AK561" s="94"/>
      <c r="AL561" s="94"/>
      <c r="AM561" s="94"/>
      <c r="AN561" s="94"/>
      <c r="AO561" s="94"/>
      <c r="AP561" s="94"/>
      <c r="AQ561" s="94"/>
      <c r="AR561" s="94"/>
      <c r="AS561" s="94"/>
      <c r="AT561" s="94"/>
      <c r="AU561" s="94"/>
      <c r="AV561" s="94"/>
      <c r="AW561" s="94"/>
    </row>
  </sheetData>
  <mergeCells count="7">
    <mergeCell ref="AU2:AV2"/>
    <mergeCell ref="J1:K1"/>
    <mergeCell ref="N1:O1"/>
    <mergeCell ref="Q1:S1"/>
    <mergeCell ref="AK1:AO1"/>
    <mergeCell ref="AP2:AR2"/>
    <mergeCell ref="AS2:AT2"/>
  </mergeCells>
  <phoneticPr fontId="2" type="noConversion"/>
  <conditionalFormatting sqref="Y3">
    <cfRule type="cellIs" dxfId="9987" priority="156392" operator="lessThan">
      <formula>15.1</formula>
    </cfRule>
    <cfRule type="cellIs" dxfId="9986" priority="156393" operator="lessThan">
      <formula>18.1</formula>
    </cfRule>
    <cfRule type="cellIs" dxfId="9985" priority="156394" operator="lessThan">
      <formula>21.1</formula>
    </cfRule>
    <cfRule type="cellIs" dxfId="9984" priority="156395" operator="lessThan">
      <formula>24.1</formula>
    </cfRule>
    <cfRule type="cellIs" dxfId="9983" priority="156396" operator="lessThan">
      <formula>30</formula>
    </cfRule>
    <cfRule type="cellIs" dxfId="9982" priority="156397" operator="lessThan">
      <formula>34.1</formula>
    </cfRule>
  </conditionalFormatting>
  <conditionalFormatting sqref="AA3">
    <cfRule type="colorScale" priority="15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D1:AD2">
    <cfRule type="cellIs" dxfId="9981" priority="156389" operator="greaterThan">
      <formula>0.9</formula>
    </cfRule>
    <cfRule type="cellIs" dxfId="9980" priority="156390" operator="greaterThan">
      <formula>0.85</formula>
    </cfRule>
  </conditionalFormatting>
  <conditionalFormatting sqref="N2">
    <cfRule type="cellIs" dxfId="9979" priority="156387" operator="greaterThan">
      <formula>0.9</formula>
    </cfRule>
    <cfRule type="cellIs" dxfId="9978" priority="156388" operator="greaterThan">
      <formula>0.85</formula>
    </cfRule>
  </conditionalFormatting>
  <conditionalFormatting sqref="AA2">
    <cfRule type="colorScale" priority="1563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K1 AI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_price_updat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4">
    <tabColor theme="5" tint="0.59999389629810485"/>
    <pageSetUpPr fitToPage="1"/>
  </sheetPr>
  <dimension ref="A1:W40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0" sqref="C20"/>
    </sheetView>
  </sheetViews>
  <sheetFormatPr defaultColWidth="9" defaultRowHeight="14.1" customHeight="1" x14ac:dyDescent="0.3"/>
  <cols>
    <col min="1" max="1" width="29.375" style="94" bestFit="1" customWidth="1"/>
    <col min="2" max="2" width="5.625" style="94" bestFit="1" customWidth="1"/>
    <col min="3" max="3" width="6.625" style="94" bestFit="1" customWidth="1"/>
    <col min="4" max="4" width="5.625" style="94" bestFit="1" customWidth="1"/>
    <col min="5" max="5" width="4.625" style="94" bestFit="1" customWidth="1"/>
    <col min="6" max="6" width="5.625" style="94" bestFit="1" customWidth="1"/>
    <col min="7" max="7" width="4.625" style="94" bestFit="1" customWidth="1"/>
    <col min="8" max="8" width="6.625" style="94" bestFit="1" customWidth="1"/>
    <col min="9" max="9" width="7.75" style="94" bestFit="1" customWidth="1"/>
    <col min="10" max="10" width="4" style="94" bestFit="1" customWidth="1"/>
    <col min="11" max="11" width="6.875" style="94" bestFit="1" customWidth="1"/>
    <col min="12" max="12" width="4" style="94" bestFit="1" customWidth="1"/>
    <col min="13" max="13" width="6.875" style="94" bestFit="1" customWidth="1"/>
    <col min="14" max="14" width="4.625" style="94" bestFit="1" customWidth="1"/>
    <col min="15" max="16" width="7.625" style="94" bestFit="1" customWidth="1"/>
    <col min="17" max="19" width="3.25" style="94" bestFit="1" customWidth="1"/>
    <col min="20" max="20" width="10.125" style="94" customWidth="1"/>
    <col min="21" max="21" width="25" style="94" customWidth="1"/>
    <col min="22" max="22" width="38" style="94" bestFit="1" customWidth="1"/>
    <col min="23" max="23" width="10.125" style="94" customWidth="1"/>
    <col min="24" max="16384" width="9" style="38"/>
  </cols>
  <sheetData>
    <row r="1" spans="1:23" ht="17.25" x14ac:dyDescent="0.3">
      <c r="A1" s="37" t="str">
        <f>단지추출!A1</f>
        <v>OO시 OO구</v>
      </c>
      <c r="B1" s="38"/>
      <c r="C1" s="39"/>
      <c r="D1" s="38"/>
      <c r="E1" s="38"/>
      <c r="F1" s="38"/>
      <c r="G1" s="38"/>
      <c r="H1" s="39"/>
      <c r="I1" s="38"/>
      <c r="J1" s="109" t="s">
        <v>47</v>
      </c>
      <c r="K1" s="109"/>
      <c r="L1" s="57" t="s">
        <v>67</v>
      </c>
      <c r="M1"/>
      <c r="N1" s="109" t="s">
        <v>48</v>
      </c>
      <c r="O1" s="109"/>
      <c r="P1" s="58">
        <v>30</v>
      </c>
      <c r="Q1" s="110" t="s">
        <v>49</v>
      </c>
      <c r="R1" s="110"/>
      <c r="S1" s="110"/>
      <c r="T1" s="41"/>
      <c r="U1" s="38"/>
      <c r="V1" s="38"/>
      <c r="W1" s="41"/>
    </row>
    <row r="2" spans="1:23" ht="12" x14ac:dyDescent="0.3">
      <c r="A2" s="93">
        <f>단지추출!A2</f>
        <v>44562</v>
      </c>
      <c r="B2" s="40"/>
      <c r="C2" s="39"/>
      <c r="D2" s="38"/>
      <c r="E2" s="38"/>
      <c r="F2" s="38"/>
      <c r="G2" s="38"/>
      <c r="H2" s="39"/>
      <c r="I2" s="38"/>
      <c r="J2" s="38"/>
      <c r="K2" s="38"/>
      <c r="L2" s="38"/>
      <c r="M2" s="38"/>
      <c r="N2" s="38"/>
      <c r="O2" s="38"/>
      <c r="P2" s="38"/>
      <c r="Q2" s="41"/>
      <c r="R2" s="41"/>
      <c r="S2" s="40"/>
      <c r="T2" s="41"/>
      <c r="U2" s="42"/>
      <c r="V2" s="38"/>
      <c r="W2" s="41"/>
    </row>
    <row r="3" spans="1:23" ht="26.25" x14ac:dyDescent="0.3">
      <c r="A3" s="46" t="s">
        <v>10</v>
      </c>
      <c r="B3" s="46" t="s">
        <v>11</v>
      </c>
      <c r="C3" s="46" t="s">
        <v>12</v>
      </c>
      <c r="D3" s="46" t="s">
        <v>20</v>
      </c>
      <c r="E3" s="46" t="s">
        <v>4</v>
      </c>
      <c r="F3" s="46" t="s">
        <v>21</v>
      </c>
      <c r="G3" s="46" t="s">
        <v>13</v>
      </c>
      <c r="H3" s="60" t="s">
        <v>6</v>
      </c>
      <c r="I3" s="47" t="s">
        <v>14</v>
      </c>
      <c r="J3" s="47" t="s">
        <v>22</v>
      </c>
      <c r="K3" s="47" t="s">
        <v>15</v>
      </c>
      <c r="L3" s="47" t="s">
        <v>22</v>
      </c>
      <c r="M3" s="60" t="s">
        <v>2</v>
      </c>
      <c r="N3" s="46" t="s">
        <v>5</v>
      </c>
      <c r="O3" s="47" t="s">
        <v>17</v>
      </c>
      <c r="P3" s="47" t="s">
        <v>16</v>
      </c>
      <c r="Q3" s="48" t="s">
        <v>18</v>
      </c>
      <c r="R3" s="48" t="s">
        <v>19</v>
      </c>
      <c r="S3" s="46" t="s">
        <v>7</v>
      </c>
      <c r="T3" s="49" t="s">
        <v>34</v>
      </c>
      <c r="U3" s="60" t="s">
        <v>9</v>
      </c>
      <c r="V3" s="60" t="s">
        <v>74</v>
      </c>
      <c r="W3" s="49" t="s">
        <v>82</v>
      </c>
    </row>
    <row r="4" spans="1:23" s="1" customFormat="1" ht="16.5" x14ac:dyDescent="0.3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s="1" customFormat="1" ht="16.5" x14ac:dyDescent="0.3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s="1" customFormat="1" ht="16.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</row>
    <row r="7" spans="1:23" s="1" customFormat="1" ht="16.5" x14ac:dyDescent="0.3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</row>
    <row r="8" spans="1:23" s="1" customFormat="1" ht="16.5" x14ac:dyDescent="0.3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</row>
    <row r="9" spans="1:23" s="1" customFormat="1" ht="16.5" x14ac:dyDescent="0.3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</row>
    <row r="10" spans="1:23" s="1" customFormat="1" ht="16.5" x14ac:dyDescent="0.3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</row>
    <row r="11" spans="1:23" s="1" customFormat="1" ht="16.5" x14ac:dyDescent="0.3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</row>
    <row r="12" spans="1:23" s="1" customFormat="1" ht="16.5" x14ac:dyDescent="0.3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</row>
    <row r="13" spans="1:23" s="1" customFormat="1" ht="16.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</row>
    <row r="14" spans="1:23" s="1" customFormat="1" ht="16.5" x14ac:dyDescent="0.3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</row>
    <row r="15" spans="1:23" s="1" customFormat="1" ht="16.5" x14ac:dyDescent="0.3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</row>
    <row r="16" spans="1:23" s="1" customFormat="1" ht="16.5" x14ac:dyDescent="0.3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</row>
    <row r="17" spans="1:23" s="1" customFormat="1" ht="16.5" x14ac:dyDescent="0.3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</row>
    <row r="18" spans="1:23" s="1" customFormat="1" ht="16.5" x14ac:dyDescent="0.3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</row>
    <row r="19" spans="1:23" s="1" customFormat="1" ht="16.5" x14ac:dyDescent="0.3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</row>
    <row r="20" spans="1:23" s="1" customFormat="1" ht="16.5" x14ac:dyDescent="0.3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</row>
    <row r="21" spans="1:23" s="1" customFormat="1" ht="16.5" x14ac:dyDescent="0.3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</row>
    <row r="22" spans="1:23" s="1" customFormat="1" ht="16.5" x14ac:dyDescent="0.3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</row>
    <row r="23" spans="1:23" s="1" customFormat="1" ht="16.5" x14ac:dyDescent="0.3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</row>
    <row r="24" spans="1:23" s="1" customFormat="1" ht="16.5" x14ac:dyDescent="0.3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</row>
    <row r="25" spans="1:23" s="1" customFormat="1" ht="16.5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</row>
    <row r="26" spans="1:23" s="1" customFormat="1" ht="16.5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</row>
    <row r="27" spans="1:23" s="1" customFormat="1" ht="16.5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</row>
    <row r="28" spans="1:23" s="1" customFormat="1" ht="16.5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</row>
    <row r="29" spans="1:23" s="1" customFormat="1" ht="16.5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</row>
    <row r="30" spans="1:23" s="1" customFormat="1" ht="16.5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</row>
    <row r="31" spans="1:23" s="1" customFormat="1" ht="16.5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</row>
    <row r="32" spans="1:23" s="1" customFormat="1" ht="16.5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</row>
    <row r="33" spans="1:23" s="1" customFormat="1" ht="16.5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</row>
    <row r="34" spans="1:23" s="1" customFormat="1" ht="16.5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</row>
    <row r="35" spans="1:23" s="1" customFormat="1" ht="16.5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</row>
    <row r="36" spans="1:23" s="1" customFormat="1" ht="16.5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</row>
    <row r="37" spans="1:23" s="1" customFormat="1" ht="16.5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</row>
    <row r="38" spans="1:23" s="1" customFormat="1" ht="16.5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</row>
    <row r="39" spans="1:23" s="1" customFormat="1" ht="16.5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</row>
    <row r="40" spans="1:23" s="1" customFormat="1" ht="16.5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1:23" s="1" customFormat="1" ht="16.5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</row>
    <row r="42" spans="1:23" s="1" customFormat="1" ht="16.5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</row>
    <row r="43" spans="1:23" s="1" customFormat="1" ht="16.5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</row>
    <row r="44" spans="1:23" s="1" customFormat="1" ht="16.5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</row>
    <row r="45" spans="1:23" s="1" customFormat="1" ht="16.5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</row>
    <row r="46" spans="1:23" s="1" customFormat="1" ht="16.5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</row>
    <row r="47" spans="1:23" s="1" customFormat="1" ht="16.5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</row>
    <row r="48" spans="1:23" s="1" customFormat="1" ht="16.5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</row>
    <row r="49" spans="1:23" s="1" customFormat="1" ht="16.5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</row>
    <row r="50" spans="1:23" s="1" customFormat="1" ht="16.5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</row>
    <row r="51" spans="1:23" s="1" customFormat="1" ht="16.5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</row>
    <row r="52" spans="1:23" s="1" customFormat="1" ht="16.5" x14ac:dyDescent="0.3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</row>
    <row r="53" spans="1:23" s="1" customFormat="1" ht="16.5" x14ac:dyDescent="0.3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</row>
    <row r="54" spans="1:23" s="1" customFormat="1" ht="16.5" x14ac:dyDescent="0.3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</row>
    <row r="55" spans="1:23" s="1" customFormat="1" ht="16.5" x14ac:dyDescent="0.3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</row>
    <row r="56" spans="1:23" s="1" customFormat="1" ht="16.5" x14ac:dyDescent="0.3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</row>
    <row r="57" spans="1:23" s="1" customFormat="1" ht="16.5" x14ac:dyDescent="0.3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</row>
    <row r="58" spans="1:23" s="1" customFormat="1" ht="16.5" x14ac:dyDescent="0.3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</row>
    <row r="59" spans="1:23" s="1" customFormat="1" ht="16.5" x14ac:dyDescent="0.3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</row>
    <row r="60" spans="1:23" s="1" customFormat="1" ht="16.5" x14ac:dyDescent="0.3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</row>
    <row r="61" spans="1:23" s="1" customFormat="1" ht="16.5" x14ac:dyDescent="0.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</row>
    <row r="62" spans="1:23" s="1" customFormat="1" ht="16.5" x14ac:dyDescent="0.3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</row>
    <row r="63" spans="1:23" s="1" customFormat="1" ht="16.5" x14ac:dyDescent="0.3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</row>
    <row r="64" spans="1:23" s="1" customFormat="1" ht="16.5" x14ac:dyDescent="0.3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</row>
    <row r="65" spans="1:23" s="1" customFormat="1" ht="16.5" x14ac:dyDescent="0.3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</row>
    <row r="66" spans="1:23" s="1" customFormat="1" ht="16.5" x14ac:dyDescent="0.3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</row>
    <row r="67" spans="1:23" s="1" customFormat="1" ht="16.5" x14ac:dyDescent="0.3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</row>
    <row r="68" spans="1:23" s="1" customFormat="1" ht="16.5" x14ac:dyDescent="0.3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</row>
    <row r="69" spans="1:23" s="1" customFormat="1" ht="16.5" x14ac:dyDescent="0.3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</row>
    <row r="70" spans="1:23" s="1" customFormat="1" ht="16.5" x14ac:dyDescent="0.3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</row>
    <row r="71" spans="1:23" s="1" customFormat="1" ht="16.5" x14ac:dyDescent="0.3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</row>
    <row r="72" spans="1:23" s="1" customFormat="1" ht="16.5" x14ac:dyDescent="0.3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</row>
    <row r="73" spans="1:23" s="1" customFormat="1" ht="16.5" x14ac:dyDescent="0.3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</row>
    <row r="74" spans="1:23" s="1" customFormat="1" ht="16.5" x14ac:dyDescent="0.3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</row>
    <row r="75" spans="1:23" s="1" customFormat="1" ht="16.5" x14ac:dyDescent="0.3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</row>
    <row r="76" spans="1:23" s="1" customFormat="1" ht="16.5" x14ac:dyDescent="0.3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</row>
    <row r="77" spans="1:23" s="1" customFormat="1" ht="16.5" x14ac:dyDescent="0.3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</row>
    <row r="78" spans="1:23" s="1" customFormat="1" ht="16.5" x14ac:dyDescent="0.3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</row>
    <row r="79" spans="1:23" s="1" customFormat="1" ht="16.5" x14ac:dyDescent="0.3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</row>
    <row r="80" spans="1:23" s="1" customFormat="1" ht="16.5" x14ac:dyDescent="0.3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</row>
    <row r="81" spans="1:23" s="1" customFormat="1" ht="16.5" x14ac:dyDescent="0.3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</row>
    <row r="82" spans="1:23" s="1" customFormat="1" ht="16.5" x14ac:dyDescent="0.3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</row>
    <row r="83" spans="1:23" s="1" customFormat="1" ht="16.5" x14ac:dyDescent="0.3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</row>
    <row r="84" spans="1:23" s="1" customFormat="1" ht="16.5" x14ac:dyDescent="0.3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</row>
    <row r="85" spans="1:23" s="1" customFormat="1" ht="16.5" x14ac:dyDescent="0.3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</row>
    <row r="86" spans="1:23" s="1" customFormat="1" ht="16.5" x14ac:dyDescent="0.3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</row>
    <row r="87" spans="1:23" s="1" customFormat="1" ht="16.5" x14ac:dyDescent="0.3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</row>
    <row r="88" spans="1:23" s="1" customFormat="1" ht="16.5" x14ac:dyDescent="0.3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</row>
    <row r="89" spans="1:23" s="1" customFormat="1" ht="16.5" x14ac:dyDescent="0.3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</row>
    <row r="90" spans="1:23" s="1" customFormat="1" ht="16.5" x14ac:dyDescent="0.3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</row>
    <row r="91" spans="1:23" s="1" customFormat="1" ht="16.5" x14ac:dyDescent="0.3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</row>
    <row r="92" spans="1:23" s="1" customFormat="1" ht="16.5" x14ac:dyDescent="0.3">
      <c r="A92" s="94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</row>
    <row r="93" spans="1:23" s="1" customFormat="1" ht="16.5" x14ac:dyDescent="0.3">
      <c r="A93" s="9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</row>
    <row r="94" spans="1:23" s="1" customFormat="1" ht="16.5" x14ac:dyDescent="0.3">
      <c r="A94" s="94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</row>
    <row r="95" spans="1:23" s="1" customFormat="1" ht="16.5" x14ac:dyDescent="0.3">
      <c r="A95" s="9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</row>
    <row r="96" spans="1:23" s="1" customFormat="1" ht="16.5" x14ac:dyDescent="0.3">
      <c r="A96" s="94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</row>
    <row r="97" spans="1:23" s="1" customFormat="1" ht="16.5" x14ac:dyDescent="0.3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</row>
    <row r="98" spans="1:23" s="1" customFormat="1" ht="16.5" x14ac:dyDescent="0.3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</row>
    <row r="99" spans="1:23" s="1" customFormat="1" ht="16.5" x14ac:dyDescent="0.3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</row>
    <row r="100" spans="1:23" s="1" customFormat="1" ht="16.5" x14ac:dyDescent="0.3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</row>
    <row r="101" spans="1:23" s="1" customFormat="1" ht="16.5" x14ac:dyDescent="0.3">
      <c r="A101" s="9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</row>
    <row r="102" spans="1:23" s="1" customFormat="1" ht="16.5" x14ac:dyDescent="0.3">
      <c r="A102" s="94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</row>
    <row r="103" spans="1:23" s="1" customFormat="1" ht="16.5" x14ac:dyDescent="0.3">
      <c r="A103" s="9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</row>
    <row r="104" spans="1:23" s="1" customFormat="1" ht="16.5" x14ac:dyDescent="0.3">
      <c r="A104" s="94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</row>
    <row r="105" spans="1:23" s="1" customFormat="1" ht="16.5" x14ac:dyDescent="0.3">
      <c r="A105" s="9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</row>
    <row r="106" spans="1:23" s="1" customFormat="1" ht="16.5" x14ac:dyDescent="0.3">
      <c r="A106" s="94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</row>
    <row r="107" spans="1:23" s="1" customFormat="1" ht="16.5" x14ac:dyDescent="0.3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</row>
    <row r="108" spans="1:23" s="1" customFormat="1" ht="16.5" x14ac:dyDescent="0.3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</row>
    <row r="109" spans="1:23" s="1" customFormat="1" ht="16.5" x14ac:dyDescent="0.3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</row>
    <row r="110" spans="1:23" s="1" customFormat="1" ht="16.5" x14ac:dyDescent="0.3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</row>
    <row r="111" spans="1:23" s="1" customFormat="1" ht="16.5" x14ac:dyDescent="0.3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</row>
    <row r="112" spans="1:23" s="1" customFormat="1" ht="16.5" x14ac:dyDescent="0.3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</row>
    <row r="113" spans="1:23" s="1" customFormat="1" ht="16.5" x14ac:dyDescent="0.3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</row>
    <row r="114" spans="1:23" s="1" customFormat="1" ht="16.5" x14ac:dyDescent="0.3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</row>
    <row r="115" spans="1:23" s="1" customFormat="1" ht="16.5" x14ac:dyDescent="0.3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</row>
    <row r="116" spans="1:23" s="1" customFormat="1" ht="16.5" x14ac:dyDescent="0.3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</row>
    <row r="117" spans="1:23" s="1" customFormat="1" ht="16.5" x14ac:dyDescent="0.3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</row>
    <row r="118" spans="1:23" s="1" customFormat="1" ht="16.5" x14ac:dyDescent="0.3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</row>
    <row r="119" spans="1:23" s="1" customFormat="1" ht="16.5" x14ac:dyDescent="0.3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</row>
    <row r="120" spans="1:23" s="1" customFormat="1" ht="16.5" x14ac:dyDescent="0.3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</row>
    <row r="121" spans="1:23" s="1" customFormat="1" ht="16.5" x14ac:dyDescent="0.3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</row>
    <row r="122" spans="1:23" s="1" customFormat="1" ht="16.5" x14ac:dyDescent="0.3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</row>
    <row r="123" spans="1:23" s="1" customFormat="1" ht="16.5" x14ac:dyDescent="0.3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</row>
    <row r="124" spans="1:23" s="1" customFormat="1" ht="16.5" x14ac:dyDescent="0.3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</row>
    <row r="125" spans="1:23" s="1" customFormat="1" ht="16.5" x14ac:dyDescent="0.3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</row>
    <row r="126" spans="1:23" s="1" customFormat="1" ht="16.5" x14ac:dyDescent="0.3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</row>
    <row r="127" spans="1:23" s="1" customFormat="1" ht="16.5" x14ac:dyDescent="0.3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</row>
    <row r="128" spans="1:23" s="1" customFormat="1" ht="16.5" x14ac:dyDescent="0.3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</row>
    <row r="129" spans="1:23" s="1" customFormat="1" ht="16.5" x14ac:dyDescent="0.3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</row>
    <row r="130" spans="1:23" s="1" customFormat="1" ht="16.5" x14ac:dyDescent="0.3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</row>
    <row r="131" spans="1:23" s="1" customFormat="1" ht="16.5" x14ac:dyDescent="0.3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</row>
    <row r="132" spans="1:23" s="1" customFormat="1" ht="16.5" x14ac:dyDescent="0.3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</row>
    <row r="133" spans="1:23" s="1" customFormat="1" ht="16.5" x14ac:dyDescent="0.3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</row>
    <row r="134" spans="1:23" s="1" customFormat="1" ht="16.5" x14ac:dyDescent="0.3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</row>
    <row r="135" spans="1:23" s="1" customFormat="1" ht="16.5" x14ac:dyDescent="0.3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</row>
    <row r="136" spans="1:23" s="1" customFormat="1" ht="16.5" x14ac:dyDescent="0.3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</row>
    <row r="137" spans="1:23" s="1" customFormat="1" ht="16.5" x14ac:dyDescent="0.3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</row>
    <row r="138" spans="1:23" s="1" customFormat="1" ht="16.5" x14ac:dyDescent="0.3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</row>
    <row r="139" spans="1:23" s="1" customFormat="1" ht="16.5" x14ac:dyDescent="0.3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</row>
    <row r="140" spans="1:23" s="1" customFormat="1" ht="16.5" x14ac:dyDescent="0.3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</row>
    <row r="141" spans="1:23" s="1" customFormat="1" ht="16.5" x14ac:dyDescent="0.3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</row>
    <row r="142" spans="1:23" s="1" customFormat="1" ht="16.5" x14ac:dyDescent="0.3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</row>
    <row r="143" spans="1:23" s="1" customFormat="1" ht="16.5" x14ac:dyDescent="0.3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</row>
    <row r="144" spans="1:23" s="1" customFormat="1" ht="16.5" x14ac:dyDescent="0.3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</row>
    <row r="145" spans="1:23" s="1" customFormat="1" ht="16.5" x14ac:dyDescent="0.3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</row>
    <row r="146" spans="1:23" s="1" customFormat="1" ht="16.5" x14ac:dyDescent="0.3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</row>
    <row r="147" spans="1:23" s="1" customFormat="1" ht="16.5" x14ac:dyDescent="0.3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</row>
    <row r="148" spans="1:23" s="1" customFormat="1" ht="16.5" x14ac:dyDescent="0.3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</row>
    <row r="149" spans="1:23" s="1" customFormat="1" ht="16.5" x14ac:dyDescent="0.3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</row>
    <row r="150" spans="1:23" s="1" customFormat="1" ht="16.5" x14ac:dyDescent="0.3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</row>
    <row r="151" spans="1:23" s="1" customFormat="1" ht="16.5" x14ac:dyDescent="0.3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</row>
    <row r="152" spans="1:23" s="1" customFormat="1" ht="16.5" x14ac:dyDescent="0.3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</row>
    <row r="153" spans="1:23" s="1" customFormat="1" ht="16.5" x14ac:dyDescent="0.3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</row>
    <row r="154" spans="1:23" s="1" customFormat="1" ht="16.5" x14ac:dyDescent="0.3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</row>
    <row r="155" spans="1:23" s="1" customFormat="1" ht="16.5" x14ac:dyDescent="0.3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</row>
    <row r="156" spans="1:23" s="1" customFormat="1" ht="16.5" x14ac:dyDescent="0.3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</row>
    <row r="157" spans="1:23" s="1" customFormat="1" ht="16.5" x14ac:dyDescent="0.3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</row>
    <row r="158" spans="1:23" s="1" customFormat="1" ht="16.5" x14ac:dyDescent="0.3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</row>
    <row r="159" spans="1:23" s="1" customFormat="1" ht="16.5" x14ac:dyDescent="0.3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</row>
    <row r="160" spans="1:23" s="1" customFormat="1" ht="16.5" x14ac:dyDescent="0.3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</row>
    <row r="161" spans="1:23" s="1" customFormat="1" ht="16.5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</row>
    <row r="162" spans="1:23" s="1" customFormat="1" ht="16.5" x14ac:dyDescent="0.3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</row>
    <row r="163" spans="1:23" s="1" customFormat="1" ht="16.5" x14ac:dyDescent="0.3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</row>
    <row r="164" spans="1:23" s="1" customFormat="1" ht="16.5" x14ac:dyDescent="0.3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</row>
    <row r="165" spans="1:23" s="1" customFormat="1" ht="16.5" x14ac:dyDescent="0.3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</row>
    <row r="166" spans="1:23" s="1" customFormat="1" ht="16.5" x14ac:dyDescent="0.3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</row>
    <row r="167" spans="1:23" s="1" customFormat="1" ht="16.5" x14ac:dyDescent="0.3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</row>
    <row r="168" spans="1:23" s="1" customFormat="1" ht="16.5" x14ac:dyDescent="0.3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</row>
    <row r="169" spans="1:23" s="1" customFormat="1" ht="16.5" x14ac:dyDescent="0.3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</row>
    <row r="170" spans="1:23" s="1" customFormat="1" ht="16.5" x14ac:dyDescent="0.3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</row>
    <row r="171" spans="1:23" s="1" customFormat="1" ht="16.5" x14ac:dyDescent="0.3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</row>
    <row r="172" spans="1:23" s="1" customFormat="1" ht="16.5" x14ac:dyDescent="0.3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</row>
    <row r="173" spans="1:23" s="1" customFormat="1" ht="16.5" x14ac:dyDescent="0.3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</row>
    <row r="174" spans="1:23" s="1" customFormat="1" ht="16.5" x14ac:dyDescent="0.3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</row>
    <row r="175" spans="1:23" s="1" customFormat="1" ht="16.5" x14ac:dyDescent="0.3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</row>
    <row r="176" spans="1:23" s="1" customFormat="1" ht="16.5" x14ac:dyDescent="0.3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</row>
    <row r="177" spans="1:23" s="1" customFormat="1" ht="16.5" x14ac:dyDescent="0.3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</row>
    <row r="178" spans="1:23" s="1" customFormat="1" ht="16.5" x14ac:dyDescent="0.3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</row>
    <row r="179" spans="1:23" s="1" customFormat="1" ht="16.5" x14ac:dyDescent="0.3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</row>
    <row r="180" spans="1:23" s="1" customFormat="1" ht="16.5" x14ac:dyDescent="0.3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</row>
    <row r="181" spans="1:23" s="1" customFormat="1" ht="16.5" x14ac:dyDescent="0.3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</row>
    <row r="182" spans="1:23" s="1" customFormat="1" ht="16.5" x14ac:dyDescent="0.3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</row>
    <row r="183" spans="1:23" s="1" customFormat="1" ht="16.5" x14ac:dyDescent="0.3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</row>
    <row r="184" spans="1:23" s="1" customFormat="1" ht="16.5" x14ac:dyDescent="0.3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</row>
    <row r="185" spans="1:23" s="1" customFormat="1" ht="16.5" x14ac:dyDescent="0.3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</row>
    <row r="186" spans="1:23" s="1" customFormat="1" ht="16.5" x14ac:dyDescent="0.3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</row>
    <row r="187" spans="1:23" s="1" customFormat="1" ht="16.5" x14ac:dyDescent="0.3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</row>
    <row r="188" spans="1:23" s="1" customFormat="1" ht="16.5" x14ac:dyDescent="0.3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</row>
    <row r="189" spans="1:23" s="1" customFormat="1" ht="16.5" x14ac:dyDescent="0.3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</row>
    <row r="190" spans="1:23" s="1" customFormat="1" ht="16.5" x14ac:dyDescent="0.3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</row>
    <row r="191" spans="1:23" s="1" customFormat="1" ht="16.5" x14ac:dyDescent="0.3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</row>
    <row r="192" spans="1:23" s="1" customFormat="1" ht="16.5" x14ac:dyDescent="0.3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</row>
    <row r="193" spans="1:23" s="1" customFormat="1" ht="16.5" x14ac:dyDescent="0.3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</row>
    <row r="194" spans="1:23" s="1" customFormat="1" ht="16.5" x14ac:dyDescent="0.3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</row>
    <row r="195" spans="1:23" s="1" customFormat="1" ht="16.5" x14ac:dyDescent="0.3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</row>
    <row r="196" spans="1:23" s="1" customFormat="1" ht="16.5" x14ac:dyDescent="0.3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</row>
    <row r="197" spans="1:23" s="1" customFormat="1" ht="16.5" x14ac:dyDescent="0.3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</row>
    <row r="198" spans="1:23" s="1" customFormat="1" ht="16.5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</row>
    <row r="199" spans="1:23" s="1" customFormat="1" ht="16.5" x14ac:dyDescent="0.3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</row>
    <row r="200" spans="1:23" s="1" customFormat="1" ht="16.5" x14ac:dyDescent="0.3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</row>
    <row r="201" spans="1:23" s="1" customFormat="1" ht="16.5" x14ac:dyDescent="0.3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</row>
    <row r="202" spans="1:23" s="1" customFormat="1" ht="16.5" x14ac:dyDescent="0.3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</row>
    <row r="203" spans="1:23" s="1" customFormat="1" ht="16.5" x14ac:dyDescent="0.3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</row>
    <row r="204" spans="1:23" s="1" customFormat="1" ht="16.5" x14ac:dyDescent="0.3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</row>
    <row r="205" spans="1:23" s="1" customFormat="1" ht="16.5" x14ac:dyDescent="0.3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</row>
    <row r="206" spans="1:23" s="1" customFormat="1" ht="16.5" x14ac:dyDescent="0.3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</row>
    <row r="207" spans="1:23" s="1" customFormat="1" ht="16.5" x14ac:dyDescent="0.3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</row>
    <row r="208" spans="1:23" s="1" customFormat="1" ht="16.5" x14ac:dyDescent="0.3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</row>
    <row r="209" spans="1:23" s="1" customFormat="1" ht="16.5" x14ac:dyDescent="0.3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</row>
    <row r="210" spans="1:23" s="1" customFormat="1" ht="16.5" x14ac:dyDescent="0.3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</row>
    <row r="211" spans="1:23" s="1" customFormat="1" ht="16.5" x14ac:dyDescent="0.3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</row>
    <row r="212" spans="1:23" s="1" customFormat="1" ht="16.5" x14ac:dyDescent="0.3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</row>
    <row r="213" spans="1:23" s="1" customFormat="1" ht="16.5" x14ac:dyDescent="0.3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</row>
    <row r="214" spans="1:23" s="1" customFormat="1" ht="16.5" x14ac:dyDescent="0.3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</row>
    <row r="215" spans="1:23" s="1" customFormat="1" ht="16.5" x14ac:dyDescent="0.3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</row>
    <row r="216" spans="1:23" s="1" customFormat="1" ht="16.5" x14ac:dyDescent="0.3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</row>
    <row r="217" spans="1:23" s="1" customFormat="1" ht="16.5" x14ac:dyDescent="0.3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</row>
    <row r="218" spans="1:23" s="1" customFormat="1" ht="16.5" x14ac:dyDescent="0.3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</row>
    <row r="219" spans="1:23" s="1" customFormat="1" ht="16.5" x14ac:dyDescent="0.3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</row>
    <row r="220" spans="1:23" s="1" customFormat="1" ht="16.5" x14ac:dyDescent="0.3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</row>
    <row r="221" spans="1:23" s="1" customFormat="1" ht="16.5" x14ac:dyDescent="0.3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</row>
    <row r="222" spans="1:23" s="1" customFormat="1" ht="16.5" x14ac:dyDescent="0.3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</row>
    <row r="223" spans="1:23" s="1" customFormat="1" ht="16.5" x14ac:dyDescent="0.3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</row>
    <row r="224" spans="1:23" s="1" customFormat="1" ht="16.5" x14ac:dyDescent="0.3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</row>
    <row r="225" spans="1:23" s="1" customFormat="1" ht="16.5" x14ac:dyDescent="0.3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</row>
    <row r="226" spans="1:23" s="1" customFormat="1" ht="16.5" x14ac:dyDescent="0.3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</row>
    <row r="227" spans="1:23" s="1" customFormat="1" ht="16.5" x14ac:dyDescent="0.3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</row>
    <row r="228" spans="1:23" s="1" customFormat="1" ht="16.5" x14ac:dyDescent="0.3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</row>
    <row r="229" spans="1:23" s="1" customFormat="1" ht="16.5" x14ac:dyDescent="0.3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</row>
    <row r="230" spans="1:23" s="1" customFormat="1" ht="16.5" x14ac:dyDescent="0.3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</row>
    <row r="231" spans="1:23" s="1" customFormat="1" ht="16.5" x14ac:dyDescent="0.3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</row>
    <row r="232" spans="1:23" s="1" customFormat="1" ht="16.5" x14ac:dyDescent="0.3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</row>
    <row r="233" spans="1:23" s="1" customFormat="1" ht="16.5" x14ac:dyDescent="0.3">
      <c r="A233" s="9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</row>
    <row r="234" spans="1:23" s="1" customFormat="1" ht="16.5" x14ac:dyDescent="0.3">
      <c r="A234" s="94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</row>
    <row r="235" spans="1:23" s="1" customFormat="1" ht="16.5" x14ac:dyDescent="0.3">
      <c r="A235" s="9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</row>
    <row r="236" spans="1:23" s="1" customFormat="1" ht="16.5" x14ac:dyDescent="0.3">
      <c r="A236" s="94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</row>
    <row r="237" spans="1:23" s="1" customFormat="1" ht="16.5" x14ac:dyDescent="0.3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</row>
    <row r="238" spans="1:23" s="1" customFormat="1" ht="16.5" x14ac:dyDescent="0.3">
      <c r="A238" s="94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</row>
    <row r="239" spans="1:23" s="1" customFormat="1" ht="16.5" x14ac:dyDescent="0.3">
      <c r="A239" s="9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</row>
    <row r="240" spans="1:23" s="1" customFormat="1" ht="16.5" x14ac:dyDescent="0.3">
      <c r="A240" s="94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</row>
    <row r="241" spans="1:23" s="1" customFormat="1" ht="16.5" x14ac:dyDescent="0.3">
      <c r="A241" s="9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</row>
    <row r="242" spans="1:23" s="1" customFormat="1" ht="16.5" x14ac:dyDescent="0.3">
      <c r="A242" s="94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</row>
    <row r="243" spans="1:23" s="1" customFormat="1" ht="16.5" x14ac:dyDescent="0.3">
      <c r="A243" s="9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</row>
    <row r="244" spans="1:23" s="1" customFormat="1" ht="16.5" x14ac:dyDescent="0.3">
      <c r="A244" s="94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</row>
    <row r="245" spans="1:23" s="1" customFormat="1" ht="16.5" x14ac:dyDescent="0.3">
      <c r="A245" s="9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</row>
    <row r="246" spans="1:23" s="1" customFormat="1" ht="16.5" x14ac:dyDescent="0.3">
      <c r="A246" s="94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</row>
    <row r="247" spans="1:23" s="1" customFormat="1" ht="16.5" x14ac:dyDescent="0.3">
      <c r="A247" s="9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</row>
    <row r="248" spans="1:23" s="1" customFormat="1" ht="16.5" x14ac:dyDescent="0.3">
      <c r="A248" s="94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</row>
    <row r="249" spans="1:23" s="1" customFormat="1" ht="16.5" x14ac:dyDescent="0.3">
      <c r="A249" s="9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</row>
    <row r="250" spans="1:23" s="1" customFormat="1" ht="16.5" x14ac:dyDescent="0.3">
      <c r="A250" s="94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</row>
    <row r="251" spans="1:23" s="1" customFormat="1" ht="16.5" x14ac:dyDescent="0.3">
      <c r="A251" s="9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</row>
    <row r="252" spans="1:23" s="1" customFormat="1" ht="16.5" x14ac:dyDescent="0.3">
      <c r="A252" s="94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</row>
    <row r="253" spans="1:23" s="1" customFormat="1" ht="16.5" x14ac:dyDescent="0.3">
      <c r="A253" s="9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</row>
    <row r="254" spans="1:23" s="1" customFormat="1" ht="16.5" x14ac:dyDescent="0.3">
      <c r="A254" s="94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</row>
    <row r="255" spans="1:23" s="1" customFormat="1" ht="16.5" x14ac:dyDescent="0.3">
      <c r="A255" s="9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</row>
    <row r="256" spans="1:23" s="1" customFormat="1" ht="16.5" x14ac:dyDescent="0.3">
      <c r="A256" s="94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</row>
    <row r="257" spans="1:23" s="1" customFormat="1" ht="16.5" x14ac:dyDescent="0.3">
      <c r="A257" s="9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</row>
    <row r="258" spans="1:23" s="1" customFormat="1" ht="16.5" x14ac:dyDescent="0.3">
      <c r="A258" s="94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</row>
    <row r="259" spans="1:23" s="1" customFormat="1" ht="16.5" x14ac:dyDescent="0.3">
      <c r="A259" s="9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</row>
    <row r="260" spans="1:23" s="1" customFormat="1" ht="16.5" x14ac:dyDescent="0.3">
      <c r="A260" s="94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</row>
    <row r="261" spans="1:23" s="1" customFormat="1" ht="16.5" x14ac:dyDescent="0.3">
      <c r="A261" s="9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</row>
    <row r="262" spans="1:23" s="1" customFormat="1" ht="16.5" x14ac:dyDescent="0.3">
      <c r="A262" s="94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</row>
    <row r="263" spans="1:23" s="1" customFormat="1" ht="16.5" x14ac:dyDescent="0.3">
      <c r="A263" s="9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</row>
    <row r="264" spans="1:23" s="1" customFormat="1" ht="16.5" x14ac:dyDescent="0.3">
      <c r="A264" s="94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</row>
    <row r="265" spans="1:23" s="1" customFormat="1" ht="16.5" x14ac:dyDescent="0.3">
      <c r="A265" s="9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</row>
    <row r="266" spans="1:23" s="1" customFormat="1" ht="16.5" x14ac:dyDescent="0.3">
      <c r="A266" s="94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</row>
    <row r="267" spans="1:23" s="1" customFormat="1" ht="16.5" x14ac:dyDescent="0.3">
      <c r="A267" s="9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</row>
    <row r="268" spans="1:23" s="1" customFormat="1" ht="16.5" x14ac:dyDescent="0.3">
      <c r="A268" s="94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</row>
    <row r="269" spans="1:23" s="1" customFormat="1" ht="16.5" x14ac:dyDescent="0.3">
      <c r="A269" s="9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</row>
    <row r="270" spans="1:23" s="1" customFormat="1" ht="16.5" x14ac:dyDescent="0.3">
      <c r="A270" s="94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</row>
    <row r="271" spans="1:23" s="1" customFormat="1" ht="16.5" x14ac:dyDescent="0.3">
      <c r="A271" s="9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</row>
    <row r="272" spans="1:23" s="1" customFormat="1" ht="16.5" x14ac:dyDescent="0.3">
      <c r="A272" s="94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</row>
    <row r="273" spans="1:23" s="1" customFormat="1" ht="16.5" x14ac:dyDescent="0.3">
      <c r="A273" s="9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</row>
    <row r="274" spans="1:23" s="1" customFormat="1" ht="16.5" x14ac:dyDescent="0.3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</row>
    <row r="275" spans="1:23" s="1" customFormat="1" ht="16.5" x14ac:dyDescent="0.3">
      <c r="A275" s="9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</row>
    <row r="276" spans="1:23" s="1" customFormat="1" ht="16.5" x14ac:dyDescent="0.3">
      <c r="A276" s="94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</row>
    <row r="277" spans="1:23" s="1" customFormat="1" ht="16.5" x14ac:dyDescent="0.3">
      <c r="A277" s="9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</row>
    <row r="278" spans="1:23" s="1" customFormat="1" ht="16.5" x14ac:dyDescent="0.3">
      <c r="A278" s="94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</row>
    <row r="279" spans="1:23" s="1" customFormat="1" ht="16.5" x14ac:dyDescent="0.3">
      <c r="A279" s="9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</row>
    <row r="280" spans="1:23" s="1" customFormat="1" ht="16.5" x14ac:dyDescent="0.3">
      <c r="A280" s="94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</row>
    <row r="281" spans="1:23" s="1" customFormat="1" ht="16.5" x14ac:dyDescent="0.3">
      <c r="A281" s="9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</row>
    <row r="282" spans="1:23" s="1" customFormat="1" ht="16.5" x14ac:dyDescent="0.3">
      <c r="A282" s="94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</row>
    <row r="283" spans="1:23" s="1" customFormat="1" ht="16.5" x14ac:dyDescent="0.3">
      <c r="A283" s="9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</row>
    <row r="284" spans="1:23" s="1" customFormat="1" ht="16.5" x14ac:dyDescent="0.3">
      <c r="A284" s="94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</row>
    <row r="285" spans="1:23" s="1" customFormat="1" ht="16.5" x14ac:dyDescent="0.3">
      <c r="A285" s="9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</row>
    <row r="286" spans="1:23" s="1" customFormat="1" ht="16.5" x14ac:dyDescent="0.3">
      <c r="A286" s="94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</row>
    <row r="287" spans="1:23" s="1" customFormat="1" ht="16.5" x14ac:dyDescent="0.3">
      <c r="A287" s="9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</row>
    <row r="288" spans="1:23" s="1" customFormat="1" ht="16.5" x14ac:dyDescent="0.3">
      <c r="A288" s="94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</row>
    <row r="289" spans="1:23" s="1" customFormat="1" ht="16.5" x14ac:dyDescent="0.3">
      <c r="A289" s="9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</row>
    <row r="290" spans="1:23" s="1" customFormat="1" ht="16.5" x14ac:dyDescent="0.3">
      <c r="A290" s="94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</row>
    <row r="291" spans="1:23" s="1" customFormat="1" ht="16.5" x14ac:dyDescent="0.3">
      <c r="A291" s="9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</row>
    <row r="292" spans="1:23" s="1" customFormat="1" ht="16.5" x14ac:dyDescent="0.3">
      <c r="A292" s="94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</row>
    <row r="293" spans="1:23" s="1" customFormat="1" ht="16.5" x14ac:dyDescent="0.3">
      <c r="A293" s="9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</row>
    <row r="294" spans="1:23" s="1" customFormat="1" ht="16.5" x14ac:dyDescent="0.3">
      <c r="A294" s="94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</row>
    <row r="295" spans="1:23" s="1" customFormat="1" ht="16.5" x14ac:dyDescent="0.3">
      <c r="A295" s="9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</row>
    <row r="296" spans="1:23" s="1" customFormat="1" ht="16.5" x14ac:dyDescent="0.3">
      <c r="A296" s="94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</row>
    <row r="297" spans="1:23" s="1" customFormat="1" ht="16.5" x14ac:dyDescent="0.3">
      <c r="A297" s="9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</row>
    <row r="298" spans="1:23" s="1" customFormat="1" ht="16.5" x14ac:dyDescent="0.3">
      <c r="A298" s="94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</row>
    <row r="299" spans="1:23" s="1" customFormat="1" ht="16.5" x14ac:dyDescent="0.3">
      <c r="A299" s="9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</row>
    <row r="300" spans="1:23" s="1" customFormat="1" ht="16.5" x14ac:dyDescent="0.3">
      <c r="A300" s="94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</row>
    <row r="301" spans="1:23" s="1" customFormat="1" ht="16.5" x14ac:dyDescent="0.3">
      <c r="A301" s="9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</row>
    <row r="302" spans="1:23" s="1" customFormat="1" ht="16.5" x14ac:dyDescent="0.3">
      <c r="A302" s="94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</row>
    <row r="303" spans="1:23" s="1" customFormat="1" ht="16.5" x14ac:dyDescent="0.3">
      <c r="A303" s="9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</row>
    <row r="304" spans="1:23" s="1" customFormat="1" ht="16.5" x14ac:dyDescent="0.3">
      <c r="A304" s="94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</row>
    <row r="305" spans="1:23" s="1" customFormat="1" ht="16.5" x14ac:dyDescent="0.3">
      <c r="A305" s="9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</row>
    <row r="306" spans="1:23" s="1" customFormat="1" ht="16.5" x14ac:dyDescent="0.3">
      <c r="A306" s="94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</row>
    <row r="307" spans="1:23" s="1" customFormat="1" ht="16.5" x14ac:dyDescent="0.3">
      <c r="A307" s="9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</row>
    <row r="308" spans="1:23" s="1" customFormat="1" ht="16.5" x14ac:dyDescent="0.3">
      <c r="A308" s="94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</row>
    <row r="309" spans="1:23" s="1" customFormat="1" ht="16.5" x14ac:dyDescent="0.3">
      <c r="A309" s="9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</row>
    <row r="310" spans="1:23" s="1" customFormat="1" ht="16.5" x14ac:dyDescent="0.3">
      <c r="A310" s="94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</row>
    <row r="311" spans="1:23" s="1" customFormat="1" ht="16.5" x14ac:dyDescent="0.3">
      <c r="A311" s="9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</row>
    <row r="312" spans="1:23" s="1" customFormat="1" ht="16.5" x14ac:dyDescent="0.3">
      <c r="A312" s="94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</row>
    <row r="313" spans="1:23" s="1" customFormat="1" ht="16.5" x14ac:dyDescent="0.3">
      <c r="A313" s="9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</row>
    <row r="314" spans="1:23" s="1" customFormat="1" ht="16.5" x14ac:dyDescent="0.3">
      <c r="A314" s="94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</row>
    <row r="315" spans="1:23" s="1" customFormat="1" ht="16.5" x14ac:dyDescent="0.3">
      <c r="A315" s="9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</row>
    <row r="316" spans="1:23" s="1" customFormat="1" ht="16.5" x14ac:dyDescent="0.3">
      <c r="A316" s="94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</row>
    <row r="317" spans="1:23" s="1" customFormat="1" ht="16.5" x14ac:dyDescent="0.3">
      <c r="A317" s="9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</row>
    <row r="318" spans="1:23" s="1" customFormat="1" ht="16.5" x14ac:dyDescent="0.3">
      <c r="A318" s="94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</row>
    <row r="319" spans="1:23" s="1" customFormat="1" ht="16.5" x14ac:dyDescent="0.3">
      <c r="A319" s="9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</row>
    <row r="320" spans="1:23" s="1" customFormat="1" ht="16.5" x14ac:dyDescent="0.3">
      <c r="A320" s="94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</row>
    <row r="321" spans="1:23" s="1" customFormat="1" ht="16.5" x14ac:dyDescent="0.3">
      <c r="A321" s="9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</row>
    <row r="322" spans="1:23" s="1" customFormat="1" ht="16.5" x14ac:dyDescent="0.3">
      <c r="A322" s="94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</row>
    <row r="323" spans="1:23" s="1" customFormat="1" ht="16.5" x14ac:dyDescent="0.3">
      <c r="A323" s="9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</row>
    <row r="324" spans="1:23" s="1" customFormat="1" ht="16.5" x14ac:dyDescent="0.3">
      <c r="A324" s="94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</row>
    <row r="325" spans="1:23" s="1" customFormat="1" ht="16.5" x14ac:dyDescent="0.3">
      <c r="A325" s="9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</row>
    <row r="326" spans="1:23" s="1" customFormat="1" ht="16.5" x14ac:dyDescent="0.3">
      <c r="A326" s="94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</row>
    <row r="327" spans="1:23" s="1" customFormat="1" ht="16.5" x14ac:dyDescent="0.3">
      <c r="A327" s="9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</row>
    <row r="328" spans="1:23" s="1" customFormat="1" ht="16.5" x14ac:dyDescent="0.3">
      <c r="A328" s="94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</row>
    <row r="329" spans="1:23" s="1" customFormat="1" ht="16.5" x14ac:dyDescent="0.3">
      <c r="A329" s="9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</row>
    <row r="330" spans="1:23" s="1" customFormat="1" ht="16.5" x14ac:dyDescent="0.3">
      <c r="A330" s="94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</row>
    <row r="331" spans="1:23" s="1" customFormat="1" ht="16.5" x14ac:dyDescent="0.3">
      <c r="A331" s="9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</row>
    <row r="332" spans="1:23" s="1" customFormat="1" ht="16.5" x14ac:dyDescent="0.3">
      <c r="A332" s="94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</row>
    <row r="333" spans="1:23" s="1" customFormat="1" ht="16.5" x14ac:dyDescent="0.3">
      <c r="A333" s="9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</row>
    <row r="334" spans="1:23" s="1" customFormat="1" ht="16.5" x14ac:dyDescent="0.3">
      <c r="A334" s="94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</row>
    <row r="335" spans="1:23" s="1" customFormat="1" ht="16.5" x14ac:dyDescent="0.3">
      <c r="A335" s="9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</row>
    <row r="336" spans="1:23" s="1" customFormat="1" ht="16.5" x14ac:dyDescent="0.3">
      <c r="A336" s="94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</row>
    <row r="337" spans="1:23" s="1" customFormat="1" ht="16.5" x14ac:dyDescent="0.3">
      <c r="A337" s="9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</row>
    <row r="338" spans="1:23" s="1" customFormat="1" ht="16.5" x14ac:dyDescent="0.3">
      <c r="A338" s="94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</row>
    <row r="339" spans="1:23" s="1" customFormat="1" ht="16.5" x14ac:dyDescent="0.3">
      <c r="A339" s="9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</row>
    <row r="340" spans="1:23" s="1" customFormat="1" ht="16.5" x14ac:dyDescent="0.3">
      <c r="A340" s="94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</row>
    <row r="341" spans="1:23" s="1" customFormat="1" ht="16.5" x14ac:dyDescent="0.3">
      <c r="A341" s="9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</row>
    <row r="342" spans="1:23" s="1" customFormat="1" ht="16.5" x14ac:dyDescent="0.3">
      <c r="A342" s="94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</row>
    <row r="343" spans="1:23" s="1" customFormat="1" ht="16.5" x14ac:dyDescent="0.3">
      <c r="A343" s="9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</row>
    <row r="344" spans="1:23" s="1" customFormat="1" ht="16.5" x14ac:dyDescent="0.3">
      <c r="A344" s="94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</row>
    <row r="345" spans="1:23" s="1" customFormat="1" ht="16.5" x14ac:dyDescent="0.3">
      <c r="A345" s="9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</row>
    <row r="346" spans="1:23" s="1" customFormat="1" ht="16.5" x14ac:dyDescent="0.3">
      <c r="A346" s="94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</row>
    <row r="347" spans="1:23" s="1" customFormat="1" ht="16.5" x14ac:dyDescent="0.3">
      <c r="A347" s="9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</row>
    <row r="348" spans="1:23" s="1" customFormat="1" ht="16.5" x14ac:dyDescent="0.3">
      <c r="A348" s="94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</row>
    <row r="349" spans="1:23" s="1" customFormat="1" ht="16.5" x14ac:dyDescent="0.3">
      <c r="A349" s="9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</row>
    <row r="350" spans="1:23" s="1" customFormat="1" ht="16.5" x14ac:dyDescent="0.3">
      <c r="A350" s="94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</row>
    <row r="351" spans="1:23" s="1" customFormat="1" ht="16.5" x14ac:dyDescent="0.3">
      <c r="A351" s="9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</row>
    <row r="352" spans="1:23" s="1" customFormat="1" ht="16.5" x14ac:dyDescent="0.3">
      <c r="A352" s="94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</row>
    <row r="353" spans="1:23" s="1" customFormat="1" ht="16.5" x14ac:dyDescent="0.3">
      <c r="A353" s="9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</row>
    <row r="354" spans="1:23" s="1" customFormat="1" ht="16.5" x14ac:dyDescent="0.3">
      <c r="A354" s="94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</row>
    <row r="355" spans="1:23" s="1" customFormat="1" ht="16.5" x14ac:dyDescent="0.3">
      <c r="A355" s="9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</row>
    <row r="356" spans="1:23" s="1" customFormat="1" ht="16.5" x14ac:dyDescent="0.3">
      <c r="A356" s="94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</row>
    <row r="357" spans="1:23" s="1" customFormat="1" ht="16.5" x14ac:dyDescent="0.3">
      <c r="A357" s="9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</row>
    <row r="358" spans="1:23" s="1" customFormat="1" ht="16.5" x14ac:dyDescent="0.3">
      <c r="A358" s="94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</row>
    <row r="359" spans="1:23" s="1" customFormat="1" ht="16.5" x14ac:dyDescent="0.3">
      <c r="A359" s="9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</row>
    <row r="360" spans="1:23" s="1" customFormat="1" ht="16.5" x14ac:dyDescent="0.3">
      <c r="A360" s="94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</row>
    <row r="361" spans="1:23" s="1" customFormat="1" ht="16.5" x14ac:dyDescent="0.3">
      <c r="A361" s="9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</row>
    <row r="362" spans="1:23" s="1" customFormat="1" ht="16.5" x14ac:dyDescent="0.3">
      <c r="A362" s="94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</row>
    <row r="363" spans="1:23" s="1" customFormat="1" ht="16.5" x14ac:dyDescent="0.3">
      <c r="A363" s="9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</row>
    <row r="364" spans="1:23" s="1" customFormat="1" ht="16.5" x14ac:dyDescent="0.3">
      <c r="A364" s="94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</row>
    <row r="365" spans="1:23" s="1" customFormat="1" ht="16.5" x14ac:dyDescent="0.3">
      <c r="A365" s="9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</row>
    <row r="366" spans="1:23" s="1" customFormat="1" ht="16.5" x14ac:dyDescent="0.3">
      <c r="A366" s="94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</row>
    <row r="367" spans="1:23" s="1" customFormat="1" ht="16.5" x14ac:dyDescent="0.3">
      <c r="A367" s="9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</row>
    <row r="368" spans="1:23" s="1" customFormat="1" ht="16.5" x14ac:dyDescent="0.3">
      <c r="A368" s="94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</row>
    <row r="369" spans="1:23" s="1" customFormat="1" ht="16.5" x14ac:dyDescent="0.3">
      <c r="A369" s="9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</row>
    <row r="370" spans="1:23" s="1" customFormat="1" ht="16.5" x14ac:dyDescent="0.3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</row>
    <row r="371" spans="1:23" s="1" customFormat="1" ht="16.5" x14ac:dyDescent="0.3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</row>
    <row r="372" spans="1:23" s="1" customFormat="1" ht="16.5" x14ac:dyDescent="0.3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</row>
    <row r="373" spans="1:23" s="1" customFormat="1" ht="16.5" x14ac:dyDescent="0.3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</row>
    <row r="374" spans="1:23" s="1" customFormat="1" ht="16.5" x14ac:dyDescent="0.3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</row>
    <row r="375" spans="1:23" s="1" customFormat="1" ht="16.5" x14ac:dyDescent="0.3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</row>
    <row r="376" spans="1:23" s="1" customFormat="1" ht="16.5" x14ac:dyDescent="0.3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</row>
    <row r="377" spans="1:23" s="1" customFormat="1" ht="16.5" x14ac:dyDescent="0.3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</row>
    <row r="378" spans="1:23" s="1" customFormat="1" ht="16.5" x14ac:dyDescent="0.3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</row>
    <row r="379" spans="1:23" s="1" customFormat="1" ht="16.5" x14ac:dyDescent="0.3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</row>
    <row r="380" spans="1:23" s="1" customFormat="1" ht="16.5" x14ac:dyDescent="0.3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</row>
    <row r="381" spans="1:23" s="1" customFormat="1" ht="16.5" x14ac:dyDescent="0.3">
      <c r="A381" s="9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</row>
    <row r="382" spans="1:23" s="1" customFormat="1" ht="16.5" x14ac:dyDescent="0.3">
      <c r="A382" s="94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</row>
    <row r="383" spans="1:23" s="1" customFormat="1" ht="16.5" x14ac:dyDescent="0.3">
      <c r="A383" s="9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</row>
    <row r="384" spans="1:23" s="1" customFormat="1" ht="16.5" x14ac:dyDescent="0.3">
      <c r="A384" s="94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</row>
    <row r="385" spans="1:23" s="1" customFormat="1" ht="16.5" x14ac:dyDescent="0.3">
      <c r="A385" s="9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</row>
    <row r="386" spans="1:23" s="1" customFormat="1" ht="16.5" x14ac:dyDescent="0.3">
      <c r="A386" s="94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</row>
    <row r="387" spans="1:23" s="1" customFormat="1" ht="16.5" x14ac:dyDescent="0.3">
      <c r="A387" s="9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</row>
    <row r="388" spans="1:23" s="1" customFormat="1" ht="16.5" x14ac:dyDescent="0.3">
      <c r="A388" s="94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</row>
    <row r="389" spans="1:23" s="1" customFormat="1" ht="16.5" x14ac:dyDescent="0.3">
      <c r="A389" s="9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</row>
    <row r="390" spans="1:23" s="1" customFormat="1" ht="16.5" x14ac:dyDescent="0.3">
      <c r="A390" s="94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</row>
    <row r="391" spans="1:23" s="1" customFormat="1" ht="16.5" x14ac:dyDescent="0.3">
      <c r="A391" s="9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</row>
    <row r="392" spans="1:23" s="1" customFormat="1" ht="16.5" x14ac:dyDescent="0.3">
      <c r="A392" s="94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</row>
    <row r="393" spans="1:23" s="1" customFormat="1" ht="16.5" x14ac:dyDescent="0.3">
      <c r="A393" s="9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</row>
    <row r="394" spans="1:23" s="1" customFormat="1" ht="16.5" x14ac:dyDescent="0.3">
      <c r="A394" s="94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</row>
    <row r="395" spans="1:23" s="1" customFormat="1" ht="16.5" x14ac:dyDescent="0.3">
      <c r="A395" s="9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</row>
    <row r="396" spans="1:23" s="1" customFormat="1" ht="16.5" x14ac:dyDescent="0.3">
      <c r="A396" s="94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</row>
    <row r="397" spans="1:23" s="1" customFormat="1" ht="16.5" x14ac:dyDescent="0.3">
      <c r="A397" s="9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</row>
    <row r="398" spans="1:23" s="1" customFormat="1" ht="16.5" x14ac:dyDescent="0.3">
      <c r="A398" s="94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</row>
    <row r="399" spans="1:23" s="1" customFormat="1" ht="16.5" x14ac:dyDescent="0.3">
      <c r="A399" s="9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</row>
    <row r="400" spans="1:23" s="1" customFormat="1" ht="16.5" x14ac:dyDescent="0.3">
      <c r="A400" s="94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</row>
    <row r="401" spans="1:23" s="1" customFormat="1" ht="16.5" x14ac:dyDescent="0.3">
      <c r="A401" s="9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</row>
    <row r="402" spans="1:23" s="1" customFormat="1" ht="16.5" x14ac:dyDescent="0.3">
      <c r="A402" s="94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</row>
  </sheetData>
  <autoFilter ref="A3:W402" xr:uid="{00000000-0009-0000-0000-000001000000}">
    <sortState ref="A4:W40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9977" priority="71583" operator="greaterThan">
      <formula>0.9</formula>
    </cfRule>
    <cfRule type="cellIs" dxfId="9976" priority="71584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59999389629810485"/>
  </sheetPr>
  <dimension ref="A1:AV72"/>
  <sheetViews>
    <sheetView zoomScaleNormal="100" workbookViewId="0">
      <selection activeCell="D19" sqref="D19"/>
    </sheetView>
  </sheetViews>
  <sheetFormatPr defaultColWidth="17.5" defaultRowHeight="13.5" x14ac:dyDescent="0.3"/>
  <cols>
    <col min="1" max="1" width="4.625" style="61" bestFit="1" customWidth="1"/>
    <col min="2" max="2" width="3.375" style="61" customWidth="1"/>
    <col min="3" max="3" width="4.625" style="61" bestFit="1" customWidth="1"/>
    <col min="4" max="9" width="29.125" style="62" customWidth="1"/>
    <col min="10" max="23" width="25" style="62" customWidth="1"/>
    <col min="24" max="48" width="17.5" style="62"/>
    <col min="49" max="16384" width="17.5" style="61"/>
  </cols>
  <sheetData>
    <row r="1" spans="1:48" x14ac:dyDescent="0.3"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</row>
    <row r="2" spans="1:48" x14ac:dyDescent="0.3"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</row>
    <row r="3" spans="1:48" x14ac:dyDescent="0.3"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</row>
    <row r="4" spans="1:48" x14ac:dyDescent="0.3">
      <c r="A4" s="114" t="s">
        <v>54</v>
      </c>
      <c r="B4" s="114"/>
      <c r="C4" s="114"/>
      <c r="D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</row>
    <row r="5" spans="1:48" x14ac:dyDescent="0.3">
      <c r="A5" s="114" t="s">
        <v>55</v>
      </c>
      <c r="B5" s="114"/>
      <c r="C5" s="114"/>
    </row>
    <row r="6" spans="1:48" x14ac:dyDescent="0.3">
      <c r="A6" s="114" t="s">
        <v>56</v>
      </c>
      <c r="B6" s="114"/>
      <c r="C6" s="114"/>
    </row>
    <row r="7" spans="1:48" x14ac:dyDescent="0.3">
      <c r="A7" s="114" t="s">
        <v>70</v>
      </c>
      <c r="B7" s="114"/>
      <c r="C7" s="114"/>
    </row>
    <row r="8" spans="1:48" x14ac:dyDescent="0.3">
      <c r="A8" s="114" t="s">
        <v>71</v>
      </c>
      <c r="B8" s="114"/>
      <c r="C8" s="114"/>
    </row>
    <row r="9" spans="1:48" x14ac:dyDescent="0.3">
      <c r="A9" s="114" t="s">
        <v>72</v>
      </c>
      <c r="B9" s="114"/>
      <c r="C9" s="114"/>
    </row>
    <row r="10" spans="1:48" x14ac:dyDescent="0.3">
      <c r="A10" s="63" t="s">
        <v>57</v>
      </c>
      <c r="B10" s="64"/>
      <c r="C10" s="65"/>
      <c r="D10" s="66" t="str">
        <f>D4&amp;IF(D5="","",","&amp;D5)&amp;IF(D6="","",","&amp;D6)&amp;IF(D7="","",","&amp;D7)&amp;IF(D8="","",","&amp;D8)&amp;IF(D9="","",","&amp;D9)</f>
        <v/>
      </c>
      <c r="E10" s="66" t="str">
        <f t="shared" ref="E10:W10" si="0">E4&amp;IF(E5="","",","&amp;E5)&amp;IF(E6="","",","&amp;E6)&amp;IF(E7="","",","&amp;E7)&amp;IF(E8="","",","&amp;E8)&amp;IF(E9="","",","&amp;E9)</f>
        <v/>
      </c>
      <c r="F10" s="66" t="str">
        <f t="shared" si="0"/>
        <v/>
      </c>
      <c r="G10" s="66" t="str">
        <f t="shared" si="0"/>
        <v/>
      </c>
      <c r="H10" s="66" t="str">
        <f t="shared" si="0"/>
        <v/>
      </c>
      <c r="I10" s="66" t="str">
        <f t="shared" si="0"/>
        <v/>
      </c>
      <c r="J10" s="66" t="str">
        <f t="shared" si="0"/>
        <v/>
      </c>
      <c r="K10" s="66" t="str">
        <f t="shared" si="0"/>
        <v/>
      </c>
      <c r="L10" s="66" t="str">
        <f t="shared" si="0"/>
        <v/>
      </c>
      <c r="M10" s="66" t="str">
        <f t="shared" si="0"/>
        <v/>
      </c>
      <c r="N10" s="66" t="str">
        <f t="shared" si="0"/>
        <v/>
      </c>
      <c r="O10" s="66" t="str">
        <f t="shared" si="0"/>
        <v/>
      </c>
      <c r="P10" s="66" t="str">
        <f t="shared" si="0"/>
        <v/>
      </c>
      <c r="Q10" s="66" t="str">
        <f t="shared" si="0"/>
        <v/>
      </c>
      <c r="R10" s="66" t="str">
        <f t="shared" si="0"/>
        <v/>
      </c>
      <c r="S10" s="66" t="str">
        <f t="shared" si="0"/>
        <v/>
      </c>
      <c r="T10" s="66" t="str">
        <f t="shared" si="0"/>
        <v/>
      </c>
      <c r="U10" s="66" t="str">
        <f t="shared" si="0"/>
        <v/>
      </c>
      <c r="V10" s="66" t="str">
        <f t="shared" si="0"/>
        <v/>
      </c>
      <c r="W10" s="66" t="str">
        <f t="shared" si="0"/>
        <v/>
      </c>
    </row>
    <row r="11" spans="1:48" x14ac:dyDescent="0.3">
      <c r="A11" s="76">
        <v>8</v>
      </c>
      <c r="B11" s="69" t="s">
        <v>58</v>
      </c>
      <c r="C11" s="7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</row>
    <row r="12" spans="1:48" x14ac:dyDescent="0.3">
      <c r="A12" s="83">
        <v>7</v>
      </c>
      <c r="B12" s="71" t="s">
        <v>58</v>
      </c>
      <c r="C12" s="77">
        <v>8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</row>
    <row r="13" spans="1:48" x14ac:dyDescent="0.3">
      <c r="A13" s="84">
        <v>6</v>
      </c>
      <c r="B13" s="67" t="s">
        <v>58</v>
      </c>
      <c r="C13" s="80">
        <v>7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1:48" x14ac:dyDescent="0.3">
      <c r="A14" s="84">
        <v>5</v>
      </c>
      <c r="B14" s="67" t="s">
        <v>58</v>
      </c>
      <c r="C14" s="80">
        <v>6</v>
      </c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</row>
    <row r="15" spans="1:48" x14ac:dyDescent="0.3">
      <c r="A15" s="84">
        <v>4</v>
      </c>
      <c r="B15" s="67" t="s">
        <v>58</v>
      </c>
      <c r="C15" s="80">
        <v>5</v>
      </c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</row>
    <row r="16" spans="1:48" x14ac:dyDescent="0.3">
      <c r="A16" s="85">
        <v>3</v>
      </c>
      <c r="B16" s="72" t="s">
        <v>58</v>
      </c>
      <c r="C16" s="81">
        <v>4</v>
      </c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</row>
    <row r="17" spans="1:23" x14ac:dyDescent="0.3">
      <c r="A17" s="85">
        <v>2.5</v>
      </c>
      <c r="B17" s="72" t="s">
        <v>58</v>
      </c>
      <c r="C17" s="81">
        <v>3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</row>
    <row r="18" spans="1:23" x14ac:dyDescent="0.3">
      <c r="A18" s="85">
        <v>2</v>
      </c>
      <c r="B18" s="72" t="s">
        <v>58</v>
      </c>
      <c r="C18" s="81">
        <v>2.5</v>
      </c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</row>
    <row r="19" spans="1:23" x14ac:dyDescent="0.3">
      <c r="A19" s="86">
        <v>1.5</v>
      </c>
      <c r="B19" s="74" t="s">
        <v>58</v>
      </c>
      <c r="C19" s="82">
        <v>2</v>
      </c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</row>
    <row r="20" spans="1:23" x14ac:dyDescent="0.3">
      <c r="A20" s="86">
        <v>1</v>
      </c>
      <c r="B20" s="74" t="s">
        <v>58</v>
      </c>
      <c r="C20" s="82">
        <v>1.5</v>
      </c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</row>
    <row r="23" spans="1:23" x14ac:dyDescent="0.3">
      <c r="A23" s="63" t="s">
        <v>46</v>
      </c>
      <c r="B23" s="64"/>
      <c r="C23" s="65"/>
      <c r="D23" s="66" t="str">
        <f>D10</f>
        <v/>
      </c>
      <c r="E23" s="66" t="str">
        <f t="shared" ref="E23:W23" si="1">E10</f>
        <v/>
      </c>
      <c r="F23" s="66" t="str">
        <f t="shared" si="1"/>
        <v/>
      </c>
      <c r="G23" s="66" t="str">
        <f t="shared" si="1"/>
        <v/>
      </c>
      <c r="H23" s="66" t="str">
        <f t="shared" si="1"/>
        <v/>
      </c>
      <c r="I23" s="66" t="str">
        <f t="shared" si="1"/>
        <v/>
      </c>
      <c r="J23" s="66" t="str">
        <f t="shared" si="1"/>
        <v/>
      </c>
      <c r="K23" s="66" t="str">
        <f t="shared" si="1"/>
        <v/>
      </c>
      <c r="L23" s="66" t="str">
        <f t="shared" si="1"/>
        <v/>
      </c>
      <c r="M23" s="66" t="str">
        <f t="shared" si="1"/>
        <v/>
      </c>
      <c r="N23" s="66" t="str">
        <f t="shared" si="1"/>
        <v/>
      </c>
      <c r="O23" s="66" t="str">
        <f t="shared" si="1"/>
        <v/>
      </c>
      <c r="P23" s="66" t="str">
        <f t="shared" si="1"/>
        <v/>
      </c>
      <c r="Q23" s="66" t="str">
        <f t="shared" si="1"/>
        <v/>
      </c>
      <c r="R23" s="66" t="str">
        <f t="shared" si="1"/>
        <v/>
      </c>
      <c r="S23" s="66" t="str">
        <f t="shared" si="1"/>
        <v/>
      </c>
      <c r="T23" s="66" t="str">
        <f t="shared" si="1"/>
        <v/>
      </c>
      <c r="U23" s="66" t="str">
        <f t="shared" si="1"/>
        <v/>
      </c>
      <c r="V23" s="66" t="str">
        <f t="shared" si="1"/>
        <v/>
      </c>
      <c r="W23" s="66" t="str">
        <f t="shared" si="1"/>
        <v/>
      </c>
    </row>
    <row r="24" spans="1:23" x14ac:dyDescent="0.3">
      <c r="A24" s="76">
        <f>IF(A11="","",A11)</f>
        <v>8</v>
      </c>
      <c r="B24" s="69" t="str">
        <f>IF(B11="","",B11)</f>
        <v>~</v>
      </c>
      <c r="C24" s="79" t="str">
        <f>IF(C11="","",C11)</f>
        <v/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</row>
    <row r="25" spans="1:23" x14ac:dyDescent="0.3">
      <c r="A25" s="83">
        <f t="shared" ref="A25:C33" si="2">IF(A12="","",A12)</f>
        <v>7</v>
      </c>
      <c r="B25" s="71" t="str">
        <f t="shared" si="2"/>
        <v>~</v>
      </c>
      <c r="C25" s="77">
        <f t="shared" si="2"/>
        <v>8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</row>
    <row r="26" spans="1:23" x14ac:dyDescent="0.3">
      <c r="A26" s="84">
        <f t="shared" si="2"/>
        <v>6</v>
      </c>
      <c r="B26" s="67" t="str">
        <f t="shared" si="2"/>
        <v>~</v>
      </c>
      <c r="C26" s="80">
        <f t="shared" si="2"/>
        <v>7</v>
      </c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</row>
    <row r="27" spans="1:23" x14ac:dyDescent="0.3">
      <c r="A27" s="84">
        <f t="shared" si="2"/>
        <v>5</v>
      </c>
      <c r="B27" s="67" t="str">
        <f t="shared" si="2"/>
        <v>~</v>
      </c>
      <c r="C27" s="80">
        <f t="shared" si="2"/>
        <v>6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1:23" x14ac:dyDescent="0.3">
      <c r="A28" s="84">
        <f t="shared" si="2"/>
        <v>4</v>
      </c>
      <c r="B28" s="67" t="str">
        <f t="shared" si="2"/>
        <v>~</v>
      </c>
      <c r="C28" s="80">
        <f t="shared" si="2"/>
        <v>5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</row>
    <row r="29" spans="1:23" x14ac:dyDescent="0.3">
      <c r="A29" s="85">
        <f t="shared" si="2"/>
        <v>3</v>
      </c>
      <c r="B29" s="72" t="str">
        <f t="shared" si="2"/>
        <v>~</v>
      </c>
      <c r="C29" s="81">
        <f t="shared" si="2"/>
        <v>4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</row>
    <row r="30" spans="1:23" x14ac:dyDescent="0.3">
      <c r="A30" s="85">
        <f t="shared" si="2"/>
        <v>2.5</v>
      </c>
      <c r="B30" s="72" t="str">
        <f t="shared" si="2"/>
        <v>~</v>
      </c>
      <c r="C30" s="81">
        <f t="shared" si="2"/>
        <v>3</v>
      </c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</row>
    <row r="31" spans="1:23" x14ac:dyDescent="0.3">
      <c r="A31" s="85">
        <f t="shared" si="2"/>
        <v>2</v>
      </c>
      <c r="B31" s="72" t="str">
        <f t="shared" si="2"/>
        <v>~</v>
      </c>
      <c r="C31" s="81">
        <f t="shared" si="2"/>
        <v>2.5</v>
      </c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</row>
    <row r="32" spans="1:23" x14ac:dyDescent="0.3">
      <c r="A32" s="86">
        <f t="shared" si="2"/>
        <v>1.5</v>
      </c>
      <c r="B32" s="74" t="str">
        <f t="shared" si="2"/>
        <v>~</v>
      </c>
      <c r="C32" s="82">
        <f t="shared" si="2"/>
        <v>2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</row>
    <row r="33" spans="1:23" x14ac:dyDescent="0.3">
      <c r="A33" s="86">
        <f t="shared" si="2"/>
        <v>1</v>
      </c>
      <c r="B33" s="74" t="str">
        <f t="shared" si="2"/>
        <v>~</v>
      </c>
      <c r="C33" s="82">
        <f t="shared" si="2"/>
        <v>1.5</v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</row>
    <row r="36" spans="1:23" x14ac:dyDescent="0.3">
      <c r="A36" s="63" t="s">
        <v>59</v>
      </c>
      <c r="B36" s="64"/>
      <c r="C36" s="65"/>
      <c r="D36" s="66" t="str">
        <f>D23</f>
        <v/>
      </c>
      <c r="E36" s="66" t="str">
        <f t="shared" ref="E36:W36" si="3">E23</f>
        <v/>
      </c>
      <c r="F36" s="66" t="str">
        <f t="shared" si="3"/>
        <v/>
      </c>
      <c r="G36" s="66" t="str">
        <f t="shared" si="3"/>
        <v/>
      </c>
      <c r="H36" s="66" t="str">
        <f t="shared" si="3"/>
        <v/>
      </c>
      <c r="I36" s="66" t="str">
        <f t="shared" si="3"/>
        <v/>
      </c>
      <c r="J36" s="66" t="str">
        <f t="shared" si="3"/>
        <v/>
      </c>
      <c r="K36" s="66" t="str">
        <f t="shared" si="3"/>
        <v/>
      </c>
      <c r="L36" s="66" t="str">
        <f t="shared" si="3"/>
        <v/>
      </c>
      <c r="M36" s="66" t="str">
        <f t="shared" si="3"/>
        <v/>
      </c>
      <c r="N36" s="66" t="str">
        <f t="shared" si="3"/>
        <v/>
      </c>
      <c r="O36" s="66" t="str">
        <f t="shared" si="3"/>
        <v/>
      </c>
      <c r="P36" s="66" t="str">
        <f t="shared" si="3"/>
        <v/>
      </c>
      <c r="Q36" s="66" t="str">
        <f t="shared" si="3"/>
        <v/>
      </c>
      <c r="R36" s="66" t="str">
        <f t="shared" si="3"/>
        <v/>
      </c>
      <c r="S36" s="66" t="str">
        <f t="shared" si="3"/>
        <v/>
      </c>
      <c r="T36" s="66" t="str">
        <f t="shared" si="3"/>
        <v/>
      </c>
      <c r="U36" s="66" t="str">
        <f t="shared" si="3"/>
        <v/>
      </c>
      <c r="V36" s="66" t="str">
        <f t="shared" si="3"/>
        <v/>
      </c>
      <c r="W36" s="66" t="str">
        <f t="shared" si="3"/>
        <v/>
      </c>
    </row>
    <row r="37" spans="1:23" x14ac:dyDescent="0.3">
      <c r="A37" s="76">
        <f>IF(A24="","",A24)</f>
        <v>8</v>
      </c>
      <c r="B37" s="69" t="str">
        <f>IF(B24="","",B24)</f>
        <v>~</v>
      </c>
      <c r="C37" s="79" t="str">
        <f>IF(C24="","",C24)</f>
        <v/>
      </c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</row>
    <row r="38" spans="1:23" x14ac:dyDescent="0.3">
      <c r="A38" s="83">
        <f t="shared" ref="A38:C46" si="4">IF(A25="","",A25)</f>
        <v>7</v>
      </c>
      <c r="B38" s="71" t="str">
        <f t="shared" si="4"/>
        <v>~</v>
      </c>
      <c r="C38" s="77">
        <f t="shared" si="4"/>
        <v>8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</row>
    <row r="39" spans="1:23" x14ac:dyDescent="0.3">
      <c r="A39" s="84">
        <f t="shared" si="4"/>
        <v>6</v>
      </c>
      <c r="B39" s="67" t="str">
        <f t="shared" si="4"/>
        <v>~</v>
      </c>
      <c r="C39" s="80">
        <f t="shared" si="4"/>
        <v>7</v>
      </c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</row>
    <row r="40" spans="1:23" x14ac:dyDescent="0.3">
      <c r="A40" s="84">
        <f t="shared" si="4"/>
        <v>5</v>
      </c>
      <c r="B40" s="67" t="str">
        <f t="shared" si="4"/>
        <v>~</v>
      </c>
      <c r="C40" s="80">
        <f t="shared" si="4"/>
        <v>6</v>
      </c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</row>
    <row r="41" spans="1:23" x14ac:dyDescent="0.3">
      <c r="A41" s="84">
        <f t="shared" si="4"/>
        <v>4</v>
      </c>
      <c r="B41" s="67" t="str">
        <f t="shared" si="4"/>
        <v>~</v>
      </c>
      <c r="C41" s="80">
        <f t="shared" si="4"/>
        <v>5</v>
      </c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</row>
    <row r="42" spans="1:23" x14ac:dyDescent="0.3">
      <c r="A42" s="85">
        <f t="shared" si="4"/>
        <v>3</v>
      </c>
      <c r="B42" s="72" t="str">
        <f t="shared" si="4"/>
        <v>~</v>
      </c>
      <c r="C42" s="81">
        <f t="shared" si="4"/>
        <v>4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</row>
    <row r="43" spans="1:23" x14ac:dyDescent="0.3">
      <c r="A43" s="85">
        <f t="shared" si="4"/>
        <v>2.5</v>
      </c>
      <c r="B43" s="72" t="str">
        <f t="shared" si="4"/>
        <v>~</v>
      </c>
      <c r="C43" s="81">
        <f t="shared" si="4"/>
        <v>3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</row>
    <row r="44" spans="1:23" x14ac:dyDescent="0.3">
      <c r="A44" s="85">
        <f t="shared" si="4"/>
        <v>2</v>
      </c>
      <c r="B44" s="72" t="str">
        <f t="shared" si="4"/>
        <v>~</v>
      </c>
      <c r="C44" s="81">
        <f t="shared" si="4"/>
        <v>2.5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</row>
    <row r="45" spans="1:23" x14ac:dyDescent="0.3">
      <c r="A45" s="86">
        <f t="shared" si="4"/>
        <v>1.5</v>
      </c>
      <c r="B45" s="74" t="str">
        <f t="shared" si="4"/>
        <v>~</v>
      </c>
      <c r="C45" s="82">
        <f t="shared" si="4"/>
        <v>2</v>
      </c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</row>
    <row r="46" spans="1:23" x14ac:dyDescent="0.3">
      <c r="A46" s="86">
        <f t="shared" si="4"/>
        <v>1</v>
      </c>
      <c r="B46" s="74" t="str">
        <f t="shared" si="4"/>
        <v>~</v>
      </c>
      <c r="C46" s="82">
        <f t="shared" si="4"/>
        <v>1.5</v>
      </c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</row>
    <row r="49" spans="1:23" x14ac:dyDescent="0.3">
      <c r="A49" s="63" t="s">
        <v>60</v>
      </c>
      <c r="B49" s="64"/>
      <c r="C49" s="65"/>
      <c r="D49" s="66" t="str">
        <f>D36</f>
        <v/>
      </c>
      <c r="E49" s="66" t="str">
        <f t="shared" ref="E49:W49" si="5">E36</f>
        <v/>
      </c>
      <c r="F49" s="66" t="str">
        <f t="shared" si="5"/>
        <v/>
      </c>
      <c r="G49" s="66" t="str">
        <f t="shared" si="5"/>
        <v/>
      </c>
      <c r="H49" s="66" t="str">
        <f t="shared" si="5"/>
        <v/>
      </c>
      <c r="I49" s="66" t="str">
        <f t="shared" si="5"/>
        <v/>
      </c>
      <c r="J49" s="66" t="str">
        <f t="shared" si="5"/>
        <v/>
      </c>
      <c r="K49" s="66" t="str">
        <f t="shared" si="5"/>
        <v/>
      </c>
      <c r="L49" s="66" t="str">
        <f t="shared" si="5"/>
        <v/>
      </c>
      <c r="M49" s="66" t="str">
        <f t="shared" si="5"/>
        <v/>
      </c>
      <c r="N49" s="66" t="str">
        <f t="shared" si="5"/>
        <v/>
      </c>
      <c r="O49" s="66" t="str">
        <f t="shared" si="5"/>
        <v/>
      </c>
      <c r="P49" s="66" t="str">
        <f t="shared" si="5"/>
        <v/>
      </c>
      <c r="Q49" s="66" t="str">
        <f t="shared" si="5"/>
        <v/>
      </c>
      <c r="R49" s="66" t="str">
        <f t="shared" si="5"/>
        <v/>
      </c>
      <c r="S49" s="66" t="str">
        <f t="shared" si="5"/>
        <v/>
      </c>
      <c r="T49" s="66" t="str">
        <f t="shared" si="5"/>
        <v/>
      </c>
      <c r="U49" s="66" t="str">
        <f t="shared" si="5"/>
        <v/>
      </c>
      <c r="V49" s="66" t="str">
        <f t="shared" si="5"/>
        <v/>
      </c>
      <c r="W49" s="66" t="str">
        <f t="shared" si="5"/>
        <v/>
      </c>
    </row>
    <row r="50" spans="1:23" x14ac:dyDescent="0.3">
      <c r="A50" s="76">
        <f>IF(A37="","",A37)</f>
        <v>8</v>
      </c>
      <c r="B50" s="69" t="str">
        <f>IF(B37="","",B37)</f>
        <v>~</v>
      </c>
      <c r="C50" s="79" t="str">
        <f>IF(C37="","",C37)</f>
        <v/>
      </c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</row>
    <row r="51" spans="1:23" x14ac:dyDescent="0.3">
      <c r="A51" s="83">
        <f t="shared" ref="A51:C59" si="6">IF(A38="","",A38)</f>
        <v>7</v>
      </c>
      <c r="B51" s="71" t="str">
        <f t="shared" si="6"/>
        <v>~</v>
      </c>
      <c r="C51" s="77">
        <f t="shared" si="6"/>
        <v>8</v>
      </c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</row>
    <row r="52" spans="1:23" x14ac:dyDescent="0.3">
      <c r="A52" s="84">
        <f t="shared" si="6"/>
        <v>6</v>
      </c>
      <c r="B52" s="67" t="str">
        <f t="shared" si="6"/>
        <v>~</v>
      </c>
      <c r="C52" s="80">
        <f t="shared" si="6"/>
        <v>7</v>
      </c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</row>
    <row r="53" spans="1:23" x14ac:dyDescent="0.3">
      <c r="A53" s="84">
        <f t="shared" si="6"/>
        <v>5</v>
      </c>
      <c r="B53" s="67" t="str">
        <f t="shared" si="6"/>
        <v>~</v>
      </c>
      <c r="C53" s="80">
        <f t="shared" si="6"/>
        <v>6</v>
      </c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</row>
    <row r="54" spans="1:23" x14ac:dyDescent="0.3">
      <c r="A54" s="84">
        <f t="shared" si="6"/>
        <v>4</v>
      </c>
      <c r="B54" s="67" t="str">
        <f t="shared" si="6"/>
        <v>~</v>
      </c>
      <c r="C54" s="80">
        <f t="shared" si="6"/>
        <v>5</v>
      </c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</row>
    <row r="55" spans="1:23" x14ac:dyDescent="0.3">
      <c r="A55" s="85">
        <f t="shared" si="6"/>
        <v>3</v>
      </c>
      <c r="B55" s="72" t="str">
        <f t="shared" si="6"/>
        <v>~</v>
      </c>
      <c r="C55" s="81">
        <f t="shared" si="6"/>
        <v>4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</row>
    <row r="56" spans="1:23" x14ac:dyDescent="0.3">
      <c r="A56" s="85">
        <f t="shared" si="6"/>
        <v>2.5</v>
      </c>
      <c r="B56" s="72" t="str">
        <f t="shared" si="6"/>
        <v>~</v>
      </c>
      <c r="C56" s="81">
        <f t="shared" si="6"/>
        <v>3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</row>
    <row r="57" spans="1:23" x14ac:dyDescent="0.3">
      <c r="A57" s="85">
        <f t="shared" si="6"/>
        <v>2</v>
      </c>
      <c r="B57" s="72" t="str">
        <f t="shared" si="6"/>
        <v>~</v>
      </c>
      <c r="C57" s="81">
        <f t="shared" si="6"/>
        <v>2.5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</row>
    <row r="58" spans="1:23" x14ac:dyDescent="0.3">
      <c r="A58" s="86">
        <f t="shared" si="6"/>
        <v>1.5</v>
      </c>
      <c r="B58" s="74" t="str">
        <f t="shared" si="6"/>
        <v>~</v>
      </c>
      <c r="C58" s="82">
        <f t="shared" si="6"/>
        <v>2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</row>
    <row r="59" spans="1:23" x14ac:dyDescent="0.3">
      <c r="A59" s="86">
        <f t="shared" si="6"/>
        <v>1</v>
      </c>
      <c r="B59" s="74" t="str">
        <f t="shared" si="6"/>
        <v>~</v>
      </c>
      <c r="C59" s="82">
        <f t="shared" si="6"/>
        <v>1.5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</row>
    <row r="62" spans="1:23" x14ac:dyDescent="0.3">
      <c r="A62" s="63" t="s">
        <v>45</v>
      </c>
      <c r="B62" s="64"/>
      <c r="C62" s="65"/>
      <c r="D62" s="66" t="str">
        <f>D49</f>
        <v/>
      </c>
      <c r="E62" s="66" t="str">
        <f t="shared" ref="E62:W62" si="7">E49</f>
        <v/>
      </c>
      <c r="F62" s="66" t="str">
        <f t="shared" si="7"/>
        <v/>
      </c>
      <c r="G62" s="66" t="str">
        <f t="shared" si="7"/>
        <v/>
      </c>
      <c r="H62" s="66" t="str">
        <f t="shared" si="7"/>
        <v/>
      </c>
      <c r="I62" s="66" t="str">
        <f t="shared" si="7"/>
        <v/>
      </c>
      <c r="J62" s="66" t="str">
        <f t="shared" si="7"/>
        <v/>
      </c>
      <c r="K62" s="66" t="str">
        <f t="shared" si="7"/>
        <v/>
      </c>
      <c r="L62" s="66" t="str">
        <f t="shared" si="7"/>
        <v/>
      </c>
      <c r="M62" s="66" t="str">
        <f t="shared" si="7"/>
        <v/>
      </c>
      <c r="N62" s="66" t="str">
        <f t="shared" si="7"/>
        <v/>
      </c>
      <c r="O62" s="66" t="str">
        <f t="shared" si="7"/>
        <v/>
      </c>
      <c r="P62" s="66" t="str">
        <f t="shared" si="7"/>
        <v/>
      </c>
      <c r="Q62" s="66" t="str">
        <f t="shared" si="7"/>
        <v/>
      </c>
      <c r="R62" s="66" t="str">
        <f t="shared" si="7"/>
        <v/>
      </c>
      <c r="S62" s="66" t="str">
        <f t="shared" si="7"/>
        <v/>
      </c>
      <c r="T62" s="66" t="str">
        <f t="shared" si="7"/>
        <v/>
      </c>
      <c r="U62" s="66" t="str">
        <f t="shared" si="7"/>
        <v/>
      </c>
      <c r="V62" s="66" t="str">
        <f t="shared" si="7"/>
        <v/>
      </c>
      <c r="W62" s="66" t="str">
        <f t="shared" si="7"/>
        <v/>
      </c>
    </row>
    <row r="63" spans="1:23" x14ac:dyDescent="0.3">
      <c r="A63" s="76">
        <f>IF(A50="","",A50)</f>
        <v>8</v>
      </c>
      <c r="B63" s="69" t="str">
        <f>IF(B50="","",B50)</f>
        <v>~</v>
      </c>
      <c r="C63" s="79" t="str">
        <f>IF(C50="","",C50)</f>
        <v/>
      </c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</row>
    <row r="64" spans="1:23" x14ac:dyDescent="0.3">
      <c r="A64" s="83">
        <f t="shared" ref="A64:C72" si="8">IF(A51="","",A51)</f>
        <v>7</v>
      </c>
      <c r="B64" s="71" t="str">
        <f t="shared" si="8"/>
        <v>~</v>
      </c>
      <c r="C64" s="77">
        <f t="shared" si="8"/>
        <v>8</v>
      </c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</row>
    <row r="65" spans="1:23" x14ac:dyDescent="0.3">
      <c r="A65" s="84">
        <f t="shared" si="8"/>
        <v>6</v>
      </c>
      <c r="B65" s="67" t="str">
        <f t="shared" si="8"/>
        <v>~</v>
      </c>
      <c r="C65" s="80">
        <f t="shared" si="8"/>
        <v>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</row>
    <row r="66" spans="1:23" x14ac:dyDescent="0.3">
      <c r="A66" s="84">
        <f t="shared" si="8"/>
        <v>5</v>
      </c>
      <c r="B66" s="67" t="str">
        <f t="shared" si="8"/>
        <v>~</v>
      </c>
      <c r="C66" s="80">
        <f t="shared" si="8"/>
        <v>6</v>
      </c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</row>
    <row r="67" spans="1:23" x14ac:dyDescent="0.3">
      <c r="A67" s="84">
        <f t="shared" si="8"/>
        <v>4</v>
      </c>
      <c r="B67" s="67" t="str">
        <f t="shared" si="8"/>
        <v>~</v>
      </c>
      <c r="C67" s="80">
        <f t="shared" si="8"/>
        <v>5</v>
      </c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</row>
    <row r="68" spans="1:23" x14ac:dyDescent="0.3">
      <c r="A68" s="85">
        <f t="shared" si="8"/>
        <v>3</v>
      </c>
      <c r="B68" s="72" t="str">
        <f t="shared" si="8"/>
        <v>~</v>
      </c>
      <c r="C68" s="81">
        <f t="shared" si="8"/>
        <v>4</v>
      </c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</row>
    <row r="69" spans="1:23" x14ac:dyDescent="0.3">
      <c r="A69" s="85">
        <f t="shared" si="8"/>
        <v>2.5</v>
      </c>
      <c r="B69" s="72" t="str">
        <f t="shared" si="8"/>
        <v>~</v>
      </c>
      <c r="C69" s="81">
        <f t="shared" si="8"/>
        <v>3</v>
      </c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</row>
    <row r="70" spans="1:23" x14ac:dyDescent="0.3">
      <c r="A70" s="85">
        <f t="shared" si="8"/>
        <v>2</v>
      </c>
      <c r="B70" s="72" t="str">
        <f t="shared" si="8"/>
        <v>~</v>
      </c>
      <c r="C70" s="81">
        <f t="shared" si="8"/>
        <v>2.5</v>
      </c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</row>
    <row r="71" spans="1:23" x14ac:dyDescent="0.3">
      <c r="A71" s="86">
        <f t="shared" si="8"/>
        <v>1.5</v>
      </c>
      <c r="B71" s="74" t="str">
        <f t="shared" si="8"/>
        <v>~</v>
      </c>
      <c r="C71" s="82">
        <f t="shared" si="8"/>
        <v>2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</row>
    <row r="72" spans="1:23" x14ac:dyDescent="0.3">
      <c r="A72" s="86">
        <f t="shared" si="8"/>
        <v>1</v>
      </c>
      <c r="B72" s="74" t="str">
        <f t="shared" si="8"/>
        <v>~</v>
      </c>
      <c r="C72" s="82">
        <f t="shared" si="8"/>
        <v>1.5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</row>
  </sheetData>
  <mergeCells count="6">
    <mergeCell ref="A9:C9"/>
    <mergeCell ref="A4:C4"/>
    <mergeCell ref="A5:C5"/>
    <mergeCell ref="A6:C6"/>
    <mergeCell ref="A7:C7"/>
    <mergeCell ref="A8:C8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_6dong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H671"/>
  <sheetViews>
    <sheetView workbookViewId="0">
      <selection activeCell="B3" sqref="B3"/>
    </sheetView>
  </sheetViews>
  <sheetFormatPr defaultRowHeight="16.5" x14ac:dyDescent="0.3"/>
  <cols>
    <col min="1" max="1" width="5.375" style="94" bestFit="1" customWidth="1"/>
    <col min="2" max="2" width="26.875" style="94" bestFit="1" customWidth="1"/>
    <col min="3" max="3" width="21.375" style="94" bestFit="1" customWidth="1"/>
    <col min="4" max="4" width="8.625" style="94" bestFit="1" customWidth="1"/>
    <col min="5" max="5" width="8" style="94" bestFit="1" customWidth="1"/>
    <col min="6" max="6" width="14.625" style="94" bestFit="1" customWidth="1"/>
    <col min="7" max="8" width="9" style="94" bestFit="1" customWidth="1"/>
  </cols>
  <sheetData>
    <row r="1" spans="1:8" ht="59.25" customHeight="1" x14ac:dyDescent="0.3">
      <c r="A1"/>
      <c r="B1"/>
      <c r="C1"/>
      <c r="D1"/>
      <c r="E1"/>
      <c r="F1"/>
      <c r="G1"/>
      <c r="H1"/>
    </row>
    <row r="2" spans="1:8" x14ac:dyDescent="0.3">
      <c r="A2" s="100" t="s">
        <v>83</v>
      </c>
      <c r="B2" s="100" t="s">
        <v>75</v>
      </c>
      <c r="C2" s="100" t="s">
        <v>76</v>
      </c>
      <c r="D2" s="101" t="s">
        <v>77</v>
      </c>
      <c r="E2" s="101" t="s">
        <v>78</v>
      </c>
      <c r="F2" s="100" t="s">
        <v>79</v>
      </c>
      <c r="G2" s="101" t="s">
        <v>80</v>
      </c>
      <c r="H2" s="101" t="s">
        <v>81</v>
      </c>
    </row>
    <row r="3" spans="1:8" x14ac:dyDescent="0.3">
      <c r="A3" s="103"/>
      <c r="B3" s="95"/>
      <c r="C3" s="102"/>
      <c r="D3" s="99"/>
      <c r="E3" s="96"/>
      <c r="F3" s="97"/>
      <c r="G3" s="98"/>
      <c r="H3" s="98"/>
    </row>
    <row r="4" spans="1:8" x14ac:dyDescent="0.3">
      <c r="A4" s="103"/>
      <c r="B4" s="95"/>
      <c r="C4" s="102"/>
      <c r="D4" s="99"/>
      <c r="E4" s="96"/>
      <c r="F4" s="97"/>
      <c r="G4" s="98"/>
      <c r="H4" s="98"/>
    </row>
    <row r="5" spans="1:8" x14ac:dyDescent="0.3">
      <c r="A5" s="103"/>
      <c r="B5" s="95"/>
      <c r="C5" s="102"/>
      <c r="D5" s="99"/>
      <c r="E5" s="96"/>
      <c r="F5" s="97"/>
      <c r="G5" s="98"/>
      <c r="H5" s="98"/>
    </row>
    <row r="6" spans="1:8" x14ac:dyDescent="0.3">
      <c r="A6" s="103"/>
      <c r="B6" s="104"/>
      <c r="C6" s="102"/>
      <c r="D6" s="99"/>
      <c r="E6" s="96"/>
      <c r="F6" s="97"/>
      <c r="G6" s="98"/>
      <c r="H6" s="98"/>
    </row>
    <row r="7" spans="1:8" x14ac:dyDescent="0.3">
      <c r="A7" s="103"/>
      <c r="B7" s="105"/>
      <c r="C7" s="102"/>
      <c r="D7" s="99"/>
      <c r="E7" s="96"/>
      <c r="F7" s="97"/>
      <c r="G7" s="98"/>
      <c r="H7" s="98"/>
    </row>
    <row r="8" spans="1:8" x14ac:dyDescent="0.3">
      <c r="A8" s="103"/>
      <c r="B8" s="105"/>
      <c r="C8" s="102"/>
      <c r="D8" s="99"/>
      <c r="E8" s="96"/>
      <c r="F8" s="97"/>
      <c r="G8" s="98"/>
      <c r="H8" s="98"/>
    </row>
    <row r="9" spans="1:8" x14ac:dyDescent="0.3">
      <c r="A9" s="103"/>
      <c r="B9" s="105"/>
      <c r="C9" s="102"/>
      <c r="D9" s="99"/>
      <c r="E9" s="96"/>
      <c r="F9" s="97"/>
      <c r="G9" s="98"/>
      <c r="H9" s="98"/>
    </row>
    <row r="10" spans="1:8" x14ac:dyDescent="0.3">
      <c r="A10" s="103"/>
      <c r="B10" s="105"/>
      <c r="C10" s="102"/>
      <c r="D10" s="99"/>
      <c r="E10" s="96"/>
      <c r="F10" s="97"/>
      <c r="G10" s="98"/>
      <c r="H10" s="98"/>
    </row>
    <row r="11" spans="1:8" x14ac:dyDescent="0.3">
      <c r="A11" s="103"/>
      <c r="B11" s="105"/>
      <c r="C11" s="102"/>
      <c r="D11" s="99"/>
      <c r="E11" s="96"/>
      <c r="F11" s="97"/>
      <c r="G11" s="98"/>
      <c r="H11" s="98"/>
    </row>
    <row r="12" spans="1:8" x14ac:dyDescent="0.3">
      <c r="A12" s="103"/>
      <c r="B12" s="105"/>
      <c r="C12" s="102"/>
      <c r="D12" s="99"/>
      <c r="E12" s="96"/>
      <c r="F12" s="97"/>
      <c r="G12" s="98"/>
      <c r="H12" s="98"/>
    </row>
    <row r="13" spans="1:8" x14ac:dyDescent="0.3">
      <c r="A13" s="103"/>
      <c r="B13" s="105"/>
      <c r="C13" s="102"/>
      <c r="D13" s="99"/>
      <c r="E13" s="96"/>
      <c r="F13" s="97"/>
      <c r="G13" s="98"/>
      <c r="H13" s="98"/>
    </row>
    <row r="14" spans="1:8" x14ac:dyDescent="0.3">
      <c r="A14" s="103"/>
      <c r="B14" s="105"/>
      <c r="C14" s="102"/>
      <c r="D14" s="99"/>
      <c r="E14" s="96"/>
      <c r="F14" s="97"/>
      <c r="G14" s="98"/>
      <c r="H14" s="98"/>
    </row>
    <row r="15" spans="1:8" x14ac:dyDescent="0.3">
      <c r="A15" s="103"/>
      <c r="B15" s="105"/>
      <c r="C15" s="102"/>
      <c r="D15" s="99"/>
      <c r="E15" s="96"/>
      <c r="F15" s="97"/>
      <c r="G15" s="98"/>
      <c r="H15" s="98"/>
    </row>
    <row r="16" spans="1:8" x14ac:dyDescent="0.3">
      <c r="A16" s="103"/>
      <c r="B16" s="105"/>
      <c r="C16" s="102"/>
      <c r="D16" s="99"/>
      <c r="E16" s="96"/>
      <c r="F16" s="97"/>
      <c r="G16" s="98"/>
      <c r="H16" s="98"/>
    </row>
    <row r="17" spans="1:8" x14ac:dyDescent="0.3">
      <c r="A17" s="103"/>
      <c r="B17" s="105"/>
      <c r="C17" s="102"/>
      <c r="D17" s="99"/>
      <c r="E17" s="96"/>
      <c r="F17" s="97"/>
      <c r="G17" s="98"/>
      <c r="H17" s="98"/>
    </row>
    <row r="18" spans="1:8" x14ac:dyDescent="0.3">
      <c r="A18" s="103"/>
      <c r="B18" s="105"/>
      <c r="C18" s="102"/>
      <c r="D18" s="99"/>
      <c r="E18" s="96"/>
      <c r="F18" s="97"/>
      <c r="G18" s="98"/>
      <c r="H18" s="98"/>
    </row>
    <row r="19" spans="1:8" x14ac:dyDescent="0.3">
      <c r="A19" s="103"/>
      <c r="B19" s="105"/>
      <c r="C19" s="102"/>
      <c r="D19" s="99"/>
      <c r="E19" s="96"/>
      <c r="F19" s="97"/>
      <c r="G19" s="98"/>
      <c r="H19" s="98"/>
    </row>
    <row r="20" spans="1:8" x14ac:dyDescent="0.3">
      <c r="A20" s="103"/>
      <c r="B20" s="105"/>
      <c r="C20" s="102"/>
      <c r="D20" s="99"/>
      <c r="E20" s="96"/>
      <c r="F20" s="97"/>
      <c r="G20" s="98"/>
      <c r="H20" s="98"/>
    </row>
    <row r="21" spans="1:8" x14ac:dyDescent="0.3">
      <c r="A21" s="103"/>
      <c r="B21" s="105"/>
      <c r="C21" s="102"/>
      <c r="D21" s="99"/>
      <c r="E21" s="96"/>
      <c r="F21" s="97"/>
      <c r="G21" s="98"/>
      <c r="H21" s="98"/>
    </row>
    <row r="22" spans="1:8" x14ac:dyDescent="0.3">
      <c r="A22" s="103"/>
      <c r="B22" s="105"/>
      <c r="C22" s="102"/>
      <c r="D22" s="99"/>
      <c r="E22" s="96"/>
      <c r="F22" s="97"/>
      <c r="G22" s="98"/>
      <c r="H22" s="98"/>
    </row>
    <row r="23" spans="1:8" x14ac:dyDescent="0.3">
      <c r="A23" s="103"/>
      <c r="B23" s="105"/>
      <c r="C23" s="102"/>
      <c r="D23" s="99"/>
      <c r="E23" s="96"/>
      <c r="F23" s="97"/>
      <c r="G23" s="98"/>
      <c r="H23" s="98"/>
    </row>
    <row r="24" spans="1:8" x14ac:dyDescent="0.3">
      <c r="A24" s="103"/>
      <c r="B24" s="105"/>
      <c r="C24" s="102"/>
      <c r="D24" s="99"/>
      <c r="E24" s="96"/>
      <c r="F24" s="97"/>
      <c r="G24" s="98"/>
      <c r="H24" s="98"/>
    </row>
    <row r="25" spans="1:8" x14ac:dyDescent="0.3">
      <c r="A25" s="103"/>
      <c r="B25" s="105"/>
      <c r="C25" s="102"/>
      <c r="D25" s="99"/>
      <c r="E25" s="96"/>
      <c r="F25" s="97"/>
      <c r="G25" s="98"/>
      <c r="H25" s="98"/>
    </row>
    <row r="26" spans="1:8" x14ac:dyDescent="0.3">
      <c r="A26" s="103"/>
      <c r="B26" s="105"/>
      <c r="C26" s="102"/>
      <c r="D26" s="99"/>
      <c r="E26" s="96"/>
      <c r="F26" s="97"/>
      <c r="G26" s="98"/>
      <c r="H26" s="98"/>
    </row>
    <row r="27" spans="1:8" x14ac:dyDescent="0.3">
      <c r="A27" s="103"/>
      <c r="B27" s="105"/>
      <c r="C27" s="102"/>
      <c r="D27" s="99"/>
      <c r="E27" s="96"/>
      <c r="F27" s="97"/>
      <c r="G27" s="98"/>
      <c r="H27" s="98"/>
    </row>
    <row r="28" spans="1:8" x14ac:dyDescent="0.3">
      <c r="A28" s="103"/>
      <c r="B28" s="105"/>
      <c r="C28" s="102"/>
      <c r="D28" s="99"/>
      <c r="E28" s="96"/>
      <c r="F28" s="97"/>
      <c r="G28" s="98"/>
      <c r="H28" s="98"/>
    </row>
    <row r="29" spans="1:8" x14ac:dyDescent="0.3">
      <c r="A29" s="103"/>
      <c r="B29" s="105"/>
      <c r="C29" s="102"/>
      <c r="D29" s="99"/>
      <c r="E29" s="96"/>
      <c r="F29" s="97"/>
      <c r="G29" s="98"/>
      <c r="H29" s="98"/>
    </row>
    <row r="30" spans="1:8" x14ac:dyDescent="0.3">
      <c r="A30" s="103"/>
      <c r="B30" s="105"/>
      <c r="C30" s="102"/>
      <c r="D30" s="99"/>
      <c r="E30" s="96"/>
      <c r="F30" s="97"/>
      <c r="G30" s="98"/>
      <c r="H30" s="98"/>
    </row>
    <row r="31" spans="1:8" x14ac:dyDescent="0.3">
      <c r="A31" s="103"/>
      <c r="B31" s="105"/>
      <c r="C31" s="102"/>
      <c r="D31" s="99"/>
      <c r="E31" s="96"/>
      <c r="F31" s="97"/>
      <c r="G31" s="98"/>
      <c r="H31" s="98"/>
    </row>
    <row r="32" spans="1:8" x14ac:dyDescent="0.3">
      <c r="A32" s="103"/>
      <c r="B32" s="105"/>
      <c r="C32" s="102"/>
      <c r="D32" s="99"/>
      <c r="E32" s="96"/>
      <c r="F32" s="97"/>
      <c r="G32" s="98"/>
      <c r="H32" s="98"/>
    </row>
    <row r="33" spans="1:8" x14ac:dyDescent="0.3">
      <c r="A33" s="103"/>
      <c r="B33" s="105"/>
      <c r="C33" s="102"/>
      <c r="D33" s="99"/>
      <c r="E33" s="96"/>
      <c r="F33" s="97"/>
      <c r="G33" s="98"/>
      <c r="H33" s="98"/>
    </row>
    <row r="34" spans="1:8" x14ac:dyDescent="0.3">
      <c r="A34" s="103"/>
      <c r="B34" s="105"/>
      <c r="C34" s="102"/>
      <c r="D34" s="99"/>
      <c r="E34" s="96"/>
      <c r="F34" s="97"/>
      <c r="G34" s="98"/>
      <c r="H34" s="98"/>
    </row>
    <row r="35" spans="1:8" x14ac:dyDescent="0.3">
      <c r="A35" s="103"/>
      <c r="B35" s="105"/>
      <c r="C35" s="102"/>
      <c r="D35" s="99"/>
      <c r="E35" s="96"/>
      <c r="F35" s="97"/>
      <c r="G35" s="98"/>
      <c r="H35" s="98"/>
    </row>
    <row r="36" spans="1:8" x14ac:dyDescent="0.3">
      <c r="A36" s="103"/>
      <c r="B36" s="105"/>
      <c r="C36" s="102"/>
      <c r="D36" s="99"/>
      <c r="E36" s="96"/>
      <c r="F36" s="97"/>
      <c r="G36" s="98"/>
      <c r="H36" s="98"/>
    </row>
    <row r="37" spans="1:8" x14ac:dyDescent="0.3">
      <c r="A37" s="103"/>
      <c r="B37" s="105"/>
      <c r="C37" s="102"/>
      <c r="D37" s="99"/>
      <c r="E37" s="96"/>
      <c r="F37" s="97"/>
      <c r="G37" s="98"/>
      <c r="H37" s="98"/>
    </row>
    <row r="38" spans="1:8" x14ac:dyDescent="0.3">
      <c r="A38" s="103"/>
      <c r="B38" s="105"/>
      <c r="C38" s="102"/>
      <c r="D38" s="99"/>
      <c r="E38" s="96"/>
      <c r="F38" s="97"/>
      <c r="G38" s="98"/>
      <c r="H38" s="98"/>
    </row>
    <row r="39" spans="1:8" x14ac:dyDescent="0.3">
      <c r="A39" s="103"/>
      <c r="B39" s="105"/>
      <c r="C39" s="102"/>
      <c r="D39" s="99"/>
      <c r="E39" s="96"/>
      <c r="F39" s="97"/>
      <c r="G39" s="98"/>
      <c r="H39" s="98"/>
    </row>
    <row r="40" spans="1:8" x14ac:dyDescent="0.3">
      <c r="A40" s="103"/>
      <c r="B40" s="105"/>
      <c r="C40" s="102"/>
      <c r="D40" s="99"/>
      <c r="E40" s="96"/>
      <c r="F40" s="97"/>
      <c r="G40" s="98"/>
      <c r="H40" s="98"/>
    </row>
    <row r="41" spans="1:8" x14ac:dyDescent="0.3">
      <c r="A41" s="103"/>
      <c r="B41" s="105"/>
      <c r="C41" s="102"/>
      <c r="D41" s="99"/>
      <c r="E41" s="96"/>
      <c r="F41" s="97"/>
      <c r="G41" s="98"/>
      <c r="H41" s="98"/>
    </row>
    <row r="42" spans="1:8" x14ac:dyDescent="0.3">
      <c r="A42" s="103"/>
      <c r="B42" s="105"/>
      <c r="C42" s="102"/>
      <c r="D42" s="99"/>
      <c r="E42" s="96"/>
      <c r="F42" s="97"/>
      <c r="G42" s="98"/>
      <c r="H42" s="98"/>
    </row>
    <row r="43" spans="1:8" x14ac:dyDescent="0.3">
      <c r="A43" s="103"/>
      <c r="B43" s="105"/>
      <c r="C43" s="102"/>
      <c r="D43" s="99"/>
      <c r="E43" s="96"/>
      <c r="F43" s="97"/>
      <c r="G43" s="98"/>
      <c r="H43" s="98"/>
    </row>
    <row r="44" spans="1:8" x14ac:dyDescent="0.3">
      <c r="A44" s="103"/>
      <c r="B44" s="105"/>
      <c r="C44" s="102"/>
      <c r="D44" s="99"/>
      <c r="E44" s="96"/>
      <c r="F44" s="97"/>
      <c r="G44" s="98"/>
      <c r="H44" s="98"/>
    </row>
    <row r="45" spans="1:8" x14ac:dyDescent="0.3">
      <c r="A45" s="103"/>
      <c r="B45" s="105"/>
      <c r="C45" s="102"/>
      <c r="D45" s="99"/>
      <c r="E45" s="96"/>
      <c r="F45" s="97"/>
      <c r="G45" s="98"/>
      <c r="H45" s="98"/>
    </row>
    <row r="46" spans="1:8" x14ac:dyDescent="0.3">
      <c r="A46" s="103"/>
      <c r="B46" s="105"/>
      <c r="C46" s="102"/>
      <c r="D46" s="99"/>
      <c r="E46" s="96"/>
      <c r="F46" s="97"/>
      <c r="G46" s="98"/>
      <c r="H46" s="98"/>
    </row>
    <row r="47" spans="1:8" x14ac:dyDescent="0.3">
      <c r="A47" s="103"/>
      <c r="B47" s="105"/>
      <c r="C47" s="102"/>
      <c r="D47" s="99"/>
      <c r="E47" s="96"/>
      <c r="F47" s="97"/>
      <c r="G47" s="98"/>
      <c r="H47" s="98"/>
    </row>
    <row r="48" spans="1:8" x14ac:dyDescent="0.3">
      <c r="A48" s="103"/>
      <c r="B48" s="105"/>
      <c r="C48" s="102"/>
      <c r="D48" s="99"/>
      <c r="E48" s="96"/>
      <c r="F48" s="97"/>
      <c r="G48" s="98"/>
      <c r="H48" s="98"/>
    </row>
    <row r="49" spans="1:8" x14ac:dyDescent="0.3">
      <c r="A49" s="103"/>
      <c r="B49" s="105"/>
      <c r="C49" s="102"/>
      <c r="D49" s="99"/>
      <c r="E49" s="96"/>
      <c r="F49" s="97"/>
      <c r="G49" s="98"/>
      <c r="H49" s="98"/>
    </row>
    <row r="50" spans="1:8" x14ac:dyDescent="0.3">
      <c r="A50" s="103"/>
      <c r="B50" s="105"/>
      <c r="C50" s="102"/>
      <c r="D50" s="99"/>
      <c r="E50" s="96"/>
      <c r="F50" s="97"/>
      <c r="G50" s="98"/>
      <c r="H50" s="98"/>
    </row>
    <row r="51" spans="1:8" x14ac:dyDescent="0.3">
      <c r="A51" s="103"/>
      <c r="B51" s="105"/>
      <c r="C51" s="102"/>
      <c r="D51" s="99"/>
      <c r="E51" s="96"/>
      <c r="F51" s="97"/>
      <c r="G51" s="98"/>
      <c r="H51" s="98"/>
    </row>
    <row r="52" spans="1:8" x14ac:dyDescent="0.3">
      <c r="A52" s="103"/>
      <c r="B52" s="105"/>
      <c r="C52" s="102"/>
      <c r="D52" s="99"/>
      <c r="E52" s="96"/>
      <c r="F52" s="97"/>
      <c r="G52" s="98"/>
      <c r="H52" s="98"/>
    </row>
    <row r="53" spans="1:8" x14ac:dyDescent="0.3">
      <c r="A53" s="103"/>
      <c r="B53" s="105"/>
      <c r="C53" s="102"/>
      <c r="D53" s="99"/>
      <c r="E53" s="96"/>
      <c r="F53" s="97"/>
      <c r="G53" s="98"/>
      <c r="H53" s="98"/>
    </row>
    <row r="54" spans="1:8" x14ac:dyDescent="0.3">
      <c r="A54" s="103"/>
      <c r="B54" s="105"/>
      <c r="C54" s="102"/>
      <c r="D54" s="99"/>
      <c r="E54" s="96"/>
      <c r="F54" s="97"/>
      <c r="G54" s="98"/>
      <c r="H54" s="98"/>
    </row>
    <row r="55" spans="1:8" x14ac:dyDescent="0.3">
      <c r="A55" s="103"/>
      <c r="B55" s="105"/>
      <c r="C55" s="102"/>
      <c r="D55" s="99"/>
      <c r="E55" s="96"/>
      <c r="F55" s="97"/>
      <c r="G55" s="98"/>
      <c r="H55" s="98"/>
    </row>
    <row r="56" spans="1:8" x14ac:dyDescent="0.3">
      <c r="A56" s="103"/>
      <c r="B56" s="105"/>
      <c r="C56" s="102"/>
      <c r="D56" s="99"/>
      <c r="E56" s="96"/>
      <c r="F56" s="97"/>
      <c r="G56" s="98"/>
      <c r="H56" s="98"/>
    </row>
    <row r="57" spans="1:8" x14ac:dyDescent="0.3">
      <c r="A57" s="103"/>
      <c r="B57" s="105"/>
      <c r="C57" s="102"/>
      <c r="D57" s="99"/>
      <c r="E57" s="96"/>
      <c r="F57" s="97"/>
      <c r="G57" s="98"/>
      <c r="H57" s="98"/>
    </row>
    <row r="58" spans="1:8" x14ac:dyDescent="0.3">
      <c r="A58" s="103"/>
      <c r="B58" s="105"/>
      <c r="C58" s="102"/>
      <c r="D58" s="99"/>
      <c r="E58" s="96"/>
      <c r="F58" s="97"/>
      <c r="G58" s="98"/>
      <c r="H58" s="98"/>
    </row>
    <row r="59" spans="1:8" x14ac:dyDescent="0.3">
      <c r="A59" s="103"/>
      <c r="B59" s="105"/>
      <c r="C59" s="102"/>
      <c r="D59" s="99"/>
      <c r="E59" s="96"/>
      <c r="F59" s="97"/>
      <c r="G59" s="98"/>
      <c r="H59" s="98"/>
    </row>
    <row r="60" spans="1:8" x14ac:dyDescent="0.3">
      <c r="A60" s="103"/>
      <c r="B60" s="105"/>
      <c r="C60" s="102"/>
      <c r="D60" s="99"/>
      <c r="E60" s="96"/>
      <c r="F60" s="97"/>
      <c r="G60" s="98"/>
      <c r="H60" s="98"/>
    </row>
    <row r="61" spans="1:8" x14ac:dyDescent="0.3">
      <c r="A61" s="103"/>
      <c r="B61" s="105"/>
      <c r="C61" s="102"/>
      <c r="D61" s="99"/>
      <c r="E61" s="96"/>
      <c r="F61" s="97"/>
      <c r="G61" s="98"/>
      <c r="H61" s="98"/>
    </row>
    <row r="62" spans="1:8" x14ac:dyDescent="0.3">
      <c r="A62" s="103"/>
      <c r="B62" s="105"/>
      <c r="C62" s="102"/>
      <c r="D62" s="99"/>
      <c r="E62" s="96"/>
      <c r="F62" s="97"/>
      <c r="G62" s="98"/>
      <c r="H62" s="98"/>
    </row>
    <row r="63" spans="1:8" x14ac:dyDescent="0.3">
      <c r="A63" s="103"/>
      <c r="B63" s="105"/>
      <c r="C63" s="102"/>
      <c r="D63" s="99"/>
      <c r="E63" s="96"/>
      <c r="F63" s="97"/>
      <c r="G63" s="98"/>
      <c r="H63" s="98"/>
    </row>
    <row r="64" spans="1:8" x14ac:dyDescent="0.3">
      <c r="A64" s="103"/>
      <c r="B64" s="105"/>
      <c r="C64" s="102"/>
      <c r="D64" s="99"/>
      <c r="E64" s="96"/>
      <c r="F64" s="97"/>
      <c r="G64" s="98"/>
      <c r="H64" s="98"/>
    </row>
    <row r="65" spans="1:8" x14ac:dyDescent="0.3">
      <c r="A65" s="103"/>
      <c r="B65" s="105"/>
      <c r="C65" s="102"/>
      <c r="D65" s="99"/>
      <c r="E65" s="96"/>
      <c r="F65" s="97"/>
      <c r="G65" s="98"/>
      <c r="H65" s="98"/>
    </row>
    <row r="66" spans="1:8" x14ac:dyDescent="0.3">
      <c r="A66" s="103"/>
      <c r="B66" s="105"/>
      <c r="C66" s="102"/>
      <c r="D66" s="99"/>
      <c r="E66" s="96"/>
      <c r="F66" s="97"/>
      <c r="G66" s="98"/>
      <c r="H66" s="98"/>
    </row>
    <row r="67" spans="1:8" x14ac:dyDescent="0.3">
      <c r="A67" s="103"/>
      <c r="B67" s="105"/>
      <c r="C67" s="102"/>
      <c r="D67" s="99"/>
      <c r="E67" s="96"/>
      <c r="F67" s="97"/>
      <c r="G67" s="98"/>
      <c r="H67" s="98"/>
    </row>
    <row r="68" spans="1:8" x14ac:dyDescent="0.3">
      <c r="A68" s="103"/>
      <c r="B68" s="105"/>
      <c r="C68" s="102"/>
      <c r="D68" s="99"/>
      <c r="E68" s="96"/>
      <c r="F68" s="97"/>
      <c r="G68" s="98"/>
      <c r="H68" s="98"/>
    </row>
    <row r="69" spans="1:8" x14ac:dyDescent="0.3">
      <c r="A69" s="103"/>
      <c r="B69" s="105"/>
      <c r="C69" s="102"/>
      <c r="D69" s="99"/>
      <c r="E69" s="96"/>
      <c r="F69" s="97"/>
      <c r="G69" s="98"/>
      <c r="H69" s="98"/>
    </row>
    <row r="70" spans="1:8" x14ac:dyDescent="0.3">
      <c r="A70" s="103"/>
      <c r="B70" s="105"/>
      <c r="C70" s="102"/>
      <c r="D70" s="99"/>
      <c r="E70" s="96"/>
      <c r="F70" s="97"/>
      <c r="G70" s="98"/>
      <c r="H70" s="98"/>
    </row>
    <row r="71" spans="1:8" x14ac:dyDescent="0.3">
      <c r="A71" s="103"/>
      <c r="B71" s="105"/>
      <c r="C71" s="102"/>
      <c r="D71" s="99"/>
      <c r="E71" s="96"/>
      <c r="F71" s="97"/>
      <c r="G71" s="98"/>
      <c r="H71" s="98"/>
    </row>
    <row r="72" spans="1:8" x14ac:dyDescent="0.3">
      <c r="A72" s="103"/>
      <c r="B72" s="105"/>
      <c r="C72" s="102"/>
      <c r="D72" s="99"/>
      <c r="E72" s="96"/>
      <c r="F72" s="97"/>
      <c r="G72" s="98"/>
      <c r="H72" s="98"/>
    </row>
    <row r="73" spans="1:8" x14ac:dyDescent="0.3">
      <c r="A73" s="103"/>
      <c r="B73" s="105"/>
      <c r="C73" s="102"/>
      <c r="D73" s="99"/>
      <c r="E73" s="96"/>
      <c r="F73" s="97"/>
      <c r="G73" s="98"/>
      <c r="H73" s="98"/>
    </row>
    <row r="74" spans="1:8" x14ac:dyDescent="0.3">
      <c r="A74" s="103"/>
      <c r="B74" s="105"/>
      <c r="C74" s="102"/>
      <c r="D74" s="99"/>
      <c r="E74" s="96"/>
      <c r="F74" s="97"/>
      <c r="G74" s="98"/>
      <c r="H74" s="98"/>
    </row>
    <row r="75" spans="1:8" x14ac:dyDescent="0.3">
      <c r="A75" s="103"/>
      <c r="B75" s="105"/>
      <c r="C75" s="102"/>
      <c r="D75" s="99"/>
      <c r="E75" s="96"/>
      <c r="F75" s="97"/>
      <c r="G75" s="98"/>
      <c r="H75" s="98"/>
    </row>
    <row r="76" spans="1:8" x14ac:dyDescent="0.3">
      <c r="A76" s="103"/>
      <c r="B76" s="105"/>
      <c r="C76" s="102"/>
      <c r="D76" s="99"/>
      <c r="E76" s="96"/>
      <c r="F76" s="97"/>
      <c r="G76" s="98"/>
      <c r="H76" s="98"/>
    </row>
    <row r="77" spans="1:8" x14ac:dyDescent="0.3">
      <c r="A77" s="103"/>
      <c r="B77" s="105"/>
      <c r="C77" s="102"/>
      <c r="D77" s="99"/>
      <c r="E77" s="96"/>
      <c r="F77" s="97"/>
      <c r="G77" s="98"/>
      <c r="H77" s="98"/>
    </row>
    <row r="78" spans="1:8" x14ac:dyDescent="0.3">
      <c r="A78" s="103"/>
      <c r="B78" s="105"/>
      <c r="C78" s="102"/>
      <c r="D78" s="99"/>
      <c r="E78" s="96"/>
      <c r="F78" s="97"/>
      <c r="G78" s="98"/>
      <c r="H78" s="98"/>
    </row>
    <row r="79" spans="1:8" x14ac:dyDescent="0.3">
      <c r="A79" s="103"/>
      <c r="B79" s="105"/>
      <c r="C79" s="102"/>
      <c r="D79" s="99"/>
      <c r="E79" s="96"/>
      <c r="F79" s="97"/>
      <c r="G79" s="98"/>
      <c r="H79" s="98"/>
    </row>
    <row r="80" spans="1:8" x14ac:dyDescent="0.3">
      <c r="A80" s="103"/>
      <c r="B80" s="105"/>
      <c r="C80" s="102"/>
      <c r="D80" s="99"/>
      <c r="E80" s="96"/>
      <c r="F80" s="97"/>
      <c r="G80" s="98"/>
      <c r="H80" s="98"/>
    </row>
    <row r="81" spans="1:8" x14ac:dyDescent="0.3">
      <c r="A81" s="103"/>
      <c r="B81" s="105"/>
      <c r="C81" s="102"/>
      <c r="D81" s="99"/>
      <c r="E81" s="96"/>
      <c r="F81" s="97"/>
      <c r="G81" s="98"/>
      <c r="H81" s="98"/>
    </row>
    <row r="82" spans="1:8" x14ac:dyDescent="0.3">
      <c r="A82" s="103"/>
      <c r="B82" s="105"/>
      <c r="C82" s="102"/>
      <c r="D82" s="99"/>
      <c r="E82" s="96"/>
      <c r="F82" s="97"/>
      <c r="G82" s="98"/>
      <c r="H82" s="98"/>
    </row>
    <row r="83" spans="1:8" x14ac:dyDescent="0.3">
      <c r="A83" s="103"/>
      <c r="B83" s="105"/>
      <c r="C83" s="102"/>
      <c r="D83" s="99"/>
      <c r="E83" s="96"/>
      <c r="F83" s="97"/>
      <c r="G83" s="98"/>
      <c r="H83" s="98"/>
    </row>
    <row r="84" spans="1:8" x14ac:dyDescent="0.3">
      <c r="A84" s="103"/>
      <c r="B84" s="105"/>
      <c r="C84" s="102"/>
      <c r="D84" s="99"/>
      <c r="E84" s="96"/>
      <c r="F84" s="97"/>
      <c r="G84" s="98"/>
      <c r="H84" s="98"/>
    </row>
    <row r="85" spans="1:8" x14ac:dyDescent="0.3">
      <c r="A85" s="103"/>
      <c r="B85" s="105"/>
      <c r="C85" s="102"/>
      <c r="D85" s="99"/>
      <c r="E85" s="96"/>
      <c r="F85" s="97"/>
      <c r="G85" s="98"/>
      <c r="H85" s="98"/>
    </row>
    <row r="86" spans="1:8" x14ac:dyDescent="0.3">
      <c r="A86" s="103"/>
      <c r="B86" s="105"/>
      <c r="C86" s="102"/>
      <c r="D86" s="99"/>
      <c r="E86" s="96"/>
      <c r="F86" s="97"/>
      <c r="G86" s="98"/>
      <c r="H86" s="98"/>
    </row>
    <row r="87" spans="1:8" x14ac:dyDescent="0.3">
      <c r="A87" s="103"/>
      <c r="B87" s="105"/>
      <c r="C87" s="102"/>
      <c r="D87" s="99"/>
      <c r="E87" s="96"/>
      <c r="F87" s="97"/>
      <c r="G87" s="98"/>
      <c r="H87" s="98"/>
    </row>
    <row r="88" spans="1:8" x14ac:dyDescent="0.3">
      <c r="A88" s="103"/>
      <c r="B88" s="105"/>
      <c r="C88" s="102"/>
      <c r="D88" s="99"/>
      <c r="E88" s="96"/>
      <c r="F88" s="97"/>
      <c r="G88" s="98"/>
      <c r="H88" s="98"/>
    </row>
    <row r="89" spans="1:8" x14ac:dyDescent="0.3">
      <c r="A89" s="103"/>
      <c r="B89" s="105"/>
      <c r="C89" s="102"/>
      <c r="D89" s="99"/>
      <c r="E89" s="96"/>
      <c r="F89" s="97"/>
      <c r="G89" s="98"/>
      <c r="H89" s="98"/>
    </row>
    <row r="90" spans="1:8" x14ac:dyDescent="0.3">
      <c r="A90" s="103"/>
      <c r="B90" s="105"/>
      <c r="C90" s="102"/>
      <c r="D90" s="99"/>
      <c r="E90" s="96"/>
      <c r="F90" s="97"/>
      <c r="G90" s="98"/>
      <c r="H90" s="98"/>
    </row>
    <row r="91" spans="1:8" x14ac:dyDescent="0.3">
      <c r="A91" s="103"/>
      <c r="B91" s="105"/>
      <c r="C91" s="102"/>
      <c r="D91" s="99"/>
      <c r="E91" s="96"/>
      <c r="F91" s="97"/>
      <c r="G91" s="98"/>
      <c r="H91" s="98"/>
    </row>
    <row r="92" spans="1:8" x14ac:dyDescent="0.3">
      <c r="A92" s="103"/>
      <c r="B92" s="105"/>
      <c r="C92" s="102"/>
      <c r="D92" s="99"/>
      <c r="E92" s="96"/>
      <c r="F92" s="97"/>
      <c r="G92" s="98"/>
      <c r="H92" s="98"/>
    </row>
    <row r="93" spans="1:8" x14ac:dyDescent="0.3">
      <c r="A93" s="103"/>
      <c r="B93" s="105"/>
      <c r="C93" s="102"/>
      <c r="D93" s="99"/>
      <c r="E93" s="96"/>
      <c r="F93" s="97"/>
      <c r="G93" s="98"/>
      <c r="H93" s="98"/>
    </row>
    <row r="94" spans="1:8" x14ac:dyDescent="0.3">
      <c r="A94" s="103"/>
      <c r="B94" s="105"/>
      <c r="C94" s="102"/>
      <c r="D94" s="99"/>
      <c r="E94" s="96"/>
      <c r="F94" s="97"/>
      <c r="G94" s="98"/>
      <c r="H94" s="98"/>
    </row>
    <row r="95" spans="1:8" x14ac:dyDescent="0.3">
      <c r="A95" s="103"/>
      <c r="B95" s="105"/>
      <c r="C95" s="102"/>
      <c r="D95" s="99"/>
      <c r="E95" s="96"/>
      <c r="F95" s="97"/>
      <c r="G95" s="98"/>
      <c r="H95" s="98"/>
    </row>
    <row r="96" spans="1:8" x14ac:dyDescent="0.3">
      <c r="A96" s="103"/>
      <c r="B96" s="105"/>
      <c r="C96" s="102"/>
      <c r="D96" s="99"/>
      <c r="E96" s="96"/>
      <c r="F96" s="97"/>
      <c r="G96" s="98"/>
      <c r="H96" s="98"/>
    </row>
    <row r="97" spans="1:8" x14ac:dyDescent="0.3">
      <c r="A97" s="103"/>
      <c r="B97" s="105"/>
      <c r="C97" s="102"/>
      <c r="D97" s="99"/>
      <c r="E97" s="96"/>
      <c r="F97" s="97"/>
      <c r="G97" s="98"/>
      <c r="H97" s="98"/>
    </row>
    <row r="98" spans="1:8" x14ac:dyDescent="0.3">
      <c r="A98" s="103"/>
      <c r="B98" s="105"/>
      <c r="C98" s="102"/>
      <c r="D98" s="99"/>
      <c r="E98" s="96"/>
      <c r="F98" s="97"/>
      <c r="G98" s="98"/>
      <c r="H98" s="98"/>
    </row>
    <row r="99" spans="1:8" x14ac:dyDescent="0.3">
      <c r="A99" s="103"/>
      <c r="B99" s="105"/>
      <c r="C99" s="102"/>
      <c r="D99" s="99"/>
      <c r="E99" s="96"/>
      <c r="F99" s="97"/>
      <c r="G99" s="98"/>
      <c r="H99" s="98"/>
    </row>
    <row r="100" spans="1:8" x14ac:dyDescent="0.3">
      <c r="A100" s="103"/>
      <c r="B100" s="105"/>
      <c r="C100" s="102"/>
      <c r="D100" s="99"/>
      <c r="E100" s="96"/>
      <c r="F100" s="97"/>
      <c r="G100" s="98"/>
      <c r="H100" s="98"/>
    </row>
    <row r="101" spans="1:8" x14ac:dyDescent="0.3">
      <c r="A101" s="103"/>
      <c r="B101" s="105"/>
      <c r="C101" s="102"/>
      <c r="D101" s="99"/>
      <c r="E101" s="96"/>
      <c r="F101" s="97"/>
      <c r="G101" s="98"/>
      <c r="H101" s="98"/>
    </row>
    <row r="102" spans="1:8" x14ac:dyDescent="0.3">
      <c r="A102" s="103"/>
      <c r="B102" s="105"/>
      <c r="C102" s="102"/>
      <c r="D102" s="99"/>
      <c r="E102" s="96"/>
      <c r="F102" s="97"/>
      <c r="G102" s="98"/>
      <c r="H102" s="98"/>
    </row>
    <row r="103" spans="1:8" x14ac:dyDescent="0.3">
      <c r="A103" s="103"/>
      <c r="B103" s="105"/>
      <c r="C103" s="102"/>
      <c r="D103" s="99"/>
      <c r="E103" s="96"/>
      <c r="F103" s="97"/>
      <c r="G103" s="98"/>
      <c r="H103" s="98"/>
    </row>
    <row r="104" spans="1:8" x14ac:dyDescent="0.3">
      <c r="A104" s="103"/>
      <c r="B104" s="105"/>
      <c r="C104" s="102"/>
      <c r="D104" s="99"/>
      <c r="E104" s="96"/>
      <c r="F104" s="97"/>
      <c r="G104" s="98"/>
      <c r="H104" s="98"/>
    </row>
    <row r="105" spans="1:8" x14ac:dyDescent="0.3">
      <c r="A105" s="103"/>
      <c r="B105" s="105"/>
      <c r="C105" s="102"/>
      <c r="D105" s="99"/>
      <c r="E105" s="96"/>
      <c r="F105" s="97"/>
      <c r="G105" s="98"/>
      <c r="H105" s="98"/>
    </row>
    <row r="106" spans="1:8" x14ac:dyDescent="0.3">
      <c r="A106" s="103"/>
      <c r="B106" s="105"/>
      <c r="C106" s="102"/>
      <c r="D106" s="99"/>
      <c r="E106" s="96"/>
      <c r="F106" s="97"/>
      <c r="G106" s="98"/>
      <c r="H106" s="98"/>
    </row>
    <row r="107" spans="1:8" x14ac:dyDescent="0.3">
      <c r="A107" s="103"/>
      <c r="B107" s="105"/>
      <c r="C107" s="102"/>
      <c r="D107" s="99"/>
      <c r="E107" s="96"/>
      <c r="F107" s="97"/>
      <c r="G107" s="98"/>
      <c r="H107" s="98"/>
    </row>
    <row r="108" spans="1:8" x14ac:dyDescent="0.3">
      <c r="A108" s="103"/>
      <c r="B108" s="105"/>
      <c r="C108" s="102"/>
      <c r="D108" s="99"/>
      <c r="E108" s="96"/>
      <c r="F108" s="97"/>
      <c r="G108" s="98"/>
      <c r="H108" s="98"/>
    </row>
    <row r="109" spans="1:8" x14ac:dyDescent="0.3">
      <c r="A109" s="103"/>
      <c r="B109" s="105"/>
      <c r="C109" s="102"/>
      <c r="D109" s="99"/>
      <c r="E109" s="96"/>
      <c r="F109" s="97"/>
      <c r="G109" s="98"/>
      <c r="H109" s="98"/>
    </row>
    <row r="110" spans="1:8" x14ac:dyDescent="0.3">
      <c r="A110" s="103"/>
      <c r="B110" s="105"/>
      <c r="C110" s="102"/>
      <c r="D110" s="99"/>
      <c r="E110" s="96"/>
      <c r="F110" s="97"/>
      <c r="G110" s="98"/>
      <c r="H110" s="98"/>
    </row>
    <row r="111" spans="1:8" x14ac:dyDescent="0.3">
      <c r="A111" s="103"/>
      <c r="B111" s="105"/>
      <c r="C111" s="102"/>
      <c r="D111" s="99"/>
      <c r="E111" s="96"/>
      <c r="F111" s="97"/>
      <c r="G111" s="98"/>
      <c r="H111" s="98"/>
    </row>
    <row r="112" spans="1:8" x14ac:dyDescent="0.3">
      <c r="A112" s="103"/>
      <c r="B112" s="105"/>
      <c r="C112" s="102"/>
      <c r="D112" s="99"/>
      <c r="E112" s="96"/>
      <c r="F112" s="97"/>
      <c r="G112" s="98"/>
      <c r="H112" s="98"/>
    </row>
    <row r="113" spans="1:8" x14ac:dyDescent="0.3">
      <c r="A113" s="103"/>
      <c r="B113" s="105"/>
      <c r="C113" s="102"/>
      <c r="D113" s="99"/>
      <c r="E113" s="96"/>
      <c r="F113" s="97"/>
      <c r="G113" s="98"/>
      <c r="H113" s="98"/>
    </row>
    <row r="114" spans="1:8" x14ac:dyDescent="0.3">
      <c r="A114" s="103"/>
      <c r="B114" s="105"/>
      <c r="C114" s="102"/>
      <c r="D114" s="99"/>
      <c r="E114" s="96"/>
      <c r="F114" s="97"/>
      <c r="G114" s="98"/>
      <c r="H114" s="98"/>
    </row>
    <row r="115" spans="1:8" x14ac:dyDescent="0.3">
      <c r="A115" s="103"/>
      <c r="B115" s="105"/>
      <c r="C115" s="102"/>
      <c r="D115" s="99"/>
      <c r="E115" s="96"/>
      <c r="F115" s="97"/>
      <c r="G115" s="98"/>
      <c r="H115" s="98"/>
    </row>
    <row r="116" spans="1:8" x14ac:dyDescent="0.3">
      <c r="A116" s="103"/>
      <c r="B116" s="105"/>
      <c r="C116" s="102"/>
      <c r="D116" s="99"/>
      <c r="E116" s="96"/>
      <c r="F116" s="97"/>
      <c r="G116" s="98"/>
      <c r="H116" s="98"/>
    </row>
    <row r="117" spans="1:8" x14ac:dyDescent="0.3">
      <c r="A117" s="103"/>
      <c r="B117" s="105"/>
      <c r="C117" s="102"/>
      <c r="D117" s="99"/>
      <c r="E117" s="96"/>
      <c r="F117" s="97"/>
      <c r="G117" s="98"/>
      <c r="H117" s="98"/>
    </row>
    <row r="118" spans="1:8" x14ac:dyDescent="0.3">
      <c r="A118" s="103"/>
      <c r="B118" s="105"/>
      <c r="C118" s="102"/>
      <c r="D118" s="99"/>
      <c r="E118" s="96"/>
      <c r="F118" s="97"/>
      <c r="G118" s="98"/>
      <c r="H118" s="98"/>
    </row>
    <row r="119" spans="1:8" x14ac:dyDescent="0.3">
      <c r="A119" s="103"/>
      <c r="B119" s="105"/>
      <c r="C119" s="102"/>
      <c r="D119" s="99"/>
      <c r="E119" s="96"/>
      <c r="F119" s="97"/>
      <c r="G119" s="98"/>
      <c r="H119" s="98"/>
    </row>
    <row r="120" spans="1:8" x14ac:dyDescent="0.3">
      <c r="A120" s="103"/>
      <c r="B120" s="105"/>
      <c r="C120" s="102"/>
      <c r="D120" s="99"/>
      <c r="E120" s="96"/>
      <c r="F120" s="97"/>
      <c r="G120" s="98"/>
      <c r="H120" s="98"/>
    </row>
    <row r="121" spans="1:8" x14ac:dyDescent="0.3">
      <c r="A121" s="103"/>
      <c r="B121" s="105"/>
      <c r="C121" s="102"/>
      <c r="D121" s="99"/>
      <c r="E121" s="96"/>
      <c r="F121" s="97"/>
      <c r="G121" s="98"/>
      <c r="H121" s="98"/>
    </row>
    <row r="122" spans="1:8" x14ac:dyDescent="0.3">
      <c r="A122" s="103"/>
      <c r="B122" s="105"/>
      <c r="C122" s="102"/>
      <c r="D122" s="99"/>
      <c r="E122" s="96"/>
      <c r="F122" s="97"/>
      <c r="G122" s="98"/>
      <c r="H122" s="98"/>
    </row>
    <row r="123" spans="1:8" x14ac:dyDescent="0.3">
      <c r="A123" s="103"/>
      <c r="B123" s="105"/>
      <c r="C123" s="102"/>
      <c r="D123" s="99"/>
      <c r="E123" s="96"/>
      <c r="F123" s="97"/>
      <c r="G123" s="98"/>
      <c r="H123" s="98"/>
    </row>
    <row r="124" spans="1:8" x14ac:dyDescent="0.3">
      <c r="A124" s="103"/>
      <c r="B124" s="105"/>
      <c r="C124" s="102"/>
      <c r="D124" s="99"/>
      <c r="E124" s="96"/>
      <c r="F124" s="97"/>
      <c r="G124" s="98"/>
      <c r="H124" s="98"/>
    </row>
    <row r="125" spans="1:8" x14ac:dyDescent="0.3">
      <c r="A125" s="103"/>
      <c r="B125" s="105"/>
      <c r="C125" s="102"/>
      <c r="D125" s="99"/>
      <c r="E125" s="96"/>
      <c r="F125" s="97"/>
      <c r="G125" s="98"/>
      <c r="H125" s="98"/>
    </row>
    <row r="126" spans="1:8" x14ac:dyDescent="0.3">
      <c r="A126" s="103"/>
      <c r="B126" s="105"/>
      <c r="C126" s="102"/>
      <c r="D126" s="99"/>
      <c r="E126" s="96"/>
      <c r="F126" s="97"/>
      <c r="G126" s="98"/>
      <c r="H126" s="98"/>
    </row>
    <row r="127" spans="1:8" x14ac:dyDescent="0.3">
      <c r="A127" s="103"/>
      <c r="B127" s="105"/>
      <c r="C127" s="102"/>
      <c r="D127" s="99"/>
      <c r="E127" s="96"/>
      <c r="F127" s="97"/>
      <c r="G127" s="98"/>
      <c r="H127" s="98"/>
    </row>
    <row r="128" spans="1:8" x14ac:dyDescent="0.3">
      <c r="A128" s="103"/>
      <c r="B128" s="105"/>
      <c r="C128" s="102"/>
      <c r="D128" s="99"/>
      <c r="E128" s="96"/>
      <c r="F128" s="97"/>
      <c r="G128" s="98"/>
      <c r="H128" s="98"/>
    </row>
    <row r="129" spans="1:8" x14ac:dyDescent="0.3">
      <c r="A129" s="103"/>
      <c r="B129" s="105"/>
      <c r="C129" s="102"/>
      <c r="D129" s="99"/>
      <c r="E129" s="96"/>
      <c r="F129" s="97"/>
      <c r="G129" s="98"/>
      <c r="H129" s="98"/>
    </row>
    <row r="130" spans="1:8" x14ac:dyDescent="0.3">
      <c r="A130" s="103"/>
      <c r="B130" s="105"/>
      <c r="C130" s="102"/>
      <c r="D130" s="99"/>
      <c r="E130" s="96"/>
      <c r="F130" s="97"/>
      <c r="G130" s="98"/>
      <c r="H130" s="98"/>
    </row>
    <row r="131" spans="1:8" x14ac:dyDescent="0.3">
      <c r="A131" s="103"/>
      <c r="B131" s="105"/>
      <c r="C131" s="102"/>
      <c r="D131" s="99"/>
      <c r="E131" s="96"/>
      <c r="F131" s="97"/>
      <c r="G131" s="98"/>
      <c r="H131" s="98"/>
    </row>
    <row r="132" spans="1:8" x14ac:dyDescent="0.3">
      <c r="A132" s="103"/>
      <c r="B132" s="105"/>
      <c r="C132" s="102"/>
      <c r="D132" s="99"/>
      <c r="E132" s="96"/>
      <c r="F132" s="97"/>
      <c r="G132" s="98"/>
      <c r="H132" s="98"/>
    </row>
    <row r="133" spans="1:8" x14ac:dyDescent="0.3">
      <c r="A133" s="103"/>
      <c r="B133" s="105"/>
      <c r="C133" s="102"/>
      <c r="D133" s="99"/>
      <c r="E133" s="96"/>
      <c r="F133" s="97"/>
      <c r="G133" s="98"/>
      <c r="H133" s="98"/>
    </row>
    <row r="134" spans="1:8" x14ac:dyDescent="0.3">
      <c r="A134" s="103"/>
      <c r="B134" s="105"/>
      <c r="C134" s="102"/>
      <c r="D134" s="99"/>
      <c r="E134" s="96"/>
      <c r="F134" s="97"/>
      <c r="G134" s="98"/>
      <c r="H134" s="98"/>
    </row>
    <row r="135" spans="1:8" x14ac:dyDescent="0.3">
      <c r="A135" s="103"/>
      <c r="B135" s="105"/>
      <c r="C135" s="102"/>
      <c r="D135" s="99"/>
      <c r="E135" s="96"/>
      <c r="F135" s="97"/>
      <c r="G135" s="98"/>
      <c r="H135" s="98"/>
    </row>
    <row r="136" spans="1:8" x14ac:dyDescent="0.3">
      <c r="A136" s="103"/>
      <c r="B136" s="105"/>
      <c r="C136" s="102"/>
      <c r="D136" s="99"/>
      <c r="E136" s="96"/>
      <c r="F136" s="97"/>
      <c r="G136" s="98"/>
      <c r="H136" s="98"/>
    </row>
    <row r="137" spans="1:8" x14ac:dyDescent="0.3">
      <c r="A137" s="103"/>
      <c r="B137" s="105"/>
      <c r="C137" s="102"/>
      <c r="D137" s="99"/>
      <c r="E137" s="96"/>
      <c r="F137" s="97"/>
      <c r="G137" s="98"/>
      <c r="H137" s="98"/>
    </row>
    <row r="138" spans="1:8" x14ac:dyDescent="0.3">
      <c r="A138" s="103"/>
      <c r="B138" s="105"/>
      <c r="C138" s="102"/>
      <c r="D138" s="99"/>
      <c r="E138" s="96"/>
      <c r="F138" s="97"/>
      <c r="G138" s="98"/>
      <c r="H138" s="98"/>
    </row>
    <row r="139" spans="1:8" x14ac:dyDescent="0.3">
      <c r="A139" s="103"/>
      <c r="B139" s="105"/>
      <c r="C139" s="102"/>
      <c r="D139" s="99"/>
      <c r="E139" s="96"/>
      <c r="F139" s="97"/>
      <c r="G139" s="98"/>
      <c r="H139" s="98"/>
    </row>
    <row r="140" spans="1:8" x14ac:dyDescent="0.3">
      <c r="A140" s="103"/>
      <c r="B140" s="105"/>
      <c r="C140" s="102"/>
      <c r="D140" s="99"/>
      <c r="E140" s="96"/>
      <c r="F140" s="97"/>
      <c r="G140" s="98"/>
      <c r="H140" s="98"/>
    </row>
    <row r="141" spans="1:8" x14ac:dyDescent="0.3">
      <c r="A141" s="103"/>
      <c r="B141" s="105"/>
      <c r="C141" s="102"/>
      <c r="D141" s="99"/>
      <c r="E141" s="96"/>
      <c r="F141" s="97"/>
      <c r="G141" s="98"/>
      <c r="H141" s="98"/>
    </row>
    <row r="142" spans="1:8" x14ac:dyDescent="0.3">
      <c r="A142" s="103"/>
      <c r="B142" s="105"/>
      <c r="C142" s="102"/>
      <c r="D142" s="99"/>
      <c r="E142" s="96"/>
      <c r="F142" s="97"/>
      <c r="G142" s="98"/>
      <c r="H142" s="98"/>
    </row>
    <row r="143" spans="1:8" x14ac:dyDescent="0.3">
      <c r="A143" s="103"/>
      <c r="B143" s="105"/>
      <c r="C143" s="102"/>
      <c r="D143" s="99"/>
      <c r="E143" s="96"/>
      <c r="F143" s="97"/>
      <c r="G143" s="98"/>
      <c r="H143" s="98"/>
    </row>
    <row r="144" spans="1:8" x14ac:dyDescent="0.3">
      <c r="A144" s="103"/>
      <c r="B144" s="105"/>
      <c r="C144" s="102"/>
      <c r="D144" s="99"/>
      <c r="E144" s="96"/>
      <c r="F144" s="97"/>
      <c r="G144" s="98"/>
      <c r="H144" s="98"/>
    </row>
    <row r="145" spans="1:8" x14ac:dyDescent="0.3">
      <c r="A145" s="103"/>
      <c r="B145" s="105"/>
      <c r="C145" s="102"/>
      <c r="D145" s="99"/>
      <c r="E145" s="96"/>
      <c r="F145" s="97"/>
      <c r="G145" s="98"/>
      <c r="H145" s="98"/>
    </row>
    <row r="146" spans="1:8" x14ac:dyDescent="0.3">
      <c r="A146" s="103"/>
      <c r="B146" s="105"/>
      <c r="C146" s="102"/>
      <c r="D146" s="99"/>
      <c r="E146" s="96"/>
      <c r="F146" s="97"/>
      <c r="G146" s="98"/>
      <c r="H146" s="98"/>
    </row>
    <row r="147" spans="1:8" x14ac:dyDescent="0.3">
      <c r="A147" s="103"/>
      <c r="B147" s="105"/>
      <c r="C147" s="102"/>
      <c r="D147" s="99"/>
      <c r="E147" s="96"/>
      <c r="F147" s="97"/>
      <c r="G147" s="98"/>
      <c r="H147" s="98"/>
    </row>
    <row r="148" spans="1:8" x14ac:dyDescent="0.3">
      <c r="A148" s="103"/>
      <c r="B148" s="105"/>
      <c r="C148" s="102"/>
      <c r="D148" s="99"/>
      <c r="E148" s="96"/>
      <c r="F148" s="97"/>
      <c r="G148" s="98"/>
      <c r="H148" s="98"/>
    </row>
    <row r="149" spans="1:8" x14ac:dyDescent="0.3">
      <c r="A149" s="103"/>
      <c r="B149" s="105"/>
      <c r="C149" s="102"/>
      <c r="D149" s="99"/>
      <c r="E149" s="96"/>
      <c r="F149" s="97"/>
      <c r="G149" s="98"/>
      <c r="H149" s="98"/>
    </row>
    <row r="150" spans="1:8" x14ac:dyDescent="0.3">
      <c r="A150" s="103"/>
      <c r="B150" s="105"/>
      <c r="C150" s="102"/>
      <c r="D150" s="99"/>
      <c r="E150" s="96"/>
      <c r="F150" s="97"/>
      <c r="G150" s="98"/>
      <c r="H150" s="98"/>
    </row>
    <row r="151" spans="1:8" x14ac:dyDescent="0.3">
      <c r="A151" s="103"/>
      <c r="B151" s="105"/>
      <c r="C151" s="102"/>
      <c r="D151" s="99"/>
      <c r="E151" s="96"/>
      <c r="F151" s="97"/>
      <c r="G151" s="98"/>
      <c r="H151" s="98"/>
    </row>
    <row r="152" spans="1:8" x14ac:dyDescent="0.3">
      <c r="A152" s="103"/>
      <c r="B152" s="105"/>
      <c r="C152" s="102"/>
      <c r="D152" s="99"/>
      <c r="E152" s="96"/>
      <c r="F152" s="97"/>
      <c r="G152" s="98"/>
      <c r="H152" s="98"/>
    </row>
    <row r="153" spans="1:8" x14ac:dyDescent="0.3">
      <c r="A153" s="103"/>
      <c r="B153" s="105"/>
      <c r="C153" s="102"/>
      <c r="D153" s="99"/>
      <c r="E153" s="96"/>
      <c r="F153" s="97"/>
      <c r="G153" s="98"/>
      <c r="H153" s="98"/>
    </row>
    <row r="154" spans="1:8" x14ac:dyDescent="0.3">
      <c r="A154" s="103"/>
      <c r="B154" s="105"/>
      <c r="C154" s="102"/>
      <c r="D154" s="99"/>
      <c r="E154" s="96"/>
      <c r="F154" s="97"/>
      <c r="G154" s="98"/>
      <c r="H154" s="98"/>
    </row>
    <row r="155" spans="1:8" x14ac:dyDescent="0.3">
      <c r="A155" s="103"/>
      <c r="B155" s="105"/>
      <c r="C155" s="102"/>
      <c r="D155" s="99"/>
      <c r="E155" s="96"/>
      <c r="F155" s="97"/>
      <c r="G155" s="98"/>
      <c r="H155" s="98"/>
    </row>
    <row r="156" spans="1:8" x14ac:dyDescent="0.3">
      <c r="A156" s="103"/>
      <c r="B156" s="105"/>
      <c r="C156" s="102"/>
      <c r="D156" s="99"/>
      <c r="E156" s="96"/>
      <c r="F156" s="97"/>
      <c r="G156" s="98"/>
      <c r="H156" s="98"/>
    </row>
    <row r="157" spans="1:8" x14ac:dyDescent="0.3">
      <c r="A157" s="103"/>
      <c r="B157" s="105"/>
      <c r="C157" s="102"/>
      <c r="D157" s="99"/>
      <c r="E157" s="96"/>
      <c r="F157" s="97"/>
      <c r="G157" s="98"/>
      <c r="H157" s="98"/>
    </row>
    <row r="158" spans="1:8" x14ac:dyDescent="0.3">
      <c r="A158" s="103"/>
      <c r="B158" s="105"/>
      <c r="C158" s="102"/>
      <c r="D158" s="99"/>
      <c r="E158" s="96"/>
      <c r="F158" s="97"/>
      <c r="G158" s="98"/>
      <c r="H158" s="98"/>
    </row>
    <row r="159" spans="1:8" x14ac:dyDescent="0.3">
      <c r="A159" s="103"/>
      <c r="B159" s="105"/>
      <c r="C159" s="102"/>
      <c r="D159" s="99"/>
      <c r="E159" s="96"/>
      <c r="F159" s="97"/>
      <c r="G159" s="98"/>
      <c r="H159" s="98"/>
    </row>
    <row r="160" spans="1:8" x14ac:dyDescent="0.3">
      <c r="A160" s="103"/>
      <c r="B160" s="105"/>
      <c r="C160" s="102"/>
      <c r="D160" s="99"/>
      <c r="E160" s="96"/>
      <c r="F160" s="97"/>
      <c r="G160" s="98"/>
      <c r="H160" s="98"/>
    </row>
    <row r="161" spans="1:8" x14ac:dyDescent="0.3">
      <c r="A161" s="103"/>
      <c r="B161" s="105"/>
      <c r="C161" s="102"/>
      <c r="D161" s="99"/>
      <c r="E161" s="96"/>
      <c r="F161" s="97"/>
      <c r="G161" s="98"/>
      <c r="H161" s="98"/>
    </row>
    <row r="162" spans="1:8" x14ac:dyDescent="0.3">
      <c r="A162" s="103"/>
      <c r="B162" s="105"/>
      <c r="C162" s="102"/>
      <c r="D162" s="99"/>
      <c r="E162" s="96"/>
      <c r="F162" s="97"/>
      <c r="G162" s="98"/>
      <c r="H162" s="98"/>
    </row>
    <row r="163" spans="1:8" x14ac:dyDescent="0.3">
      <c r="A163" s="103"/>
      <c r="B163" s="105"/>
      <c r="C163" s="102"/>
      <c r="D163" s="99"/>
      <c r="E163" s="96"/>
      <c r="F163" s="97"/>
      <c r="G163" s="98"/>
      <c r="H163" s="98"/>
    </row>
    <row r="164" spans="1:8" x14ac:dyDescent="0.3">
      <c r="A164" s="103"/>
      <c r="B164" s="105"/>
      <c r="C164" s="102"/>
      <c r="D164" s="99"/>
      <c r="E164" s="96"/>
      <c r="F164" s="97"/>
      <c r="G164" s="98"/>
      <c r="H164" s="98"/>
    </row>
    <row r="165" spans="1:8" x14ac:dyDescent="0.3">
      <c r="A165" s="103"/>
      <c r="B165" s="105"/>
      <c r="C165" s="102"/>
      <c r="D165" s="99"/>
      <c r="E165" s="96"/>
      <c r="F165" s="97"/>
      <c r="G165" s="98"/>
      <c r="H165" s="98"/>
    </row>
    <row r="166" spans="1:8" x14ac:dyDescent="0.3">
      <c r="A166" s="103"/>
      <c r="B166" s="105"/>
      <c r="C166" s="102"/>
      <c r="D166" s="99"/>
      <c r="E166" s="96"/>
      <c r="F166" s="97"/>
      <c r="G166" s="98"/>
      <c r="H166" s="98"/>
    </row>
    <row r="167" spans="1:8" x14ac:dyDescent="0.3">
      <c r="A167" s="103"/>
      <c r="B167" s="105"/>
      <c r="C167" s="102"/>
      <c r="D167" s="99"/>
      <c r="E167" s="96"/>
      <c r="F167" s="97"/>
      <c r="G167" s="98"/>
      <c r="H167" s="98"/>
    </row>
    <row r="168" spans="1:8" x14ac:dyDescent="0.3">
      <c r="A168" s="103"/>
      <c r="B168" s="105"/>
      <c r="C168" s="102"/>
      <c r="D168" s="99"/>
      <c r="E168" s="96"/>
      <c r="F168" s="97"/>
      <c r="G168" s="98"/>
      <c r="H168" s="98"/>
    </row>
    <row r="169" spans="1:8" x14ac:dyDescent="0.3">
      <c r="A169" s="103"/>
      <c r="B169" s="105"/>
      <c r="C169" s="102"/>
      <c r="D169" s="99"/>
      <c r="E169" s="96"/>
      <c r="F169" s="97"/>
      <c r="G169" s="98"/>
      <c r="H169" s="98"/>
    </row>
    <row r="170" spans="1:8" x14ac:dyDescent="0.3">
      <c r="A170" s="103"/>
      <c r="B170" s="105"/>
      <c r="C170" s="102"/>
      <c r="D170" s="99"/>
      <c r="E170" s="96"/>
      <c r="F170" s="97"/>
      <c r="G170" s="98"/>
      <c r="H170" s="98"/>
    </row>
    <row r="171" spans="1:8" x14ac:dyDescent="0.3">
      <c r="A171" s="103"/>
      <c r="B171" s="105"/>
      <c r="C171" s="102"/>
      <c r="D171" s="99"/>
      <c r="E171" s="96"/>
      <c r="F171" s="97"/>
      <c r="G171" s="98"/>
      <c r="H171" s="98"/>
    </row>
    <row r="172" spans="1:8" x14ac:dyDescent="0.3">
      <c r="A172" s="103"/>
      <c r="B172" s="105"/>
      <c r="C172" s="102"/>
      <c r="D172" s="99"/>
      <c r="E172" s="96"/>
      <c r="F172" s="97"/>
      <c r="G172" s="98"/>
      <c r="H172" s="98"/>
    </row>
    <row r="173" spans="1:8" x14ac:dyDescent="0.3">
      <c r="A173" s="103"/>
      <c r="B173" s="105"/>
      <c r="C173" s="102"/>
      <c r="D173" s="99"/>
      <c r="E173" s="96"/>
      <c r="F173" s="97"/>
      <c r="G173" s="98"/>
      <c r="H173" s="98"/>
    </row>
    <row r="174" spans="1:8" x14ac:dyDescent="0.3">
      <c r="A174" s="103"/>
      <c r="B174" s="105"/>
      <c r="C174" s="102"/>
      <c r="D174" s="99"/>
      <c r="E174" s="96"/>
      <c r="F174" s="97"/>
      <c r="G174" s="98"/>
      <c r="H174" s="98"/>
    </row>
    <row r="175" spans="1:8" x14ac:dyDescent="0.3">
      <c r="A175" s="103"/>
      <c r="B175" s="105"/>
      <c r="C175" s="102"/>
      <c r="D175" s="99"/>
      <c r="E175" s="96"/>
      <c r="F175" s="97"/>
      <c r="G175" s="98"/>
      <c r="H175" s="98"/>
    </row>
    <row r="176" spans="1:8" x14ac:dyDescent="0.3">
      <c r="A176" s="103"/>
      <c r="B176" s="105"/>
      <c r="C176" s="102"/>
      <c r="D176" s="99"/>
      <c r="E176" s="96"/>
      <c r="F176" s="97"/>
      <c r="G176" s="98"/>
      <c r="H176" s="98"/>
    </row>
    <row r="177" spans="1:8" x14ac:dyDescent="0.3">
      <c r="A177" s="103"/>
      <c r="B177" s="105"/>
      <c r="C177" s="102"/>
      <c r="D177" s="99"/>
      <c r="E177" s="96"/>
      <c r="F177" s="97"/>
      <c r="G177" s="98"/>
      <c r="H177" s="98"/>
    </row>
    <row r="178" spans="1:8" x14ac:dyDescent="0.3">
      <c r="A178" s="103"/>
      <c r="B178" s="105"/>
      <c r="C178" s="102"/>
      <c r="D178" s="99"/>
      <c r="E178" s="96"/>
      <c r="F178" s="97"/>
      <c r="G178" s="98"/>
      <c r="H178" s="98"/>
    </row>
    <row r="179" spans="1:8" x14ac:dyDescent="0.3">
      <c r="A179" s="103"/>
      <c r="B179" s="105"/>
      <c r="C179" s="102"/>
      <c r="D179" s="99"/>
      <c r="E179" s="96"/>
      <c r="F179" s="97"/>
      <c r="G179" s="98"/>
      <c r="H179" s="98"/>
    </row>
    <row r="180" spans="1:8" x14ac:dyDescent="0.3">
      <c r="A180" s="103"/>
      <c r="B180" s="105"/>
      <c r="C180" s="102"/>
      <c r="D180" s="99"/>
      <c r="E180" s="96"/>
      <c r="F180" s="97"/>
      <c r="G180" s="98"/>
      <c r="H180" s="98"/>
    </row>
    <row r="181" spans="1:8" x14ac:dyDescent="0.3">
      <c r="A181" s="103"/>
      <c r="B181" s="105"/>
      <c r="C181" s="102"/>
      <c r="D181" s="99"/>
      <c r="E181" s="96"/>
      <c r="F181" s="97"/>
      <c r="G181" s="98"/>
      <c r="H181" s="98"/>
    </row>
    <row r="182" spans="1:8" x14ac:dyDescent="0.3">
      <c r="A182" s="103"/>
      <c r="B182" s="105"/>
      <c r="C182" s="102"/>
      <c r="D182" s="99"/>
      <c r="E182" s="96"/>
      <c r="F182" s="97"/>
      <c r="G182" s="98"/>
      <c r="H182" s="98"/>
    </row>
    <row r="183" spans="1:8" x14ac:dyDescent="0.3">
      <c r="A183" s="103"/>
      <c r="B183" s="105"/>
      <c r="C183" s="102"/>
      <c r="D183" s="99"/>
      <c r="E183" s="96"/>
      <c r="F183" s="97"/>
      <c r="G183" s="98"/>
      <c r="H183" s="98"/>
    </row>
    <row r="184" spans="1:8" x14ac:dyDescent="0.3">
      <c r="A184" s="103"/>
      <c r="B184" s="105"/>
      <c r="C184" s="102"/>
      <c r="D184" s="99"/>
      <c r="E184" s="96"/>
      <c r="F184" s="97"/>
      <c r="G184" s="98"/>
      <c r="H184" s="98"/>
    </row>
    <row r="185" spans="1:8" x14ac:dyDescent="0.3">
      <c r="A185" s="103"/>
      <c r="B185" s="105"/>
      <c r="C185" s="102"/>
      <c r="D185" s="99"/>
      <c r="E185" s="96"/>
      <c r="F185" s="97"/>
      <c r="G185" s="98"/>
      <c r="H185" s="98"/>
    </row>
    <row r="186" spans="1:8" x14ac:dyDescent="0.3">
      <c r="A186" s="103"/>
      <c r="B186" s="105"/>
      <c r="C186" s="102"/>
      <c r="D186" s="99"/>
      <c r="E186" s="96"/>
      <c r="F186" s="97"/>
      <c r="G186" s="98"/>
      <c r="H186" s="98"/>
    </row>
    <row r="187" spans="1:8" x14ac:dyDescent="0.3">
      <c r="A187" s="103"/>
      <c r="B187" s="105"/>
      <c r="C187" s="102"/>
      <c r="D187" s="99"/>
      <c r="E187" s="96"/>
      <c r="F187" s="97"/>
      <c r="G187" s="98"/>
      <c r="H187" s="98"/>
    </row>
    <row r="188" spans="1:8" x14ac:dyDescent="0.3">
      <c r="A188" s="103"/>
      <c r="B188" s="105"/>
      <c r="C188" s="102"/>
      <c r="D188" s="99"/>
      <c r="E188" s="96"/>
      <c r="F188" s="97"/>
      <c r="G188" s="98"/>
      <c r="H188" s="98"/>
    </row>
    <row r="189" spans="1:8" x14ac:dyDescent="0.3">
      <c r="A189" s="103"/>
      <c r="B189" s="105"/>
      <c r="C189" s="102"/>
      <c r="D189" s="99"/>
      <c r="E189" s="96"/>
      <c r="F189" s="97"/>
      <c r="G189" s="98"/>
      <c r="H189" s="98"/>
    </row>
    <row r="190" spans="1:8" x14ac:dyDescent="0.3">
      <c r="A190" s="103"/>
      <c r="B190" s="105"/>
      <c r="C190" s="102"/>
      <c r="D190" s="99"/>
      <c r="E190" s="96"/>
      <c r="F190" s="97"/>
      <c r="G190" s="98"/>
      <c r="H190" s="98"/>
    </row>
    <row r="191" spans="1:8" x14ac:dyDescent="0.3">
      <c r="A191" s="103"/>
      <c r="B191" s="105"/>
      <c r="C191" s="102"/>
      <c r="D191" s="99"/>
      <c r="E191" s="96"/>
      <c r="F191" s="97"/>
      <c r="G191" s="98"/>
      <c r="H191" s="98"/>
    </row>
    <row r="192" spans="1:8" x14ac:dyDescent="0.3">
      <c r="A192" s="103"/>
      <c r="B192" s="105"/>
      <c r="C192" s="102"/>
      <c r="D192" s="99"/>
      <c r="E192" s="96"/>
      <c r="F192" s="97"/>
      <c r="G192" s="98"/>
      <c r="H192" s="98"/>
    </row>
    <row r="193" spans="1:8" x14ac:dyDescent="0.3">
      <c r="A193" s="103"/>
      <c r="B193" s="105"/>
      <c r="C193" s="102"/>
      <c r="D193" s="99"/>
      <c r="E193" s="96"/>
      <c r="F193" s="97"/>
      <c r="G193" s="98"/>
      <c r="H193" s="98"/>
    </row>
    <row r="194" spans="1:8" x14ac:dyDescent="0.3">
      <c r="A194" s="103"/>
      <c r="B194" s="105"/>
      <c r="C194" s="102"/>
      <c r="D194" s="99"/>
      <c r="E194" s="96"/>
      <c r="F194" s="97"/>
      <c r="G194" s="98"/>
      <c r="H194" s="98"/>
    </row>
    <row r="195" spans="1:8" x14ac:dyDescent="0.3">
      <c r="A195" s="103"/>
      <c r="B195" s="105"/>
      <c r="C195" s="102"/>
      <c r="D195" s="99"/>
      <c r="E195" s="96"/>
      <c r="F195" s="97"/>
      <c r="G195" s="98"/>
      <c r="H195" s="98"/>
    </row>
    <row r="196" spans="1:8" x14ac:dyDescent="0.3">
      <c r="A196" s="103"/>
      <c r="B196" s="105"/>
      <c r="C196" s="102"/>
      <c r="D196" s="99"/>
      <c r="E196" s="96"/>
      <c r="F196" s="97"/>
      <c r="G196" s="98"/>
      <c r="H196" s="98"/>
    </row>
    <row r="197" spans="1:8" x14ac:dyDescent="0.3">
      <c r="A197" s="103"/>
      <c r="B197" s="105"/>
      <c r="C197" s="102"/>
      <c r="D197" s="99"/>
      <c r="E197" s="96"/>
      <c r="F197" s="97"/>
      <c r="G197" s="98"/>
      <c r="H197" s="98"/>
    </row>
    <row r="198" spans="1:8" x14ac:dyDescent="0.3">
      <c r="A198" s="103"/>
      <c r="B198" s="105"/>
      <c r="C198" s="102"/>
      <c r="D198" s="99"/>
      <c r="E198" s="96"/>
      <c r="F198" s="97"/>
      <c r="G198" s="98"/>
      <c r="H198" s="98"/>
    </row>
    <row r="199" spans="1:8" x14ac:dyDescent="0.3">
      <c r="A199" s="103"/>
      <c r="B199" s="105"/>
      <c r="C199" s="102"/>
      <c r="D199" s="99"/>
      <c r="E199" s="96"/>
      <c r="F199" s="97"/>
      <c r="G199" s="98"/>
      <c r="H199" s="98"/>
    </row>
    <row r="200" spans="1:8" x14ac:dyDescent="0.3">
      <c r="A200" s="103"/>
      <c r="B200" s="105"/>
      <c r="C200" s="102"/>
      <c r="D200" s="99"/>
      <c r="E200" s="96"/>
      <c r="F200" s="97"/>
      <c r="G200" s="98"/>
      <c r="H200" s="98"/>
    </row>
    <row r="201" spans="1:8" x14ac:dyDescent="0.3">
      <c r="A201" s="103"/>
      <c r="B201" s="105"/>
      <c r="C201" s="102"/>
      <c r="D201" s="99"/>
      <c r="E201" s="96"/>
      <c r="F201" s="97"/>
      <c r="G201" s="98"/>
      <c r="H201" s="98"/>
    </row>
    <row r="202" spans="1:8" x14ac:dyDescent="0.3">
      <c r="A202" s="103"/>
      <c r="B202" s="105"/>
      <c r="C202" s="102"/>
      <c r="D202" s="99"/>
      <c r="E202" s="96"/>
      <c r="F202" s="97"/>
      <c r="G202" s="98"/>
      <c r="H202" s="98"/>
    </row>
    <row r="203" spans="1:8" x14ac:dyDescent="0.3">
      <c r="A203" s="103"/>
      <c r="B203" s="105"/>
      <c r="C203" s="102"/>
      <c r="D203" s="99"/>
      <c r="E203" s="96"/>
      <c r="F203" s="97"/>
      <c r="G203" s="98"/>
      <c r="H203" s="98"/>
    </row>
    <row r="204" spans="1:8" x14ac:dyDescent="0.3">
      <c r="A204" s="103"/>
      <c r="B204" s="105"/>
      <c r="C204" s="102"/>
      <c r="D204" s="99"/>
      <c r="E204" s="96"/>
      <c r="F204" s="97"/>
      <c r="G204" s="98"/>
      <c r="H204" s="98"/>
    </row>
    <row r="205" spans="1:8" x14ac:dyDescent="0.3">
      <c r="A205" s="103"/>
      <c r="B205" s="105"/>
      <c r="C205" s="102"/>
      <c r="D205" s="99"/>
      <c r="E205" s="96"/>
      <c r="F205" s="97"/>
      <c r="G205" s="98"/>
      <c r="H205" s="98"/>
    </row>
    <row r="206" spans="1:8" x14ac:dyDescent="0.3">
      <c r="A206" s="103"/>
      <c r="B206" s="105"/>
      <c r="C206" s="102"/>
      <c r="D206" s="99"/>
      <c r="E206" s="96"/>
      <c r="F206" s="97"/>
      <c r="G206" s="98"/>
      <c r="H206" s="98"/>
    </row>
    <row r="207" spans="1:8" x14ac:dyDescent="0.3">
      <c r="A207" s="103"/>
      <c r="B207" s="105"/>
      <c r="C207" s="102"/>
      <c r="D207" s="99"/>
      <c r="E207" s="96"/>
      <c r="F207" s="97"/>
      <c r="G207" s="98"/>
      <c r="H207" s="98"/>
    </row>
    <row r="208" spans="1:8" x14ac:dyDescent="0.3">
      <c r="A208" s="103"/>
      <c r="B208" s="105"/>
      <c r="C208" s="102"/>
      <c r="D208" s="99"/>
      <c r="E208" s="96"/>
      <c r="F208" s="97"/>
      <c r="G208" s="98"/>
      <c r="H208" s="98"/>
    </row>
    <row r="209" spans="1:8" x14ac:dyDescent="0.3">
      <c r="A209" s="103"/>
      <c r="B209" s="105"/>
      <c r="C209" s="102"/>
      <c r="D209" s="99"/>
      <c r="E209" s="96"/>
      <c r="F209" s="97"/>
      <c r="G209" s="98"/>
      <c r="H209" s="98"/>
    </row>
    <row r="210" spans="1:8" x14ac:dyDescent="0.3">
      <c r="A210" s="103"/>
      <c r="B210" s="105"/>
      <c r="C210" s="102"/>
      <c r="D210" s="99"/>
      <c r="E210" s="96"/>
      <c r="F210" s="97"/>
      <c r="G210" s="98"/>
      <c r="H210" s="98"/>
    </row>
    <row r="211" spans="1:8" x14ac:dyDescent="0.3">
      <c r="A211" s="103"/>
      <c r="B211" s="105"/>
      <c r="C211" s="102"/>
      <c r="D211" s="99"/>
      <c r="E211" s="96"/>
      <c r="F211" s="97"/>
      <c r="G211" s="98"/>
      <c r="H211" s="98"/>
    </row>
    <row r="212" spans="1:8" x14ac:dyDescent="0.3">
      <c r="A212" s="103"/>
      <c r="B212" s="105"/>
      <c r="C212" s="102"/>
      <c r="D212" s="99"/>
      <c r="E212" s="96"/>
      <c r="F212" s="97"/>
      <c r="G212" s="98"/>
      <c r="H212" s="98"/>
    </row>
    <row r="213" spans="1:8" x14ac:dyDescent="0.3">
      <c r="A213" s="103"/>
      <c r="B213" s="105"/>
      <c r="C213" s="102"/>
      <c r="D213" s="99"/>
      <c r="E213" s="96"/>
      <c r="F213" s="97"/>
      <c r="G213" s="98"/>
      <c r="H213" s="98"/>
    </row>
    <row r="214" spans="1:8" x14ac:dyDescent="0.3">
      <c r="A214" s="103"/>
      <c r="B214" s="105"/>
      <c r="C214" s="102"/>
      <c r="D214" s="99"/>
      <c r="E214" s="96"/>
      <c r="F214" s="97"/>
      <c r="G214" s="98"/>
      <c r="H214" s="98"/>
    </row>
    <row r="215" spans="1:8" x14ac:dyDescent="0.3">
      <c r="A215" s="103"/>
      <c r="B215" s="105"/>
      <c r="C215" s="102"/>
      <c r="D215" s="99"/>
      <c r="E215" s="96"/>
      <c r="F215" s="97"/>
      <c r="G215" s="98"/>
      <c r="H215" s="98"/>
    </row>
    <row r="216" spans="1:8" x14ac:dyDescent="0.3">
      <c r="A216" s="103"/>
      <c r="B216" s="105"/>
      <c r="C216" s="102"/>
      <c r="D216" s="99"/>
      <c r="E216" s="96"/>
      <c r="F216" s="97"/>
      <c r="G216" s="98"/>
      <c r="H216" s="98"/>
    </row>
    <row r="217" spans="1:8" x14ac:dyDescent="0.3">
      <c r="A217" s="103"/>
      <c r="B217" s="105"/>
      <c r="C217" s="102"/>
      <c r="D217" s="99"/>
      <c r="E217" s="96"/>
      <c r="F217" s="97"/>
      <c r="G217" s="98"/>
      <c r="H217" s="98"/>
    </row>
    <row r="218" spans="1:8" x14ac:dyDescent="0.3">
      <c r="A218" s="103"/>
      <c r="B218" s="105"/>
      <c r="C218" s="102"/>
      <c r="D218" s="99"/>
      <c r="E218" s="96"/>
      <c r="F218" s="97"/>
      <c r="G218" s="98"/>
      <c r="H218" s="98"/>
    </row>
    <row r="219" spans="1:8" x14ac:dyDescent="0.3">
      <c r="A219" s="103"/>
      <c r="B219" s="105"/>
      <c r="C219" s="102"/>
      <c r="D219" s="99"/>
      <c r="E219" s="96"/>
      <c r="F219" s="97"/>
      <c r="G219" s="98"/>
      <c r="H219" s="98"/>
    </row>
    <row r="220" spans="1:8" x14ac:dyDescent="0.3">
      <c r="A220" s="103"/>
      <c r="B220" s="105"/>
      <c r="C220" s="102"/>
      <c r="D220" s="99"/>
      <c r="E220" s="96"/>
      <c r="F220" s="97"/>
      <c r="G220" s="98"/>
      <c r="H220" s="98"/>
    </row>
    <row r="221" spans="1:8" x14ac:dyDescent="0.3">
      <c r="A221" s="103"/>
      <c r="B221" s="105"/>
      <c r="C221" s="102"/>
      <c r="D221" s="99"/>
      <c r="E221" s="96"/>
      <c r="F221" s="97"/>
      <c r="G221" s="98"/>
      <c r="H221" s="98"/>
    </row>
    <row r="222" spans="1:8" x14ac:dyDescent="0.3">
      <c r="A222" s="103"/>
      <c r="B222" s="105"/>
      <c r="C222" s="102"/>
      <c r="D222" s="99"/>
      <c r="E222" s="96"/>
      <c r="F222" s="97"/>
      <c r="G222" s="98"/>
      <c r="H222" s="98"/>
    </row>
    <row r="223" spans="1:8" x14ac:dyDescent="0.3">
      <c r="A223" s="103"/>
      <c r="B223" s="105"/>
      <c r="C223" s="102"/>
      <c r="D223" s="99"/>
      <c r="E223" s="96"/>
      <c r="F223" s="97"/>
      <c r="G223" s="98"/>
      <c r="H223" s="98"/>
    </row>
    <row r="224" spans="1:8" x14ac:dyDescent="0.3">
      <c r="A224" s="103"/>
      <c r="B224" s="105"/>
      <c r="C224" s="102"/>
      <c r="D224" s="99"/>
      <c r="E224" s="96"/>
      <c r="F224" s="97"/>
      <c r="G224" s="98"/>
      <c r="H224" s="98"/>
    </row>
    <row r="225" spans="1:8" x14ac:dyDescent="0.3">
      <c r="A225" s="103"/>
      <c r="B225" s="105"/>
      <c r="C225" s="102"/>
      <c r="D225" s="99"/>
      <c r="E225" s="96"/>
      <c r="F225" s="97"/>
      <c r="G225" s="98"/>
      <c r="H225" s="98"/>
    </row>
    <row r="226" spans="1:8" x14ac:dyDescent="0.3">
      <c r="A226" s="103"/>
      <c r="B226" s="105"/>
      <c r="C226" s="102"/>
      <c r="D226" s="99"/>
      <c r="E226" s="96"/>
      <c r="F226" s="97"/>
      <c r="G226" s="98"/>
      <c r="H226" s="98"/>
    </row>
    <row r="227" spans="1:8" x14ac:dyDescent="0.3">
      <c r="A227" s="103"/>
      <c r="B227" s="105"/>
      <c r="C227" s="102"/>
      <c r="D227" s="99"/>
      <c r="E227" s="96"/>
      <c r="F227" s="97"/>
      <c r="G227" s="98"/>
      <c r="H227" s="98"/>
    </row>
    <row r="228" spans="1:8" x14ac:dyDescent="0.3">
      <c r="A228" s="103"/>
      <c r="B228" s="105"/>
      <c r="C228" s="102"/>
      <c r="D228" s="99"/>
      <c r="E228" s="96"/>
      <c r="F228" s="97"/>
      <c r="G228" s="98"/>
      <c r="H228" s="98"/>
    </row>
    <row r="229" spans="1:8" x14ac:dyDescent="0.3">
      <c r="A229" s="103"/>
      <c r="B229" s="105"/>
      <c r="C229" s="102"/>
      <c r="D229" s="99"/>
      <c r="E229" s="96"/>
      <c r="F229" s="97"/>
      <c r="G229" s="98"/>
      <c r="H229" s="98"/>
    </row>
    <row r="230" spans="1:8" x14ac:dyDescent="0.3">
      <c r="A230" s="103"/>
      <c r="B230" s="105"/>
      <c r="C230" s="102"/>
      <c r="D230" s="99"/>
      <c r="E230" s="96"/>
      <c r="F230" s="97"/>
      <c r="G230" s="98"/>
      <c r="H230" s="98"/>
    </row>
    <row r="231" spans="1:8" x14ac:dyDescent="0.3">
      <c r="A231" s="103"/>
      <c r="B231" s="105"/>
      <c r="C231" s="102"/>
      <c r="D231" s="99"/>
      <c r="E231" s="96"/>
      <c r="F231" s="97"/>
      <c r="G231" s="98"/>
      <c r="H231" s="98"/>
    </row>
    <row r="232" spans="1:8" x14ac:dyDescent="0.3">
      <c r="A232" s="103"/>
      <c r="B232" s="105"/>
      <c r="C232" s="102"/>
      <c r="D232" s="99"/>
      <c r="E232" s="96"/>
      <c r="F232" s="97"/>
      <c r="G232" s="98"/>
      <c r="H232" s="98"/>
    </row>
    <row r="233" spans="1:8" x14ac:dyDescent="0.3">
      <c r="A233" s="103"/>
      <c r="B233" s="105"/>
      <c r="C233" s="102"/>
      <c r="D233" s="99"/>
      <c r="E233" s="96"/>
      <c r="F233" s="97"/>
      <c r="G233" s="98"/>
      <c r="H233" s="98"/>
    </row>
    <row r="234" spans="1:8" x14ac:dyDescent="0.3">
      <c r="A234" s="103"/>
      <c r="B234" s="105"/>
      <c r="C234" s="102"/>
      <c r="D234" s="99"/>
      <c r="E234" s="96"/>
      <c r="F234" s="97"/>
      <c r="G234" s="98"/>
      <c r="H234" s="98"/>
    </row>
    <row r="235" spans="1:8" x14ac:dyDescent="0.3">
      <c r="A235" s="103"/>
      <c r="B235" s="105"/>
      <c r="C235" s="102"/>
      <c r="D235" s="99"/>
      <c r="E235" s="96"/>
      <c r="F235" s="97"/>
      <c r="G235" s="98"/>
      <c r="H235" s="98"/>
    </row>
    <row r="236" spans="1:8" x14ac:dyDescent="0.3">
      <c r="A236" s="103"/>
      <c r="B236" s="105"/>
      <c r="C236" s="102"/>
      <c r="D236" s="99"/>
      <c r="E236" s="96"/>
      <c r="F236" s="97"/>
      <c r="G236" s="98"/>
      <c r="H236" s="98"/>
    </row>
    <row r="237" spans="1:8" x14ac:dyDescent="0.3">
      <c r="A237" s="103"/>
      <c r="B237" s="105"/>
      <c r="C237" s="102"/>
      <c r="D237" s="99"/>
      <c r="E237" s="96"/>
      <c r="F237" s="97"/>
      <c r="G237" s="98"/>
      <c r="H237" s="98"/>
    </row>
    <row r="238" spans="1:8" x14ac:dyDescent="0.3">
      <c r="A238" s="103"/>
      <c r="B238" s="105"/>
      <c r="C238" s="102"/>
      <c r="D238" s="99"/>
      <c r="E238" s="96"/>
      <c r="F238" s="97"/>
      <c r="G238" s="98"/>
      <c r="H238" s="98"/>
    </row>
    <row r="239" spans="1:8" x14ac:dyDescent="0.3">
      <c r="A239" s="103"/>
      <c r="B239" s="105"/>
      <c r="C239" s="102"/>
      <c r="D239" s="99"/>
      <c r="E239" s="96"/>
      <c r="F239" s="97"/>
      <c r="G239" s="98"/>
      <c r="H239" s="98"/>
    </row>
    <row r="240" spans="1:8" x14ac:dyDescent="0.3">
      <c r="A240" s="103"/>
      <c r="B240" s="105"/>
      <c r="C240" s="102"/>
      <c r="D240" s="99"/>
      <c r="E240" s="96"/>
      <c r="F240" s="97"/>
      <c r="G240" s="98"/>
      <c r="H240" s="98"/>
    </row>
    <row r="241" spans="1:8" x14ac:dyDescent="0.3">
      <c r="A241" s="103"/>
      <c r="B241" s="105"/>
      <c r="C241" s="102"/>
      <c r="D241" s="99"/>
      <c r="E241" s="96"/>
      <c r="F241" s="97"/>
      <c r="G241" s="98"/>
      <c r="H241" s="98"/>
    </row>
    <row r="242" spans="1:8" x14ac:dyDescent="0.3">
      <c r="A242" s="103"/>
      <c r="B242" s="105"/>
      <c r="C242" s="102"/>
      <c r="D242" s="99"/>
      <c r="E242" s="96"/>
      <c r="F242" s="97"/>
      <c r="G242" s="98"/>
      <c r="H242" s="98"/>
    </row>
    <row r="243" spans="1:8" x14ac:dyDescent="0.3">
      <c r="A243" s="103"/>
      <c r="B243" s="105"/>
      <c r="C243" s="102"/>
      <c r="D243" s="99"/>
      <c r="E243" s="96"/>
      <c r="F243" s="97"/>
      <c r="G243" s="98"/>
      <c r="H243" s="98"/>
    </row>
    <row r="244" spans="1:8" x14ac:dyDescent="0.3">
      <c r="A244" s="103"/>
      <c r="B244" s="105"/>
      <c r="C244" s="102"/>
      <c r="D244" s="99"/>
      <c r="E244" s="96"/>
      <c r="F244" s="97"/>
      <c r="G244" s="98"/>
      <c r="H244" s="98"/>
    </row>
    <row r="245" spans="1:8" x14ac:dyDescent="0.3">
      <c r="A245" s="103"/>
      <c r="B245" s="105"/>
      <c r="C245" s="102"/>
      <c r="D245" s="99"/>
      <c r="E245" s="96"/>
      <c r="F245" s="97"/>
      <c r="G245" s="98"/>
      <c r="H245" s="98"/>
    </row>
    <row r="246" spans="1:8" x14ac:dyDescent="0.3">
      <c r="A246" s="103"/>
      <c r="B246" s="105"/>
      <c r="C246" s="102"/>
      <c r="D246" s="99"/>
      <c r="E246" s="96"/>
      <c r="F246" s="97"/>
      <c r="G246" s="98"/>
      <c r="H246" s="98"/>
    </row>
    <row r="247" spans="1:8" x14ac:dyDescent="0.3">
      <c r="A247" s="103"/>
      <c r="B247" s="105"/>
      <c r="C247" s="102"/>
      <c r="D247" s="99"/>
      <c r="E247" s="96"/>
      <c r="F247" s="97"/>
      <c r="G247" s="98"/>
      <c r="H247" s="98"/>
    </row>
    <row r="248" spans="1:8" x14ac:dyDescent="0.3">
      <c r="A248" s="103"/>
      <c r="B248" s="105"/>
      <c r="C248" s="102"/>
      <c r="D248" s="99"/>
      <c r="E248" s="96"/>
      <c r="F248" s="97"/>
      <c r="G248" s="98"/>
      <c r="H248" s="98"/>
    </row>
    <row r="249" spans="1:8" x14ac:dyDescent="0.3">
      <c r="A249" s="103"/>
      <c r="B249" s="105"/>
      <c r="C249" s="102"/>
      <c r="D249" s="99"/>
      <c r="E249" s="96"/>
      <c r="F249" s="97"/>
      <c r="G249" s="98"/>
      <c r="H249" s="98"/>
    </row>
    <row r="250" spans="1:8" x14ac:dyDescent="0.3">
      <c r="A250" s="103"/>
      <c r="B250" s="105"/>
      <c r="C250" s="102"/>
      <c r="D250" s="99"/>
      <c r="E250" s="96"/>
      <c r="F250" s="97"/>
      <c r="G250" s="98"/>
      <c r="H250" s="98"/>
    </row>
    <row r="251" spans="1:8" x14ac:dyDescent="0.3">
      <c r="A251" s="103"/>
      <c r="B251" s="105"/>
      <c r="C251" s="102"/>
      <c r="D251" s="99"/>
      <c r="E251" s="96"/>
      <c r="F251" s="97"/>
      <c r="G251" s="98"/>
      <c r="H251" s="98"/>
    </row>
    <row r="252" spans="1:8" x14ac:dyDescent="0.3">
      <c r="A252" s="103"/>
      <c r="B252" s="105"/>
      <c r="C252" s="102"/>
      <c r="D252" s="99"/>
      <c r="E252" s="96"/>
      <c r="F252" s="97"/>
      <c r="G252" s="98"/>
      <c r="H252" s="98"/>
    </row>
    <row r="253" spans="1:8" x14ac:dyDescent="0.3">
      <c r="A253" s="103"/>
      <c r="B253" s="105"/>
      <c r="C253" s="102"/>
      <c r="D253" s="99"/>
      <c r="E253" s="96"/>
      <c r="F253" s="97"/>
      <c r="G253" s="98"/>
      <c r="H253" s="98"/>
    </row>
    <row r="254" spans="1:8" x14ac:dyDescent="0.3">
      <c r="A254" s="103"/>
      <c r="B254" s="105"/>
      <c r="C254" s="102"/>
      <c r="D254" s="99"/>
      <c r="E254" s="96"/>
      <c r="F254" s="97"/>
      <c r="G254" s="98"/>
      <c r="H254" s="98"/>
    </row>
    <row r="255" spans="1:8" x14ac:dyDescent="0.3">
      <c r="A255" s="103"/>
      <c r="B255" s="105"/>
      <c r="C255" s="102"/>
      <c r="D255" s="99"/>
      <c r="E255" s="96"/>
      <c r="F255" s="97"/>
      <c r="G255" s="98"/>
      <c r="H255" s="98"/>
    </row>
    <row r="256" spans="1:8" x14ac:dyDescent="0.3">
      <c r="A256" s="103"/>
      <c r="B256" s="105"/>
      <c r="C256" s="102"/>
      <c r="D256" s="99"/>
      <c r="E256" s="96"/>
      <c r="F256" s="97"/>
      <c r="G256" s="98"/>
      <c r="H256" s="98"/>
    </row>
    <row r="257" spans="1:8" x14ac:dyDescent="0.3">
      <c r="A257" s="103"/>
      <c r="B257" s="105"/>
      <c r="C257" s="102"/>
      <c r="D257" s="99"/>
      <c r="E257" s="96"/>
      <c r="F257" s="97"/>
      <c r="G257" s="98"/>
      <c r="H257" s="98"/>
    </row>
    <row r="258" spans="1:8" x14ac:dyDescent="0.3">
      <c r="A258" s="103"/>
      <c r="B258" s="105"/>
      <c r="C258" s="102"/>
      <c r="D258" s="99"/>
      <c r="E258" s="96"/>
      <c r="F258" s="97"/>
      <c r="G258" s="98"/>
      <c r="H258" s="98"/>
    </row>
    <row r="259" spans="1:8" x14ac:dyDescent="0.3">
      <c r="A259" s="103"/>
      <c r="B259" s="105"/>
      <c r="C259" s="102"/>
      <c r="D259" s="99"/>
      <c r="E259" s="96"/>
      <c r="F259" s="97"/>
      <c r="G259" s="98"/>
      <c r="H259" s="98"/>
    </row>
    <row r="260" spans="1:8" x14ac:dyDescent="0.3">
      <c r="A260" s="103"/>
      <c r="B260" s="105"/>
      <c r="C260" s="102"/>
      <c r="D260" s="99"/>
      <c r="E260" s="96"/>
      <c r="F260" s="97"/>
      <c r="G260" s="98"/>
      <c r="H260" s="98"/>
    </row>
    <row r="261" spans="1:8" x14ac:dyDescent="0.3">
      <c r="A261" s="103"/>
      <c r="B261" s="105"/>
      <c r="C261" s="102"/>
      <c r="D261" s="99"/>
      <c r="E261" s="96"/>
      <c r="F261" s="97"/>
      <c r="G261" s="98"/>
      <c r="H261" s="98"/>
    </row>
    <row r="262" spans="1:8" x14ac:dyDescent="0.3">
      <c r="A262" s="103"/>
      <c r="B262" s="105"/>
      <c r="C262" s="102"/>
      <c r="D262" s="99"/>
      <c r="E262" s="96"/>
      <c r="F262" s="97"/>
      <c r="G262" s="98"/>
      <c r="H262" s="98"/>
    </row>
    <row r="263" spans="1:8" x14ac:dyDescent="0.3">
      <c r="A263" s="103"/>
      <c r="B263" s="105"/>
      <c r="C263" s="102"/>
      <c r="D263" s="99"/>
      <c r="E263" s="96"/>
      <c r="F263" s="97"/>
      <c r="G263" s="98"/>
      <c r="H263" s="98"/>
    </row>
    <row r="264" spans="1:8" x14ac:dyDescent="0.3">
      <c r="A264" s="103"/>
      <c r="B264" s="105"/>
      <c r="C264" s="102"/>
      <c r="D264" s="99"/>
      <c r="E264" s="96"/>
      <c r="F264" s="97"/>
      <c r="G264" s="98"/>
      <c r="H264" s="98"/>
    </row>
    <row r="265" spans="1:8" x14ac:dyDescent="0.3">
      <c r="A265" s="103"/>
      <c r="B265" s="105"/>
      <c r="C265" s="102"/>
      <c r="D265" s="99"/>
      <c r="E265" s="96"/>
      <c r="F265" s="97"/>
      <c r="G265" s="98"/>
      <c r="H265" s="98"/>
    </row>
    <row r="266" spans="1:8" x14ac:dyDescent="0.3">
      <c r="A266" s="103"/>
      <c r="B266" s="105"/>
      <c r="C266" s="102"/>
      <c r="D266" s="99"/>
      <c r="E266" s="96"/>
      <c r="F266" s="97"/>
      <c r="G266" s="98"/>
      <c r="H266" s="98"/>
    </row>
    <row r="267" spans="1:8" x14ac:dyDescent="0.3">
      <c r="A267" s="103"/>
      <c r="B267" s="105"/>
      <c r="C267" s="102"/>
      <c r="D267" s="99"/>
      <c r="E267" s="96"/>
      <c r="F267" s="97"/>
      <c r="G267" s="98"/>
      <c r="H267" s="98"/>
    </row>
    <row r="268" spans="1:8" x14ac:dyDescent="0.3">
      <c r="A268" s="103"/>
      <c r="B268" s="105"/>
      <c r="C268" s="102"/>
      <c r="D268" s="99"/>
      <c r="E268" s="96"/>
      <c r="F268" s="97"/>
      <c r="G268" s="98"/>
      <c r="H268" s="98"/>
    </row>
    <row r="269" spans="1:8" x14ac:dyDescent="0.3">
      <c r="A269" s="103"/>
      <c r="B269" s="105"/>
      <c r="C269" s="102"/>
      <c r="D269" s="99"/>
      <c r="E269" s="96"/>
      <c r="F269" s="97"/>
      <c r="G269" s="98"/>
      <c r="H269" s="98"/>
    </row>
    <row r="270" spans="1:8" x14ac:dyDescent="0.3">
      <c r="A270" s="103"/>
      <c r="B270" s="105"/>
      <c r="C270" s="102"/>
      <c r="D270" s="99"/>
      <c r="E270" s="96"/>
      <c r="F270" s="97"/>
      <c r="G270" s="98"/>
      <c r="H270" s="98"/>
    </row>
    <row r="271" spans="1:8" x14ac:dyDescent="0.3">
      <c r="A271" s="103"/>
      <c r="B271" s="105"/>
      <c r="C271" s="102"/>
      <c r="D271" s="99"/>
      <c r="E271" s="96"/>
      <c r="F271" s="97"/>
      <c r="G271" s="98"/>
      <c r="H271" s="98"/>
    </row>
    <row r="272" spans="1:8" x14ac:dyDescent="0.3">
      <c r="A272" s="103"/>
      <c r="B272" s="105"/>
      <c r="C272" s="102"/>
      <c r="D272" s="99"/>
      <c r="E272" s="96"/>
      <c r="F272" s="97"/>
      <c r="G272" s="98"/>
      <c r="H272" s="98"/>
    </row>
    <row r="273" spans="1:8" x14ac:dyDescent="0.3">
      <c r="A273" s="103"/>
      <c r="B273" s="105"/>
      <c r="C273" s="102"/>
      <c r="D273" s="99"/>
      <c r="E273" s="96"/>
      <c r="F273" s="97"/>
      <c r="G273" s="98"/>
      <c r="H273" s="98"/>
    </row>
    <row r="274" spans="1:8" x14ac:dyDescent="0.3">
      <c r="A274" s="103"/>
      <c r="B274" s="105"/>
      <c r="C274" s="102"/>
      <c r="D274" s="99"/>
      <c r="E274" s="96"/>
      <c r="F274" s="97"/>
      <c r="G274" s="98"/>
      <c r="H274" s="98"/>
    </row>
    <row r="275" spans="1:8" x14ac:dyDescent="0.3">
      <c r="A275" s="103"/>
      <c r="B275" s="105"/>
      <c r="C275" s="102"/>
      <c r="D275" s="99"/>
      <c r="E275" s="96"/>
      <c r="F275" s="97"/>
      <c r="G275" s="98"/>
      <c r="H275" s="98"/>
    </row>
    <row r="276" spans="1:8" x14ac:dyDescent="0.3">
      <c r="A276" s="103"/>
      <c r="B276" s="105"/>
      <c r="C276" s="102"/>
      <c r="D276" s="99"/>
      <c r="E276" s="96"/>
      <c r="F276" s="97"/>
      <c r="G276" s="98"/>
      <c r="H276" s="98"/>
    </row>
    <row r="277" spans="1:8" x14ac:dyDescent="0.3">
      <c r="A277" s="103"/>
      <c r="B277" s="105"/>
      <c r="C277" s="102"/>
      <c r="D277" s="99"/>
      <c r="E277" s="96"/>
      <c r="F277" s="97"/>
      <c r="G277" s="98"/>
      <c r="H277" s="98"/>
    </row>
    <row r="278" spans="1:8" x14ac:dyDescent="0.3">
      <c r="A278" s="103"/>
      <c r="B278" s="105"/>
      <c r="C278" s="102"/>
      <c r="D278" s="99"/>
      <c r="E278" s="96"/>
      <c r="F278" s="97"/>
      <c r="G278" s="98"/>
      <c r="H278" s="98"/>
    </row>
    <row r="279" spans="1:8" x14ac:dyDescent="0.3">
      <c r="A279" s="103"/>
      <c r="B279" s="105"/>
      <c r="C279" s="102"/>
      <c r="D279" s="99"/>
      <c r="E279" s="96"/>
      <c r="F279" s="97"/>
      <c r="G279" s="98"/>
      <c r="H279" s="98"/>
    </row>
    <row r="280" spans="1:8" x14ac:dyDescent="0.3">
      <c r="A280" s="103"/>
      <c r="B280" s="105"/>
      <c r="C280" s="102"/>
      <c r="D280" s="99"/>
      <c r="E280" s="96"/>
      <c r="F280" s="97"/>
      <c r="G280" s="98"/>
      <c r="H280" s="98"/>
    </row>
    <row r="281" spans="1:8" x14ac:dyDescent="0.3">
      <c r="A281" s="103"/>
      <c r="B281" s="105"/>
      <c r="C281" s="102"/>
      <c r="D281" s="99"/>
      <c r="E281" s="96"/>
      <c r="F281" s="97"/>
      <c r="G281" s="98"/>
      <c r="H281" s="98"/>
    </row>
    <row r="282" spans="1:8" x14ac:dyDescent="0.3">
      <c r="A282" s="103"/>
      <c r="B282" s="105"/>
      <c r="C282" s="102"/>
      <c r="D282" s="99"/>
      <c r="E282" s="96"/>
      <c r="F282" s="97"/>
      <c r="G282" s="98"/>
      <c r="H282" s="98"/>
    </row>
    <row r="283" spans="1:8" x14ac:dyDescent="0.3">
      <c r="A283" s="103"/>
      <c r="B283" s="105"/>
      <c r="C283" s="102"/>
      <c r="D283" s="99"/>
      <c r="E283" s="96"/>
      <c r="F283" s="97"/>
      <c r="G283" s="98"/>
      <c r="H283" s="98"/>
    </row>
    <row r="284" spans="1:8" x14ac:dyDescent="0.3">
      <c r="A284" s="103"/>
      <c r="B284" s="105"/>
      <c r="C284" s="102"/>
      <c r="D284" s="99"/>
      <c r="E284" s="96"/>
      <c r="F284" s="97"/>
      <c r="G284" s="98"/>
      <c r="H284" s="98"/>
    </row>
    <row r="285" spans="1:8" x14ac:dyDescent="0.3">
      <c r="A285" s="103"/>
      <c r="B285" s="105"/>
      <c r="C285" s="102"/>
      <c r="D285" s="99"/>
      <c r="E285" s="96"/>
      <c r="F285" s="97"/>
      <c r="G285" s="98"/>
      <c r="H285" s="98"/>
    </row>
    <row r="286" spans="1:8" x14ac:dyDescent="0.3">
      <c r="A286" s="103"/>
      <c r="B286" s="105"/>
      <c r="C286" s="102"/>
      <c r="D286" s="99"/>
      <c r="E286" s="96"/>
      <c r="F286" s="97"/>
      <c r="G286" s="98"/>
      <c r="H286" s="98"/>
    </row>
    <row r="287" spans="1:8" x14ac:dyDescent="0.3">
      <c r="A287" s="103"/>
      <c r="B287" s="105"/>
      <c r="C287" s="102"/>
      <c r="D287" s="99"/>
      <c r="E287" s="96"/>
      <c r="F287" s="97"/>
      <c r="G287" s="98"/>
      <c r="H287" s="98"/>
    </row>
    <row r="288" spans="1:8" x14ac:dyDescent="0.3">
      <c r="A288" s="103"/>
      <c r="B288" s="105"/>
      <c r="C288" s="102"/>
      <c r="D288" s="99"/>
      <c r="E288" s="96"/>
      <c r="F288" s="97"/>
      <c r="G288" s="98"/>
      <c r="H288" s="98"/>
    </row>
    <row r="289" spans="1:8" x14ac:dyDescent="0.3">
      <c r="A289" s="103"/>
      <c r="B289" s="105"/>
      <c r="C289" s="102"/>
      <c r="D289" s="99"/>
      <c r="E289" s="96"/>
      <c r="F289" s="97"/>
      <c r="G289" s="98"/>
      <c r="H289" s="98"/>
    </row>
    <row r="290" spans="1:8" x14ac:dyDescent="0.3">
      <c r="A290" s="103"/>
      <c r="B290" s="105"/>
      <c r="C290" s="102"/>
      <c r="D290" s="99"/>
      <c r="E290" s="96"/>
      <c r="F290" s="97"/>
      <c r="G290" s="98"/>
      <c r="H290" s="98"/>
    </row>
    <row r="291" spans="1:8" x14ac:dyDescent="0.3">
      <c r="A291" s="103"/>
      <c r="B291" s="105"/>
      <c r="C291" s="102"/>
      <c r="D291" s="99"/>
      <c r="E291" s="96"/>
      <c r="F291" s="97"/>
      <c r="G291" s="98"/>
      <c r="H291" s="98"/>
    </row>
    <row r="292" spans="1:8" x14ac:dyDescent="0.3">
      <c r="A292" s="103"/>
      <c r="B292" s="105"/>
      <c r="C292" s="102"/>
      <c r="D292" s="99"/>
      <c r="E292" s="96"/>
      <c r="F292" s="97"/>
      <c r="G292" s="98"/>
      <c r="H292" s="98"/>
    </row>
    <row r="293" spans="1:8" x14ac:dyDescent="0.3">
      <c r="A293" s="103"/>
      <c r="B293" s="105"/>
      <c r="C293" s="102"/>
      <c r="D293" s="99"/>
      <c r="E293" s="96"/>
      <c r="F293" s="97"/>
      <c r="G293" s="98"/>
      <c r="H293" s="98"/>
    </row>
    <row r="294" spans="1:8" x14ac:dyDescent="0.3">
      <c r="A294" s="103"/>
      <c r="B294" s="105"/>
      <c r="C294" s="102"/>
      <c r="D294" s="99"/>
      <c r="E294" s="96"/>
      <c r="F294" s="97"/>
      <c r="G294" s="98"/>
      <c r="H294" s="98"/>
    </row>
    <row r="295" spans="1:8" x14ac:dyDescent="0.3">
      <c r="A295" s="103"/>
      <c r="B295" s="105"/>
      <c r="C295" s="102"/>
      <c r="D295" s="99"/>
      <c r="E295" s="96"/>
      <c r="F295" s="97"/>
      <c r="G295" s="98"/>
      <c r="H295" s="98"/>
    </row>
    <row r="296" spans="1:8" x14ac:dyDescent="0.3">
      <c r="A296" s="103"/>
      <c r="B296" s="105"/>
      <c r="C296" s="102"/>
      <c r="D296" s="99"/>
      <c r="E296" s="96"/>
      <c r="F296" s="97"/>
      <c r="G296" s="98"/>
      <c r="H296" s="98"/>
    </row>
    <row r="297" spans="1:8" x14ac:dyDescent="0.3">
      <c r="A297" s="103"/>
      <c r="B297" s="105"/>
      <c r="C297" s="102"/>
      <c r="D297" s="99"/>
      <c r="E297" s="96"/>
      <c r="F297" s="97"/>
      <c r="G297" s="98"/>
      <c r="H297" s="98"/>
    </row>
    <row r="298" spans="1:8" x14ac:dyDescent="0.3">
      <c r="A298" s="103"/>
      <c r="B298" s="105"/>
      <c r="C298" s="102"/>
      <c r="D298" s="99"/>
      <c r="E298" s="96"/>
      <c r="F298" s="97"/>
      <c r="G298" s="98"/>
      <c r="H298" s="98"/>
    </row>
    <row r="299" spans="1:8" x14ac:dyDescent="0.3">
      <c r="A299" s="103"/>
      <c r="B299" s="105"/>
      <c r="C299" s="102"/>
      <c r="D299" s="99"/>
      <c r="E299" s="96"/>
      <c r="F299" s="97"/>
      <c r="G299" s="98"/>
      <c r="H299" s="98"/>
    </row>
    <row r="300" spans="1:8" x14ac:dyDescent="0.3">
      <c r="A300" s="103"/>
      <c r="B300" s="105"/>
      <c r="C300" s="102"/>
      <c r="D300" s="99"/>
      <c r="E300" s="96"/>
      <c r="F300" s="97"/>
      <c r="G300" s="98"/>
      <c r="H300" s="98"/>
    </row>
    <row r="301" spans="1:8" x14ac:dyDescent="0.3">
      <c r="A301" s="103"/>
      <c r="B301" s="105"/>
      <c r="C301" s="102"/>
      <c r="D301" s="99"/>
      <c r="E301" s="96"/>
      <c r="F301" s="97"/>
      <c r="G301" s="98"/>
      <c r="H301" s="98"/>
    </row>
    <row r="302" spans="1:8" x14ac:dyDescent="0.3">
      <c r="A302" s="103"/>
      <c r="B302" s="105"/>
      <c r="C302" s="102"/>
      <c r="D302" s="99"/>
      <c r="E302" s="96"/>
      <c r="F302" s="97"/>
      <c r="G302" s="98"/>
      <c r="H302" s="98"/>
    </row>
    <row r="303" spans="1:8" x14ac:dyDescent="0.3">
      <c r="A303" s="103"/>
      <c r="B303" s="105"/>
      <c r="C303" s="102"/>
      <c r="D303" s="99"/>
      <c r="E303" s="96"/>
      <c r="F303" s="97"/>
      <c r="G303" s="98"/>
      <c r="H303" s="98"/>
    </row>
    <row r="304" spans="1:8" x14ac:dyDescent="0.3">
      <c r="A304" s="103"/>
      <c r="B304" s="105"/>
      <c r="C304" s="102"/>
      <c r="D304" s="99"/>
      <c r="E304" s="96"/>
      <c r="F304" s="97"/>
      <c r="G304" s="98"/>
      <c r="H304" s="98"/>
    </row>
    <row r="305" spans="1:8" x14ac:dyDescent="0.3">
      <c r="A305" s="103"/>
      <c r="B305" s="105"/>
      <c r="C305" s="102"/>
      <c r="D305" s="99"/>
      <c r="E305" s="96"/>
      <c r="F305" s="97"/>
      <c r="G305" s="98"/>
      <c r="H305" s="98"/>
    </row>
    <row r="306" spans="1:8" x14ac:dyDescent="0.3">
      <c r="A306" s="103"/>
      <c r="B306" s="105"/>
      <c r="C306" s="102"/>
      <c r="D306" s="99"/>
      <c r="E306" s="96"/>
      <c r="F306" s="97"/>
      <c r="G306" s="98"/>
      <c r="H306" s="98"/>
    </row>
    <row r="307" spans="1:8" x14ac:dyDescent="0.3">
      <c r="A307" s="103"/>
      <c r="B307" s="105"/>
      <c r="C307" s="102"/>
      <c r="D307" s="99"/>
      <c r="E307" s="96"/>
      <c r="F307" s="97"/>
      <c r="G307" s="98"/>
      <c r="H307" s="98"/>
    </row>
    <row r="308" spans="1:8" x14ac:dyDescent="0.3">
      <c r="A308" s="103"/>
      <c r="B308" s="105"/>
      <c r="C308" s="102"/>
      <c r="D308" s="99"/>
      <c r="E308" s="96"/>
      <c r="F308" s="97"/>
      <c r="G308" s="98"/>
      <c r="H308" s="98"/>
    </row>
    <row r="309" spans="1:8" x14ac:dyDescent="0.3">
      <c r="A309" s="103"/>
      <c r="B309" s="105"/>
      <c r="C309" s="102"/>
      <c r="D309" s="99"/>
      <c r="E309" s="96"/>
      <c r="F309" s="97"/>
      <c r="G309" s="98"/>
      <c r="H309" s="98"/>
    </row>
    <row r="310" spans="1:8" x14ac:dyDescent="0.3">
      <c r="A310" s="103"/>
      <c r="B310" s="105"/>
      <c r="C310" s="102"/>
      <c r="D310" s="99"/>
      <c r="E310" s="96"/>
      <c r="F310" s="97"/>
      <c r="G310" s="98"/>
      <c r="H310" s="98"/>
    </row>
    <row r="311" spans="1:8" x14ac:dyDescent="0.3">
      <c r="A311" s="103"/>
      <c r="B311" s="105"/>
      <c r="C311" s="102"/>
      <c r="D311" s="99"/>
      <c r="E311" s="96"/>
      <c r="F311" s="97"/>
      <c r="G311" s="98"/>
      <c r="H311" s="98"/>
    </row>
    <row r="312" spans="1:8" x14ac:dyDescent="0.3">
      <c r="A312" s="103"/>
      <c r="B312" s="105"/>
      <c r="C312" s="102"/>
      <c r="D312" s="99"/>
      <c r="E312" s="96"/>
      <c r="F312" s="97"/>
      <c r="G312" s="98"/>
      <c r="H312" s="98"/>
    </row>
    <row r="313" spans="1:8" x14ac:dyDescent="0.3">
      <c r="A313" s="103"/>
      <c r="B313" s="105"/>
      <c r="C313" s="102"/>
      <c r="D313" s="99"/>
      <c r="E313" s="96"/>
      <c r="F313" s="97"/>
      <c r="G313" s="98"/>
      <c r="H313" s="98"/>
    </row>
    <row r="314" spans="1:8" x14ac:dyDescent="0.3">
      <c r="A314" s="103"/>
      <c r="B314" s="105"/>
      <c r="C314" s="102"/>
      <c r="D314" s="99"/>
      <c r="E314" s="96"/>
      <c r="F314" s="97"/>
      <c r="G314" s="98"/>
      <c r="H314" s="98"/>
    </row>
    <row r="315" spans="1:8" x14ac:dyDescent="0.3">
      <c r="A315" s="103"/>
      <c r="B315" s="105"/>
      <c r="C315" s="102"/>
      <c r="D315" s="99"/>
      <c r="E315" s="96"/>
      <c r="F315" s="97"/>
      <c r="G315" s="98"/>
      <c r="H315" s="98"/>
    </row>
    <row r="316" spans="1:8" x14ac:dyDescent="0.3">
      <c r="A316" s="103"/>
      <c r="B316" s="105"/>
      <c r="C316" s="102"/>
      <c r="D316" s="99"/>
      <c r="E316" s="96"/>
      <c r="F316" s="97"/>
      <c r="G316" s="98"/>
      <c r="H316" s="98"/>
    </row>
    <row r="317" spans="1:8" x14ac:dyDescent="0.3">
      <c r="A317" s="103"/>
      <c r="B317" s="105"/>
      <c r="C317" s="102"/>
      <c r="D317" s="99"/>
      <c r="E317" s="96"/>
      <c r="F317" s="97"/>
      <c r="G317" s="98"/>
      <c r="H317" s="98"/>
    </row>
    <row r="318" spans="1:8" x14ac:dyDescent="0.3">
      <c r="A318" s="103"/>
      <c r="B318" s="105"/>
      <c r="C318" s="102"/>
      <c r="D318" s="99"/>
      <c r="E318" s="96"/>
      <c r="F318" s="97"/>
      <c r="G318" s="98"/>
      <c r="H318" s="98"/>
    </row>
    <row r="319" spans="1:8" x14ac:dyDescent="0.3">
      <c r="A319" s="103"/>
      <c r="B319" s="105"/>
      <c r="C319" s="102"/>
      <c r="D319" s="99"/>
      <c r="E319" s="96"/>
      <c r="F319" s="97"/>
      <c r="G319" s="98"/>
      <c r="H319" s="98"/>
    </row>
    <row r="320" spans="1:8" x14ac:dyDescent="0.3">
      <c r="A320" s="103"/>
      <c r="B320" s="105"/>
      <c r="C320" s="102"/>
      <c r="D320" s="99"/>
      <c r="E320" s="96"/>
      <c r="F320" s="97"/>
      <c r="G320" s="98"/>
      <c r="H320" s="98"/>
    </row>
    <row r="321" spans="1:8" x14ac:dyDescent="0.3">
      <c r="A321" s="103"/>
      <c r="B321" s="105"/>
      <c r="C321" s="102"/>
      <c r="D321" s="99"/>
      <c r="E321" s="96"/>
      <c r="F321" s="97"/>
      <c r="G321" s="98"/>
      <c r="H321" s="98"/>
    </row>
    <row r="322" spans="1:8" x14ac:dyDescent="0.3">
      <c r="A322" s="103"/>
      <c r="B322" s="105"/>
      <c r="C322" s="102"/>
      <c r="D322" s="99"/>
      <c r="E322" s="96"/>
      <c r="F322" s="97"/>
      <c r="G322" s="98"/>
      <c r="H322" s="98"/>
    </row>
    <row r="323" spans="1:8" x14ac:dyDescent="0.3">
      <c r="A323" s="103"/>
      <c r="B323" s="105"/>
      <c r="C323" s="102"/>
      <c r="D323" s="99"/>
      <c r="E323" s="96"/>
      <c r="F323" s="97"/>
      <c r="G323" s="98"/>
      <c r="H323" s="98"/>
    </row>
    <row r="324" spans="1:8" x14ac:dyDescent="0.3">
      <c r="A324" s="103"/>
      <c r="B324" s="105"/>
      <c r="C324" s="102"/>
      <c r="D324" s="99"/>
      <c r="E324" s="96"/>
      <c r="F324" s="97"/>
      <c r="G324" s="98"/>
      <c r="H324" s="98"/>
    </row>
    <row r="325" spans="1:8" x14ac:dyDescent="0.3">
      <c r="A325" s="103"/>
      <c r="B325" s="105"/>
      <c r="C325" s="102"/>
      <c r="D325" s="99"/>
      <c r="E325" s="96"/>
      <c r="F325" s="97"/>
      <c r="G325" s="98"/>
      <c r="H325" s="98"/>
    </row>
    <row r="326" spans="1:8" x14ac:dyDescent="0.3">
      <c r="A326" s="103"/>
      <c r="B326" s="105"/>
      <c r="C326" s="102"/>
      <c r="D326" s="99"/>
      <c r="E326" s="96"/>
      <c r="F326" s="97"/>
      <c r="G326" s="98"/>
      <c r="H326" s="98"/>
    </row>
    <row r="327" spans="1:8" x14ac:dyDescent="0.3">
      <c r="A327" s="103"/>
      <c r="B327" s="105"/>
      <c r="C327" s="102"/>
      <c r="D327" s="99"/>
      <c r="E327" s="96"/>
      <c r="F327" s="97"/>
      <c r="G327" s="98"/>
      <c r="H327" s="98"/>
    </row>
    <row r="328" spans="1:8" x14ac:dyDescent="0.3">
      <c r="A328" s="103"/>
      <c r="B328" s="105"/>
      <c r="C328" s="102"/>
      <c r="D328" s="99"/>
      <c r="E328" s="96"/>
      <c r="F328" s="97"/>
      <c r="G328" s="98"/>
      <c r="H328" s="98"/>
    </row>
    <row r="329" spans="1:8" x14ac:dyDescent="0.3">
      <c r="A329" s="103"/>
      <c r="B329" s="105"/>
      <c r="C329" s="102"/>
      <c r="D329" s="99"/>
      <c r="E329" s="96"/>
      <c r="F329" s="97"/>
      <c r="G329" s="98"/>
      <c r="H329" s="98"/>
    </row>
    <row r="330" spans="1:8" x14ac:dyDescent="0.3">
      <c r="A330" s="103"/>
      <c r="B330" s="105"/>
      <c r="C330" s="102"/>
      <c r="D330" s="99"/>
      <c r="E330" s="96"/>
      <c r="F330" s="97"/>
      <c r="G330" s="98"/>
      <c r="H330" s="98"/>
    </row>
    <row r="331" spans="1:8" x14ac:dyDescent="0.3">
      <c r="A331" s="103"/>
      <c r="B331" s="105"/>
      <c r="C331" s="102"/>
      <c r="D331" s="99"/>
      <c r="E331" s="96"/>
      <c r="F331" s="97"/>
      <c r="G331" s="98"/>
      <c r="H331" s="98"/>
    </row>
    <row r="332" spans="1:8" x14ac:dyDescent="0.3">
      <c r="A332" s="103"/>
      <c r="B332" s="105"/>
      <c r="C332" s="102"/>
      <c r="D332" s="99"/>
      <c r="E332" s="96"/>
      <c r="F332" s="97"/>
      <c r="G332" s="98"/>
      <c r="H332" s="98"/>
    </row>
    <row r="333" spans="1:8" x14ac:dyDescent="0.3">
      <c r="A333" s="103"/>
      <c r="B333" s="105"/>
      <c r="C333" s="102"/>
      <c r="D333" s="99"/>
      <c r="E333" s="96"/>
      <c r="F333" s="97"/>
      <c r="G333" s="98"/>
      <c r="H333" s="98"/>
    </row>
    <row r="334" spans="1:8" x14ac:dyDescent="0.3">
      <c r="A334" s="103"/>
      <c r="B334" s="105"/>
      <c r="C334" s="102"/>
      <c r="D334" s="99"/>
      <c r="E334" s="96"/>
      <c r="F334" s="97"/>
      <c r="G334" s="98"/>
      <c r="H334" s="98"/>
    </row>
    <row r="335" spans="1:8" x14ac:dyDescent="0.3">
      <c r="A335" s="103"/>
      <c r="B335" s="105"/>
      <c r="C335" s="102"/>
      <c r="D335" s="99"/>
      <c r="E335" s="96"/>
      <c r="F335" s="97"/>
      <c r="G335" s="98"/>
      <c r="H335" s="98"/>
    </row>
    <row r="336" spans="1:8" x14ac:dyDescent="0.3">
      <c r="A336" s="103"/>
      <c r="B336" s="105"/>
      <c r="C336" s="102"/>
      <c r="D336" s="99"/>
      <c r="E336" s="96"/>
      <c r="F336" s="97"/>
      <c r="G336" s="98"/>
      <c r="H336" s="98"/>
    </row>
    <row r="337" spans="1:8" x14ac:dyDescent="0.3">
      <c r="A337" s="103"/>
      <c r="B337" s="105"/>
      <c r="C337" s="102"/>
      <c r="D337" s="99"/>
      <c r="E337" s="96"/>
      <c r="F337" s="97"/>
      <c r="G337" s="98"/>
      <c r="H337" s="98"/>
    </row>
    <row r="338" spans="1:8" x14ac:dyDescent="0.3">
      <c r="A338" s="103"/>
      <c r="B338" s="105"/>
      <c r="C338" s="102"/>
      <c r="D338" s="99"/>
      <c r="E338" s="96"/>
      <c r="F338" s="97"/>
      <c r="G338" s="98"/>
      <c r="H338" s="98"/>
    </row>
    <row r="339" spans="1:8" x14ac:dyDescent="0.3">
      <c r="A339" s="103"/>
      <c r="B339" s="105"/>
      <c r="C339" s="102"/>
      <c r="D339" s="99"/>
      <c r="E339" s="96"/>
      <c r="F339" s="97"/>
      <c r="G339" s="98"/>
      <c r="H339" s="98"/>
    </row>
    <row r="340" spans="1:8" x14ac:dyDescent="0.3">
      <c r="A340" s="103"/>
      <c r="B340" s="105"/>
      <c r="C340" s="102"/>
      <c r="D340" s="99"/>
      <c r="E340" s="96"/>
      <c r="F340" s="97"/>
      <c r="G340" s="98"/>
      <c r="H340" s="98"/>
    </row>
    <row r="341" spans="1:8" x14ac:dyDescent="0.3">
      <c r="A341" s="103"/>
      <c r="B341" s="105"/>
      <c r="C341" s="102"/>
      <c r="D341" s="99"/>
      <c r="E341" s="96"/>
      <c r="F341" s="97"/>
      <c r="G341" s="98"/>
      <c r="H341" s="98"/>
    </row>
    <row r="342" spans="1:8" x14ac:dyDescent="0.3">
      <c r="A342" s="103"/>
      <c r="B342" s="105"/>
      <c r="C342" s="102"/>
      <c r="D342" s="99"/>
      <c r="E342" s="96"/>
      <c r="F342" s="97"/>
      <c r="G342" s="98"/>
      <c r="H342" s="98"/>
    </row>
    <row r="343" spans="1:8" x14ac:dyDescent="0.3">
      <c r="A343" s="103"/>
      <c r="B343" s="105"/>
      <c r="C343" s="102"/>
      <c r="D343" s="99"/>
      <c r="E343" s="96"/>
      <c r="F343" s="97"/>
      <c r="G343" s="98"/>
      <c r="H343" s="98"/>
    </row>
    <row r="344" spans="1:8" x14ac:dyDescent="0.3">
      <c r="A344" s="103"/>
      <c r="B344" s="105"/>
      <c r="C344" s="102"/>
      <c r="D344" s="99"/>
      <c r="E344" s="96"/>
      <c r="F344" s="97"/>
      <c r="G344" s="98"/>
      <c r="H344" s="98"/>
    </row>
    <row r="345" spans="1:8" x14ac:dyDescent="0.3">
      <c r="A345" s="103"/>
      <c r="B345" s="105"/>
      <c r="C345" s="102"/>
      <c r="D345" s="99"/>
      <c r="E345" s="96"/>
      <c r="F345" s="97"/>
      <c r="G345" s="98"/>
      <c r="H345" s="98"/>
    </row>
    <row r="346" spans="1:8" x14ac:dyDescent="0.3">
      <c r="A346" s="103"/>
      <c r="B346" s="105"/>
      <c r="C346" s="102"/>
      <c r="D346" s="99"/>
      <c r="E346" s="96"/>
      <c r="F346" s="97"/>
      <c r="G346" s="98"/>
      <c r="H346" s="98"/>
    </row>
    <row r="347" spans="1:8" x14ac:dyDescent="0.3">
      <c r="A347" s="103"/>
      <c r="B347" s="105"/>
      <c r="C347" s="102"/>
      <c r="D347" s="99"/>
      <c r="E347" s="96"/>
      <c r="F347" s="97"/>
      <c r="G347" s="98"/>
      <c r="H347" s="98"/>
    </row>
    <row r="348" spans="1:8" x14ac:dyDescent="0.3">
      <c r="A348" s="103"/>
      <c r="B348" s="105"/>
      <c r="C348" s="102"/>
      <c r="D348" s="99"/>
      <c r="E348" s="96"/>
      <c r="F348" s="97"/>
      <c r="G348" s="98"/>
      <c r="H348" s="98"/>
    </row>
    <row r="349" spans="1:8" x14ac:dyDescent="0.3">
      <c r="A349" s="103"/>
      <c r="B349" s="105"/>
      <c r="C349" s="102"/>
      <c r="D349" s="99"/>
      <c r="E349" s="96"/>
      <c r="F349" s="97"/>
      <c r="G349" s="98"/>
      <c r="H349" s="98"/>
    </row>
    <row r="350" spans="1:8" x14ac:dyDescent="0.3">
      <c r="A350" s="103"/>
      <c r="B350" s="105"/>
      <c r="C350" s="102"/>
      <c r="D350" s="99"/>
      <c r="E350" s="96"/>
      <c r="F350" s="97"/>
      <c r="G350" s="98"/>
      <c r="H350" s="98"/>
    </row>
    <row r="351" spans="1:8" x14ac:dyDescent="0.3">
      <c r="A351" s="103"/>
      <c r="B351" s="105"/>
      <c r="C351" s="102"/>
      <c r="D351" s="99"/>
      <c r="E351" s="96"/>
      <c r="F351" s="97"/>
      <c r="G351" s="98"/>
      <c r="H351" s="98"/>
    </row>
    <row r="352" spans="1:8" x14ac:dyDescent="0.3">
      <c r="A352" s="103"/>
      <c r="B352" s="105"/>
      <c r="C352" s="102"/>
      <c r="D352" s="99"/>
      <c r="E352" s="96"/>
      <c r="F352" s="97"/>
      <c r="G352" s="98"/>
      <c r="H352" s="98"/>
    </row>
    <row r="353" spans="1:8" x14ac:dyDescent="0.3">
      <c r="A353" s="103"/>
      <c r="B353" s="105"/>
      <c r="C353" s="102"/>
      <c r="D353" s="99"/>
      <c r="E353" s="96"/>
      <c r="F353" s="97"/>
      <c r="G353" s="98"/>
      <c r="H353" s="98"/>
    </row>
    <row r="354" spans="1:8" x14ac:dyDescent="0.3">
      <c r="A354" s="103"/>
      <c r="B354" s="105"/>
      <c r="C354" s="102"/>
      <c r="D354" s="99"/>
      <c r="E354" s="96"/>
      <c r="F354" s="97"/>
      <c r="G354" s="98"/>
      <c r="H354" s="98"/>
    </row>
    <row r="355" spans="1:8" x14ac:dyDescent="0.3">
      <c r="A355" s="103"/>
      <c r="B355" s="105"/>
      <c r="C355" s="102"/>
      <c r="D355" s="99"/>
      <c r="E355" s="96"/>
      <c r="F355" s="97"/>
      <c r="G355" s="98"/>
      <c r="H355" s="98"/>
    </row>
    <row r="356" spans="1:8" x14ac:dyDescent="0.3">
      <c r="A356" s="103"/>
      <c r="B356" s="105"/>
      <c r="C356" s="102"/>
      <c r="D356" s="99"/>
      <c r="E356" s="96"/>
      <c r="F356" s="97"/>
      <c r="G356" s="98"/>
      <c r="H356" s="98"/>
    </row>
    <row r="357" spans="1:8" x14ac:dyDescent="0.3">
      <c r="A357" s="103"/>
      <c r="B357" s="105"/>
      <c r="C357" s="102"/>
      <c r="D357" s="99"/>
      <c r="E357" s="96"/>
      <c r="F357" s="97"/>
      <c r="G357" s="98"/>
      <c r="H357" s="98"/>
    </row>
    <row r="358" spans="1:8" x14ac:dyDescent="0.3">
      <c r="A358" s="103"/>
      <c r="B358" s="105"/>
      <c r="C358" s="102"/>
      <c r="D358" s="99"/>
      <c r="E358" s="96"/>
      <c r="F358" s="97"/>
      <c r="G358" s="98"/>
      <c r="H358" s="98"/>
    </row>
    <row r="359" spans="1:8" x14ac:dyDescent="0.3">
      <c r="A359" s="103"/>
      <c r="B359" s="105"/>
      <c r="C359" s="102"/>
      <c r="D359" s="99"/>
      <c r="E359" s="96"/>
      <c r="F359" s="97"/>
      <c r="G359" s="98"/>
      <c r="H359" s="98"/>
    </row>
    <row r="360" spans="1:8" x14ac:dyDescent="0.3">
      <c r="A360" s="103"/>
      <c r="B360" s="105"/>
      <c r="C360" s="102"/>
      <c r="D360" s="99"/>
      <c r="E360" s="96"/>
      <c r="F360" s="97"/>
      <c r="G360" s="98"/>
      <c r="H360" s="98"/>
    </row>
    <row r="361" spans="1:8" x14ac:dyDescent="0.3">
      <c r="A361" s="103"/>
      <c r="B361" s="105"/>
      <c r="C361" s="102"/>
      <c r="D361" s="99"/>
      <c r="E361" s="96"/>
      <c r="F361" s="97"/>
      <c r="G361" s="98"/>
      <c r="H361" s="98"/>
    </row>
    <row r="362" spans="1:8" x14ac:dyDescent="0.3">
      <c r="A362" s="103"/>
      <c r="B362" s="105"/>
      <c r="C362" s="102"/>
      <c r="D362" s="99"/>
      <c r="E362" s="96"/>
      <c r="F362" s="97"/>
      <c r="G362" s="98"/>
      <c r="H362" s="98"/>
    </row>
    <row r="363" spans="1:8" x14ac:dyDescent="0.3">
      <c r="A363" s="103"/>
      <c r="B363" s="105"/>
      <c r="C363" s="102"/>
      <c r="D363" s="99"/>
      <c r="E363" s="96"/>
      <c r="F363" s="97"/>
      <c r="G363" s="98"/>
      <c r="H363" s="98"/>
    </row>
    <row r="364" spans="1:8" x14ac:dyDescent="0.3">
      <c r="A364" s="103"/>
      <c r="B364" s="105"/>
      <c r="C364" s="102"/>
      <c r="D364" s="99"/>
      <c r="E364" s="96"/>
      <c r="F364" s="97"/>
      <c r="G364" s="98"/>
      <c r="H364" s="98"/>
    </row>
    <row r="365" spans="1:8" x14ac:dyDescent="0.3">
      <c r="A365" s="103"/>
      <c r="B365" s="105"/>
      <c r="C365" s="102"/>
      <c r="D365" s="99"/>
      <c r="E365" s="96"/>
      <c r="F365" s="97"/>
      <c r="G365" s="98"/>
      <c r="H365" s="98"/>
    </row>
    <row r="366" spans="1:8" x14ac:dyDescent="0.3">
      <c r="A366" s="103"/>
      <c r="B366" s="105"/>
      <c r="C366" s="102"/>
      <c r="D366" s="99"/>
      <c r="E366" s="96"/>
      <c r="F366" s="97"/>
      <c r="G366" s="98"/>
      <c r="H366" s="98"/>
    </row>
    <row r="367" spans="1:8" x14ac:dyDescent="0.3">
      <c r="A367" s="103"/>
      <c r="B367" s="105"/>
      <c r="C367" s="102"/>
      <c r="D367" s="99"/>
      <c r="E367" s="96"/>
      <c r="F367" s="97"/>
      <c r="G367" s="98"/>
      <c r="H367" s="98"/>
    </row>
    <row r="368" spans="1:8" x14ac:dyDescent="0.3">
      <c r="A368" s="103"/>
      <c r="B368" s="105"/>
      <c r="C368" s="102"/>
      <c r="D368" s="99"/>
      <c r="E368" s="96"/>
      <c r="F368" s="97"/>
      <c r="G368" s="98"/>
      <c r="H368" s="98"/>
    </row>
    <row r="369" spans="1:8" x14ac:dyDescent="0.3">
      <c r="A369" s="103"/>
      <c r="B369" s="105"/>
      <c r="C369" s="102"/>
      <c r="D369" s="99"/>
      <c r="E369" s="96"/>
      <c r="F369" s="97"/>
      <c r="G369" s="98"/>
      <c r="H369" s="98"/>
    </row>
    <row r="370" spans="1:8" x14ac:dyDescent="0.3">
      <c r="A370" s="103"/>
      <c r="B370" s="105"/>
      <c r="C370" s="102"/>
      <c r="D370" s="99"/>
      <c r="E370" s="96"/>
      <c r="F370" s="97"/>
      <c r="G370" s="98"/>
      <c r="H370" s="98"/>
    </row>
    <row r="371" spans="1:8" x14ac:dyDescent="0.3">
      <c r="A371" s="103"/>
      <c r="B371" s="105"/>
      <c r="C371" s="102"/>
      <c r="D371" s="99"/>
      <c r="E371" s="96"/>
      <c r="F371" s="97"/>
      <c r="G371" s="98"/>
      <c r="H371" s="98"/>
    </row>
    <row r="372" spans="1:8" x14ac:dyDescent="0.3">
      <c r="A372" s="103"/>
      <c r="B372" s="105"/>
      <c r="C372" s="102"/>
      <c r="D372" s="99"/>
      <c r="E372" s="96"/>
      <c r="F372" s="97"/>
      <c r="G372" s="98"/>
      <c r="H372" s="98"/>
    </row>
    <row r="373" spans="1:8" x14ac:dyDescent="0.3">
      <c r="A373" s="103"/>
      <c r="B373" s="105"/>
      <c r="C373" s="102"/>
      <c r="D373" s="99"/>
      <c r="E373" s="96"/>
      <c r="F373" s="97"/>
      <c r="G373" s="98"/>
      <c r="H373" s="98"/>
    </row>
    <row r="374" spans="1:8" x14ac:dyDescent="0.3">
      <c r="A374" s="103"/>
      <c r="B374" s="105"/>
      <c r="C374" s="102"/>
      <c r="D374" s="99"/>
      <c r="E374" s="96"/>
      <c r="F374" s="97"/>
      <c r="G374" s="98"/>
      <c r="H374" s="98"/>
    </row>
    <row r="375" spans="1:8" x14ac:dyDescent="0.3">
      <c r="A375" s="103"/>
      <c r="B375" s="105"/>
      <c r="C375" s="102"/>
      <c r="D375" s="99"/>
      <c r="E375" s="96"/>
      <c r="F375" s="97"/>
      <c r="G375" s="98"/>
      <c r="H375" s="98"/>
    </row>
    <row r="376" spans="1:8" x14ac:dyDescent="0.3">
      <c r="A376" s="103"/>
      <c r="B376" s="105"/>
      <c r="C376" s="102"/>
      <c r="D376" s="99"/>
      <c r="E376" s="96"/>
      <c r="F376" s="97"/>
      <c r="G376" s="98"/>
      <c r="H376" s="98"/>
    </row>
    <row r="377" spans="1:8" x14ac:dyDescent="0.3">
      <c r="A377" s="103"/>
      <c r="B377" s="105"/>
      <c r="C377" s="102"/>
      <c r="D377" s="99"/>
      <c r="E377" s="96"/>
      <c r="F377" s="97"/>
      <c r="G377" s="98"/>
      <c r="H377" s="98"/>
    </row>
    <row r="378" spans="1:8" x14ac:dyDescent="0.3">
      <c r="A378" s="103"/>
      <c r="B378" s="105"/>
      <c r="C378" s="102"/>
      <c r="D378" s="99"/>
      <c r="E378" s="96"/>
      <c r="F378" s="97"/>
      <c r="G378" s="98"/>
      <c r="H378" s="98"/>
    </row>
    <row r="379" spans="1:8" x14ac:dyDescent="0.3">
      <c r="A379" s="103"/>
      <c r="B379" s="105"/>
      <c r="C379" s="102"/>
      <c r="D379" s="99"/>
      <c r="E379" s="96"/>
      <c r="F379" s="97"/>
      <c r="G379" s="98"/>
      <c r="H379" s="98"/>
    </row>
    <row r="380" spans="1:8" x14ac:dyDescent="0.3">
      <c r="A380" s="103"/>
      <c r="B380" s="105"/>
      <c r="C380" s="102"/>
      <c r="D380" s="99"/>
      <c r="E380" s="96"/>
      <c r="F380" s="97"/>
      <c r="G380" s="98"/>
      <c r="H380" s="98"/>
    </row>
    <row r="381" spans="1:8" x14ac:dyDescent="0.3">
      <c r="A381" s="103"/>
      <c r="B381" s="105"/>
      <c r="C381" s="102"/>
      <c r="D381" s="99"/>
      <c r="E381" s="96"/>
      <c r="F381" s="97"/>
      <c r="G381" s="98"/>
      <c r="H381" s="98"/>
    </row>
    <row r="382" spans="1:8" x14ac:dyDescent="0.3">
      <c r="A382" s="103"/>
      <c r="B382" s="105"/>
      <c r="C382" s="102"/>
      <c r="D382" s="99"/>
      <c r="E382" s="96"/>
      <c r="F382" s="97"/>
      <c r="G382" s="98"/>
      <c r="H382" s="98"/>
    </row>
    <row r="383" spans="1:8" x14ac:dyDescent="0.3">
      <c r="A383" s="103"/>
      <c r="B383" s="105"/>
      <c r="C383" s="102"/>
      <c r="D383" s="99"/>
      <c r="E383" s="96"/>
      <c r="F383" s="97"/>
      <c r="G383" s="98"/>
      <c r="H383" s="98"/>
    </row>
    <row r="384" spans="1:8" x14ac:dyDescent="0.3">
      <c r="A384" s="103"/>
      <c r="B384" s="105"/>
      <c r="C384" s="102"/>
      <c r="D384" s="99"/>
      <c r="E384" s="96"/>
      <c r="F384" s="97"/>
      <c r="G384" s="98"/>
      <c r="H384" s="98"/>
    </row>
    <row r="385" spans="1:8" x14ac:dyDescent="0.3">
      <c r="A385" s="103"/>
      <c r="B385" s="105"/>
      <c r="C385" s="102"/>
      <c r="D385" s="99"/>
      <c r="E385" s="96"/>
      <c r="F385" s="97"/>
      <c r="G385" s="98"/>
      <c r="H385" s="98"/>
    </row>
    <row r="386" spans="1:8" x14ac:dyDescent="0.3">
      <c r="A386" s="103"/>
      <c r="B386" s="105"/>
      <c r="C386" s="102"/>
      <c r="D386" s="99"/>
      <c r="E386" s="96"/>
      <c r="F386" s="97"/>
      <c r="G386" s="98"/>
      <c r="H386" s="98"/>
    </row>
    <row r="387" spans="1:8" x14ac:dyDescent="0.3">
      <c r="A387" s="103"/>
      <c r="B387" s="105"/>
      <c r="C387" s="102"/>
      <c r="D387" s="99"/>
      <c r="E387" s="96"/>
      <c r="F387" s="97"/>
      <c r="G387" s="98"/>
      <c r="H387" s="98"/>
    </row>
    <row r="388" spans="1:8" x14ac:dyDescent="0.3">
      <c r="A388" s="103"/>
      <c r="B388" s="105"/>
      <c r="C388" s="102"/>
      <c r="D388" s="99"/>
      <c r="E388" s="96"/>
      <c r="F388" s="97"/>
      <c r="G388" s="98"/>
      <c r="H388" s="98"/>
    </row>
    <row r="389" spans="1:8" x14ac:dyDescent="0.3">
      <c r="A389" s="103"/>
      <c r="B389" s="105"/>
      <c r="C389" s="102"/>
      <c r="D389" s="99"/>
      <c r="E389" s="96"/>
      <c r="F389" s="97"/>
      <c r="G389" s="98"/>
      <c r="H389" s="98"/>
    </row>
    <row r="390" spans="1:8" x14ac:dyDescent="0.3">
      <c r="A390" s="103"/>
      <c r="B390" s="105"/>
      <c r="C390" s="102"/>
      <c r="D390" s="99"/>
      <c r="E390" s="96"/>
      <c r="F390" s="97"/>
      <c r="G390" s="98"/>
      <c r="H390" s="98"/>
    </row>
    <row r="391" spans="1:8" x14ac:dyDescent="0.3">
      <c r="A391" s="103"/>
      <c r="B391" s="105"/>
      <c r="C391" s="102"/>
      <c r="D391" s="99"/>
      <c r="E391" s="96"/>
      <c r="F391" s="97"/>
      <c r="G391" s="98"/>
      <c r="H391" s="98"/>
    </row>
    <row r="392" spans="1:8" x14ac:dyDescent="0.3">
      <c r="A392" s="103"/>
      <c r="B392" s="105"/>
      <c r="C392" s="102"/>
      <c r="D392" s="99"/>
      <c r="E392" s="96"/>
      <c r="F392" s="97"/>
      <c r="G392" s="98"/>
      <c r="H392" s="98"/>
    </row>
    <row r="393" spans="1:8" x14ac:dyDescent="0.3">
      <c r="A393" s="103"/>
      <c r="B393" s="105"/>
      <c r="C393" s="102"/>
      <c r="D393" s="99"/>
      <c r="E393" s="96"/>
      <c r="F393" s="97"/>
      <c r="G393" s="98"/>
      <c r="H393" s="98"/>
    </row>
    <row r="394" spans="1:8" x14ac:dyDescent="0.3">
      <c r="A394" s="103"/>
      <c r="B394" s="105"/>
      <c r="C394" s="102"/>
      <c r="D394" s="99"/>
      <c r="E394" s="96"/>
      <c r="F394" s="97"/>
      <c r="G394" s="98"/>
      <c r="H394" s="98"/>
    </row>
    <row r="395" spans="1:8" x14ac:dyDescent="0.3">
      <c r="A395" s="103"/>
      <c r="B395" s="105"/>
      <c r="C395" s="102"/>
      <c r="D395" s="99"/>
      <c r="E395" s="96"/>
      <c r="F395" s="97"/>
      <c r="G395" s="98"/>
      <c r="H395" s="98"/>
    </row>
    <row r="396" spans="1:8" x14ac:dyDescent="0.3">
      <c r="A396" s="103"/>
      <c r="B396" s="105"/>
      <c r="C396" s="102"/>
      <c r="D396" s="99"/>
      <c r="E396" s="96"/>
      <c r="F396" s="97"/>
      <c r="G396" s="98"/>
      <c r="H396" s="98"/>
    </row>
    <row r="397" spans="1:8" x14ac:dyDescent="0.3">
      <c r="A397" s="103"/>
      <c r="B397" s="105"/>
      <c r="C397" s="102"/>
      <c r="D397" s="99"/>
      <c r="E397" s="96"/>
      <c r="F397" s="97"/>
      <c r="G397" s="98"/>
      <c r="H397" s="98"/>
    </row>
    <row r="398" spans="1:8" x14ac:dyDescent="0.3">
      <c r="A398" s="103"/>
      <c r="B398" s="105"/>
      <c r="C398" s="102"/>
      <c r="D398" s="99"/>
      <c r="E398" s="96"/>
      <c r="F398" s="97"/>
      <c r="G398" s="98"/>
      <c r="H398" s="98"/>
    </row>
    <row r="399" spans="1:8" x14ac:dyDescent="0.3">
      <c r="A399" s="103"/>
      <c r="B399" s="105"/>
      <c r="C399" s="102"/>
      <c r="D399" s="99"/>
      <c r="E399" s="96"/>
      <c r="F399" s="97"/>
      <c r="G399" s="98"/>
      <c r="H399" s="98"/>
    </row>
    <row r="400" spans="1:8" x14ac:dyDescent="0.3">
      <c r="A400" s="103"/>
      <c r="B400" s="105"/>
      <c r="C400" s="102"/>
      <c r="D400" s="99"/>
      <c r="E400" s="96"/>
      <c r="F400" s="97"/>
      <c r="G400" s="98"/>
      <c r="H400" s="98"/>
    </row>
    <row r="401" spans="1:8" x14ac:dyDescent="0.3">
      <c r="A401" s="103"/>
      <c r="B401" s="105"/>
      <c r="C401" s="102"/>
      <c r="D401" s="99"/>
      <c r="E401" s="96"/>
      <c r="F401" s="97"/>
      <c r="G401" s="98"/>
      <c r="H401" s="98"/>
    </row>
    <row r="402" spans="1:8" x14ac:dyDescent="0.3">
      <c r="A402" s="103"/>
      <c r="B402" s="105"/>
      <c r="C402" s="102"/>
      <c r="D402" s="99"/>
      <c r="E402" s="96"/>
      <c r="F402" s="97"/>
      <c r="G402" s="98"/>
      <c r="H402" s="98"/>
    </row>
    <row r="403" spans="1:8" x14ac:dyDescent="0.3">
      <c r="A403" s="103"/>
      <c r="B403" s="105"/>
      <c r="C403" s="102"/>
      <c r="D403" s="99"/>
      <c r="E403" s="96"/>
      <c r="F403" s="97"/>
      <c r="G403" s="98"/>
      <c r="H403" s="98"/>
    </row>
    <row r="404" spans="1:8" x14ac:dyDescent="0.3">
      <c r="A404" s="103"/>
      <c r="B404" s="105"/>
      <c r="C404" s="102"/>
      <c r="D404" s="99"/>
      <c r="E404" s="96"/>
      <c r="F404" s="97"/>
      <c r="G404" s="98"/>
      <c r="H404" s="98"/>
    </row>
    <row r="405" spans="1:8" x14ac:dyDescent="0.3">
      <c r="A405" s="103"/>
      <c r="B405" s="105"/>
      <c r="C405" s="102"/>
      <c r="D405" s="99"/>
      <c r="E405" s="96"/>
      <c r="F405" s="97"/>
      <c r="G405" s="98"/>
      <c r="H405" s="98"/>
    </row>
    <row r="406" spans="1:8" x14ac:dyDescent="0.3">
      <c r="A406" s="103"/>
      <c r="B406" s="105"/>
      <c r="C406" s="102"/>
      <c r="D406" s="99"/>
      <c r="E406" s="96"/>
      <c r="F406" s="97"/>
      <c r="G406" s="98"/>
      <c r="H406" s="98"/>
    </row>
    <row r="407" spans="1:8" x14ac:dyDescent="0.3">
      <c r="A407" s="103"/>
      <c r="B407" s="105"/>
      <c r="C407" s="102"/>
      <c r="D407" s="99"/>
      <c r="E407" s="96"/>
      <c r="F407" s="97"/>
      <c r="G407" s="98"/>
      <c r="H407" s="98"/>
    </row>
    <row r="408" spans="1:8" x14ac:dyDescent="0.3">
      <c r="A408" s="103"/>
      <c r="B408" s="105"/>
      <c r="C408" s="102"/>
      <c r="D408" s="99"/>
      <c r="E408" s="96"/>
      <c r="F408" s="97"/>
      <c r="G408" s="98"/>
      <c r="H408" s="98"/>
    </row>
    <row r="409" spans="1:8" x14ac:dyDescent="0.3">
      <c r="A409" s="103"/>
      <c r="B409" s="105"/>
      <c r="C409" s="102"/>
      <c r="D409" s="99"/>
      <c r="E409" s="96"/>
      <c r="F409" s="97"/>
      <c r="G409" s="98"/>
      <c r="H409" s="98"/>
    </row>
    <row r="410" spans="1:8" x14ac:dyDescent="0.3">
      <c r="A410" s="103"/>
      <c r="B410" s="105"/>
      <c r="C410" s="102"/>
      <c r="D410" s="99"/>
      <c r="E410" s="96"/>
      <c r="F410" s="97"/>
      <c r="G410" s="98"/>
      <c r="H410" s="98"/>
    </row>
    <row r="411" spans="1:8" x14ac:dyDescent="0.3">
      <c r="A411" s="103"/>
      <c r="B411" s="105"/>
      <c r="C411" s="102"/>
      <c r="D411" s="99"/>
      <c r="E411" s="96"/>
      <c r="F411" s="97"/>
      <c r="G411" s="98"/>
      <c r="H411" s="98"/>
    </row>
    <row r="412" spans="1:8" x14ac:dyDescent="0.3">
      <c r="A412" s="103"/>
      <c r="B412" s="105"/>
      <c r="C412" s="102"/>
      <c r="D412" s="99"/>
      <c r="E412" s="96"/>
      <c r="F412" s="97"/>
      <c r="G412" s="98"/>
      <c r="H412" s="98"/>
    </row>
    <row r="413" spans="1:8" x14ac:dyDescent="0.3">
      <c r="A413" s="103"/>
      <c r="B413" s="105"/>
      <c r="C413" s="102"/>
      <c r="D413" s="99"/>
      <c r="E413" s="96"/>
      <c r="F413" s="97"/>
      <c r="G413" s="98"/>
      <c r="H413" s="98"/>
    </row>
    <row r="414" spans="1:8" x14ac:dyDescent="0.3">
      <c r="A414" s="103"/>
      <c r="B414" s="105"/>
      <c r="C414" s="102"/>
      <c r="D414" s="99"/>
      <c r="E414" s="96"/>
      <c r="F414" s="97"/>
      <c r="G414" s="98"/>
      <c r="H414" s="98"/>
    </row>
    <row r="415" spans="1:8" x14ac:dyDescent="0.3">
      <c r="A415" s="103"/>
      <c r="B415" s="105"/>
      <c r="C415" s="102"/>
      <c r="D415" s="99"/>
      <c r="E415" s="96"/>
      <c r="F415" s="97"/>
      <c r="G415" s="98"/>
      <c r="H415" s="98"/>
    </row>
    <row r="416" spans="1:8" x14ac:dyDescent="0.3">
      <c r="A416" s="103"/>
      <c r="B416" s="105"/>
      <c r="C416" s="102"/>
      <c r="D416" s="99"/>
      <c r="E416" s="96"/>
      <c r="F416" s="97"/>
      <c r="G416" s="98"/>
      <c r="H416" s="98"/>
    </row>
    <row r="417" spans="1:8" x14ac:dyDescent="0.3">
      <c r="A417" s="103"/>
      <c r="B417" s="105"/>
      <c r="C417" s="102"/>
      <c r="D417" s="99"/>
      <c r="E417" s="96"/>
      <c r="F417" s="97"/>
      <c r="G417" s="98"/>
      <c r="H417" s="98"/>
    </row>
    <row r="418" spans="1:8" x14ac:dyDescent="0.3">
      <c r="A418" s="103"/>
      <c r="B418" s="105"/>
      <c r="C418" s="102"/>
      <c r="D418" s="99"/>
      <c r="E418" s="96"/>
      <c r="F418" s="97"/>
      <c r="G418" s="98"/>
      <c r="H418" s="98"/>
    </row>
    <row r="419" spans="1:8" x14ac:dyDescent="0.3">
      <c r="A419" s="103"/>
      <c r="B419" s="105"/>
      <c r="C419" s="102"/>
      <c r="D419" s="99"/>
      <c r="E419" s="96"/>
      <c r="F419" s="97"/>
      <c r="G419" s="98"/>
      <c r="H419" s="98"/>
    </row>
    <row r="420" spans="1:8" x14ac:dyDescent="0.3">
      <c r="A420" s="103"/>
      <c r="B420" s="105"/>
      <c r="C420" s="102"/>
      <c r="D420" s="99"/>
      <c r="E420" s="96"/>
      <c r="F420" s="97"/>
      <c r="G420" s="98"/>
      <c r="H420" s="98"/>
    </row>
    <row r="421" spans="1:8" x14ac:dyDescent="0.3">
      <c r="A421" s="103"/>
      <c r="B421" s="105"/>
      <c r="C421" s="102"/>
      <c r="D421" s="99"/>
      <c r="E421" s="96"/>
      <c r="F421" s="97"/>
      <c r="G421" s="98"/>
      <c r="H421" s="98"/>
    </row>
    <row r="422" spans="1:8" x14ac:dyDescent="0.3">
      <c r="A422" s="103"/>
      <c r="B422" s="105"/>
      <c r="C422" s="102"/>
      <c r="D422" s="99"/>
      <c r="E422" s="96"/>
      <c r="F422" s="97"/>
      <c r="G422" s="98"/>
      <c r="H422" s="98"/>
    </row>
    <row r="423" spans="1:8" x14ac:dyDescent="0.3">
      <c r="A423" s="103"/>
      <c r="B423" s="105"/>
      <c r="C423" s="102"/>
      <c r="D423" s="99"/>
      <c r="E423" s="96"/>
      <c r="F423" s="97"/>
      <c r="G423" s="98"/>
      <c r="H423" s="98"/>
    </row>
    <row r="424" spans="1:8" x14ac:dyDescent="0.3">
      <c r="A424" s="103"/>
      <c r="B424" s="105"/>
      <c r="C424" s="102"/>
      <c r="D424" s="99"/>
      <c r="E424" s="96"/>
      <c r="F424" s="97"/>
      <c r="G424" s="98"/>
      <c r="H424" s="98"/>
    </row>
    <row r="425" spans="1:8" x14ac:dyDescent="0.3">
      <c r="A425" s="103"/>
      <c r="B425" s="105"/>
      <c r="C425" s="102"/>
      <c r="D425" s="99"/>
      <c r="E425" s="96"/>
      <c r="F425" s="97"/>
      <c r="G425" s="98"/>
      <c r="H425" s="98"/>
    </row>
    <row r="426" spans="1:8" x14ac:dyDescent="0.3">
      <c r="A426" s="103"/>
      <c r="B426" s="105"/>
      <c r="C426" s="102"/>
      <c r="D426" s="99"/>
      <c r="E426" s="96"/>
      <c r="F426" s="97"/>
      <c r="G426" s="98"/>
      <c r="H426" s="98"/>
    </row>
    <row r="427" spans="1:8" x14ac:dyDescent="0.3">
      <c r="A427" s="103"/>
      <c r="B427" s="105"/>
      <c r="C427" s="102"/>
      <c r="D427" s="99"/>
      <c r="E427" s="96"/>
      <c r="F427" s="97"/>
      <c r="G427" s="98"/>
      <c r="H427" s="98"/>
    </row>
    <row r="428" spans="1:8" x14ac:dyDescent="0.3">
      <c r="A428" s="103"/>
      <c r="B428" s="105"/>
      <c r="C428" s="102"/>
      <c r="D428" s="99"/>
      <c r="E428" s="96"/>
      <c r="F428" s="97"/>
      <c r="G428" s="98"/>
      <c r="H428" s="98"/>
    </row>
    <row r="429" spans="1:8" x14ac:dyDescent="0.3">
      <c r="A429" s="103"/>
      <c r="B429" s="105"/>
      <c r="C429" s="102"/>
      <c r="D429" s="99"/>
      <c r="E429" s="96"/>
      <c r="F429" s="97"/>
      <c r="G429" s="98"/>
      <c r="H429" s="98"/>
    </row>
    <row r="430" spans="1:8" x14ac:dyDescent="0.3">
      <c r="A430" s="103"/>
      <c r="B430" s="105"/>
      <c r="C430" s="102"/>
      <c r="D430" s="99"/>
      <c r="E430" s="96"/>
      <c r="F430" s="97"/>
      <c r="G430" s="98"/>
      <c r="H430" s="98"/>
    </row>
    <row r="431" spans="1:8" x14ac:dyDescent="0.3">
      <c r="A431" s="103"/>
      <c r="B431" s="105"/>
      <c r="C431" s="102"/>
      <c r="D431" s="99"/>
      <c r="E431" s="96"/>
      <c r="F431" s="97"/>
      <c r="G431" s="98"/>
      <c r="H431" s="98"/>
    </row>
    <row r="432" spans="1:8" x14ac:dyDescent="0.3">
      <c r="A432" s="103"/>
      <c r="B432" s="105"/>
      <c r="C432" s="102"/>
      <c r="D432" s="99"/>
      <c r="E432" s="96"/>
      <c r="F432" s="97"/>
      <c r="G432" s="98"/>
      <c r="H432" s="98"/>
    </row>
    <row r="433" spans="1:8" x14ac:dyDescent="0.3">
      <c r="A433" s="103"/>
      <c r="B433" s="105"/>
      <c r="C433" s="102"/>
      <c r="D433" s="99"/>
      <c r="E433" s="96"/>
      <c r="F433" s="97"/>
      <c r="G433" s="98"/>
      <c r="H433" s="98"/>
    </row>
    <row r="434" spans="1:8" x14ac:dyDescent="0.3">
      <c r="A434" s="103"/>
      <c r="B434" s="105"/>
      <c r="C434" s="102"/>
      <c r="D434" s="99"/>
      <c r="E434" s="96"/>
      <c r="F434" s="97"/>
      <c r="G434" s="98"/>
      <c r="H434" s="98"/>
    </row>
    <row r="435" spans="1:8" x14ac:dyDescent="0.3">
      <c r="A435" s="103"/>
      <c r="B435" s="105"/>
      <c r="C435" s="102"/>
      <c r="D435" s="99"/>
      <c r="E435" s="96"/>
      <c r="F435" s="97"/>
      <c r="G435" s="98"/>
      <c r="H435" s="98"/>
    </row>
    <row r="436" spans="1:8" x14ac:dyDescent="0.3">
      <c r="A436" s="103"/>
      <c r="B436" s="105"/>
      <c r="C436" s="102"/>
      <c r="D436" s="99"/>
      <c r="E436" s="96"/>
      <c r="F436" s="97"/>
      <c r="G436" s="98"/>
      <c r="H436" s="98"/>
    </row>
    <row r="437" spans="1:8" x14ac:dyDescent="0.3">
      <c r="A437" s="103"/>
      <c r="B437" s="105"/>
      <c r="C437" s="102"/>
      <c r="D437" s="99"/>
      <c r="E437" s="96"/>
      <c r="F437" s="97"/>
      <c r="G437" s="98"/>
      <c r="H437" s="98"/>
    </row>
    <row r="438" spans="1:8" x14ac:dyDescent="0.3">
      <c r="A438" s="103"/>
      <c r="B438" s="105"/>
      <c r="C438" s="102"/>
      <c r="D438" s="99"/>
      <c r="E438" s="96"/>
      <c r="F438" s="97"/>
      <c r="G438" s="98"/>
      <c r="H438" s="98"/>
    </row>
    <row r="439" spans="1:8" x14ac:dyDescent="0.3">
      <c r="A439" s="103"/>
      <c r="B439" s="105"/>
      <c r="C439" s="102"/>
      <c r="D439" s="99"/>
      <c r="E439" s="96"/>
      <c r="F439" s="97"/>
      <c r="G439" s="98"/>
      <c r="H439" s="98"/>
    </row>
    <row r="440" spans="1:8" x14ac:dyDescent="0.3">
      <c r="A440" s="103"/>
      <c r="B440" s="105"/>
      <c r="C440" s="102"/>
      <c r="D440" s="99"/>
      <c r="E440" s="96"/>
      <c r="F440" s="97"/>
      <c r="G440" s="98"/>
      <c r="H440" s="98"/>
    </row>
    <row r="441" spans="1:8" x14ac:dyDescent="0.3">
      <c r="A441" s="103"/>
      <c r="B441" s="105"/>
      <c r="C441" s="102"/>
      <c r="D441" s="99"/>
      <c r="E441" s="96"/>
      <c r="F441" s="97"/>
      <c r="G441" s="98"/>
      <c r="H441" s="98"/>
    </row>
    <row r="442" spans="1:8" x14ac:dyDescent="0.3">
      <c r="A442" s="103"/>
      <c r="B442" s="105"/>
      <c r="C442" s="102"/>
      <c r="D442" s="99"/>
      <c r="E442" s="96"/>
      <c r="F442" s="97"/>
      <c r="G442" s="98"/>
      <c r="H442" s="98"/>
    </row>
    <row r="443" spans="1:8" x14ac:dyDescent="0.3">
      <c r="A443" s="103"/>
      <c r="B443" s="105"/>
      <c r="C443" s="102"/>
      <c r="D443" s="99"/>
      <c r="E443" s="96"/>
      <c r="F443" s="97"/>
      <c r="G443" s="98"/>
      <c r="H443" s="98"/>
    </row>
    <row r="444" spans="1:8" x14ac:dyDescent="0.3">
      <c r="A444" s="103"/>
      <c r="B444" s="105"/>
      <c r="C444" s="102"/>
      <c r="D444" s="99"/>
      <c r="E444" s="96"/>
      <c r="F444" s="97"/>
      <c r="G444" s="98"/>
      <c r="H444" s="98"/>
    </row>
    <row r="445" spans="1:8" x14ac:dyDescent="0.3">
      <c r="A445" s="103"/>
      <c r="B445" s="105"/>
      <c r="C445" s="102"/>
      <c r="D445" s="99"/>
      <c r="E445" s="96"/>
      <c r="F445" s="97"/>
      <c r="G445" s="98"/>
      <c r="H445" s="98"/>
    </row>
    <row r="446" spans="1:8" x14ac:dyDescent="0.3">
      <c r="A446" s="103"/>
      <c r="B446" s="105"/>
      <c r="C446" s="102"/>
      <c r="D446" s="99"/>
      <c r="E446" s="96"/>
      <c r="F446" s="97"/>
      <c r="G446" s="98"/>
      <c r="H446" s="98"/>
    </row>
    <row r="447" spans="1:8" x14ac:dyDescent="0.3">
      <c r="A447" s="103"/>
      <c r="B447" s="105"/>
      <c r="C447" s="102"/>
      <c r="D447" s="99"/>
      <c r="E447" s="96"/>
      <c r="F447" s="97"/>
      <c r="G447" s="98"/>
      <c r="H447" s="98"/>
    </row>
    <row r="448" spans="1:8" x14ac:dyDescent="0.3">
      <c r="A448" s="103"/>
      <c r="B448" s="105"/>
      <c r="C448" s="102"/>
      <c r="D448" s="99"/>
      <c r="E448" s="96"/>
      <c r="F448" s="97"/>
      <c r="G448" s="98"/>
      <c r="H448" s="98"/>
    </row>
    <row r="449" spans="1:8" x14ac:dyDescent="0.3">
      <c r="A449" s="103"/>
      <c r="B449" s="105"/>
      <c r="C449" s="102"/>
      <c r="D449" s="99"/>
      <c r="E449" s="96"/>
      <c r="F449" s="97"/>
      <c r="G449" s="98"/>
      <c r="H449" s="98"/>
    </row>
    <row r="450" spans="1:8" x14ac:dyDescent="0.3">
      <c r="A450" s="103"/>
      <c r="B450" s="105"/>
      <c r="C450" s="102"/>
      <c r="D450" s="99"/>
      <c r="E450" s="96"/>
      <c r="F450" s="97"/>
      <c r="G450" s="98"/>
      <c r="H450" s="98"/>
    </row>
    <row r="451" spans="1:8" x14ac:dyDescent="0.3">
      <c r="A451" s="103"/>
      <c r="B451" s="105"/>
      <c r="C451" s="102"/>
      <c r="D451" s="99"/>
      <c r="E451" s="96"/>
      <c r="F451" s="97"/>
      <c r="G451" s="98"/>
      <c r="H451" s="98"/>
    </row>
    <row r="452" spans="1:8" x14ac:dyDescent="0.3">
      <c r="A452" s="103"/>
      <c r="B452" s="105"/>
      <c r="C452" s="102"/>
      <c r="D452" s="99"/>
      <c r="E452" s="96"/>
      <c r="F452" s="97"/>
      <c r="G452" s="98"/>
      <c r="H452" s="98"/>
    </row>
    <row r="453" spans="1:8" x14ac:dyDescent="0.3">
      <c r="A453" s="103"/>
      <c r="B453" s="105"/>
      <c r="C453" s="102"/>
      <c r="D453" s="99"/>
      <c r="E453" s="96"/>
      <c r="F453" s="97"/>
      <c r="G453" s="98"/>
      <c r="H453" s="98"/>
    </row>
    <row r="454" spans="1:8" x14ac:dyDescent="0.3">
      <c r="A454" s="103"/>
      <c r="B454" s="105"/>
      <c r="C454" s="102"/>
      <c r="D454" s="99"/>
      <c r="E454" s="96"/>
      <c r="F454" s="97"/>
      <c r="G454" s="98"/>
      <c r="H454" s="98"/>
    </row>
    <row r="455" spans="1:8" x14ac:dyDescent="0.3">
      <c r="A455" s="103"/>
      <c r="B455" s="105"/>
      <c r="C455" s="102"/>
      <c r="D455" s="99"/>
      <c r="E455" s="96"/>
      <c r="F455" s="97"/>
      <c r="G455" s="98"/>
      <c r="H455" s="98"/>
    </row>
    <row r="456" spans="1:8" x14ac:dyDescent="0.3">
      <c r="A456" s="103"/>
      <c r="B456" s="105"/>
      <c r="C456" s="102"/>
      <c r="D456" s="99"/>
      <c r="E456" s="96"/>
      <c r="F456" s="97"/>
      <c r="G456" s="98"/>
      <c r="H456" s="98"/>
    </row>
    <row r="457" spans="1:8" x14ac:dyDescent="0.3">
      <c r="A457" s="103"/>
      <c r="B457" s="105"/>
      <c r="C457" s="102"/>
      <c r="D457" s="99"/>
      <c r="E457" s="96"/>
      <c r="F457" s="97"/>
      <c r="G457" s="98"/>
      <c r="H457" s="98"/>
    </row>
    <row r="458" spans="1:8" x14ac:dyDescent="0.3">
      <c r="A458" s="103"/>
      <c r="B458" s="105"/>
      <c r="C458" s="102"/>
      <c r="D458" s="99"/>
      <c r="E458" s="96"/>
      <c r="F458" s="97"/>
      <c r="G458" s="98"/>
      <c r="H458" s="98"/>
    </row>
    <row r="459" spans="1:8" x14ac:dyDescent="0.3">
      <c r="A459" s="103"/>
      <c r="B459" s="105"/>
      <c r="C459" s="102"/>
      <c r="D459" s="99"/>
      <c r="E459" s="96"/>
      <c r="F459" s="97"/>
      <c r="G459" s="98"/>
      <c r="H459" s="98"/>
    </row>
    <row r="460" spans="1:8" x14ac:dyDescent="0.3">
      <c r="A460" s="103"/>
      <c r="B460" s="105"/>
      <c r="C460" s="102"/>
      <c r="D460" s="99"/>
      <c r="E460" s="96"/>
      <c r="F460" s="97"/>
      <c r="G460" s="98"/>
      <c r="H460" s="98"/>
    </row>
    <row r="461" spans="1:8" x14ac:dyDescent="0.3">
      <c r="A461" s="103"/>
      <c r="B461" s="105"/>
      <c r="C461" s="102"/>
      <c r="D461" s="99"/>
      <c r="E461" s="96"/>
      <c r="F461" s="97"/>
      <c r="G461" s="98"/>
      <c r="H461" s="98"/>
    </row>
    <row r="462" spans="1:8" x14ac:dyDescent="0.3">
      <c r="A462" s="103"/>
      <c r="B462" s="105"/>
      <c r="C462" s="102"/>
      <c r="D462" s="99"/>
      <c r="E462" s="96"/>
      <c r="F462" s="97"/>
      <c r="G462" s="98"/>
      <c r="H462" s="98"/>
    </row>
    <row r="463" spans="1:8" x14ac:dyDescent="0.3">
      <c r="A463" s="103"/>
      <c r="B463" s="105"/>
      <c r="C463" s="102"/>
      <c r="D463" s="99"/>
      <c r="E463" s="96"/>
      <c r="F463" s="97"/>
      <c r="G463" s="98"/>
      <c r="H463" s="98"/>
    </row>
    <row r="464" spans="1:8" x14ac:dyDescent="0.3">
      <c r="A464" s="103"/>
      <c r="B464" s="105"/>
      <c r="C464" s="102"/>
      <c r="D464" s="99"/>
      <c r="E464" s="96"/>
      <c r="F464" s="97"/>
      <c r="G464" s="98"/>
      <c r="H464" s="98"/>
    </row>
    <row r="465" spans="1:8" x14ac:dyDescent="0.3">
      <c r="A465" s="103"/>
      <c r="B465" s="105"/>
      <c r="C465" s="102"/>
      <c r="D465" s="99"/>
      <c r="E465" s="96"/>
      <c r="F465" s="97"/>
      <c r="G465" s="98"/>
      <c r="H465" s="98"/>
    </row>
    <row r="466" spans="1:8" x14ac:dyDescent="0.3">
      <c r="A466" s="103"/>
      <c r="B466" s="105"/>
      <c r="C466" s="102"/>
      <c r="D466" s="99"/>
      <c r="E466" s="96"/>
      <c r="F466" s="97"/>
      <c r="G466" s="98"/>
      <c r="H466" s="98"/>
    </row>
    <row r="467" spans="1:8" x14ac:dyDescent="0.3">
      <c r="A467" s="103"/>
      <c r="B467" s="105"/>
      <c r="C467" s="102"/>
      <c r="D467" s="99"/>
      <c r="E467" s="96"/>
      <c r="F467" s="97"/>
      <c r="G467" s="98"/>
      <c r="H467" s="98"/>
    </row>
    <row r="468" spans="1:8" x14ac:dyDescent="0.3">
      <c r="A468" s="103"/>
      <c r="B468" s="105"/>
      <c r="C468" s="102"/>
      <c r="D468" s="99"/>
      <c r="E468" s="96"/>
      <c r="F468" s="97"/>
      <c r="G468" s="98"/>
      <c r="H468" s="98"/>
    </row>
    <row r="469" spans="1:8" x14ac:dyDescent="0.3">
      <c r="A469" s="103"/>
      <c r="B469" s="105"/>
      <c r="C469" s="102"/>
      <c r="D469" s="99"/>
      <c r="E469" s="96"/>
      <c r="F469" s="97"/>
      <c r="G469" s="98"/>
      <c r="H469" s="98"/>
    </row>
    <row r="470" spans="1:8" x14ac:dyDescent="0.3">
      <c r="A470" s="103"/>
      <c r="B470" s="105"/>
      <c r="C470" s="102"/>
      <c r="D470" s="99"/>
      <c r="E470" s="96"/>
      <c r="F470" s="97"/>
      <c r="G470" s="98"/>
      <c r="H470" s="98"/>
    </row>
    <row r="471" spans="1:8" x14ac:dyDescent="0.3">
      <c r="A471" s="103"/>
      <c r="B471" s="105"/>
      <c r="C471" s="102"/>
      <c r="D471" s="99"/>
      <c r="E471" s="96"/>
      <c r="F471" s="97"/>
      <c r="G471" s="98"/>
      <c r="H471" s="98"/>
    </row>
    <row r="472" spans="1:8" x14ac:dyDescent="0.3">
      <c r="A472" s="103"/>
      <c r="B472" s="105"/>
      <c r="C472" s="102"/>
      <c r="D472" s="99"/>
      <c r="E472" s="96"/>
      <c r="F472" s="97"/>
      <c r="G472" s="98"/>
      <c r="H472" s="98"/>
    </row>
    <row r="473" spans="1:8" x14ac:dyDescent="0.3">
      <c r="A473" s="103"/>
      <c r="B473" s="105"/>
      <c r="C473" s="102"/>
      <c r="D473" s="99"/>
      <c r="E473" s="96"/>
      <c r="F473" s="97"/>
      <c r="G473" s="98"/>
      <c r="H473" s="98"/>
    </row>
    <row r="474" spans="1:8" x14ac:dyDescent="0.3">
      <c r="A474" s="103"/>
      <c r="B474" s="105"/>
      <c r="C474" s="102"/>
      <c r="D474" s="99"/>
      <c r="E474" s="96"/>
      <c r="F474" s="97"/>
      <c r="G474" s="98"/>
      <c r="H474" s="98"/>
    </row>
    <row r="475" spans="1:8" x14ac:dyDescent="0.3">
      <c r="A475" s="103"/>
      <c r="B475" s="105"/>
      <c r="C475" s="102"/>
      <c r="D475" s="99"/>
      <c r="E475" s="96"/>
      <c r="F475" s="97"/>
      <c r="G475" s="98"/>
      <c r="H475" s="98"/>
    </row>
    <row r="476" spans="1:8" x14ac:dyDescent="0.3">
      <c r="A476" s="103"/>
      <c r="B476" s="105"/>
      <c r="C476" s="102"/>
      <c r="D476" s="99"/>
      <c r="E476" s="96"/>
      <c r="F476" s="97"/>
      <c r="G476" s="98"/>
      <c r="H476" s="98"/>
    </row>
    <row r="477" spans="1:8" x14ac:dyDescent="0.3">
      <c r="A477" s="103"/>
      <c r="B477" s="105"/>
      <c r="C477" s="102"/>
      <c r="D477" s="99"/>
      <c r="E477" s="96"/>
      <c r="F477" s="97"/>
      <c r="G477" s="98"/>
      <c r="H477" s="98"/>
    </row>
    <row r="478" spans="1:8" x14ac:dyDescent="0.3">
      <c r="A478" s="103"/>
      <c r="B478" s="105"/>
      <c r="C478" s="102"/>
      <c r="D478" s="99"/>
      <c r="E478" s="96"/>
      <c r="F478" s="97"/>
      <c r="G478" s="98"/>
      <c r="H478" s="98"/>
    </row>
    <row r="479" spans="1:8" x14ac:dyDescent="0.3">
      <c r="A479" s="103"/>
      <c r="B479" s="105"/>
      <c r="C479" s="102"/>
      <c r="D479" s="99"/>
      <c r="E479" s="96"/>
      <c r="F479" s="97"/>
      <c r="G479" s="98"/>
      <c r="H479" s="98"/>
    </row>
    <row r="480" spans="1:8" x14ac:dyDescent="0.3">
      <c r="A480" s="103"/>
      <c r="B480" s="105"/>
      <c r="C480" s="102"/>
      <c r="D480" s="99"/>
      <c r="E480" s="96"/>
      <c r="F480" s="97"/>
      <c r="G480" s="98"/>
      <c r="H480" s="98"/>
    </row>
    <row r="481" spans="1:8" x14ac:dyDescent="0.3">
      <c r="A481" s="103"/>
      <c r="B481" s="105"/>
      <c r="C481" s="102"/>
      <c r="D481" s="99"/>
      <c r="E481" s="96"/>
      <c r="F481" s="97"/>
      <c r="G481" s="98"/>
      <c r="H481" s="98"/>
    </row>
    <row r="482" spans="1:8" x14ac:dyDescent="0.3">
      <c r="A482" s="103"/>
      <c r="B482" s="105"/>
      <c r="C482" s="102"/>
      <c r="D482" s="99"/>
      <c r="E482" s="96"/>
      <c r="F482" s="97"/>
      <c r="G482" s="98"/>
      <c r="H482" s="98"/>
    </row>
    <row r="483" spans="1:8" x14ac:dyDescent="0.3">
      <c r="A483" s="103"/>
      <c r="B483" s="105"/>
      <c r="C483" s="102"/>
      <c r="D483" s="99"/>
      <c r="E483" s="96"/>
      <c r="F483" s="97"/>
      <c r="G483" s="98"/>
      <c r="H483" s="98"/>
    </row>
    <row r="484" spans="1:8" x14ac:dyDescent="0.3">
      <c r="A484" s="103"/>
      <c r="B484" s="105"/>
      <c r="C484" s="102"/>
      <c r="D484" s="99"/>
      <c r="E484" s="96"/>
      <c r="F484" s="97"/>
      <c r="G484" s="98"/>
      <c r="H484" s="98"/>
    </row>
    <row r="485" spans="1:8" x14ac:dyDescent="0.3">
      <c r="A485" s="103"/>
      <c r="B485" s="105"/>
      <c r="C485" s="102"/>
      <c r="D485" s="99"/>
      <c r="E485" s="96"/>
      <c r="F485" s="97"/>
      <c r="G485" s="98"/>
      <c r="H485" s="98"/>
    </row>
    <row r="486" spans="1:8" x14ac:dyDescent="0.3">
      <c r="A486" s="103"/>
      <c r="B486" s="105"/>
      <c r="C486" s="102"/>
      <c r="D486" s="99"/>
      <c r="E486" s="96"/>
      <c r="F486" s="97"/>
      <c r="G486" s="98"/>
      <c r="H486" s="98"/>
    </row>
    <row r="487" spans="1:8" x14ac:dyDescent="0.3">
      <c r="A487" s="103"/>
      <c r="B487" s="105"/>
      <c r="C487" s="102"/>
      <c r="D487" s="99"/>
      <c r="E487" s="96"/>
      <c r="F487" s="97"/>
      <c r="G487" s="98"/>
      <c r="H487" s="98"/>
    </row>
    <row r="488" spans="1:8" x14ac:dyDescent="0.3">
      <c r="A488" s="103"/>
      <c r="B488" s="105"/>
      <c r="C488" s="102"/>
      <c r="D488" s="99"/>
      <c r="E488" s="96"/>
      <c r="F488" s="97"/>
      <c r="G488" s="98"/>
      <c r="H488" s="98"/>
    </row>
    <row r="489" spans="1:8" x14ac:dyDescent="0.3">
      <c r="A489" s="103"/>
      <c r="B489" s="105"/>
      <c r="C489" s="102"/>
      <c r="D489" s="99"/>
      <c r="E489" s="96"/>
      <c r="F489" s="97"/>
      <c r="G489" s="98"/>
      <c r="H489" s="98"/>
    </row>
    <row r="490" spans="1:8" x14ac:dyDescent="0.3">
      <c r="A490" s="103"/>
      <c r="B490" s="105"/>
      <c r="C490" s="102"/>
      <c r="D490" s="99"/>
      <c r="E490" s="96"/>
      <c r="F490" s="97"/>
      <c r="G490" s="98"/>
      <c r="H490" s="98"/>
    </row>
    <row r="491" spans="1:8" x14ac:dyDescent="0.3">
      <c r="A491" s="103"/>
      <c r="B491" s="105"/>
      <c r="C491" s="102"/>
      <c r="D491" s="99"/>
      <c r="E491" s="96"/>
      <c r="F491" s="97"/>
      <c r="G491" s="98"/>
      <c r="H491" s="98"/>
    </row>
    <row r="492" spans="1:8" x14ac:dyDescent="0.3">
      <c r="A492" s="103"/>
      <c r="B492" s="105"/>
      <c r="C492" s="102"/>
      <c r="D492" s="99"/>
      <c r="E492" s="96"/>
      <c r="F492" s="97"/>
      <c r="G492" s="98"/>
      <c r="H492" s="98"/>
    </row>
    <row r="493" spans="1:8" x14ac:dyDescent="0.3">
      <c r="A493" s="103"/>
      <c r="B493" s="105"/>
      <c r="C493" s="102"/>
      <c r="D493" s="99"/>
      <c r="E493" s="96"/>
      <c r="F493" s="97"/>
      <c r="G493" s="98"/>
      <c r="H493" s="98"/>
    </row>
    <row r="494" spans="1:8" x14ac:dyDescent="0.3">
      <c r="A494" s="103"/>
      <c r="B494" s="105"/>
      <c r="C494" s="102"/>
      <c r="D494" s="99"/>
      <c r="E494" s="96"/>
      <c r="F494" s="97"/>
      <c r="G494" s="98"/>
      <c r="H494" s="98"/>
    </row>
    <row r="495" spans="1:8" x14ac:dyDescent="0.3">
      <c r="A495" s="103"/>
      <c r="B495" s="105"/>
      <c r="C495" s="102"/>
      <c r="D495" s="99"/>
      <c r="E495" s="96"/>
      <c r="F495" s="97"/>
      <c r="G495" s="98"/>
      <c r="H495" s="98"/>
    </row>
    <row r="496" spans="1:8" x14ac:dyDescent="0.3">
      <c r="A496" s="103"/>
      <c r="B496" s="105"/>
      <c r="C496" s="102"/>
      <c r="D496" s="99"/>
      <c r="E496" s="96"/>
      <c r="F496" s="97"/>
      <c r="G496" s="98"/>
      <c r="H496" s="98"/>
    </row>
    <row r="497" spans="1:8" x14ac:dyDescent="0.3">
      <c r="A497" s="103"/>
      <c r="B497" s="105"/>
      <c r="C497" s="102"/>
      <c r="D497" s="99"/>
      <c r="E497" s="96"/>
      <c r="F497" s="97"/>
      <c r="G497" s="98"/>
      <c r="H497" s="98"/>
    </row>
    <row r="498" spans="1:8" x14ac:dyDescent="0.3">
      <c r="A498" s="103"/>
      <c r="B498" s="105"/>
      <c r="C498" s="102"/>
      <c r="D498" s="99"/>
      <c r="E498" s="96"/>
      <c r="F498" s="97"/>
      <c r="G498" s="98"/>
      <c r="H498" s="98"/>
    </row>
    <row r="499" spans="1:8" x14ac:dyDescent="0.3">
      <c r="A499" s="103"/>
      <c r="B499" s="105"/>
      <c r="C499" s="102"/>
      <c r="D499" s="99"/>
      <c r="E499" s="96"/>
      <c r="F499" s="97"/>
      <c r="G499" s="98"/>
      <c r="H499" s="98"/>
    </row>
    <row r="500" spans="1:8" x14ac:dyDescent="0.3">
      <c r="A500" s="103"/>
      <c r="B500" s="105"/>
      <c r="C500" s="102"/>
      <c r="D500" s="99"/>
      <c r="E500" s="96"/>
      <c r="F500" s="97"/>
      <c r="G500" s="98"/>
      <c r="H500" s="98"/>
    </row>
    <row r="501" spans="1:8" x14ac:dyDescent="0.3">
      <c r="A501" s="103"/>
      <c r="B501" s="105"/>
      <c r="C501" s="102"/>
      <c r="D501" s="99"/>
      <c r="E501" s="96"/>
      <c r="F501" s="97"/>
      <c r="G501" s="98"/>
      <c r="H501" s="98"/>
    </row>
    <row r="502" spans="1:8" x14ac:dyDescent="0.3">
      <c r="A502" s="103"/>
      <c r="B502" s="105"/>
      <c r="C502" s="102"/>
      <c r="D502" s="99"/>
      <c r="E502" s="96"/>
      <c r="F502" s="97"/>
      <c r="G502" s="98"/>
      <c r="H502" s="98"/>
    </row>
    <row r="503" spans="1:8" x14ac:dyDescent="0.3">
      <c r="A503" s="103"/>
      <c r="B503" s="105"/>
      <c r="C503" s="102"/>
      <c r="D503" s="99"/>
      <c r="E503" s="96"/>
      <c r="F503" s="97"/>
      <c r="G503" s="98"/>
      <c r="H503" s="98"/>
    </row>
    <row r="504" spans="1:8" x14ac:dyDescent="0.3">
      <c r="A504" s="103"/>
      <c r="B504" s="105"/>
      <c r="C504" s="102"/>
      <c r="D504" s="99"/>
      <c r="E504" s="96"/>
      <c r="F504" s="97"/>
      <c r="G504" s="98"/>
      <c r="H504" s="98"/>
    </row>
    <row r="505" spans="1:8" x14ac:dyDescent="0.3">
      <c r="A505" s="103"/>
      <c r="B505" s="105"/>
      <c r="C505" s="102"/>
      <c r="D505" s="99"/>
      <c r="E505" s="96"/>
      <c r="F505" s="97"/>
      <c r="G505" s="98"/>
      <c r="H505" s="98"/>
    </row>
    <row r="506" spans="1:8" x14ac:dyDescent="0.3">
      <c r="A506" s="103"/>
      <c r="B506" s="105"/>
      <c r="C506" s="102"/>
      <c r="D506" s="99"/>
      <c r="E506" s="96"/>
      <c r="F506" s="97"/>
      <c r="G506" s="98"/>
      <c r="H506" s="98"/>
    </row>
    <row r="507" spans="1:8" x14ac:dyDescent="0.3">
      <c r="A507" s="103"/>
      <c r="B507" s="105"/>
      <c r="C507" s="102"/>
      <c r="D507" s="99"/>
      <c r="E507" s="96"/>
      <c r="F507" s="97"/>
      <c r="G507" s="98"/>
      <c r="H507" s="98"/>
    </row>
    <row r="508" spans="1:8" x14ac:dyDescent="0.3">
      <c r="A508" s="103"/>
      <c r="B508" s="105"/>
      <c r="C508" s="102"/>
      <c r="D508" s="99"/>
      <c r="E508" s="96"/>
      <c r="F508" s="97"/>
      <c r="G508" s="98"/>
      <c r="H508" s="98"/>
    </row>
    <row r="509" spans="1:8" x14ac:dyDescent="0.3">
      <c r="A509" s="103"/>
      <c r="B509" s="105"/>
      <c r="C509" s="102"/>
      <c r="D509" s="99"/>
      <c r="E509" s="96"/>
      <c r="F509" s="97"/>
      <c r="G509" s="98"/>
      <c r="H509" s="98"/>
    </row>
    <row r="510" spans="1:8" x14ac:dyDescent="0.3">
      <c r="A510" s="103"/>
      <c r="B510" s="105"/>
      <c r="C510" s="102"/>
      <c r="D510" s="99"/>
      <c r="E510" s="96"/>
      <c r="F510" s="97"/>
      <c r="G510" s="98"/>
      <c r="H510" s="98"/>
    </row>
    <row r="511" spans="1:8" x14ac:dyDescent="0.3">
      <c r="A511" s="103"/>
      <c r="B511" s="105"/>
      <c r="C511" s="102"/>
      <c r="D511" s="99"/>
      <c r="E511" s="96"/>
      <c r="F511" s="97"/>
      <c r="G511" s="98"/>
      <c r="H511" s="98"/>
    </row>
    <row r="512" spans="1:8" x14ac:dyDescent="0.3">
      <c r="A512" s="103"/>
      <c r="B512" s="105"/>
      <c r="C512" s="102"/>
      <c r="D512" s="99"/>
      <c r="E512" s="96"/>
      <c r="F512" s="97"/>
      <c r="G512" s="98"/>
      <c r="H512" s="98"/>
    </row>
    <row r="513" spans="1:8" x14ac:dyDescent="0.3">
      <c r="A513" s="103"/>
      <c r="B513" s="105"/>
      <c r="C513" s="102"/>
      <c r="D513" s="99"/>
      <c r="E513" s="96"/>
      <c r="F513" s="97"/>
      <c r="G513" s="98"/>
      <c r="H513" s="98"/>
    </row>
    <row r="514" spans="1:8" x14ac:dyDescent="0.3">
      <c r="A514" s="103"/>
      <c r="B514" s="105"/>
      <c r="C514" s="102"/>
      <c r="D514" s="99"/>
      <c r="E514" s="96"/>
      <c r="F514" s="97"/>
      <c r="G514" s="98"/>
      <c r="H514" s="98"/>
    </row>
    <row r="515" spans="1:8" x14ac:dyDescent="0.3">
      <c r="A515" s="103"/>
      <c r="B515" s="105"/>
      <c r="C515" s="102"/>
      <c r="D515" s="99"/>
      <c r="E515" s="96"/>
      <c r="F515" s="97"/>
      <c r="G515" s="98"/>
      <c r="H515" s="98"/>
    </row>
    <row r="516" spans="1:8" x14ac:dyDescent="0.3">
      <c r="A516" s="103"/>
      <c r="B516" s="105"/>
      <c r="C516" s="102"/>
      <c r="D516" s="99"/>
      <c r="E516" s="96"/>
      <c r="F516" s="97"/>
      <c r="G516" s="98"/>
      <c r="H516" s="98"/>
    </row>
    <row r="517" spans="1:8" x14ac:dyDescent="0.3">
      <c r="A517" s="103"/>
      <c r="B517" s="105"/>
      <c r="C517" s="102"/>
      <c r="D517" s="99"/>
      <c r="E517" s="96"/>
      <c r="F517" s="97"/>
      <c r="G517" s="98"/>
      <c r="H517" s="98"/>
    </row>
    <row r="518" spans="1:8" x14ac:dyDescent="0.3">
      <c r="A518" s="103"/>
      <c r="B518" s="105"/>
      <c r="C518" s="102"/>
      <c r="D518" s="99"/>
      <c r="E518" s="96"/>
      <c r="F518" s="97"/>
      <c r="G518" s="98"/>
      <c r="H518" s="98"/>
    </row>
    <row r="519" spans="1:8" x14ac:dyDescent="0.3">
      <c r="A519" s="103"/>
      <c r="B519" s="105"/>
      <c r="C519" s="102"/>
      <c r="D519" s="99"/>
      <c r="E519" s="96"/>
      <c r="F519" s="97"/>
      <c r="G519" s="98"/>
      <c r="H519" s="98"/>
    </row>
    <row r="520" spans="1:8" x14ac:dyDescent="0.3">
      <c r="A520" s="103"/>
      <c r="B520" s="105"/>
      <c r="C520" s="102"/>
      <c r="D520" s="99"/>
      <c r="E520" s="96"/>
      <c r="F520" s="97"/>
      <c r="G520" s="98"/>
      <c r="H520" s="98"/>
    </row>
    <row r="521" spans="1:8" x14ac:dyDescent="0.3">
      <c r="A521" s="103"/>
      <c r="B521" s="105"/>
      <c r="C521" s="102"/>
      <c r="D521" s="99"/>
      <c r="E521" s="96"/>
      <c r="F521" s="97"/>
      <c r="G521" s="98"/>
      <c r="H521" s="98"/>
    </row>
    <row r="522" spans="1:8" x14ac:dyDescent="0.3">
      <c r="A522" s="103"/>
      <c r="B522" s="105"/>
      <c r="C522" s="102"/>
      <c r="D522" s="99"/>
      <c r="E522" s="96"/>
      <c r="F522" s="97"/>
      <c r="G522" s="98"/>
      <c r="H522" s="98"/>
    </row>
    <row r="523" spans="1:8" x14ac:dyDescent="0.3">
      <c r="A523" s="103"/>
      <c r="B523" s="105"/>
      <c r="C523" s="102"/>
      <c r="D523" s="99"/>
      <c r="E523" s="96"/>
      <c r="F523" s="97"/>
      <c r="G523" s="98"/>
      <c r="H523" s="98"/>
    </row>
    <row r="524" spans="1:8" x14ac:dyDescent="0.3">
      <c r="A524" s="103"/>
      <c r="B524" s="105"/>
      <c r="C524" s="102"/>
      <c r="D524" s="99"/>
      <c r="E524" s="96"/>
      <c r="F524" s="97"/>
      <c r="G524" s="98"/>
      <c r="H524" s="98"/>
    </row>
    <row r="525" spans="1:8" x14ac:dyDescent="0.3">
      <c r="A525" s="103"/>
      <c r="B525" s="105"/>
      <c r="C525" s="102"/>
      <c r="D525" s="99"/>
      <c r="E525" s="96"/>
      <c r="F525" s="97"/>
      <c r="G525" s="98"/>
      <c r="H525" s="98"/>
    </row>
    <row r="526" spans="1:8" x14ac:dyDescent="0.3">
      <c r="A526" s="103"/>
      <c r="B526" s="105"/>
      <c r="C526" s="102"/>
      <c r="D526" s="99"/>
      <c r="E526" s="96"/>
      <c r="F526" s="97"/>
      <c r="G526" s="98"/>
      <c r="H526" s="98"/>
    </row>
    <row r="527" spans="1:8" x14ac:dyDescent="0.3">
      <c r="A527" s="103"/>
      <c r="B527" s="105"/>
      <c r="C527" s="102"/>
      <c r="D527" s="99"/>
      <c r="E527" s="96"/>
      <c r="F527" s="97"/>
      <c r="G527" s="98"/>
      <c r="H527" s="98"/>
    </row>
    <row r="528" spans="1:8" x14ac:dyDescent="0.3">
      <c r="A528" s="103"/>
      <c r="B528" s="105"/>
      <c r="C528" s="102"/>
      <c r="D528" s="99"/>
      <c r="E528" s="96"/>
      <c r="F528" s="97"/>
      <c r="G528" s="98"/>
      <c r="H528" s="98"/>
    </row>
    <row r="529" spans="1:8" x14ac:dyDescent="0.3">
      <c r="A529" s="103"/>
      <c r="B529" s="105"/>
      <c r="C529" s="102"/>
      <c r="D529" s="99"/>
      <c r="E529" s="96"/>
      <c r="F529" s="97"/>
      <c r="G529" s="98"/>
      <c r="H529" s="98"/>
    </row>
    <row r="530" spans="1:8" x14ac:dyDescent="0.3">
      <c r="A530" s="103"/>
      <c r="B530" s="105"/>
      <c r="C530" s="102"/>
      <c r="D530" s="99"/>
      <c r="E530" s="96"/>
      <c r="F530" s="97"/>
      <c r="G530" s="98"/>
      <c r="H530" s="98"/>
    </row>
    <row r="531" spans="1:8" x14ac:dyDescent="0.3">
      <c r="A531" s="103"/>
      <c r="B531" s="105"/>
      <c r="C531" s="102"/>
      <c r="D531" s="99"/>
      <c r="E531" s="96"/>
      <c r="F531" s="97"/>
      <c r="G531" s="98"/>
      <c r="H531" s="98"/>
    </row>
    <row r="532" spans="1:8" x14ac:dyDescent="0.3">
      <c r="A532" s="103"/>
      <c r="B532" s="105"/>
      <c r="C532" s="102"/>
      <c r="D532" s="99"/>
      <c r="E532" s="96"/>
      <c r="F532" s="97"/>
      <c r="G532" s="98"/>
      <c r="H532" s="98"/>
    </row>
    <row r="533" spans="1:8" x14ac:dyDescent="0.3">
      <c r="A533" s="103"/>
      <c r="B533" s="105"/>
      <c r="C533" s="102"/>
      <c r="D533" s="99"/>
      <c r="E533" s="96"/>
      <c r="F533" s="97"/>
      <c r="G533" s="98"/>
      <c r="H533" s="98"/>
    </row>
    <row r="534" spans="1:8" x14ac:dyDescent="0.3">
      <c r="A534" s="103"/>
      <c r="B534" s="105"/>
      <c r="C534" s="102"/>
      <c r="D534" s="99"/>
      <c r="E534" s="96"/>
      <c r="F534" s="97"/>
      <c r="G534" s="98"/>
      <c r="H534" s="98"/>
    </row>
    <row r="535" spans="1:8" x14ac:dyDescent="0.3">
      <c r="A535" s="103"/>
      <c r="B535" s="105"/>
      <c r="C535" s="102"/>
      <c r="D535" s="99"/>
      <c r="E535" s="96"/>
      <c r="F535" s="97"/>
      <c r="G535" s="98"/>
      <c r="H535" s="98"/>
    </row>
    <row r="536" spans="1:8" x14ac:dyDescent="0.3">
      <c r="A536" s="103"/>
      <c r="B536" s="105"/>
      <c r="C536" s="102"/>
      <c r="D536" s="99"/>
      <c r="E536" s="96"/>
      <c r="F536" s="97"/>
      <c r="G536" s="98"/>
      <c r="H536" s="98"/>
    </row>
    <row r="537" spans="1:8" x14ac:dyDescent="0.3">
      <c r="A537" s="103"/>
      <c r="B537" s="105"/>
      <c r="C537" s="102"/>
      <c r="D537" s="99"/>
      <c r="E537" s="96"/>
      <c r="F537" s="97"/>
      <c r="G537" s="98"/>
      <c r="H537" s="98"/>
    </row>
    <row r="538" spans="1:8" x14ac:dyDescent="0.3">
      <c r="A538" s="103"/>
      <c r="B538" s="105"/>
      <c r="C538" s="102"/>
      <c r="D538" s="99"/>
      <c r="E538" s="96"/>
      <c r="F538" s="97"/>
      <c r="G538" s="98"/>
      <c r="H538" s="98"/>
    </row>
    <row r="539" spans="1:8" x14ac:dyDescent="0.3">
      <c r="A539" s="103"/>
      <c r="B539" s="105"/>
      <c r="C539" s="102"/>
      <c r="D539" s="99"/>
      <c r="E539" s="96"/>
      <c r="F539" s="97"/>
      <c r="G539" s="98"/>
      <c r="H539" s="98"/>
    </row>
    <row r="540" spans="1:8" x14ac:dyDescent="0.3">
      <c r="A540" s="103"/>
      <c r="B540" s="105"/>
      <c r="C540" s="102"/>
      <c r="D540" s="99"/>
      <c r="E540" s="96"/>
      <c r="F540" s="97"/>
      <c r="G540" s="98"/>
      <c r="H540" s="98"/>
    </row>
    <row r="541" spans="1:8" x14ac:dyDescent="0.3">
      <c r="A541" s="103"/>
      <c r="B541" s="105"/>
      <c r="C541" s="102"/>
      <c r="D541" s="99"/>
      <c r="E541" s="96"/>
      <c r="F541" s="97"/>
      <c r="G541" s="98"/>
      <c r="H541" s="98"/>
    </row>
    <row r="542" spans="1:8" x14ac:dyDescent="0.3">
      <c r="A542" s="103"/>
      <c r="B542" s="105"/>
      <c r="C542" s="102"/>
      <c r="D542" s="99"/>
      <c r="E542" s="96"/>
      <c r="F542" s="97"/>
      <c r="G542" s="98"/>
      <c r="H542" s="98"/>
    </row>
    <row r="543" spans="1:8" x14ac:dyDescent="0.3">
      <c r="A543" s="103"/>
      <c r="B543" s="105"/>
      <c r="C543" s="102"/>
      <c r="D543" s="99"/>
      <c r="E543" s="96"/>
      <c r="F543" s="97"/>
      <c r="G543" s="98"/>
      <c r="H543" s="98"/>
    </row>
    <row r="544" spans="1:8" x14ac:dyDescent="0.3">
      <c r="A544" s="103"/>
      <c r="B544" s="105"/>
      <c r="C544" s="102"/>
      <c r="D544" s="99"/>
      <c r="E544" s="96"/>
      <c r="F544" s="97"/>
      <c r="G544" s="98"/>
      <c r="H544" s="98"/>
    </row>
    <row r="545" spans="1:8" x14ac:dyDescent="0.3">
      <c r="A545" s="103"/>
      <c r="B545" s="105"/>
      <c r="C545" s="102"/>
      <c r="D545" s="99"/>
      <c r="E545" s="96"/>
      <c r="F545" s="97"/>
      <c r="G545" s="98"/>
      <c r="H545" s="98"/>
    </row>
    <row r="546" spans="1:8" x14ac:dyDescent="0.3">
      <c r="A546" s="103"/>
      <c r="B546" s="105"/>
      <c r="C546" s="102"/>
      <c r="D546" s="99"/>
      <c r="E546" s="96"/>
      <c r="F546" s="97"/>
      <c r="G546" s="98"/>
      <c r="H546" s="98"/>
    </row>
    <row r="547" spans="1:8" x14ac:dyDescent="0.3">
      <c r="A547" s="103"/>
      <c r="B547" s="105"/>
      <c r="C547" s="102"/>
      <c r="D547" s="99"/>
      <c r="E547" s="96"/>
      <c r="F547" s="97"/>
      <c r="G547" s="98"/>
      <c r="H547" s="98"/>
    </row>
    <row r="548" spans="1:8" x14ac:dyDescent="0.3">
      <c r="A548" s="103"/>
      <c r="B548" s="105"/>
      <c r="C548" s="102"/>
      <c r="D548" s="99"/>
      <c r="E548" s="96"/>
      <c r="F548" s="97"/>
      <c r="G548" s="98"/>
      <c r="H548" s="98"/>
    </row>
    <row r="549" spans="1:8" x14ac:dyDescent="0.3">
      <c r="A549" s="103"/>
      <c r="B549" s="105"/>
      <c r="C549" s="102"/>
      <c r="D549" s="99"/>
      <c r="E549" s="96"/>
      <c r="F549" s="97"/>
      <c r="G549" s="98"/>
      <c r="H549" s="98"/>
    </row>
    <row r="550" spans="1:8" x14ac:dyDescent="0.3">
      <c r="A550" s="103"/>
      <c r="B550" s="105"/>
      <c r="C550" s="102"/>
      <c r="D550" s="99"/>
      <c r="E550" s="96"/>
      <c r="F550" s="97"/>
      <c r="G550" s="98"/>
      <c r="H550" s="98"/>
    </row>
    <row r="551" spans="1:8" x14ac:dyDescent="0.3">
      <c r="A551" s="103"/>
      <c r="B551" s="105"/>
      <c r="C551" s="102"/>
      <c r="D551" s="99"/>
      <c r="E551" s="96"/>
      <c r="F551" s="97"/>
      <c r="G551" s="98"/>
      <c r="H551" s="98"/>
    </row>
    <row r="552" spans="1:8" x14ac:dyDescent="0.3">
      <c r="A552" s="103"/>
      <c r="B552" s="105"/>
      <c r="C552" s="102"/>
      <c r="D552" s="99"/>
      <c r="E552" s="96"/>
      <c r="F552" s="97"/>
      <c r="G552" s="98"/>
      <c r="H552" s="98"/>
    </row>
    <row r="553" spans="1:8" x14ac:dyDescent="0.3">
      <c r="A553" s="103"/>
      <c r="B553" s="105"/>
      <c r="C553" s="102"/>
      <c r="D553" s="99"/>
      <c r="E553" s="96"/>
      <c r="F553" s="97"/>
      <c r="G553" s="98"/>
      <c r="H553" s="98"/>
    </row>
    <row r="554" spans="1:8" x14ac:dyDescent="0.3">
      <c r="A554" s="103"/>
      <c r="B554" s="105"/>
      <c r="C554" s="102"/>
      <c r="D554" s="99"/>
      <c r="E554" s="96"/>
      <c r="F554" s="97"/>
      <c r="G554" s="98"/>
      <c r="H554" s="98"/>
    </row>
    <row r="555" spans="1:8" x14ac:dyDescent="0.3">
      <c r="A555" s="103"/>
      <c r="B555" s="105"/>
      <c r="C555" s="102"/>
      <c r="D555" s="99"/>
      <c r="E555" s="96"/>
      <c r="F555" s="97"/>
      <c r="G555" s="98"/>
      <c r="H555" s="98"/>
    </row>
    <row r="556" spans="1:8" x14ac:dyDescent="0.3">
      <c r="A556" s="103"/>
      <c r="B556" s="105"/>
      <c r="C556" s="102"/>
      <c r="D556" s="99"/>
      <c r="E556" s="96"/>
      <c r="F556" s="97"/>
      <c r="G556" s="98"/>
      <c r="H556" s="98"/>
    </row>
    <row r="557" spans="1:8" x14ac:dyDescent="0.3">
      <c r="A557" s="103"/>
      <c r="B557" s="105"/>
      <c r="C557" s="102"/>
      <c r="D557" s="99"/>
      <c r="E557" s="96"/>
      <c r="F557" s="97"/>
      <c r="G557" s="98"/>
      <c r="H557" s="98"/>
    </row>
    <row r="558" spans="1:8" x14ac:dyDescent="0.3">
      <c r="A558" s="103"/>
      <c r="B558" s="105"/>
      <c r="C558" s="102"/>
      <c r="D558" s="99"/>
      <c r="E558" s="96"/>
      <c r="F558" s="97"/>
      <c r="G558" s="98"/>
      <c r="H558" s="98"/>
    </row>
    <row r="559" spans="1:8" x14ac:dyDescent="0.3">
      <c r="A559" s="103"/>
      <c r="B559" s="105"/>
      <c r="C559" s="102"/>
      <c r="D559" s="99"/>
      <c r="E559" s="96"/>
      <c r="F559" s="97"/>
      <c r="G559" s="98"/>
      <c r="H559" s="98"/>
    </row>
    <row r="560" spans="1:8" x14ac:dyDescent="0.3">
      <c r="A560" s="103"/>
      <c r="B560" s="105"/>
      <c r="C560" s="102"/>
      <c r="D560" s="99"/>
      <c r="E560" s="96"/>
      <c r="F560" s="97"/>
      <c r="G560" s="98"/>
      <c r="H560" s="98"/>
    </row>
    <row r="561" spans="1:8" x14ac:dyDescent="0.3">
      <c r="A561" s="103"/>
      <c r="B561" s="105"/>
      <c r="C561" s="102"/>
      <c r="D561" s="99"/>
      <c r="E561" s="96"/>
      <c r="F561" s="97"/>
      <c r="G561" s="98"/>
      <c r="H561" s="98"/>
    </row>
    <row r="562" spans="1:8" x14ac:dyDescent="0.3">
      <c r="A562" s="103"/>
      <c r="B562" s="105"/>
      <c r="C562" s="102"/>
      <c r="D562" s="99"/>
      <c r="E562" s="96"/>
      <c r="F562" s="97"/>
      <c r="G562" s="98"/>
      <c r="H562" s="98"/>
    </row>
    <row r="563" spans="1:8" x14ac:dyDescent="0.3">
      <c r="A563" s="103"/>
      <c r="B563" s="105"/>
      <c r="C563" s="102"/>
      <c r="D563" s="99"/>
      <c r="E563" s="96"/>
      <c r="F563" s="97"/>
      <c r="G563" s="98"/>
      <c r="H563" s="98"/>
    </row>
    <row r="564" spans="1:8" x14ac:dyDescent="0.3">
      <c r="A564" s="103"/>
      <c r="B564" s="105"/>
      <c r="C564" s="102"/>
      <c r="D564" s="99"/>
      <c r="E564" s="96"/>
      <c r="F564" s="97"/>
      <c r="G564" s="98"/>
      <c r="H564" s="98"/>
    </row>
    <row r="565" spans="1:8" x14ac:dyDescent="0.3">
      <c r="A565" s="103"/>
      <c r="B565" s="105"/>
      <c r="C565" s="102"/>
      <c r="D565" s="99"/>
      <c r="E565" s="96"/>
      <c r="F565" s="97"/>
      <c r="G565" s="98"/>
      <c r="H565" s="98"/>
    </row>
    <row r="566" spans="1:8" x14ac:dyDescent="0.3">
      <c r="A566" s="103"/>
      <c r="B566" s="105"/>
      <c r="C566" s="102"/>
      <c r="D566" s="99"/>
      <c r="E566" s="96"/>
      <c r="F566" s="97"/>
      <c r="G566" s="98"/>
      <c r="H566" s="98"/>
    </row>
    <row r="567" spans="1:8" x14ac:dyDescent="0.3">
      <c r="A567" s="103"/>
      <c r="B567" s="105"/>
      <c r="C567" s="102"/>
      <c r="D567" s="99"/>
      <c r="E567" s="96"/>
      <c r="F567" s="97"/>
      <c r="G567" s="98"/>
      <c r="H567" s="98"/>
    </row>
    <row r="568" spans="1:8" x14ac:dyDescent="0.3">
      <c r="A568" s="103"/>
      <c r="B568" s="105"/>
      <c r="C568" s="102"/>
      <c r="D568" s="99"/>
      <c r="E568" s="96"/>
      <c r="F568" s="97"/>
      <c r="G568" s="98"/>
      <c r="H568" s="98"/>
    </row>
    <row r="569" spans="1:8" x14ac:dyDescent="0.3">
      <c r="A569" s="103"/>
      <c r="B569" s="105"/>
      <c r="C569" s="102"/>
      <c r="D569" s="99"/>
      <c r="E569" s="96"/>
      <c r="F569" s="97"/>
      <c r="G569" s="98"/>
      <c r="H569" s="98"/>
    </row>
    <row r="570" spans="1:8" x14ac:dyDescent="0.3">
      <c r="A570" s="103"/>
      <c r="B570" s="105"/>
      <c r="C570" s="102"/>
      <c r="D570" s="99"/>
      <c r="E570" s="96"/>
      <c r="F570" s="97"/>
      <c r="G570" s="98"/>
      <c r="H570" s="98"/>
    </row>
    <row r="571" spans="1:8" x14ac:dyDescent="0.3">
      <c r="A571" s="103"/>
      <c r="B571" s="105"/>
      <c r="C571" s="102"/>
      <c r="D571" s="99"/>
      <c r="E571" s="96"/>
      <c r="F571" s="97"/>
      <c r="G571" s="98"/>
      <c r="H571" s="98"/>
    </row>
    <row r="572" spans="1:8" x14ac:dyDescent="0.3">
      <c r="A572" s="103"/>
      <c r="B572" s="105"/>
      <c r="C572" s="102"/>
      <c r="D572" s="99"/>
      <c r="E572" s="96"/>
      <c r="F572" s="97"/>
      <c r="G572" s="98"/>
      <c r="H572" s="98"/>
    </row>
    <row r="573" spans="1:8" x14ac:dyDescent="0.3">
      <c r="A573" s="103"/>
      <c r="B573" s="105"/>
      <c r="C573" s="102"/>
      <c r="D573" s="99"/>
      <c r="E573" s="96"/>
      <c r="F573" s="97"/>
      <c r="G573" s="98"/>
      <c r="H573" s="98"/>
    </row>
    <row r="574" spans="1:8" x14ac:dyDescent="0.3">
      <c r="A574" s="103"/>
      <c r="B574" s="105"/>
      <c r="C574" s="102"/>
      <c r="D574" s="99"/>
      <c r="E574" s="96"/>
      <c r="F574" s="97"/>
      <c r="G574" s="98"/>
      <c r="H574" s="98"/>
    </row>
    <row r="575" spans="1:8" x14ac:dyDescent="0.3">
      <c r="A575" s="103"/>
      <c r="B575" s="105"/>
      <c r="C575" s="102"/>
      <c r="D575" s="99"/>
      <c r="E575" s="96"/>
      <c r="F575" s="97"/>
      <c r="G575" s="98"/>
      <c r="H575" s="98"/>
    </row>
    <row r="576" spans="1:8" x14ac:dyDescent="0.3">
      <c r="A576" s="103"/>
      <c r="B576" s="105"/>
      <c r="C576" s="102"/>
      <c r="D576" s="99"/>
      <c r="E576" s="96"/>
      <c r="F576" s="97"/>
      <c r="G576" s="98"/>
      <c r="H576" s="98"/>
    </row>
    <row r="577" spans="1:8" x14ac:dyDescent="0.3">
      <c r="A577" s="103"/>
      <c r="B577" s="105"/>
      <c r="C577" s="102"/>
      <c r="D577" s="99"/>
      <c r="E577" s="96"/>
      <c r="F577" s="97"/>
      <c r="G577" s="98"/>
      <c r="H577" s="98"/>
    </row>
    <row r="578" spans="1:8" x14ac:dyDescent="0.3">
      <c r="A578" s="103"/>
      <c r="B578" s="105"/>
      <c r="C578" s="102"/>
      <c r="D578" s="99"/>
      <c r="E578" s="96"/>
      <c r="F578" s="97"/>
      <c r="G578" s="98"/>
      <c r="H578" s="98"/>
    </row>
    <row r="579" spans="1:8" x14ac:dyDescent="0.3">
      <c r="A579" s="103"/>
      <c r="B579" s="105"/>
      <c r="C579" s="102"/>
      <c r="D579" s="99"/>
      <c r="E579" s="96"/>
      <c r="F579" s="97"/>
      <c r="G579" s="98"/>
      <c r="H579" s="98"/>
    </row>
    <row r="580" spans="1:8" x14ac:dyDescent="0.3">
      <c r="A580" s="103"/>
      <c r="B580" s="105"/>
      <c r="C580" s="102"/>
      <c r="D580" s="99"/>
      <c r="E580" s="96"/>
      <c r="F580" s="97"/>
      <c r="G580" s="98"/>
      <c r="H580" s="98"/>
    </row>
    <row r="581" spans="1:8" x14ac:dyDescent="0.3">
      <c r="A581" s="103"/>
      <c r="B581" s="105"/>
      <c r="C581" s="102"/>
      <c r="D581" s="99"/>
      <c r="E581" s="96"/>
      <c r="F581" s="97"/>
      <c r="G581" s="98"/>
      <c r="H581" s="98"/>
    </row>
    <row r="582" spans="1:8" x14ac:dyDescent="0.3">
      <c r="A582" s="103"/>
      <c r="B582" s="105"/>
      <c r="C582" s="102"/>
      <c r="D582" s="99"/>
      <c r="E582" s="96"/>
      <c r="F582" s="97"/>
      <c r="G582" s="98"/>
      <c r="H582" s="98"/>
    </row>
    <row r="583" spans="1:8" x14ac:dyDescent="0.3">
      <c r="A583" s="103"/>
      <c r="B583" s="105"/>
      <c r="C583" s="102"/>
      <c r="D583" s="99"/>
      <c r="E583" s="96"/>
      <c r="F583" s="97"/>
      <c r="G583" s="98"/>
      <c r="H583" s="98"/>
    </row>
    <row r="584" spans="1:8" x14ac:dyDescent="0.3">
      <c r="A584" s="103"/>
      <c r="B584" s="105"/>
      <c r="C584" s="102"/>
      <c r="D584" s="99"/>
      <c r="E584" s="96"/>
      <c r="F584" s="97"/>
      <c r="G584" s="98"/>
      <c r="H584" s="98"/>
    </row>
    <row r="585" spans="1:8" x14ac:dyDescent="0.3">
      <c r="A585" s="103"/>
      <c r="B585" s="105"/>
      <c r="C585" s="102"/>
      <c r="D585" s="99"/>
      <c r="E585" s="96"/>
      <c r="F585" s="97"/>
      <c r="G585" s="98"/>
      <c r="H585" s="98"/>
    </row>
    <row r="586" spans="1:8" x14ac:dyDescent="0.3">
      <c r="A586" s="103"/>
      <c r="B586" s="105"/>
      <c r="C586" s="102"/>
      <c r="D586" s="99"/>
      <c r="E586" s="96"/>
      <c r="F586" s="97"/>
      <c r="G586" s="98"/>
      <c r="H586" s="98"/>
    </row>
    <row r="587" spans="1:8" x14ac:dyDescent="0.3">
      <c r="A587" s="103"/>
      <c r="B587" s="105"/>
      <c r="C587" s="102"/>
      <c r="D587" s="99"/>
      <c r="E587" s="96"/>
      <c r="F587" s="97"/>
      <c r="G587" s="98"/>
      <c r="H587" s="98"/>
    </row>
    <row r="588" spans="1:8" x14ac:dyDescent="0.3">
      <c r="A588" s="103"/>
      <c r="B588" s="105"/>
      <c r="C588" s="102"/>
      <c r="D588" s="99"/>
      <c r="E588" s="96"/>
      <c r="F588" s="97"/>
      <c r="G588" s="98"/>
      <c r="H588" s="98"/>
    </row>
    <row r="589" spans="1:8" x14ac:dyDescent="0.3">
      <c r="A589" s="103"/>
      <c r="B589" s="105"/>
      <c r="C589" s="102"/>
      <c r="D589" s="99"/>
      <c r="E589" s="96"/>
      <c r="F589" s="97"/>
      <c r="G589" s="98"/>
      <c r="H589" s="98"/>
    </row>
    <row r="590" spans="1:8" x14ac:dyDescent="0.3">
      <c r="A590" s="103"/>
      <c r="B590" s="105"/>
      <c r="C590" s="102"/>
      <c r="D590" s="99"/>
      <c r="E590" s="96"/>
      <c r="F590" s="97"/>
      <c r="G590" s="98"/>
      <c r="H590" s="98"/>
    </row>
    <row r="591" spans="1:8" x14ac:dyDescent="0.3">
      <c r="A591" s="103"/>
      <c r="B591" s="105"/>
      <c r="C591" s="102"/>
      <c r="D591" s="99"/>
      <c r="E591" s="96"/>
      <c r="F591" s="97"/>
      <c r="G591" s="98"/>
      <c r="H591" s="98"/>
    </row>
    <row r="592" spans="1:8" x14ac:dyDescent="0.3">
      <c r="A592" s="103"/>
      <c r="B592" s="105"/>
      <c r="C592" s="102"/>
      <c r="D592" s="99"/>
      <c r="E592" s="96"/>
      <c r="F592" s="97"/>
      <c r="G592" s="98"/>
      <c r="H592" s="98"/>
    </row>
    <row r="593" spans="1:8" x14ac:dyDescent="0.3">
      <c r="A593" s="103"/>
      <c r="B593" s="105"/>
      <c r="C593" s="102"/>
      <c r="D593" s="99"/>
      <c r="E593" s="96"/>
      <c r="F593" s="97"/>
      <c r="G593" s="98"/>
      <c r="H593" s="98"/>
    </row>
    <row r="594" spans="1:8" x14ac:dyDescent="0.3">
      <c r="A594" s="103"/>
      <c r="B594" s="105"/>
      <c r="C594" s="102"/>
      <c r="D594" s="99"/>
      <c r="E594" s="96"/>
      <c r="F594" s="97"/>
      <c r="G594" s="98"/>
      <c r="H594" s="98"/>
    </row>
    <row r="595" spans="1:8" x14ac:dyDescent="0.3">
      <c r="A595" s="103"/>
      <c r="B595" s="105"/>
      <c r="C595" s="102"/>
      <c r="D595" s="99"/>
      <c r="E595" s="96"/>
      <c r="F595" s="97"/>
      <c r="G595" s="98"/>
      <c r="H595" s="98"/>
    </row>
    <row r="596" spans="1:8" x14ac:dyDescent="0.3">
      <c r="A596" s="103"/>
      <c r="B596" s="105"/>
      <c r="C596" s="102"/>
      <c r="D596" s="99"/>
      <c r="E596" s="96"/>
      <c r="F596" s="97"/>
      <c r="G596" s="98"/>
      <c r="H596" s="98"/>
    </row>
    <row r="597" spans="1:8" x14ac:dyDescent="0.3">
      <c r="A597" s="103"/>
      <c r="B597" s="105"/>
      <c r="C597" s="102"/>
      <c r="D597" s="99"/>
      <c r="E597" s="96"/>
      <c r="F597" s="97"/>
      <c r="G597" s="98"/>
      <c r="H597" s="98"/>
    </row>
    <row r="598" spans="1:8" x14ac:dyDescent="0.3">
      <c r="A598" s="103"/>
      <c r="B598" s="105"/>
      <c r="C598" s="102"/>
      <c r="D598" s="99"/>
      <c r="E598" s="96"/>
      <c r="F598" s="97"/>
      <c r="G598" s="98"/>
      <c r="H598" s="98"/>
    </row>
    <row r="599" spans="1:8" x14ac:dyDescent="0.3">
      <c r="A599" s="103"/>
      <c r="B599" s="105"/>
      <c r="C599" s="102"/>
      <c r="D599" s="99"/>
      <c r="E599" s="96"/>
      <c r="F599" s="97"/>
      <c r="G599" s="98"/>
      <c r="H599" s="98"/>
    </row>
    <row r="600" spans="1:8" x14ac:dyDescent="0.3">
      <c r="A600" s="103"/>
      <c r="B600" s="105"/>
      <c r="C600" s="102"/>
      <c r="D600" s="99"/>
      <c r="E600" s="96"/>
      <c r="F600" s="97"/>
      <c r="G600" s="98"/>
      <c r="H600" s="98"/>
    </row>
    <row r="601" spans="1:8" x14ac:dyDescent="0.3">
      <c r="A601" s="103"/>
      <c r="B601" s="105"/>
      <c r="C601" s="102"/>
      <c r="D601" s="99"/>
      <c r="E601" s="96"/>
      <c r="F601" s="97"/>
      <c r="G601" s="98"/>
      <c r="H601" s="98"/>
    </row>
    <row r="602" spans="1:8" x14ac:dyDescent="0.3">
      <c r="A602" s="103"/>
      <c r="B602" s="105"/>
      <c r="C602" s="102"/>
      <c r="D602" s="99"/>
      <c r="E602" s="96"/>
      <c r="F602" s="97"/>
      <c r="G602" s="98"/>
      <c r="H602" s="98"/>
    </row>
    <row r="603" spans="1:8" x14ac:dyDescent="0.3">
      <c r="A603" s="103"/>
      <c r="B603" s="105"/>
      <c r="C603" s="102"/>
      <c r="D603" s="99"/>
      <c r="E603" s="96"/>
      <c r="F603" s="97"/>
      <c r="G603" s="98"/>
      <c r="H603" s="98"/>
    </row>
    <row r="604" spans="1:8" x14ac:dyDescent="0.3">
      <c r="A604" s="103"/>
      <c r="B604" s="105"/>
      <c r="C604" s="102"/>
      <c r="D604" s="99"/>
      <c r="E604" s="96"/>
      <c r="F604" s="97"/>
      <c r="G604" s="98"/>
      <c r="H604" s="98"/>
    </row>
    <row r="605" spans="1:8" x14ac:dyDescent="0.3">
      <c r="A605" s="103"/>
      <c r="B605" s="105"/>
      <c r="C605" s="102"/>
      <c r="D605" s="99"/>
      <c r="E605" s="96"/>
      <c r="F605" s="97"/>
      <c r="G605" s="98"/>
      <c r="H605" s="98"/>
    </row>
    <row r="606" spans="1:8" x14ac:dyDescent="0.3">
      <c r="A606" s="103"/>
      <c r="B606" s="105"/>
      <c r="C606" s="102"/>
      <c r="D606" s="99"/>
      <c r="E606" s="96"/>
      <c r="F606" s="97"/>
      <c r="G606" s="98"/>
      <c r="H606" s="98"/>
    </row>
    <row r="607" spans="1:8" x14ac:dyDescent="0.3">
      <c r="A607" s="103"/>
      <c r="B607" s="105"/>
      <c r="C607" s="102"/>
      <c r="D607" s="99"/>
      <c r="E607" s="96"/>
      <c r="F607" s="97"/>
      <c r="G607" s="98"/>
      <c r="H607" s="98"/>
    </row>
    <row r="608" spans="1:8" x14ac:dyDescent="0.3">
      <c r="A608" s="103"/>
      <c r="B608" s="105"/>
      <c r="C608" s="102"/>
      <c r="D608" s="99"/>
      <c r="E608" s="96"/>
      <c r="F608" s="97"/>
      <c r="G608" s="98"/>
      <c r="H608" s="98"/>
    </row>
    <row r="609" spans="1:8" x14ac:dyDescent="0.3">
      <c r="A609" s="103"/>
      <c r="B609" s="105"/>
      <c r="C609" s="102"/>
      <c r="D609" s="99"/>
      <c r="E609" s="96"/>
      <c r="F609" s="97"/>
      <c r="G609" s="98"/>
      <c r="H609" s="98"/>
    </row>
    <row r="610" spans="1:8" x14ac:dyDescent="0.3">
      <c r="A610" s="103"/>
      <c r="B610" s="105"/>
      <c r="C610" s="102"/>
      <c r="D610" s="99"/>
      <c r="E610" s="96"/>
      <c r="F610" s="97"/>
      <c r="G610" s="98"/>
      <c r="H610" s="98"/>
    </row>
    <row r="611" spans="1:8" x14ac:dyDescent="0.3">
      <c r="A611" s="103"/>
      <c r="B611" s="105"/>
      <c r="C611" s="102"/>
      <c r="D611" s="99"/>
      <c r="E611" s="96"/>
      <c r="F611" s="97"/>
      <c r="G611" s="98"/>
      <c r="H611" s="98"/>
    </row>
    <row r="612" spans="1:8" x14ac:dyDescent="0.3">
      <c r="A612" s="103"/>
      <c r="B612" s="105"/>
      <c r="C612" s="102"/>
      <c r="D612" s="99"/>
      <c r="E612" s="96"/>
      <c r="F612" s="97"/>
      <c r="G612" s="98"/>
      <c r="H612" s="98"/>
    </row>
    <row r="613" spans="1:8" x14ac:dyDescent="0.3">
      <c r="A613" s="103"/>
      <c r="B613" s="105"/>
      <c r="C613" s="102"/>
      <c r="D613" s="99"/>
      <c r="E613" s="96"/>
      <c r="F613" s="97"/>
      <c r="G613" s="98"/>
      <c r="H613" s="98"/>
    </row>
    <row r="614" spans="1:8" x14ac:dyDescent="0.3">
      <c r="A614" s="103"/>
      <c r="B614" s="105"/>
      <c r="C614" s="102"/>
      <c r="D614" s="99"/>
      <c r="E614" s="96"/>
      <c r="F614" s="97"/>
      <c r="G614" s="98"/>
      <c r="H614" s="98"/>
    </row>
    <row r="615" spans="1:8" x14ac:dyDescent="0.3">
      <c r="A615" s="103"/>
      <c r="B615" s="105"/>
      <c r="C615" s="102"/>
      <c r="D615" s="99"/>
      <c r="E615" s="96"/>
      <c r="F615" s="97"/>
      <c r="G615" s="98"/>
      <c r="H615" s="98"/>
    </row>
    <row r="616" spans="1:8" x14ac:dyDescent="0.3">
      <c r="A616" s="103"/>
      <c r="B616" s="105"/>
      <c r="C616" s="102"/>
      <c r="D616" s="99"/>
      <c r="E616" s="96"/>
      <c r="F616" s="97"/>
      <c r="G616" s="98"/>
      <c r="H616" s="98"/>
    </row>
    <row r="617" spans="1:8" x14ac:dyDescent="0.3">
      <c r="A617" s="103"/>
      <c r="B617" s="105"/>
      <c r="C617" s="102"/>
      <c r="D617" s="99"/>
      <c r="E617" s="96"/>
      <c r="F617" s="97"/>
      <c r="G617" s="98"/>
      <c r="H617" s="98"/>
    </row>
    <row r="618" spans="1:8" x14ac:dyDescent="0.3">
      <c r="A618" s="103"/>
      <c r="B618" s="105"/>
      <c r="C618" s="102"/>
      <c r="D618" s="99"/>
      <c r="E618" s="96"/>
      <c r="F618" s="97"/>
      <c r="G618" s="98"/>
      <c r="H618" s="98"/>
    </row>
    <row r="619" spans="1:8" x14ac:dyDescent="0.3">
      <c r="A619" s="103"/>
      <c r="B619" s="105"/>
      <c r="C619" s="102"/>
      <c r="D619" s="99"/>
      <c r="E619" s="96"/>
      <c r="F619" s="97"/>
      <c r="G619" s="98"/>
      <c r="H619" s="98"/>
    </row>
    <row r="620" spans="1:8" x14ac:dyDescent="0.3">
      <c r="A620" s="103"/>
      <c r="B620" s="105"/>
      <c r="C620" s="102"/>
      <c r="D620" s="99"/>
      <c r="E620" s="96"/>
      <c r="F620" s="97"/>
      <c r="G620" s="98"/>
      <c r="H620" s="98"/>
    </row>
    <row r="621" spans="1:8" x14ac:dyDescent="0.3">
      <c r="A621" s="103"/>
      <c r="B621" s="105"/>
      <c r="C621" s="102"/>
      <c r="D621" s="99"/>
      <c r="E621" s="96"/>
      <c r="F621" s="97"/>
      <c r="G621" s="98"/>
      <c r="H621" s="98"/>
    </row>
    <row r="622" spans="1:8" x14ac:dyDescent="0.3">
      <c r="A622" s="103"/>
      <c r="B622" s="105"/>
      <c r="C622" s="102"/>
      <c r="D622" s="99"/>
      <c r="E622" s="96"/>
      <c r="F622" s="97"/>
      <c r="G622" s="98"/>
      <c r="H622" s="98"/>
    </row>
    <row r="623" spans="1:8" x14ac:dyDescent="0.3">
      <c r="A623" s="103"/>
      <c r="B623" s="105"/>
      <c r="C623" s="102"/>
      <c r="D623" s="99"/>
      <c r="E623" s="96"/>
      <c r="F623" s="97"/>
      <c r="G623" s="98"/>
      <c r="H623" s="98"/>
    </row>
    <row r="624" spans="1:8" x14ac:dyDescent="0.3">
      <c r="A624" s="103"/>
      <c r="B624" s="105"/>
      <c r="C624" s="102"/>
      <c r="D624" s="99"/>
      <c r="E624" s="96"/>
      <c r="F624" s="97"/>
      <c r="G624" s="98"/>
      <c r="H624" s="98"/>
    </row>
    <row r="625" spans="1:8" x14ac:dyDescent="0.3">
      <c r="A625" s="103"/>
      <c r="B625" s="105"/>
      <c r="C625" s="102"/>
      <c r="D625" s="99"/>
      <c r="E625" s="96"/>
      <c r="F625" s="97"/>
      <c r="G625" s="98"/>
      <c r="H625" s="98"/>
    </row>
    <row r="626" spans="1:8" x14ac:dyDescent="0.3">
      <c r="A626" s="103"/>
      <c r="B626" s="105"/>
      <c r="C626" s="102"/>
      <c r="D626" s="99"/>
      <c r="E626" s="96"/>
      <c r="F626" s="97"/>
      <c r="G626" s="98"/>
      <c r="H626" s="98"/>
    </row>
    <row r="627" spans="1:8" x14ac:dyDescent="0.3">
      <c r="A627" s="103"/>
      <c r="B627" s="105"/>
      <c r="C627" s="102"/>
      <c r="D627" s="99"/>
      <c r="E627" s="96"/>
      <c r="F627" s="97"/>
      <c r="G627" s="98"/>
      <c r="H627" s="98"/>
    </row>
    <row r="628" spans="1:8" x14ac:dyDescent="0.3">
      <c r="A628" s="103"/>
      <c r="B628" s="105"/>
      <c r="C628" s="102"/>
      <c r="D628" s="99"/>
      <c r="E628" s="96"/>
      <c r="F628" s="97"/>
      <c r="G628" s="98"/>
      <c r="H628" s="98"/>
    </row>
    <row r="629" spans="1:8" x14ac:dyDescent="0.3">
      <c r="A629" s="103"/>
      <c r="B629" s="105"/>
      <c r="C629" s="102"/>
      <c r="D629" s="99"/>
      <c r="E629" s="96"/>
      <c r="F629" s="97"/>
      <c r="G629" s="98"/>
      <c r="H629" s="98"/>
    </row>
    <row r="630" spans="1:8" x14ac:dyDescent="0.3">
      <c r="A630" s="103"/>
      <c r="B630" s="105"/>
      <c r="C630" s="102"/>
      <c r="D630" s="99"/>
      <c r="E630" s="96"/>
      <c r="F630" s="97"/>
      <c r="G630" s="98"/>
      <c r="H630" s="98"/>
    </row>
    <row r="631" spans="1:8" x14ac:dyDescent="0.3">
      <c r="A631" s="103"/>
      <c r="B631" s="105"/>
      <c r="C631" s="102"/>
      <c r="D631" s="99"/>
      <c r="E631" s="96"/>
      <c r="F631" s="97"/>
      <c r="G631" s="98"/>
      <c r="H631" s="98"/>
    </row>
    <row r="632" spans="1:8" x14ac:dyDescent="0.3">
      <c r="A632" s="103"/>
      <c r="B632" s="105"/>
      <c r="C632" s="102"/>
      <c r="D632" s="99"/>
      <c r="E632" s="96"/>
      <c r="F632" s="97"/>
      <c r="G632" s="98"/>
      <c r="H632" s="98"/>
    </row>
    <row r="633" spans="1:8" x14ac:dyDescent="0.3">
      <c r="A633" s="103"/>
      <c r="B633" s="105"/>
      <c r="C633" s="102"/>
      <c r="D633" s="99"/>
      <c r="E633" s="96"/>
      <c r="F633" s="97"/>
      <c r="G633" s="98"/>
      <c r="H633" s="98"/>
    </row>
    <row r="634" spans="1:8" x14ac:dyDescent="0.3">
      <c r="A634" s="103"/>
      <c r="B634" s="105"/>
      <c r="C634" s="102"/>
      <c r="D634" s="99"/>
      <c r="E634" s="96"/>
      <c r="F634" s="97"/>
      <c r="G634" s="98"/>
      <c r="H634" s="98"/>
    </row>
    <row r="635" spans="1:8" x14ac:dyDescent="0.3">
      <c r="A635" s="103"/>
      <c r="B635" s="105"/>
      <c r="C635" s="102"/>
      <c r="D635" s="99"/>
      <c r="E635" s="96"/>
      <c r="F635" s="97"/>
      <c r="G635" s="98"/>
      <c r="H635" s="98"/>
    </row>
    <row r="636" spans="1:8" x14ac:dyDescent="0.3">
      <c r="A636" s="103"/>
      <c r="B636" s="105"/>
      <c r="C636" s="102"/>
      <c r="D636" s="99"/>
      <c r="E636" s="96"/>
      <c r="F636" s="97"/>
      <c r="G636" s="98"/>
      <c r="H636" s="98"/>
    </row>
    <row r="637" spans="1:8" x14ac:dyDescent="0.3">
      <c r="A637" s="103"/>
      <c r="B637" s="105"/>
      <c r="C637" s="102"/>
      <c r="D637" s="99"/>
      <c r="E637" s="96"/>
      <c r="F637" s="97"/>
      <c r="G637" s="98"/>
      <c r="H637" s="98"/>
    </row>
    <row r="638" spans="1:8" x14ac:dyDescent="0.3">
      <c r="A638" s="103"/>
      <c r="B638" s="105"/>
      <c r="C638" s="102"/>
      <c r="D638" s="99"/>
      <c r="E638" s="96"/>
      <c r="F638" s="97"/>
      <c r="G638" s="98"/>
      <c r="H638" s="98"/>
    </row>
    <row r="639" spans="1:8" x14ac:dyDescent="0.3">
      <c r="A639" s="103"/>
      <c r="B639" s="105"/>
      <c r="C639" s="102"/>
      <c r="D639" s="99"/>
      <c r="E639" s="96"/>
      <c r="F639" s="97"/>
      <c r="G639" s="98"/>
      <c r="H639" s="98"/>
    </row>
    <row r="640" spans="1:8" x14ac:dyDescent="0.3">
      <c r="A640" s="103"/>
      <c r="B640" s="105"/>
      <c r="C640" s="102"/>
      <c r="D640" s="99"/>
      <c r="E640" s="96"/>
      <c r="F640" s="97"/>
      <c r="G640" s="98"/>
      <c r="H640" s="98"/>
    </row>
    <row r="641" spans="1:8" x14ac:dyDescent="0.3">
      <c r="A641" s="103"/>
      <c r="B641" s="105"/>
      <c r="C641" s="102"/>
      <c r="D641" s="99"/>
      <c r="E641" s="96"/>
      <c r="F641" s="97"/>
      <c r="G641" s="98"/>
      <c r="H641" s="98"/>
    </row>
    <row r="642" spans="1:8" x14ac:dyDescent="0.3">
      <c r="A642" s="103"/>
      <c r="B642" s="105"/>
      <c r="C642" s="102"/>
      <c r="D642" s="99"/>
      <c r="E642" s="96"/>
      <c r="F642" s="97"/>
      <c r="G642" s="98"/>
      <c r="H642" s="98"/>
    </row>
    <row r="643" spans="1:8" x14ac:dyDescent="0.3">
      <c r="A643" s="103"/>
      <c r="B643" s="105"/>
      <c r="C643" s="102"/>
      <c r="D643" s="99"/>
      <c r="E643" s="96"/>
      <c r="F643" s="97"/>
      <c r="G643" s="98"/>
      <c r="H643" s="98"/>
    </row>
    <row r="644" spans="1:8" x14ac:dyDescent="0.3">
      <c r="A644" s="103"/>
      <c r="B644" s="105"/>
      <c r="C644" s="102"/>
      <c r="D644" s="99"/>
      <c r="E644" s="96"/>
      <c r="F644" s="97"/>
      <c r="G644" s="98"/>
      <c r="H644" s="98"/>
    </row>
    <row r="645" spans="1:8" x14ac:dyDescent="0.3">
      <c r="A645" s="103"/>
      <c r="B645" s="105"/>
      <c r="C645" s="102"/>
      <c r="D645" s="99"/>
      <c r="E645" s="96"/>
      <c r="F645" s="97"/>
      <c r="G645" s="98"/>
      <c r="H645" s="98"/>
    </row>
    <row r="646" spans="1:8" x14ac:dyDescent="0.3">
      <c r="A646" s="103"/>
      <c r="B646" s="105"/>
      <c r="C646" s="102"/>
      <c r="D646" s="99"/>
      <c r="E646" s="96"/>
      <c r="F646" s="97"/>
      <c r="G646" s="98"/>
      <c r="H646" s="98"/>
    </row>
    <row r="647" spans="1:8" x14ac:dyDescent="0.3">
      <c r="A647" s="103"/>
      <c r="B647" s="105"/>
      <c r="C647" s="102"/>
      <c r="D647" s="99"/>
      <c r="E647" s="96"/>
      <c r="F647" s="97"/>
      <c r="G647" s="98"/>
      <c r="H647" s="98"/>
    </row>
    <row r="648" spans="1:8" x14ac:dyDescent="0.3">
      <c r="A648" s="103"/>
      <c r="B648" s="105"/>
      <c r="C648" s="102"/>
      <c r="D648" s="99"/>
      <c r="E648" s="96"/>
      <c r="F648" s="97"/>
      <c r="G648" s="98"/>
      <c r="H648" s="98"/>
    </row>
    <row r="649" spans="1:8" x14ac:dyDescent="0.3">
      <c r="A649" s="103"/>
      <c r="B649" s="105"/>
      <c r="C649" s="102"/>
      <c r="D649" s="99"/>
      <c r="E649" s="96"/>
      <c r="F649" s="97"/>
      <c r="G649" s="98"/>
      <c r="H649" s="98"/>
    </row>
    <row r="650" spans="1:8" x14ac:dyDescent="0.3">
      <c r="A650" s="103"/>
      <c r="B650" s="105"/>
      <c r="C650" s="102"/>
      <c r="D650" s="99"/>
      <c r="E650" s="96"/>
      <c r="F650" s="97"/>
      <c r="G650" s="98"/>
      <c r="H650" s="98"/>
    </row>
    <row r="651" spans="1:8" x14ac:dyDescent="0.3">
      <c r="A651" s="103"/>
      <c r="B651" s="105"/>
      <c r="C651" s="102"/>
      <c r="D651" s="99"/>
      <c r="E651" s="96"/>
      <c r="F651" s="97"/>
      <c r="G651" s="98"/>
      <c r="H651" s="98"/>
    </row>
    <row r="652" spans="1:8" x14ac:dyDescent="0.3">
      <c r="A652" s="103"/>
      <c r="B652" s="105"/>
      <c r="C652" s="102"/>
      <c r="D652" s="99"/>
      <c r="E652" s="96"/>
      <c r="F652" s="97"/>
      <c r="G652" s="98"/>
      <c r="H652" s="98"/>
    </row>
    <row r="653" spans="1:8" x14ac:dyDescent="0.3">
      <c r="A653" s="103"/>
      <c r="B653" s="105"/>
      <c r="C653" s="102"/>
      <c r="D653" s="99"/>
      <c r="E653" s="96"/>
      <c r="F653" s="97"/>
      <c r="G653" s="98"/>
      <c r="H653" s="98"/>
    </row>
    <row r="654" spans="1:8" x14ac:dyDescent="0.3">
      <c r="A654" s="103"/>
      <c r="B654" s="105"/>
      <c r="C654" s="102"/>
      <c r="D654" s="99"/>
      <c r="E654" s="96"/>
      <c r="F654" s="97"/>
      <c r="G654" s="98"/>
      <c r="H654" s="98"/>
    </row>
    <row r="655" spans="1:8" x14ac:dyDescent="0.3">
      <c r="A655" s="103"/>
      <c r="B655" s="105"/>
      <c r="C655" s="102"/>
      <c r="D655" s="99"/>
      <c r="E655" s="96"/>
      <c r="F655" s="97"/>
      <c r="G655" s="98"/>
      <c r="H655" s="98"/>
    </row>
    <row r="656" spans="1:8" x14ac:dyDescent="0.3">
      <c r="A656" s="103"/>
      <c r="B656" s="105"/>
      <c r="C656" s="102"/>
      <c r="D656" s="99"/>
      <c r="E656" s="96"/>
      <c r="F656" s="97"/>
      <c r="G656" s="98"/>
      <c r="H656" s="98"/>
    </row>
    <row r="657" spans="1:8" x14ac:dyDescent="0.3">
      <c r="A657" s="103"/>
      <c r="B657" s="105"/>
      <c r="C657" s="102"/>
      <c r="D657" s="99"/>
      <c r="E657" s="96"/>
      <c r="F657" s="97"/>
      <c r="G657" s="98"/>
      <c r="H657" s="98"/>
    </row>
    <row r="658" spans="1:8" x14ac:dyDescent="0.3">
      <c r="A658" s="103"/>
      <c r="B658" s="105"/>
      <c r="C658" s="102"/>
      <c r="D658" s="99"/>
      <c r="E658" s="96"/>
      <c r="F658" s="97"/>
      <c r="G658" s="98"/>
      <c r="H658" s="98"/>
    </row>
    <row r="659" spans="1:8" x14ac:dyDescent="0.3">
      <c r="A659" s="103"/>
      <c r="B659" s="105"/>
      <c r="C659" s="102"/>
      <c r="D659" s="99"/>
      <c r="E659" s="96"/>
      <c r="F659" s="97"/>
      <c r="G659" s="98"/>
      <c r="H659" s="98"/>
    </row>
    <row r="660" spans="1:8" x14ac:dyDescent="0.3">
      <c r="A660" s="103"/>
      <c r="B660" s="105"/>
      <c r="C660" s="102"/>
      <c r="D660" s="99"/>
      <c r="E660" s="96"/>
      <c r="F660" s="97"/>
      <c r="G660" s="98"/>
      <c r="H660" s="98"/>
    </row>
    <row r="661" spans="1:8" x14ac:dyDescent="0.3">
      <c r="A661" s="103"/>
      <c r="B661" s="105"/>
      <c r="C661" s="102"/>
      <c r="D661" s="99"/>
      <c r="E661" s="96"/>
      <c r="F661" s="97"/>
      <c r="G661" s="98"/>
      <c r="H661" s="98"/>
    </row>
    <row r="662" spans="1:8" x14ac:dyDescent="0.3">
      <c r="A662" s="103"/>
      <c r="B662" s="105"/>
      <c r="C662" s="102"/>
      <c r="D662" s="99"/>
      <c r="E662" s="96"/>
      <c r="F662" s="97"/>
      <c r="G662" s="98"/>
      <c r="H662" s="98"/>
    </row>
    <row r="663" spans="1:8" x14ac:dyDescent="0.3">
      <c r="A663" s="103"/>
      <c r="B663" s="105"/>
      <c r="C663" s="102"/>
      <c r="D663" s="99"/>
      <c r="E663" s="96"/>
      <c r="F663" s="97"/>
      <c r="G663" s="98"/>
      <c r="H663" s="98"/>
    </row>
    <row r="664" spans="1:8" x14ac:dyDescent="0.3">
      <c r="A664" s="103"/>
      <c r="B664" s="105"/>
      <c r="C664" s="102"/>
      <c r="D664" s="99"/>
      <c r="E664" s="96"/>
      <c r="F664" s="97"/>
      <c r="G664" s="98"/>
      <c r="H664" s="98"/>
    </row>
    <row r="665" spans="1:8" x14ac:dyDescent="0.3">
      <c r="A665" s="103"/>
      <c r="B665" s="105"/>
      <c r="C665" s="102"/>
      <c r="D665" s="99"/>
      <c r="E665" s="96"/>
      <c r="F665" s="97"/>
      <c r="G665" s="98"/>
      <c r="H665" s="98"/>
    </row>
    <row r="666" spans="1:8" x14ac:dyDescent="0.3">
      <c r="A666" s="103"/>
      <c r="B666" s="105"/>
      <c r="C666" s="102"/>
      <c r="D666" s="99"/>
      <c r="E666" s="96"/>
      <c r="F666" s="97"/>
      <c r="G666" s="98"/>
      <c r="H666" s="98"/>
    </row>
    <row r="667" spans="1:8" x14ac:dyDescent="0.3">
      <c r="A667" s="103"/>
      <c r="B667" s="105"/>
      <c r="C667" s="102"/>
      <c r="D667" s="99"/>
      <c r="E667" s="96"/>
      <c r="F667" s="97"/>
      <c r="G667" s="98"/>
      <c r="H667" s="98"/>
    </row>
    <row r="668" spans="1:8" x14ac:dyDescent="0.3">
      <c r="A668" s="103"/>
      <c r="B668" s="105"/>
      <c r="C668" s="102"/>
      <c r="D668" s="99"/>
      <c r="E668" s="96"/>
      <c r="F668" s="97"/>
      <c r="G668" s="98"/>
      <c r="H668" s="98"/>
    </row>
    <row r="669" spans="1:8" x14ac:dyDescent="0.3">
      <c r="A669" s="103"/>
      <c r="B669" s="105"/>
      <c r="C669" s="102"/>
      <c r="D669" s="99"/>
      <c r="E669" s="96"/>
      <c r="F669" s="97"/>
      <c r="G669" s="98"/>
      <c r="H669" s="98"/>
    </row>
    <row r="670" spans="1:8" x14ac:dyDescent="0.3">
      <c r="A670" s="103"/>
      <c r="B670" s="105"/>
      <c r="C670" s="102"/>
      <c r="D670" s="99"/>
      <c r="E670" s="96"/>
      <c r="F670" s="97"/>
      <c r="G670" s="98"/>
      <c r="H670" s="98"/>
    </row>
    <row r="671" spans="1:8" x14ac:dyDescent="0.3">
      <c r="A671" s="103"/>
      <c r="B671" s="105"/>
      <c r="C671" s="102"/>
      <c r="D671" s="99"/>
      <c r="E671" s="96"/>
      <c r="F671" s="97"/>
      <c r="G671" s="98"/>
      <c r="H671" s="9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802" r:id="rId3" name="Button 2">
              <controlPr defaultSize="0" print="0" autoFill="0" autoPict="0" macro="[0]!AllList_DongPrice_traking">
                <anchor moveWithCells="1" sizeWithCells="1">
                  <from>
                    <xdr:col>0</xdr:col>
                    <xdr:colOff>161925</xdr:colOff>
                    <xdr:row>0</xdr:row>
                    <xdr:rowOff>28575</xdr:rowOff>
                  </from>
                  <to>
                    <xdr:col>1</xdr:col>
                    <xdr:colOff>1371600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8" tint="0.59999389629810485"/>
  </sheetPr>
  <dimension ref="A1:AL985"/>
  <sheetViews>
    <sheetView zoomScale="85" zoomScaleNormal="85" workbookViewId="0">
      <selection activeCell="N5" sqref="N5"/>
    </sheetView>
  </sheetViews>
  <sheetFormatPr defaultRowHeight="16.5" x14ac:dyDescent="0.3"/>
  <sheetData>
    <row r="1" spans="1:38" x14ac:dyDescent="0.3">
      <c r="A1" t="s">
        <v>84</v>
      </c>
      <c r="B1">
        <v>25518</v>
      </c>
      <c r="C1">
        <v>1</v>
      </c>
      <c r="D1" t="s">
        <v>85</v>
      </c>
      <c r="E1">
        <v>2002.06</v>
      </c>
      <c r="F1">
        <v>19</v>
      </c>
      <c r="G1">
        <v>19.04</v>
      </c>
      <c r="H1">
        <v>62.97</v>
      </c>
      <c r="I1">
        <v>15.29</v>
      </c>
      <c r="J1">
        <v>50.55</v>
      </c>
      <c r="K1">
        <v>1</v>
      </c>
      <c r="T1">
        <v>2</v>
      </c>
      <c r="U1">
        <v>1</v>
      </c>
      <c r="V1" t="s">
        <v>86</v>
      </c>
      <c r="W1">
        <v>62</v>
      </c>
      <c r="X1">
        <v>11</v>
      </c>
      <c r="Y1">
        <v>10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G1" t="s">
        <v>93</v>
      </c>
      <c r="AH1">
        <v>0</v>
      </c>
      <c r="AI1">
        <v>420</v>
      </c>
      <c r="AJ1">
        <v>52</v>
      </c>
      <c r="AK1">
        <v>14</v>
      </c>
      <c r="AL1">
        <v>0.74</v>
      </c>
    </row>
    <row r="2" spans="1:38" x14ac:dyDescent="0.3">
      <c r="A2" t="s">
        <v>84</v>
      </c>
      <c r="B2">
        <v>25518</v>
      </c>
      <c r="C2">
        <v>2</v>
      </c>
      <c r="D2" t="s">
        <v>85</v>
      </c>
      <c r="E2">
        <v>2002.06</v>
      </c>
      <c r="F2">
        <v>19</v>
      </c>
      <c r="G2">
        <v>22.75</v>
      </c>
      <c r="H2">
        <v>75.23</v>
      </c>
      <c r="I2">
        <v>18.260000000000002</v>
      </c>
      <c r="J2">
        <v>60.39</v>
      </c>
      <c r="K2">
        <v>10</v>
      </c>
      <c r="T2">
        <v>3</v>
      </c>
      <c r="U2">
        <v>1</v>
      </c>
      <c r="V2" t="s">
        <v>94</v>
      </c>
      <c r="W2">
        <v>75</v>
      </c>
      <c r="X2">
        <v>11</v>
      </c>
      <c r="Y2">
        <v>10</v>
      </c>
      <c r="Z2" t="s">
        <v>87</v>
      </c>
      <c r="AA2" t="s">
        <v>88</v>
      </c>
      <c r="AB2" t="s">
        <v>89</v>
      </c>
      <c r="AC2" t="s">
        <v>90</v>
      </c>
      <c r="AD2" t="s">
        <v>91</v>
      </c>
      <c r="AE2" t="s">
        <v>92</v>
      </c>
      <c r="AG2" t="s">
        <v>93</v>
      </c>
      <c r="AH2">
        <v>0</v>
      </c>
      <c r="AI2">
        <v>420</v>
      </c>
      <c r="AJ2">
        <v>52</v>
      </c>
      <c r="AK2">
        <v>14</v>
      </c>
      <c r="AL2">
        <v>0.74</v>
      </c>
    </row>
    <row r="3" spans="1:38" x14ac:dyDescent="0.3">
      <c r="A3" t="s">
        <v>84</v>
      </c>
      <c r="B3">
        <v>25518</v>
      </c>
      <c r="C3">
        <v>3</v>
      </c>
      <c r="D3" t="s">
        <v>85</v>
      </c>
      <c r="E3">
        <v>2002.06</v>
      </c>
      <c r="F3">
        <v>19</v>
      </c>
      <c r="G3">
        <v>26.98</v>
      </c>
      <c r="H3">
        <v>89.2</v>
      </c>
      <c r="I3">
        <v>21.66</v>
      </c>
      <c r="J3">
        <v>71.63</v>
      </c>
      <c r="K3">
        <v>1</v>
      </c>
      <c r="T3">
        <v>3</v>
      </c>
      <c r="U3">
        <v>2</v>
      </c>
      <c r="V3" t="s">
        <v>86</v>
      </c>
      <c r="W3">
        <v>89</v>
      </c>
      <c r="X3">
        <v>11</v>
      </c>
      <c r="Y3">
        <v>10</v>
      </c>
      <c r="Z3" t="s">
        <v>87</v>
      </c>
      <c r="AA3" t="s">
        <v>88</v>
      </c>
      <c r="AB3" t="s">
        <v>89</v>
      </c>
      <c r="AC3" t="s">
        <v>90</v>
      </c>
      <c r="AD3" t="s">
        <v>91</v>
      </c>
      <c r="AE3" t="s">
        <v>92</v>
      </c>
      <c r="AG3" t="s">
        <v>93</v>
      </c>
      <c r="AH3">
        <v>0</v>
      </c>
      <c r="AI3">
        <v>420</v>
      </c>
      <c r="AJ3">
        <v>52</v>
      </c>
      <c r="AK3">
        <v>14</v>
      </c>
      <c r="AL3">
        <v>0.74</v>
      </c>
    </row>
    <row r="4" spans="1:38" x14ac:dyDescent="0.3">
      <c r="A4" t="s">
        <v>84</v>
      </c>
      <c r="B4">
        <v>25518</v>
      </c>
      <c r="C4">
        <v>4</v>
      </c>
      <c r="D4" t="s">
        <v>85</v>
      </c>
      <c r="E4">
        <v>2002.06</v>
      </c>
      <c r="F4">
        <v>19</v>
      </c>
      <c r="G4">
        <v>31.32</v>
      </c>
      <c r="H4">
        <v>103.55</v>
      </c>
      <c r="I4">
        <v>25.14</v>
      </c>
      <c r="J4">
        <v>83.13</v>
      </c>
      <c r="K4">
        <v>7</v>
      </c>
      <c r="T4">
        <v>3</v>
      </c>
      <c r="U4">
        <v>2</v>
      </c>
      <c r="V4" t="s">
        <v>94</v>
      </c>
      <c r="W4">
        <v>103</v>
      </c>
      <c r="X4">
        <v>11</v>
      </c>
      <c r="Y4">
        <v>10</v>
      </c>
      <c r="Z4" t="s">
        <v>87</v>
      </c>
      <c r="AA4" t="s">
        <v>88</v>
      </c>
      <c r="AB4" t="s">
        <v>89</v>
      </c>
      <c r="AC4" t="s">
        <v>90</v>
      </c>
      <c r="AD4" t="s">
        <v>91</v>
      </c>
      <c r="AE4" t="s">
        <v>92</v>
      </c>
      <c r="AG4" t="s">
        <v>93</v>
      </c>
      <c r="AH4">
        <v>0</v>
      </c>
      <c r="AI4">
        <v>420</v>
      </c>
      <c r="AJ4">
        <v>52</v>
      </c>
      <c r="AK4">
        <v>14</v>
      </c>
      <c r="AL4">
        <v>0.74</v>
      </c>
    </row>
    <row r="5" spans="1:38" x14ac:dyDescent="0.3">
      <c r="A5" t="s">
        <v>84</v>
      </c>
      <c r="B5">
        <v>153038</v>
      </c>
      <c r="C5">
        <v>1</v>
      </c>
      <c r="D5" t="s">
        <v>95</v>
      </c>
      <c r="E5">
        <v>2022.1</v>
      </c>
      <c r="F5">
        <v>15</v>
      </c>
      <c r="G5">
        <v>21.85</v>
      </c>
      <c r="H5">
        <v>72.260000000000005</v>
      </c>
      <c r="I5">
        <v>17.14</v>
      </c>
      <c r="J5">
        <v>56.69</v>
      </c>
      <c r="K5">
        <v>5</v>
      </c>
      <c r="T5">
        <v>3</v>
      </c>
      <c r="U5">
        <v>2</v>
      </c>
      <c r="V5" t="s">
        <v>94</v>
      </c>
      <c r="W5" t="s">
        <v>96</v>
      </c>
      <c r="X5">
        <v>22</v>
      </c>
      <c r="Y5">
        <v>22</v>
      </c>
      <c r="Z5" t="s">
        <v>97</v>
      </c>
      <c r="AA5" t="s">
        <v>98</v>
      </c>
      <c r="AB5" t="s">
        <v>89</v>
      </c>
      <c r="AC5" t="s">
        <v>90</v>
      </c>
      <c r="AD5" t="s">
        <v>91</v>
      </c>
      <c r="AE5" t="s">
        <v>92</v>
      </c>
      <c r="AG5" t="s">
        <v>99</v>
      </c>
      <c r="AH5">
        <v>0</v>
      </c>
      <c r="AI5">
        <v>798</v>
      </c>
      <c r="AJ5">
        <v>73</v>
      </c>
      <c r="AK5">
        <v>15</v>
      </c>
      <c r="AL5">
        <v>1</v>
      </c>
    </row>
    <row r="6" spans="1:38" x14ac:dyDescent="0.3">
      <c r="A6" t="s">
        <v>84</v>
      </c>
      <c r="B6">
        <v>153038</v>
      </c>
      <c r="C6">
        <v>2</v>
      </c>
      <c r="D6" t="s">
        <v>95</v>
      </c>
      <c r="E6">
        <v>2022.1</v>
      </c>
      <c r="F6">
        <v>15</v>
      </c>
      <c r="G6">
        <v>22.35</v>
      </c>
      <c r="H6">
        <v>73.900000000000006</v>
      </c>
      <c r="I6">
        <v>18.02</v>
      </c>
      <c r="J6">
        <v>59.6</v>
      </c>
      <c r="K6">
        <v>5</v>
      </c>
      <c r="T6">
        <v>3</v>
      </c>
      <c r="U6">
        <v>2</v>
      </c>
      <c r="V6" t="s">
        <v>94</v>
      </c>
      <c r="W6" t="s">
        <v>100</v>
      </c>
      <c r="X6">
        <v>22</v>
      </c>
      <c r="Y6">
        <v>22</v>
      </c>
      <c r="Z6" t="s">
        <v>97</v>
      </c>
      <c r="AA6" t="s">
        <v>98</v>
      </c>
      <c r="AB6" t="s">
        <v>89</v>
      </c>
      <c r="AC6" t="s">
        <v>90</v>
      </c>
      <c r="AD6" t="s">
        <v>91</v>
      </c>
      <c r="AE6" t="s">
        <v>92</v>
      </c>
      <c r="AG6" t="s">
        <v>99</v>
      </c>
      <c r="AH6">
        <v>0</v>
      </c>
      <c r="AI6">
        <v>798</v>
      </c>
      <c r="AJ6">
        <v>73</v>
      </c>
      <c r="AK6">
        <v>15</v>
      </c>
      <c r="AL6">
        <v>1</v>
      </c>
    </row>
    <row r="7" spans="1:38" x14ac:dyDescent="0.3">
      <c r="A7" t="s">
        <v>84</v>
      </c>
      <c r="B7">
        <v>153038</v>
      </c>
      <c r="C7">
        <v>3</v>
      </c>
      <c r="D7" t="s">
        <v>95</v>
      </c>
      <c r="E7">
        <v>2022.1</v>
      </c>
      <c r="F7">
        <v>15</v>
      </c>
      <c r="G7">
        <v>23.46</v>
      </c>
      <c r="H7">
        <v>77.569999999999993</v>
      </c>
      <c r="I7">
        <v>18.47</v>
      </c>
      <c r="J7">
        <v>61.06</v>
      </c>
      <c r="K7">
        <v>5</v>
      </c>
      <c r="T7">
        <v>3</v>
      </c>
      <c r="U7">
        <v>2</v>
      </c>
      <c r="V7" t="s">
        <v>94</v>
      </c>
      <c r="W7" t="s">
        <v>101</v>
      </c>
      <c r="X7">
        <v>22</v>
      </c>
      <c r="Y7">
        <v>22</v>
      </c>
      <c r="Z7" t="s">
        <v>97</v>
      </c>
      <c r="AA7" t="s">
        <v>98</v>
      </c>
      <c r="AB7" t="s">
        <v>89</v>
      </c>
      <c r="AC7" t="s">
        <v>90</v>
      </c>
      <c r="AD7" t="s">
        <v>91</v>
      </c>
      <c r="AE7" t="s">
        <v>92</v>
      </c>
      <c r="AG7" t="s">
        <v>99</v>
      </c>
      <c r="AH7">
        <v>0</v>
      </c>
      <c r="AI7">
        <v>798</v>
      </c>
      <c r="AJ7">
        <v>73</v>
      </c>
      <c r="AK7">
        <v>15</v>
      </c>
      <c r="AL7">
        <v>1</v>
      </c>
    </row>
    <row r="8" spans="1:38" x14ac:dyDescent="0.3">
      <c r="A8" t="s">
        <v>84</v>
      </c>
      <c r="B8">
        <v>123203</v>
      </c>
      <c r="C8">
        <v>1</v>
      </c>
      <c r="D8" t="s">
        <v>102</v>
      </c>
      <c r="E8">
        <v>2018.12</v>
      </c>
      <c r="F8">
        <v>9</v>
      </c>
      <c r="G8">
        <v>15.63</v>
      </c>
      <c r="H8">
        <v>51.69</v>
      </c>
      <c r="I8">
        <v>12.95</v>
      </c>
      <c r="J8">
        <v>42.82</v>
      </c>
      <c r="K8">
        <v>3</v>
      </c>
      <c r="T8">
        <v>2</v>
      </c>
      <c r="U8">
        <v>1</v>
      </c>
      <c r="V8" t="s">
        <v>94</v>
      </c>
      <c r="W8" t="s">
        <v>103</v>
      </c>
      <c r="X8">
        <v>14</v>
      </c>
      <c r="Y8">
        <v>14</v>
      </c>
      <c r="Z8" t="s">
        <v>104</v>
      </c>
      <c r="AA8" t="s">
        <v>105</v>
      </c>
      <c r="AB8" t="s">
        <v>89</v>
      </c>
      <c r="AC8" t="s">
        <v>90</v>
      </c>
      <c r="AD8" t="s">
        <v>91</v>
      </c>
      <c r="AE8" t="s">
        <v>92</v>
      </c>
      <c r="AG8" t="s">
        <v>106</v>
      </c>
      <c r="AH8">
        <v>0</v>
      </c>
      <c r="AI8">
        <v>799</v>
      </c>
      <c r="AJ8">
        <v>67</v>
      </c>
      <c r="AK8">
        <v>9</v>
      </c>
      <c r="AL8">
        <v>1</v>
      </c>
    </row>
    <row r="9" spans="1:38" x14ac:dyDescent="0.3">
      <c r="A9" t="s">
        <v>84</v>
      </c>
      <c r="B9">
        <v>123203</v>
      </c>
      <c r="C9">
        <v>2</v>
      </c>
      <c r="D9" t="s">
        <v>102</v>
      </c>
      <c r="E9">
        <v>2018.12</v>
      </c>
      <c r="F9">
        <v>9</v>
      </c>
      <c r="G9">
        <v>23.68</v>
      </c>
      <c r="H9">
        <v>78.31</v>
      </c>
      <c r="I9">
        <v>19.62</v>
      </c>
      <c r="J9">
        <v>64.87</v>
      </c>
      <c r="K9">
        <v>3</v>
      </c>
      <c r="T9">
        <v>3</v>
      </c>
      <c r="U9">
        <v>2</v>
      </c>
      <c r="V9" t="s">
        <v>94</v>
      </c>
      <c r="W9" t="s">
        <v>107</v>
      </c>
      <c r="X9">
        <v>14</v>
      </c>
      <c r="Y9">
        <v>14</v>
      </c>
      <c r="Z9" t="s">
        <v>104</v>
      </c>
      <c r="AA9" t="s">
        <v>105</v>
      </c>
      <c r="AB9" t="s">
        <v>89</v>
      </c>
      <c r="AC9" t="s">
        <v>90</v>
      </c>
      <c r="AD9" t="s">
        <v>91</v>
      </c>
      <c r="AE9" t="s">
        <v>92</v>
      </c>
      <c r="AG9" t="s">
        <v>106</v>
      </c>
      <c r="AH9">
        <v>0</v>
      </c>
      <c r="AI9">
        <v>799</v>
      </c>
      <c r="AJ9">
        <v>67</v>
      </c>
      <c r="AK9">
        <v>9</v>
      </c>
      <c r="AL9">
        <v>1</v>
      </c>
    </row>
    <row r="10" spans="1:38" x14ac:dyDescent="0.3">
      <c r="A10" t="s">
        <v>84</v>
      </c>
      <c r="B10">
        <v>123203</v>
      </c>
      <c r="C10">
        <v>3</v>
      </c>
      <c r="D10" t="s">
        <v>102</v>
      </c>
      <c r="E10">
        <v>2018.12</v>
      </c>
      <c r="F10">
        <v>9</v>
      </c>
      <c r="G10">
        <v>25.68</v>
      </c>
      <c r="H10">
        <v>84.92</v>
      </c>
      <c r="I10">
        <v>21.27</v>
      </c>
      <c r="J10">
        <v>70.34</v>
      </c>
      <c r="K10">
        <v>3</v>
      </c>
      <c r="T10">
        <v>3</v>
      </c>
      <c r="U10">
        <v>2</v>
      </c>
      <c r="V10" t="s">
        <v>94</v>
      </c>
      <c r="W10" t="s">
        <v>108</v>
      </c>
      <c r="X10">
        <v>14</v>
      </c>
      <c r="Y10">
        <v>14</v>
      </c>
      <c r="Z10" t="s">
        <v>104</v>
      </c>
      <c r="AA10" t="s">
        <v>105</v>
      </c>
      <c r="AB10" t="s">
        <v>89</v>
      </c>
      <c r="AC10" t="s">
        <v>90</v>
      </c>
      <c r="AD10" t="s">
        <v>91</v>
      </c>
      <c r="AE10" t="s">
        <v>92</v>
      </c>
      <c r="AG10" t="s">
        <v>106</v>
      </c>
      <c r="AH10">
        <v>0</v>
      </c>
      <c r="AI10">
        <v>799</v>
      </c>
      <c r="AJ10">
        <v>67</v>
      </c>
      <c r="AK10">
        <v>9</v>
      </c>
      <c r="AL10">
        <v>1</v>
      </c>
    </row>
    <row r="11" spans="1:38" x14ac:dyDescent="0.3">
      <c r="A11" t="s">
        <v>84</v>
      </c>
      <c r="B11">
        <v>102312</v>
      </c>
      <c r="C11">
        <v>1</v>
      </c>
      <c r="D11" t="s">
        <v>109</v>
      </c>
      <c r="E11">
        <v>2012.04</v>
      </c>
      <c r="F11">
        <v>1042</v>
      </c>
      <c r="G11">
        <v>29.44</v>
      </c>
      <c r="H11">
        <v>97.33</v>
      </c>
      <c r="I11">
        <v>22.48</v>
      </c>
      <c r="J11">
        <v>74.34</v>
      </c>
      <c r="K11">
        <v>90</v>
      </c>
      <c r="T11">
        <v>3</v>
      </c>
      <c r="U11">
        <v>2</v>
      </c>
      <c r="V11" t="s">
        <v>94</v>
      </c>
      <c r="W11" t="s">
        <v>110</v>
      </c>
      <c r="X11">
        <v>22</v>
      </c>
      <c r="Y11">
        <v>9</v>
      </c>
      <c r="Z11" t="s">
        <v>111</v>
      </c>
      <c r="AA11" t="s">
        <v>112</v>
      </c>
      <c r="AB11" t="s">
        <v>89</v>
      </c>
      <c r="AC11" t="s">
        <v>90</v>
      </c>
      <c r="AD11" t="s">
        <v>91</v>
      </c>
      <c r="AE11" t="s">
        <v>92</v>
      </c>
      <c r="AG11" t="s">
        <v>113</v>
      </c>
      <c r="AH11">
        <v>0</v>
      </c>
      <c r="AI11">
        <v>189</v>
      </c>
      <c r="AJ11">
        <v>21</v>
      </c>
      <c r="AK11">
        <v>1173</v>
      </c>
      <c r="AL11">
        <v>1.1299999999999999</v>
      </c>
    </row>
    <row r="12" spans="1:38" x14ac:dyDescent="0.3">
      <c r="A12" t="s">
        <v>84</v>
      </c>
      <c r="B12">
        <v>102312</v>
      </c>
      <c r="C12">
        <v>2</v>
      </c>
      <c r="D12" t="s">
        <v>109</v>
      </c>
      <c r="E12">
        <v>2012.04</v>
      </c>
      <c r="F12">
        <v>1042</v>
      </c>
      <c r="G12">
        <v>29.68</v>
      </c>
      <c r="H12">
        <v>98.14</v>
      </c>
      <c r="I12">
        <v>22.67</v>
      </c>
      <c r="J12">
        <v>74.959999999999994</v>
      </c>
      <c r="K12">
        <v>75</v>
      </c>
      <c r="T12">
        <v>3</v>
      </c>
      <c r="U12">
        <v>2</v>
      </c>
      <c r="V12" t="s">
        <v>94</v>
      </c>
      <c r="W12" t="s">
        <v>114</v>
      </c>
      <c r="X12">
        <v>22</v>
      </c>
      <c r="Y12">
        <v>9</v>
      </c>
      <c r="Z12" t="s">
        <v>111</v>
      </c>
      <c r="AA12" t="s">
        <v>112</v>
      </c>
      <c r="AB12" t="s">
        <v>89</v>
      </c>
      <c r="AC12" t="s">
        <v>90</v>
      </c>
      <c r="AD12" t="s">
        <v>91</v>
      </c>
      <c r="AE12" t="s">
        <v>92</v>
      </c>
      <c r="AG12" t="s">
        <v>113</v>
      </c>
      <c r="AH12">
        <v>0</v>
      </c>
      <c r="AI12">
        <v>189</v>
      </c>
      <c r="AJ12">
        <v>21</v>
      </c>
      <c r="AK12">
        <v>1173</v>
      </c>
      <c r="AL12">
        <v>1.1299999999999999</v>
      </c>
    </row>
    <row r="13" spans="1:38" x14ac:dyDescent="0.3">
      <c r="A13" t="s">
        <v>84</v>
      </c>
      <c r="B13">
        <v>102312</v>
      </c>
      <c r="C13">
        <v>3</v>
      </c>
      <c r="D13" t="s">
        <v>109</v>
      </c>
      <c r="E13">
        <v>2012.04</v>
      </c>
      <c r="F13">
        <v>1042</v>
      </c>
      <c r="G13">
        <v>29.66</v>
      </c>
      <c r="H13">
        <v>98.08</v>
      </c>
      <c r="I13">
        <v>22.66</v>
      </c>
      <c r="J13">
        <v>74.92</v>
      </c>
      <c r="K13">
        <v>45</v>
      </c>
      <c r="T13">
        <v>3</v>
      </c>
      <c r="U13">
        <v>2</v>
      </c>
      <c r="V13" t="s">
        <v>94</v>
      </c>
      <c r="W13" t="s">
        <v>115</v>
      </c>
      <c r="X13">
        <v>22</v>
      </c>
      <c r="Y13">
        <v>9</v>
      </c>
      <c r="Z13" t="s">
        <v>111</v>
      </c>
      <c r="AA13" t="s">
        <v>112</v>
      </c>
      <c r="AB13" t="s">
        <v>89</v>
      </c>
      <c r="AC13" t="s">
        <v>90</v>
      </c>
      <c r="AD13" t="s">
        <v>91</v>
      </c>
      <c r="AE13" t="s">
        <v>92</v>
      </c>
      <c r="AG13" t="s">
        <v>113</v>
      </c>
      <c r="AH13">
        <v>0</v>
      </c>
      <c r="AI13">
        <v>189</v>
      </c>
      <c r="AJ13">
        <v>21</v>
      </c>
      <c r="AK13">
        <v>1173</v>
      </c>
      <c r="AL13">
        <v>1.1299999999999999</v>
      </c>
    </row>
    <row r="14" spans="1:38" x14ac:dyDescent="0.3">
      <c r="A14" t="s">
        <v>84</v>
      </c>
      <c r="B14">
        <v>102312</v>
      </c>
      <c r="C14">
        <v>4</v>
      </c>
      <c r="D14" t="s">
        <v>109</v>
      </c>
      <c r="E14">
        <v>2012.04</v>
      </c>
      <c r="F14">
        <v>1042</v>
      </c>
      <c r="G14">
        <v>29.68</v>
      </c>
      <c r="H14">
        <v>98.14</v>
      </c>
      <c r="I14">
        <v>22.67</v>
      </c>
      <c r="J14">
        <v>74.959999999999994</v>
      </c>
      <c r="K14">
        <v>15</v>
      </c>
      <c r="T14">
        <v>3</v>
      </c>
      <c r="U14">
        <v>2</v>
      </c>
      <c r="V14" t="s">
        <v>94</v>
      </c>
      <c r="W14" t="s">
        <v>116</v>
      </c>
      <c r="X14">
        <v>22</v>
      </c>
      <c r="Y14">
        <v>9</v>
      </c>
      <c r="Z14" t="s">
        <v>111</v>
      </c>
      <c r="AA14" t="s">
        <v>112</v>
      </c>
      <c r="AB14" t="s">
        <v>89</v>
      </c>
      <c r="AC14" t="s">
        <v>90</v>
      </c>
      <c r="AD14" t="s">
        <v>91</v>
      </c>
      <c r="AE14" t="s">
        <v>92</v>
      </c>
      <c r="AG14" t="s">
        <v>113</v>
      </c>
      <c r="AH14">
        <v>0</v>
      </c>
      <c r="AI14">
        <v>189</v>
      </c>
      <c r="AJ14">
        <v>21</v>
      </c>
      <c r="AK14">
        <v>1173</v>
      </c>
      <c r="AL14">
        <v>1.1299999999999999</v>
      </c>
    </row>
    <row r="15" spans="1:38" x14ac:dyDescent="0.3">
      <c r="A15" t="s">
        <v>84</v>
      </c>
      <c r="B15">
        <v>102312</v>
      </c>
      <c r="C15">
        <v>5</v>
      </c>
      <c r="D15" t="s">
        <v>109</v>
      </c>
      <c r="E15">
        <v>2012.04</v>
      </c>
      <c r="F15">
        <v>1042</v>
      </c>
      <c r="G15">
        <v>33.520000000000003</v>
      </c>
      <c r="H15">
        <v>110.81</v>
      </c>
      <c r="I15">
        <v>25.6</v>
      </c>
      <c r="J15">
        <v>84.64</v>
      </c>
      <c r="K15">
        <v>37</v>
      </c>
      <c r="T15">
        <v>3</v>
      </c>
      <c r="U15">
        <v>2</v>
      </c>
      <c r="V15" t="s">
        <v>94</v>
      </c>
      <c r="W15" t="s">
        <v>117</v>
      </c>
      <c r="X15">
        <v>22</v>
      </c>
      <c r="Y15">
        <v>9</v>
      </c>
      <c r="Z15" t="s">
        <v>111</v>
      </c>
      <c r="AA15" t="s">
        <v>112</v>
      </c>
      <c r="AB15" t="s">
        <v>89</v>
      </c>
      <c r="AC15" t="s">
        <v>90</v>
      </c>
      <c r="AD15" t="s">
        <v>91</v>
      </c>
      <c r="AE15" t="s">
        <v>92</v>
      </c>
      <c r="AG15" t="s">
        <v>113</v>
      </c>
      <c r="AH15">
        <v>0</v>
      </c>
      <c r="AI15">
        <v>189</v>
      </c>
      <c r="AJ15">
        <v>21</v>
      </c>
      <c r="AK15">
        <v>1173</v>
      </c>
      <c r="AL15">
        <v>1.1299999999999999</v>
      </c>
    </row>
    <row r="16" spans="1:38" x14ac:dyDescent="0.3">
      <c r="A16" t="s">
        <v>84</v>
      </c>
      <c r="B16">
        <v>102312</v>
      </c>
      <c r="C16">
        <v>6</v>
      </c>
      <c r="D16" t="s">
        <v>109</v>
      </c>
      <c r="E16">
        <v>2012.04</v>
      </c>
      <c r="F16">
        <v>1042</v>
      </c>
      <c r="G16">
        <v>33.65</v>
      </c>
      <c r="H16">
        <v>111.24</v>
      </c>
      <c r="I16">
        <v>25.7</v>
      </c>
      <c r="J16">
        <v>84.97</v>
      </c>
      <c r="K16">
        <v>198</v>
      </c>
      <c r="T16">
        <v>3</v>
      </c>
      <c r="U16">
        <v>2</v>
      </c>
      <c r="V16" t="s">
        <v>94</v>
      </c>
      <c r="W16" t="s">
        <v>118</v>
      </c>
      <c r="X16">
        <v>22</v>
      </c>
      <c r="Y16">
        <v>9</v>
      </c>
      <c r="Z16" t="s">
        <v>111</v>
      </c>
      <c r="AA16" t="s">
        <v>112</v>
      </c>
      <c r="AB16" t="s">
        <v>89</v>
      </c>
      <c r="AC16" t="s">
        <v>90</v>
      </c>
      <c r="AD16" t="s">
        <v>91</v>
      </c>
      <c r="AE16" t="s">
        <v>92</v>
      </c>
      <c r="AG16" t="s">
        <v>113</v>
      </c>
      <c r="AH16">
        <v>0</v>
      </c>
      <c r="AI16">
        <v>189</v>
      </c>
      <c r="AJ16">
        <v>21</v>
      </c>
      <c r="AK16">
        <v>1173</v>
      </c>
      <c r="AL16">
        <v>1.1299999999999999</v>
      </c>
    </row>
    <row r="17" spans="1:38" x14ac:dyDescent="0.3">
      <c r="A17" t="s">
        <v>84</v>
      </c>
      <c r="B17">
        <v>102312</v>
      </c>
      <c r="C17">
        <v>7</v>
      </c>
      <c r="D17" t="s">
        <v>109</v>
      </c>
      <c r="E17">
        <v>2012.04</v>
      </c>
      <c r="F17">
        <v>1042</v>
      </c>
      <c r="G17">
        <v>33.65</v>
      </c>
      <c r="H17">
        <v>111.24</v>
      </c>
      <c r="I17">
        <v>25.7</v>
      </c>
      <c r="J17">
        <v>84.97</v>
      </c>
      <c r="K17">
        <v>162</v>
      </c>
      <c r="T17">
        <v>3</v>
      </c>
      <c r="U17">
        <v>2</v>
      </c>
      <c r="V17" t="s">
        <v>94</v>
      </c>
      <c r="W17" t="s">
        <v>119</v>
      </c>
      <c r="X17">
        <v>22</v>
      </c>
      <c r="Y17">
        <v>9</v>
      </c>
      <c r="Z17" t="s">
        <v>111</v>
      </c>
      <c r="AA17" t="s">
        <v>112</v>
      </c>
      <c r="AB17" t="s">
        <v>89</v>
      </c>
      <c r="AC17" t="s">
        <v>90</v>
      </c>
      <c r="AD17" t="s">
        <v>91</v>
      </c>
      <c r="AE17" t="s">
        <v>92</v>
      </c>
      <c r="AG17" t="s">
        <v>113</v>
      </c>
      <c r="AH17">
        <v>0</v>
      </c>
      <c r="AI17">
        <v>189</v>
      </c>
      <c r="AJ17">
        <v>21</v>
      </c>
      <c r="AK17">
        <v>1173</v>
      </c>
      <c r="AL17">
        <v>1.1299999999999999</v>
      </c>
    </row>
    <row r="18" spans="1:38" x14ac:dyDescent="0.3">
      <c r="A18" t="s">
        <v>84</v>
      </c>
      <c r="B18">
        <v>102312</v>
      </c>
      <c r="C18">
        <v>8</v>
      </c>
      <c r="D18" t="s">
        <v>109</v>
      </c>
      <c r="E18">
        <v>2012.04</v>
      </c>
      <c r="F18">
        <v>1042</v>
      </c>
      <c r="G18">
        <v>33.64</v>
      </c>
      <c r="H18">
        <v>111.23</v>
      </c>
      <c r="I18">
        <v>25.7</v>
      </c>
      <c r="J18">
        <v>84.96</v>
      </c>
      <c r="K18">
        <v>106</v>
      </c>
      <c r="T18">
        <v>3</v>
      </c>
      <c r="U18">
        <v>2</v>
      </c>
      <c r="V18" t="s">
        <v>94</v>
      </c>
      <c r="W18" t="s">
        <v>120</v>
      </c>
      <c r="X18">
        <v>22</v>
      </c>
      <c r="Y18">
        <v>9</v>
      </c>
      <c r="Z18" t="s">
        <v>111</v>
      </c>
      <c r="AA18" t="s">
        <v>112</v>
      </c>
      <c r="AB18" t="s">
        <v>89</v>
      </c>
      <c r="AC18" t="s">
        <v>90</v>
      </c>
      <c r="AD18" t="s">
        <v>91</v>
      </c>
      <c r="AE18" t="s">
        <v>92</v>
      </c>
      <c r="AG18" t="s">
        <v>113</v>
      </c>
      <c r="AH18">
        <v>0</v>
      </c>
      <c r="AI18">
        <v>189</v>
      </c>
      <c r="AJ18">
        <v>21</v>
      </c>
      <c r="AK18">
        <v>1173</v>
      </c>
      <c r="AL18">
        <v>1.1299999999999999</v>
      </c>
    </row>
    <row r="19" spans="1:38" x14ac:dyDescent="0.3">
      <c r="A19" t="s">
        <v>84</v>
      </c>
      <c r="B19">
        <v>102312</v>
      </c>
      <c r="C19">
        <v>9</v>
      </c>
      <c r="D19" t="s">
        <v>109</v>
      </c>
      <c r="E19">
        <v>2012.04</v>
      </c>
      <c r="F19">
        <v>1042</v>
      </c>
      <c r="G19">
        <v>33.65</v>
      </c>
      <c r="H19">
        <v>111.26</v>
      </c>
      <c r="I19">
        <v>25.7</v>
      </c>
      <c r="J19">
        <v>84.98</v>
      </c>
      <c r="K19">
        <v>88</v>
      </c>
      <c r="T19">
        <v>3</v>
      </c>
      <c r="U19">
        <v>2</v>
      </c>
      <c r="V19" t="s">
        <v>94</v>
      </c>
      <c r="W19" t="s">
        <v>121</v>
      </c>
      <c r="X19">
        <v>22</v>
      </c>
      <c r="Y19">
        <v>9</v>
      </c>
      <c r="Z19" t="s">
        <v>111</v>
      </c>
      <c r="AA19" t="s">
        <v>112</v>
      </c>
      <c r="AB19" t="s">
        <v>89</v>
      </c>
      <c r="AC19" t="s">
        <v>90</v>
      </c>
      <c r="AD19" t="s">
        <v>91</v>
      </c>
      <c r="AE19" t="s">
        <v>92</v>
      </c>
      <c r="AG19" t="s">
        <v>113</v>
      </c>
      <c r="AH19">
        <v>0</v>
      </c>
      <c r="AI19">
        <v>189</v>
      </c>
      <c r="AJ19">
        <v>21</v>
      </c>
      <c r="AK19">
        <v>1173</v>
      </c>
      <c r="AL19">
        <v>1.1299999999999999</v>
      </c>
    </row>
    <row r="20" spans="1:38" x14ac:dyDescent="0.3">
      <c r="A20" t="s">
        <v>84</v>
      </c>
      <c r="B20">
        <v>102312</v>
      </c>
      <c r="C20">
        <v>10</v>
      </c>
      <c r="D20" t="s">
        <v>109</v>
      </c>
      <c r="E20">
        <v>2012.04</v>
      </c>
      <c r="F20">
        <v>1042</v>
      </c>
      <c r="G20">
        <v>33.64</v>
      </c>
      <c r="H20">
        <v>111.22</v>
      </c>
      <c r="I20">
        <v>25.69</v>
      </c>
      <c r="J20">
        <v>84.95</v>
      </c>
      <c r="K20">
        <v>88</v>
      </c>
      <c r="T20">
        <v>3</v>
      </c>
      <c r="U20">
        <v>2</v>
      </c>
      <c r="V20" t="s">
        <v>94</v>
      </c>
      <c r="W20" t="s">
        <v>122</v>
      </c>
      <c r="X20">
        <v>22</v>
      </c>
      <c r="Y20">
        <v>9</v>
      </c>
      <c r="Z20" t="s">
        <v>111</v>
      </c>
      <c r="AA20" t="s">
        <v>112</v>
      </c>
      <c r="AB20" t="s">
        <v>89</v>
      </c>
      <c r="AC20" t="s">
        <v>90</v>
      </c>
      <c r="AD20" t="s">
        <v>91</v>
      </c>
      <c r="AE20" t="s">
        <v>92</v>
      </c>
      <c r="AG20" t="s">
        <v>113</v>
      </c>
      <c r="AH20">
        <v>0</v>
      </c>
      <c r="AI20">
        <v>189</v>
      </c>
      <c r="AJ20">
        <v>21</v>
      </c>
      <c r="AK20">
        <v>1173</v>
      </c>
      <c r="AL20">
        <v>1.1299999999999999</v>
      </c>
    </row>
    <row r="21" spans="1:38" x14ac:dyDescent="0.3">
      <c r="A21" t="s">
        <v>84</v>
      </c>
      <c r="B21">
        <v>102312</v>
      </c>
      <c r="C21">
        <v>11</v>
      </c>
      <c r="D21" t="s">
        <v>109</v>
      </c>
      <c r="E21">
        <v>2012.04</v>
      </c>
      <c r="F21">
        <v>1042</v>
      </c>
      <c r="G21">
        <v>33.61</v>
      </c>
      <c r="H21">
        <v>111.14</v>
      </c>
      <c r="I21">
        <v>25.67</v>
      </c>
      <c r="J21">
        <v>84.89</v>
      </c>
      <c r="K21">
        <v>72</v>
      </c>
      <c r="T21">
        <v>3</v>
      </c>
      <c r="U21">
        <v>2</v>
      </c>
      <c r="V21" t="s">
        <v>94</v>
      </c>
      <c r="W21" t="s">
        <v>123</v>
      </c>
      <c r="X21">
        <v>22</v>
      </c>
      <c r="Y21">
        <v>9</v>
      </c>
      <c r="Z21" t="s">
        <v>111</v>
      </c>
      <c r="AA21" t="s">
        <v>112</v>
      </c>
      <c r="AB21" t="s">
        <v>89</v>
      </c>
      <c r="AC21" t="s">
        <v>90</v>
      </c>
      <c r="AD21" t="s">
        <v>91</v>
      </c>
      <c r="AE21" t="s">
        <v>92</v>
      </c>
      <c r="AG21" t="s">
        <v>113</v>
      </c>
      <c r="AH21">
        <v>0</v>
      </c>
      <c r="AI21">
        <v>189</v>
      </c>
      <c r="AJ21">
        <v>21</v>
      </c>
      <c r="AK21">
        <v>1173</v>
      </c>
      <c r="AL21">
        <v>1.1299999999999999</v>
      </c>
    </row>
    <row r="22" spans="1:38" x14ac:dyDescent="0.3">
      <c r="A22" t="s">
        <v>84</v>
      </c>
      <c r="B22">
        <v>102312</v>
      </c>
      <c r="C22">
        <v>12</v>
      </c>
      <c r="D22" t="s">
        <v>109</v>
      </c>
      <c r="E22">
        <v>2012.04</v>
      </c>
      <c r="F22">
        <v>1042</v>
      </c>
      <c r="G22">
        <v>33.630000000000003</v>
      </c>
      <c r="H22">
        <v>111.2</v>
      </c>
      <c r="I22">
        <v>25.69</v>
      </c>
      <c r="J22">
        <v>84.94</v>
      </c>
      <c r="K22">
        <v>36</v>
      </c>
      <c r="T22">
        <v>3</v>
      </c>
      <c r="U22">
        <v>2</v>
      </c>
      <c r="V22" t="s">
        <v>94</v>
      </c>
      <c r="W22" t="s">
        <v>124</v>
      </c>
      <c r="X22">
        <v>22</v>
      </c>
      <c r="Y22">
        <v>9</v>
      </c>
      <c r="Z22" t="s">
        <v>111</v>
      </c>
      <c r="AA22" t="s">
        <v>112</v>
      </c>
      <c r="AB22" t="s">
        <v>89</v>
      </c>
      <c r="AC22" t="s">
        <v>90</v>
      </c>
      <c r="AD22" t="s">
        <v>91</v>
      </c>
      <c r="AE22" t="s">
        <v>92</v>
      </c>
      <c r="AG22" t="s">
        <v>113</v>
      </c>
      <c r="AH22">
        <v>0</v>
      </c>
      <c r="AI22">
        <v>189</v>
      </c>
      <c r="AJ22">
        <v>21</v>
      </c>
      <c r="AK22">
        <v>1173</v>
      </c>
      <c r="AL22">
        <v>1.1299999999999999</v>
      </c>
    </row>
    <row r="23" spans="1:38" x14ac:dyDescent="0.3">
      <c r="A23" t="s">
        <v>84</v>
      </c>
      <c r="B23">
        <v>102312</v>
      </c>
      <c r="C23">
        <v>13</v>
      </c>
      <c r="D23" t="s">
        <v>109</v>
      </c>
      <c r="E23">
        <v>2012.04</v>
      </c>
      <c r="F23">
        <v>1042</v>
      </c>
      <c r="G23">
        <v>33.64</v>
      </c>
      <c r="H23">
        <v>111.23</v>
      </c>
      <c r="I23">
        <v>25.7</v>
      </c>
      <c r="J23">
        <v>84.96</v>
      </c>
      <c r="K23">
        <v>15</v>
      </c>
      <c r="T23">
        <v>3</v>
      </c>
      <c r="U23">
        <v>2</v>
      </c>
      <c r="V23" t="s">
        <v>94</v>
      </c>
      <c r="W23" t="s">
        <v>125</v>
      </c>
      <c r="X23">
        <v>22</v>
      </c>
      <c r="Y23">
        <v>9</v>
      </c>
      <c r="Z23" t="s">
        <v>111</v>
      </c>
      <c r="AA23" t="s">
        <v>112</v>
      </c>
      <c r="AB23" t="s">
        <v>89</v>
      </c>
      <c r="AC23" t="s">
        <v>90</v>
      </c>
      <c r="AD23" t="s">
        <v>91</v>
      </c>
      <c r="AE23" t="s">
        <v>92</v>
      </c>
      <c r="AG23" t="s">
        <v>113</v>
      </c>
      <c r="AH23">
        <v>0</v>
      </c>
      <c r="AI23">
        <v>189</v>
      </c>
      <c r="AJ23">
        <v>21</v>
      </c>
      <c r="AK23">
        <v>1173</v>
      </c>
      <c r="AL23">
        <v>1.1299999999999999</v>
      </c>
    </row>
    <row r="24" spans="1:38" x14ac:dyDescent="0.3">
      <c r="A24" t="s">
        <v>84</v>
      </c>
      <c r="B24">
        <v>102312</v>
      </c>
      <c r="C24">
        <v>14</v>
      </c>
      <c r="D24" t="s">
        <v>109</v>
      </c>
      <c r="E24">
        <v>2012.04</v>
      </c>
      <c r="F24">
        <v>1042</v>
      </c>
      <c r="G24">
        <v>33.61</v>
      </c>
      <c r="H24">
        <v>111.14</v>
      </c>
      <c r="I24">
        <v>25.67</v>
      </c>
      <c r="J24">
        <v>84.89</v>
      </c>
      <c r="K24">
        <v>15</v>
      </c>
      <c r="T24">
        <v>3</v>
      </c>
      <c r="U24">
        <v>2</v>
      </c>
      <c r="V24" t="s">
        <v>94</v>
      </c>
      <c r="W24" t="s">
        <v>126</v>
      </c>
      <c r="X24">
        <v>22</v>
      </c>
      <c r="Y24">
        <v>9</v>
      </c>
      <c r="Z24" t="s">
        <v>111</v>
      </c>
      <c r="AA24" t="s">
        <v>112</v>
      </c>
      <c r="AB24" t="s">
        <v>89</v>
      </c>
      <c r="AC24" t="s">
        <v>90</v>
      </c>
      <c r="AD24" t="s">
        <v>91</v>
      </c>
      <c r="AE24" t="s">
        <v>92</v>
      </c>
      <c r="AG24" t="s">
        <v>113</v>
      </c>
      <c r="AH24">
        <v>0</v>
      </c>
      <c r="AI24">
        <v>189</v>
      </c>
      <c r="AJ24">
        <v>21</v>
      </c>
      <c r="AK24">
        <v>1173</v>
      </c>
      <c r="AL24">
        <v>1.1299999999999999</v>
      </c>
    </row>
    <row r="25" spans="1:38" x14ac:dyDescent="0.3">
      <c r="A25" t="s">
        <v>84</v>
      </c>
      <c r="B25">
        <v>1460</v>
      </c>
      <c r="C25">
        <v>1</v>
      </c>
      <c r="D25" t="s">
        <v>127</v>
      </c>
      <c r="E25">
        <v>1993.06</v>
      </c>
      <c r="F25">
        <v>766</v>
      </c>
      <c r="G25">
        <v>20.32</v>
      </c>
      <c r="H25">
        <v>67.180000000000007</v>
      </c>
      <c r="I25">
        <v>15.06</v>
      </c>
      <c r="J25">
        <v>49.8</v>
      </c>
      <c r="K25">
        <v>766</v>
      </c>
      <c r="T25">
        <v>3</v>
      </c>
      <c r="U25">
        <v>1</v>
      </c>
      <c r="V25" t="s">
        <v>128</v>
      </c>
      <c r="W25">
        <v>67</v>
      </c>
      <c r="X25">
        <v>20</v>
      </c>
      <c r="Y25">
        <v>14</v>
      </c>
      <c r="Z25" t="s">
        <v>129</v>
      </c>
      <c r="AA25" t="s">
        <v>130</v>
      </c>
      <c r="AB25" t="s">
        <v>89</v>
      </c>
      <c r="AC25" t="s">
        <v>90</v>
      </c>
      <c r="AD25" t="s">
        <v>91</v>
      </c>
      <c r="AE25" t="s">
        <v>92</v>
      </c>
      <c r="AG25" t="s">
        <v>131</v>
      </c>
      <c r="AH25">
        <v>0</v>
      </c>
      <c r="AI25">
        <v>214</v>
      </c>
      <c r="AJ25">
        <v>28</v>
      </c>
      <c r="AK25">
        <v>349</v>
      </c>
      <c r="AL25">
        <v>0.46</v>
      </c>
    </row>
    <row r="26" spans="1:38" x14ac:dyDescent="0.3">
      <c r="A26" t="s">
        <v>84</v>
      </c>
      <c r="B26">
        <v>23128</v>
      </c>
      <c r="C26">
        <v>1</v>
      </c>
      <c r="D26" t="s">
        <v>132</v>
      </c>
      <c r="E26">
        <v>1979.11</v>
      </c>
      <c r="F26">
        <v>48</v>
      </c>
      <c r="G26">
        <v>21.12</v>
      </c>
      <c r="H26">
        <v>69.819999999999993</v>
      </c>
      <c r="I26">
        <v>18.8</v>
      </c>
      <c r="J26">
        <v>62.15</v>
      </c>
      <c r="K26">
        <v>3</v>
      </c>
      <c r="T26">
        <v>3</v>
      </c>
      <c r="U26">
        <v>2</v>
      </c>
      <c r="V26" t="s">
        <v>86</v>
      </c>
      <c r="W26">
        <v>69</v>
      </c>
      <c r="X26">
        <v>3</v>
      </c>
      <c r="Y26">
        <v>3</v>
      </c>
      <c r="Z26" t="s">
        <v>133</v>
      </c>
      <c r="AA26" t="s">
        <v>134</v>
      </c>
      <c r="AB26" t="s">
        <v>89</v>
      </c>
      <c r="AC26" t="s">
        <v>90</v>
      </c>
      <c r="AD26" t="s">
        <v>91</v>
      </c>
      <c r="AE26" t="s">
        <v>92</v>
      </c>
      <c r="AG26" t="s">
        <v>135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84</v>
      </c>
      <c r="B27">
        <v>23128</v>
      </c>
      <c r="C27">
        <v>2</v>
      </c>
      <c r="D27" t="s">
        <v>132</v>
      </c>
      <c r="E27">
        <v>1979.11</v>
      </c>
      <c r="F27">
        <v>48</v>
      </c>
      <c r="G27">
        <v>21.94</v>
      </c>
      <c r="H27">
        <v>72.56</v>
      </c>
      <c r="I27">
        <v>19.62</v>
      </c>
      <c r="J27">
        <v>64.89</v>
      </c>
      <c r="K27">
        <v>9</v>
      </c>
      <c r="T27">
        <v>3</v>
      </c>
      <c r="U27">
        <v>2</v>
      </c>
      <c r="V27" t="s">
        <v>94</v>
      </c>
      <c r="W27" t="s">
        <v>96</v>
      </c>
      <c r="X27">
        <v>3</v>
      </c>
      <c r="Y27">
        <v>3</v>
      </c>
      <c r="Z27" t="s">
        <v>133</v>
      </c>
      <c r="AA27" t="s">
        <v>134</v>
      </c>
      <c r="AB27" t="s">
        <v>89</v>
      </c>
      <c r="AC27" t="s">
        <v>90</v>
      </c>
      <c r="AD27" t="s">
        <v>91</v>
      </c>
      <c r="AE27" t="s">
        <v>92</v>
      </c>
      <c r="AG27" t="s">
        <v>135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84</v>
      </c>
      <c r="B28">
        <v>23128</v>
      </c>
      <c r="C28">
        <v>3</v>
      </c>
      <c r="D28" t="s">
        <v>132</v>
      </c>
      <c r="E28">
        <v>1979.11</v>
      </c>
      <c r="F28">
        <v>48</v>
      </c>
      <c r="G28">
        <v>22.46</v>
      </c>
      <c r="H28">
        <v>74.28</v>
      </c>
      <c r="I28">
        <v>20.11</v>
      </c>
      <c r="J28">
        <v>66.510000000000005</v>
      </c>
      <c r="K28">
        <v>3</v>
      </c>
      <c r="T28">
        <v>3</v>
      </c>
      <c r="U28">
        <v>2</v>
      </c>
      <c r="V28" t="s">
        <v>94</v>
      </c>
      <c r="W28" t="s">
        <v>136</v>
      </c>
      <c r="X28">
        <v>3</v>
      </c>
      <c r="Y28">
        <v>3</v>
      </c>
      <c r="Z28" t="s">
        <v>133</v>
      </c>
      <c r="AA28" t="s">
        <v>134</v>
      </c>
      <c r="AB28" t="s">
        <v>89</v>
      </c>
      <c r="AC28" t="s">
        <v>90</v>
      </c>
      <c r="AD28" t="s">
        <v>91</v>
      </c>
      <c r="AE28" t="s">
        <v>92</v>
      </c>
      <c r="AG28" t="s">
        <v>135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84</v>
      </c>
      <c r="B29">
        <v>23128</v>
      </c>
      <c r="C29">
        <v>4</v>
      </c>
      <c r="D29" t="s">
        <v>132</v>
      </c>
      <c r="E29">
        <v>1979.11</v>
      </c>
      <c r="F29">
        <v>48</v>
      </c>
      <c r="G29">
        <v>22.76</v>
      </c>
      <c r="H29">
        <v>75.27</v>
      </c>
      <c r="I29">
        <v>20.41</v>
      </c>
      <c r="J29">
        <v>67.5</v>
      </c>
      <c r="K29">
        <v>9</v>
      </c>
      <c r="T29">
        <v>3</v>
      </c>
      <c r="U29">
        <v>2</v>
      </c>
      <c r="V29" t="s">
        <v>94</v>
      </c>
      <c r="W29" t="s">
        <v>137</v>
      </c>
      <c r="X29">
        <v>3</v>
      </c>
      <c r="Y29">
        <v>3</v>
      </c>
      <c r="Z29" t="s">
        <v>133</v>
      </c>
      <c r="AA29" t="s">
        <v>134</v>
      </c>
      <c r="AB29" t="s">
        <v>89</v>
      </c>
      <c r="AC29" t="s">
        <v>90</v>
      </c>
      <c r="AD29" t="s">
        <v>91</v>
      </c>
      <c r="AE29" t="s">
        <v>92</v>
      </c>
      <c r="AG29" t="s">
        <v>135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84</v>
      </c>
      <c r="B30">
        <v>23128</v>
      </c>
      <c r="C30">
        <v>5</v>
      </c>
      <c r="D30" t="s">
        <v>132</v>
      </c>
      <c r="E30">
        <v>1979.11</v>
      </c>
      <c r="F30">
        <v>48</v>
      </c>
      <c r="G30">
        <v>23.38</v>
      </c>
      <c r="H30">
        <v>77.319999999999993</v>
      </c>
      <c r="I30">
        <v>20.47</v>
      </c>
      <c r="J30">
        <v>67.67</v>
      </c>
      <c r="K30">
        <v>12</v>
      </c>
      <c r="T30">
        <v>3</v>
      </c>
      <c r="U30">
        <v>2</v>
      </c>
      <c r="V30" t="s">
        <v>94</v>
      </c>
      <c r="W30" t="s">
        <v>101</v>
      </c>
      <c r="X30">
        <v>3</v>
      </c>
      <c r="Y30">
        <v>3</v>
      </c>
      <c r="Z30" t="s">
        <v>133</v>
      </c>
      <c r="AA30" t="s">
        <v>134</v>
      </c>
      <c r="AB30" t="s">
        <v>89</v>
      </c>
      <c r="AC30" t="s">
        <v>90</v>
      </c>
      <c r="AD30" t="s">
        <v>91</v>
      </c>
      <c r="AE30" t="s">
        <v>92</v>
      </c>
      <c r="AG30" t="s">
        <v>135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84</v>
      </c>
      <c r="B31">
        <v>23128</v>
      </c>
      <c r="C31">
        <v>6</v>
      </c>
      <c r="D31" t="s">
        <v>132</v>
      </c>
      <c r="E31">
        <v>1979.11</v>
      </c>
      <c r="F31">
        <v>48</v>
      </c>
      <c r="G31">
        <v>24.59</v>
      </c>
      <c r="H31">
        <v>81.290000000000006</v>
      </c>
      <c r="I31">
        <v>22.82</v>
      </c>
      <c r="J31">
        <v>75.44</v>
      </c>
      <c r="K31">
        <v>3</v>
      </c>
      <c r="T31">
        <v>3</v>
      </c>
      <c r="U31">
        <v>2</v>
      </c>
      <c r="V31" t="s">
        <v>94</v>
      </c>
      <c r="W31">
        <v>81</v>
      </c>
      <c r="X31">
        <v>3</v>
      </c>
      <c r="Y31">
        <v>3</v>
      </c>
      <c r="Z31" t="s">
        <v>133</v>
      </c>
      <c r="AA31" t="s">
        <v>134</v>
      </c>
      <c r="AB31" t="s">
        <v>89</v>
      </c>
      <c r="AC31" t="s">
        <v>90</v>
      </c>
      <c r="AD31" t="s">
        <v>91</v>
      </c>
      <c r="AE31" t="s">
        <v>92</v>
      </c>
      <c r="AG31" t="s">
        <v>135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84</v>
      </c>
      <c r="B32">
        <v>23128</v>
      </c>
      <c r="C32">
        <v>7</v>
      </c>
      <c r="D32" t="s">
        <v>132</v>
      </c>
      <c r="E32">
        <v>1979.11</v>
      </c>
      <c r="F32">
        <v>48</v>
      </c>
      <c r="G32">
        <v>27.24</v>
      </c>
      <c r="H32">
        <v>90.08</v>
      </c>
      <c r="I32">
        <v>24.39</v>
      </c>
      <c r="J32">
        <v>80.66</v>
      </c>
      <c r="K32">
        <v>3</v>
      </c>
      <c r="T32">
        <v>3</v>
      </c>
      <c r="U32">
        <v>2</v>
      </c>
      <c r="V32" t="s">
        <v>86</v>
      </c>
      <c r="W32">
        <v>90</v>
      </c>
      <c r="X32">
        <v>3</v>
      </c>
      <c r="Y32">
        <v>3</v>
      </c>
      <c r="Z32" t="s">
        <v>133</v>
      </c>
      <c r="AA32" t="s">
        <v>134</v>
      </c>
      <c r="AB32" t="s">
        <v>89</v>
      </c>
      <c r="AC32" t="s">
        <v>90</v>
      </c>
      <c r="AD32" t="s">
        <v>91</v>
      </c>
      <c r="AE32" t="s">
        <v>92</v>
      </c>
      <c r="AG32" t="s">
        <v>135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84</v>
      </c>
      <c r="B33">
        <v>23128</v>
      </c>
      <c r="C33">
        <v>8</v>
      </c>
      <c r="D33" t="s">
        <v>132</v>
      </c>
      <c r="E33">
        <v>1979.11</v>
      </c>
      <c r="F33">
        <v>48</v>
      </c>
      <c r="G33">
        <v>27.76</v>
      </c>
      <c r="H33">
        <v>91.77</v>
      </c>
      <c r="I33">
        <v>24.95</v>
      </c>
      <c r="J33">
        <v>82.51</v>
      </c>
      <c r="K33">
        <v>6</v>
      </c>
      <c r="T33">
        <v>3</v>
      </c>
      <c r="U33">
        <v>2</v>
      </c>
      <c r="V33" t="s">
        <v>94</v>
      </c>
      <c r="W33">
        <v>91</v>
      </c>
      <c r="X33">
        <v>3</v>
      </c>
      <c r="Y33">
        <v>3</v>
      </c>
      <c r="Z33" t="s">
        <v>133</v>
      </c>
      <c r="AA33" t="s">
        <v>134</v>
      </c>
      <c r="AB33" t="s">
        <v>89</v>
      </c>
      <c r="AC33" t="s">
        <v>90</v>
      </c>
      <c r="AD33" t="s">
        <v>91</v>
      </c>
      <c r="AE33" t="s">
        <v>92</v>
      </c>
      <c r="AG33" t="s">
        <v>135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84</v>
      </c>
      <c r="B34">
        <v>24012</v>
      </c>
      <c r="C34">
        <v>1</v>
      </c>
      <c r="D34" t="s">
        <v>138</v>
      </c>
      <c r="E34">
        <v>2001.07</v>
      </c>
      <c r="F34">
        <v>34</v>
      </c>
      <c r="G34">
        <v>21.85</v>
      </c>
      <c r="H34">
        <v>72.239999999999995</v>
      </c>
      <c r="I34">
        <v>18.27</v>
      </c>
      <c r="J34">
        <v>60.4</v>
      </c>
      <c r="K34">
        <v>2</v>
      </c>
      <c r="T34">
        <v>2</v>
      </c>
      <c r="U34">
        <v>1</v>
      </c>
      <c r="V34" t="s">
        <v>94</v>
      </c>
      <c r="W34">
        <v>72</v>
      </c>
      <c r="X34">
        <v>9</v>
      </c>
      <c r="Y34">
        <v>9</v>
      </c>
      <c r="Z34" t="s">
        <v>139</v>
      </c>
      <c r="AA34" t="s">
        <v>140</v>
      </c>
      <c r="AB34" t="s">
        <v>89</v>
      </c>
      <c r="AC34" t="s">
        <v>90</v>
      </c>
      <c r="AD34" t="s">
        <v>91</v>
      </c>
      <c r="AE34" t="s">
        <v>92</v>
      </c>
      <c r="AG34" t="s">
        <v>141</v>
      </c>
      <c r="AH34">
        <v>0</v>
      </c>
      <c r="AI34">
        <v>0</v>
      </c>
      <c r="AJ34">
        <v>0</v>
      </c>
      <c r="AK34">
        <v>32</v>
      </c>
      <c r="AL34">
        <v>0.94</v>
      </c>
    </row>
    <row r="35" spans="1:38" x14ac:dyDescent="0.3">
      <c r="A35" t="s">
        <v>84</v>
      </c>
      <c r="B35">
        <v>24012</v>
      </c>
      <c r="C35">
        <v>2</v>
      </c>
      <c r="D35" t="s">
        <v>138</v>
      </c>
      <c r="E35">
        <v>2001.07</v>
      </c>
      <c r="F35">
        <v>34</v>
      </c>
      <c r="G35">
        <v>30.61</v>
      </c>
      <c r="H35">
        <v>101.2</v>
      </c>
      <c r="I35">
        <v>25.59</v>
      </c>
      <c r="J35">
        <v>84.6</v>
      </c>
      <c r="K35">
        <v>32</v>
      </c>
      <c r="T35">
        <v>3</v>
      </c>
      <c r="U35">
        <v>2</v>
      </c>
      <c r="V35" t="s">
        <v>94</v>
      </c>
      <c r="W35">
        <v>101</v>
      </c>
      <c r="X35">
        <v>9</v>
      </c>
      <c r="Y35">
        <v>9</v>
      </c>
      <c r="Z35" t="s">
        <v>139</v>
      </c>
      <c r="AA35" t="s">
        <v>140</v>
      </c>
      <c r="AB35" t="s">
        <v>89</v>
      </c>
      <c r="AC35" t="s">
        <v>90</v>
      </c>
      <c r="AD35" t="s">
        <v>91</v>
      </c>
      <c r="AE35" t="s">
        <v>92</v>
      </c>
      <c r="AG35" t="s">
        <v>141</v>
      </c>
      <c r="AH35">
        <v>0</v>
      </c>
      <c r="AI35">
        <v>0</v>
      </c>
      <c r="AJ35">
        <v>0</v>
      </c>
      <c r="AK35">
        <v>32</v>
      </c>
      <c r="AL35">
        <v>0.94</v>
      </c>
    </row>
    <row r="36" spans="1:38" x14ac:dyDescent="0.3">
      <c r="A36" t="s">
        <v>84</v>
      </c>
      <c r="B36">
        <v>153342</v>
      </c>
      <c r="C36">
        <v>1</v>
      </c>
      <c r="D36" t="s">
        <v>142</v>
      </c>
      <c r="E36">
        <v>2022.1</v>
      </c>
      <c r="F36">
        <v>18</v>
      </c>
      <c r="G36">
        <v>27.3</v>
      </c>
      <c r="H36">
        <v>90.25</v>
      </c>
      <c r="I36">
        <v>24.1</v>
      </c>
      <c r="J36">
        <v>79.69</v>
      </c>
      <c r="K36">
        <v>9</v>
      </c>
      <c r="T36">
        <v>3</v>
      </c>
      <c r="U36">
        <v>2</v>
      </c>
      <c r="V36" t="s">
        <v>94</v>
      </c>
      <c r="W36" t="s">
        <v>143</v>
      </c>
      <c r="X36">
        <v>10</v>
      </c>
      <c r="Y36">
        <v>9</v>
      </c>
      <c r="Z36" t="s">
        <v>144</v>
      </c>
      <c r="AA36" t="s">
        <v>145</v>
      </c>
      <c r="AB36" t="s">
        <v>89</v>
      </c>
      <c r="AC36" t="s">
        <v>90</v>
      </c>
      <c r="AD36" t="s">
        <v>91</v>
      </c>
      <c r="AE36" t="s">
        <v>92</v>
      </c>
      <c r="AG36" t="s">
        <v>146</v>
      </c>
      <c r="AH36">
        <v>0</v>
      </c>
      <c r="AI36">
        <v>299</v>
      </c>
      <c r="AJ36">
        <v>37</v>
      </c>
      <c r="AK36">
        <v>0</v>
      </c>
      <c r="AL36">
        <v>0</v>
      </c>
    </row>
    <row r="37" spans="1:38" x14ac:dyDescent="0.3">
      <c r="A37" t="s">
        <v>84</v>
      </c>
      <c r="B37">
        <v>153342</v>
      </c>
      <c r="C37">
        <v>2</v>
      </c>
      <c r="D37" t="s">
        <v>142</v>
      </c>
      <c r="E37">
        <v>2022.1</v>
      </c>
      <c r="F37">
        <v>18</v>
      </c>
      <c r="G37">
        <v>27.84</v>
      </c>
      <c r="H37">
        <v>92.05</v>
      </c>
      <c r="I37">
        <v>24.58</v>
      </c>
      <c r="J37">
        <v>81.28</v>
      </c>
      <c r="K37">
        <v>9</v>
      </c>
      <c r="T37">
        <v>3</v>
      </c>
      <c r="U37">
        <v>2</v>
      </c>
      <c r="V37" t="s">
        <v>94</v>
      </c>
      <c r="W37" t="s">
        <v>147</v>
      </c>
      <c r="X37">
        <v>10</v>
      </c>
      <c r="Y37">
        <v>9</v>
      </c>
      <c r="Z37" t="s">
        <v>144</v>
      </c>
      <c r="AA37" t="s">
        <v>145</v>
      </c>
      <c r="AB37" t="s">
        <v>89</v>
      </c>
      <c r="AC37" t="s">
        <v>90</v>
      </c>
      <c r="AD37" t="s">
        <v>91</v>
      </c>
      <c r="AE37" t="s">
        <v>92</v>
      </c>
      <c r="AG37" t="s">
        <v>146</v>
      </c>
      <c r="AH37">
        <v>0</v>
      </c>
      <c r="AI37">
        <v>299</v>
      </c>
      <c r="AJ37">
        <v>37</v>
      </c>
      <c r="AK37">
        <v>0</v>
      </c>
      <c r="AL37">
        <v>0</v>
      </c>
    </row>
    <row r="38" spans="1:38" x14ac:dyDescent="0.3">
      <c r="A38" t="s">
        <v>84</v>
      </c>
      <c r="B38">
        <v>25592</v>
      </c>
      <c r="C38">
        <v>1</v>
      </c>
      <c r="D38" t="s">
        <v>148</v>
      </c>
      <c r="E38">
        <v>2001.05</v>
      </c>
      <c r="F38">
        <v>14</v>
      </c>
      <c r="G38">
        <v>25.91</v>
      </c>
      <c r="H38">
        <v>85.68</v>
      </c>
      <c r="I38">
        <v>22.21</v>
      </c>
      <c r="J38">
        <v>73.44</v>
      </c>
      <c r="K38">
        <v>14</v>
      </c>
      <c r="T38">
        <v>3</v>
      </c>
      <c r="U38">
        <v>2</v>
      </c>
      <c r="V38" t="s">
        <v>94</v>
      </c>
      <c r="W38">
        <v>85</v>
      </c>
      <c r="X38">
        <v>7</v>
      </c>
      <c r="Y38">
        <v>7</v>
      </c>
      <c r="Z38" t="s">
        <v>149</v>
      </c>
      <c r="AA38" t="s">
        <v>150</v>
      </c>
      <c r="AB38" t="s">
        <v>89</v>
      </c>
      <c r="AC38" t="s">
        <v>90</v>
      </c>
      <c r="AD38" t="s">
        <v>91</v>
      </c>
      <c r="AE38" t="s">
        <v>92</v>
      </c>
      <c r="AG38" t="s">
        <v>151</v>
      </c>
      <c r="AH38">
        <v>0</v>
      </c>
      <c r="AI38">
        <v>241</v>
      </c>
      <c r="AJ38">
        <v>35</v>
      </c>
      <c r="AK38">
        <v>13</v>
      </c>
      <c r="AL38">
        <v>0.93</v>
      </c>
    </row>
    <row r="39" spans="1:38" x14ac:dyDescent="0.3">
      <c r="A39" t="s">
        <v>84</v>
      </c>
      <c r="B39">
        <v>128987</v>
      </c>
      <c r="C39">
        <v>1</v>
      </c>
      <c r="D39" t="s">
        <v>152</v>
      </c>
      <c r="E39">
        <v>2019.08</v>
      </c>
      <c r="F39">
        <v>6</v>
      </c>
      <c r="G39">
        <v>23.19</v>
      </c>
      <c r="H39">
        <v>76.69</v>
      </c>
      <c r="I39">
        <v>19.43</v>
      </c>
      <c r="J39">
        <v>64.25</v>
      </c>
      <c r="K39">
        <v>2</v>
      </c>
      <c r="T39">
        <v>3</v>
      </c>
      <c r="U39">
        <v>2</v>
      </c>
      <c r="V39" t="s">
        <v>94</v>
      </c>
      <c r="W39" t="s">
        <v>153</v>
      </c>
      <c r="X39">
        <v>5</v>
      </c>
      <c r="Y39">
        <v>5</v>
      </c>
      <c r="Z39" t="s">
        <v>154</v>
      </c>
      <c r="AA39" t="s">
        <v>155</v>
      </c>
      <c r="AB39" t="s">
        <v>89</v>
      </c>
      <c r="AC39" t="s">
        <v>90</v>
      </c>
      <c r="AD39" t="s">
        <v>91</v>
      </c>
      <c r="AE39" t="s">
        <v>92</v>
      </c>
      <c r="AG39" t="s">
        <v>156</v>
      </c>
      <c r="AH39">
        <v>0</v>
      </c>
      <c r="AI39">
        <v>299</v>
      </c>
      <c r="AJ39">
        <v>59</v>
      </c>
      <c r="AK39">
        <v>6</v>
      </c>
      <c r="AL39">
        <v>1</v>
      </c>
    </row>
    <row r="40" spans="1:38" x14ac:dyDescent="0.3">
      <c r="A40" t="s">
        <v>84</v>
      </c>
      <c r="B40">
        <v>128987</v>
      </c>
      <c r="C40">
        <v>2</v>
      </c>
      <c r="D40" t="s">
        <v>152</v>
      </c>
      <c r="E40">
        <v>2019.08</v>
      </c>
      <c r="F40">
        <v>6</v>
      </c>
      <c r="G40">
        <v>23.21</v>
      </c>
      <c r="H40">
        <v>76.73</v>
      </c>
      <c r="I40">
        <v>19.440000000000001</v>
      </c>
      <c r="J40">
        <v>64.290000000000006</v>
      </c>
      <c r="K40">
        <v>2</v>
      </c>
      <c r="T40">
        <v>3</v>
      </c>
      <c r="U40">
        <v>2</v>
      </c>
      <c r="V40" t="s">
        <v>94</v>
      </c>
      <c r="W40" t="s">
        <v>157</v>
      </c>
      <c r="X40">
        <v>5</v>
      </c>
      <c r="Y40">
        <v>5</v>
      </c>
      <c r="Z40" t="s">
        <v>154</v>
      </c>
      <c r="AA40" t="s">
        <v>155</v>
      </c>
      <c r="AB40" t="s">
        <v>89</v>
      </c>
      <c r="AC40" t="s">
        <v>90</v>
      </c>
      <c r="AD40" t="s">
        <v>91</v>
      </c>
      <c r="AE40" t="s">
        <v>92</v>
      </c>
      <c r="AG40" t="s">
        <v>156</v>
      </c>
      <c r="AH40">
        <v>0</v>
      </c>
      <c r="AI40">
        <v>299</v>
      </c>
      <c r="AJ40">
        <v>59</v>
      </c>
      <c r="AK40">
        <v>6</v>
      </c>
      <c r="AL40">
        <v>1</v>
      </c>
    </row>
    <row r="41" spans="1:38" x14ac:dyDescent="0.3">
      <c r="A41" t="s">
        <v>84</v>
      </c>
      <c r="B41">
        <v>128987</v>
      </c>
      <c r="C41">
        <v>3</v>
      </c>
      <c r="D41" t="s">
        <v>152</v>
      </c>
      <c r="E41">
        <v>2019.08</v>
      </c>
      <c r="F41">
        <v>6</v>
      </c>
      <c r="G41">
        <v>24.25</v>
      </c>
      <c r="H41">
        <v>80.180000000000007</v>
      </c>
      <c r="I41">
        <v>20.32</v>
      </c>
      <c r="J41">
        <v>67.180000000000007</v>
      </c>
      <c r="K41">
        <v>2</v>
      </c>
      <c r="T41">
        <v>3</v>
      </c>
      <c r="U41">
        <v>2</v>
      </c>
      <c r="V41" t="s">
        <v>94</v>
      </c>
      <c r="W41">
        <v>80</v>
      </c>
      <c r="X41">
        <v>5</v>
      </c>
      <c r="Y41">
        <v>5</v>
      </c>
      <c r="Z41" t="s">
        <v>154</v>
      </c>
      <c r="AA41" t="s">
        <v>155</v>
      </c>
      <c r="AB41" t="s">
        <v>89</v>
      </c>
      <c r="AC41" t="s">
        <v>90</v>
      </c>
      <c r="AD41" t="s">
        <v>91</v>
      </c>
      <c r="AE41" t="s">
        <v>92</v>
      </c>
      <c r="AG41" t="s">
        <v>156</v>
      </c>
      <c r="AH41">
        <v>0</v>
      </c>
      <c r="AI41">
        <v>299</v>
      </c>
      <c r="AJ41">
        <v>59</v>
      </c>
      <c r="AK41">
        <v>6</v>
      </c>
      <c r="AL41">
        <v>1</v>
      </c>
    </row>
    <row r="42" spans="1:38" x14ac:dyDescent="0.3">
      <c r="A42" t="s">
        <v>84</v>
      </c>
      <c r="B42">
        <v>2505</v>
      </c>
      <c r="C42">
        <v>1</v>
      </c>
      <c r="D42" t="s">
        <v>158</v>
      </c>
      <c r="E42">
        <v>1998.12</v>
      </c>
      <c r="F42">
        <v>1314</v>
      </c>
      <c r="G42">
        <v>24.02</v>
      </c>
      <c r="H42">
        <v>79.41</v>
      </c>
      <c r="I42">
        <v>18.079999999999998</v>
      </c>
      <c r="J42">
        <v>59.8</v>
      </c>
      <c r="K42">
        <v>470</v>
      </c>
      <c r="T42">
        <v>2</v>
      </c>
      <c r="U42">
        <v>1</v>
      </c>
      <c r="V42" t="s">
        <v>94</v>
      </c>
      <c r="W42" t="s">
        <v>159</v>
      </c>
      <c r="X42">
        <v>25</v>
      </c>
      <c r="Y42">
        <v>19</v>
      </c>
      <c r="Z42" t="s">
        <v>160</v>
      </c>
      <c r="AA42" t="s">
        <v>161</v>
      </c>
      <c r="AB42" t="s">
        <v>89</v>
      </c>
      <c r="AC42" t="s">
        <v>90</v>
      </c>
      <c r="AD42" t="s">
        <v>91</v>
      </c>
      <c r="AE42" t="s">
        <v>92</v>
      </c>
      <c r="AG42" t="s">
        <v>162</v>
      </c>
      <c r="AH42">
        <v>0</v>
      </c>
      <c r="AI42">
        <v>353</v>
      </c>
      <c r="AJ42">
        <v>24</v>
      </c>
      <c r="AK42">
        <v>1349</v>
      </c>
      <c r="AL42">
        <v>1.03</v>
      </c>
    </row>
    <row r="43" spans="1:38" x14ac:dyDescent="0.3">
      <c r="A43" t="s">
        <v>84</v>
      </c>
      <c r="B43">
        <v>2505</v>
      </c>
      <c r="C43">
        <v>2</v>
      </c>
      <c r="D43" t="s">
        <v>158</v>
      </c>
      <c r="E43">
        <v>1998.12</v>
      </c>
      <c r="F43">
        <v>1314</v>
      </c>
      <c r="G43">
        <v>24.05</v>
      </c>
      <c r="H43">
        <v>79.52</v>
      </c>
      <c r="I43">
        <v>18.11</v>
      </c>
      <c r="J43">
        <v>59.89</v>
      </c>
      <c r="K43">
        <v>200</v>
      </c>
      <c r="T43">
        <v>3</v>
      </c>
      <c r="U43">
        <v>1</v>
      </c>
      <c r="V43" t="s">
        <v>94</v>
      </c>
      <c r="W43" t="s">
        <v>163</v>
      </c>
      <c r="X43">
        <v>25</v>
      </c>
      <c r="Y43">
        <v>19</v>
      </c>
      <c r="Z43" t="s">
        <v>160</v>
      </c>
      <c r="AA43" t="s">
        <v>161</v>
      </c>
      <c r="AB43" t="s">
        <v>89</v>
      </c>
      <c r="AC43" t="s">
        <v>90</v>
      </c>
      <c r="AD43" t="s">
        <v>91</v>
      </c>
      <c r="AE43" t="s">
        <v>92</v>
      </c>
      <c r="AG43" t="s">
        <v>162</v>
      </c>
      <c r="AH43">
        <v>0</v>
      </c>
      <c r="AI43">
        <v>353</v>
      </c>
      <c r="AJ43">
        <v>24</v>
      </c>
      <c r="AK43">
        <v>1349</v>
      </c>
      <c r="AL43">
        <v>1.03</v>
      </c>
    </row>
    <row r="44" spans="1:38" x14ac:dyDescent="0.3">
      <c r="A44" t="s">
        <v>84</v>
      </c>
      <c r="B44">
        <v>2505</v>
      </c>
      <c r="C44">
        <v>3</v>
      </c>
      <c r="D44" t="s">
        <v>158</v>
      </c>
      <c r="E44">
        <v>1998.12</v>
      </c>
      <c r="F44">
        <v>1314</v>
      </c>
      <c r="G44">
        <v>32.21</v>
      </c>
      <c r="H44">
        <v>106.51</v>
      </c>
      <c r="I44">
        <v>25.69</v>
      </c>
      <c r="J44">
        <v>84.93</v>
      </c>
      <c r="K44">
        <v>644</v>
      </c>
      <c r="T44">
        <v>3</v>
      </c>
      <c r="U44">
        <v>2</v>
      </c>
      <c r="V44" t="s">
        <v>94</v>
      </c>
      <c r="W44">
        <v>106</v>
      </c>
      <c r="X44">
        <v>25</v>
      </c>
      <c r="Y44">
        <v>19</v>
      </c>
      <c r="Z44" t="s">
        <v>160</v>
      </c>
      <c r="AA44" t="s">
        <v>161</v>
      </c>
      <c r="AB44" t="s">
        <v>89</v>
      </c>
      <c r="AC44" t="s">
        <v>90</v>
      </c>
      <c r="AD44" t="s">
        <v>91</v>
      </c>
      <c r="AE44" t="s">
        <v>92</v>
      </c>
      <c r="AG44" t="s">
        <v>162</v>
      </c>
      <c r="AH44">
        <v>0</v>
      </c>
      <c r="AI44">
        <v>353</v>
      </c>
      <c r="AJ44">
        <v>24</v>
      </c>
      <c r="AK44">
        <v>1349</v>
      </c>
      <c r="AL44">
        <v>1.03</v>
      </c>
    </row>
    <row r="45" spans="1:38" x14ac:dyDescent="0.3">
      <c r="A45" t="s">
        <v>84</v>
      </c>
      <c r="B45">
        <v>1971</v>
      </c>
      <c r="C45">
        <v>1</v>
      </c>
      <c r="D45" t="s">
        <v>164</v>
      </c>
      <c r="E45">
        <v>1986.06</v>
      </c>
      <c r="F45">
        <v>140</v>
      </c>
      <c r="G45">
        <v>21.83</v>
      </c>
      <c r="H45">
        <v>72.17</v>
      </c>
      <c r="I45">
        <v>16.55</v>
      </c>
      <c r="J45">
        <v>54.72</v>
      </c>
      <c r="K45">
        <v>10</v>
      </c>
      <c r="T45">
        <v>3</v>
      </c>
      <c r="U45">
        <v>1</v>
      </c>
      <c r="V45" t="s">
        <v>94</v>
      </c>
      <c r="W45">
        <v>72</v>
      </c>
      <c r="X45">
        <v>5</v>
      </c>
      <c r="Y45">
        <v>5</v>
      </c>
      <c r="Z45" t="s">
        <v>165</v>
      </c>
      <c r="AA45" t="s">
        <v>166</v>
      </c>
      <c r="AB45" t="s">
        <v>89</v>
      </c>
      <c r="AC45" t="s">
        <v>90</v>
      </c>
      <c r="AD45" t="s">
        <v>91</v>
      </c>
      <c r="AE45" t="s">
        <v>92</v>
      </c>
      <c r="AG45" t="s">
        <v>167</v>
      </c>
      <c r="AH45">
        <v>0</v>
      </c>
      <c r="AI45">
        <v>204</v>
      </c>
      <c r="AJ45">
        <v>41</v>
      </c>
      <c r="AK45">
        <v>120</v>
      </c>
      <c r="AL45">
        <v>0.86</v>
      </c>
    </row>
    <row r="46" spans="1:38" x14ac:dyDescent="0.3">
      <c r="A46" t="s">
        <v>84</v>
      </c>
      <c r="B46">
        <v>1971</v>
      </c>
      <c r="C46">
        <v>2</v>
      </c>
      <c r="D46" t="s">
        <v>164</v>
      </c>
      <c r="E46">
        <v>1986.06</v>
      </c>
      <c r="F46">
        <v>140</v>
      </c>
      <c r="G46">
        <v>23.25</v>
      </c>
      <c r="H46">
        <v>76.88</v>
      </c>
      <c r="I46">
        <v>17.75</v>
      </c>
      <c r="J46">
        <v>58.68</v>
      </c>
      <c r="K46">
        <v>20</v>
      </c>
      <c r="T46">
        <v>3</v>
      </c>
      <c r="U46">
        <v>1</v>
      </c>
      <c r="V46" t="s">
        <v>94</v>
      </c>
      <c r="W46">
        <v>76</v>
      </c>
      <c r="X46">
        <v>5</v>
      </c>
      <c r="Y46">
        <v>5</v>
      </c>
      <c r="Z46" t="s">
        <v>165</v>
      </c>
      <c r="AA46" t="s">
        <v>166</v>
      </c>
      <c r="AB46" t="s">
        <v>89</v>
      </c>
      <c r="AC46" t="s">
        <v>90</v>
      </c>
      <c r="AD46" t="s">
        <v>91</v>
      </c>
      <c r="AE46" t="s">
        <v>92</v>
      </c>
      <c r="AG46" t="s">
        <v>167</v>
      </c>
      <c r="AH46">
        <v>0</v>
      </c>
      <c r="AI46">
        <v>204</v>
      </c>
      <c r="AJ46">
        <v>41</v>
      </c>
      <c r="AK46">
        <v>120</v>
      </c>
      <c r="AL46">
        <v>0.86</v>
      </c>
    </row>
    <row r="47" spans="1:38" x14ac:dyDescent="0.3">
      <c r="A47" t="s">
        <v>84</v>
      </c>
      <c r="B47">
        <v>1971</v>
      </c>
      <c r="C47">
        <v>3</v>
      </c>
      <c r="D47" t="s">
        <v>164</v>
      </c>
      <c r="E47">
        <v>1986.06</v>
      </c>
      <c r="F47">
        <v>140</v>
      </c>
      <c r="G47">
        <v>24.72</v>
      </c>
      <c r="H47">
        <v>81.72</v>
      </c>
      <c r="I47">
        <v>19.11</v>
      </c>
      <c r="J47">
        <v>63.18</v>
      </c>
      <c r="K47">
        <v>40</v>
      </c>
      <c r="T47">
        <v>3</v>
      </c>
      <c r="U47">
        <v>1</v>
      </c>
      <c r="V47" t="s">
        <v>94</v>
      </c>
      <c r="W47">
        <v>81</v>
      </c>
      <c r="X47">
        <v>5</v>
      </c>
      <c r="Y47">
        <v>5</v>
      </c>
      <c r="Z47" t="s">
        <v>165</v>
      </c>
      <c r="AA47" t="s">
        <v>166</v>
      </c>
      <c r="AB47" t="s">
        <v>89</v>
      </c>
      <c r="AC47" t="s">
        <v>90</v>
      </c>
      <c r="AD47" t="s">
        <v>91</v>
      </c>
      <c r="AE47" t="s">
        <v>92</v>
      </c>
      <c r="AG47" t="s">
        <v>167</v>
      </c>
      <c r="AH47">
        <v>0</v>
      </c>
      <c r="AI47">
        <v>204</v>
      </c>
      <c r="AJ47">
        <v>41</v>
      </c>
      <c r="AK47">
        <v>120</v>
      </c>
      <c r="AL47">
        <v>0.86</v>
      </c>
    </row>
    <row r="48" spans="1:38" x14ac:dyDescent="0.3">
      <c r="A48" t="s">
        <v>84</v>
      </c>
      <c r="B48">
        <v>1971</v>
      </c>
      <c r="C48">
        <v>4</v>
      </c>
      <c r="D48" t="s">
        <v>164</v>
      </c>
      <c r="E48">
        <v>1986.06</v>
      </c>
      <c r="F48">
        <v>140</v>
      </c>
      <c r="G48">
        <v>26.02</v>
      </c>
      <c r="H48">
        <v>86.04</v>
      </c>
      <c r="I48">
        <v>20.2</v>
      </c>
      <c r="J48">
        <v>66.78</v>
      </c>
      <c r="K48">
        <v>70</v>
      </c>
      <c r="T48">
        <v>3</v>
      </c>
      <c r="U48">
        <v>1</v>
      </c>
      <c r="V48" t="s">
        <v>94</v>
      </c>
      <c r="W48">
        <v>86</v>
      </c>
      <c r="X48">
        <v>5</v>
      </c>
      <c r="Y48">
        <v>5</v>
      </c>
      <c r="Z48" t="s">
        <v>165</v>
      </c>
      <c r="AA48" t="s">
        <v>166</v>
      </c>
      <c r="AB48" t="s">
        <v>89</v>
      </c>
      <c r="AC48" t="s">
        <v>90</v>
      </c>
      <c r="AD48" t="s">
        <v>91</v>
      </c>
      <c r="AE48" t="s">
        <v>92</v>
      </c>
      <c r="AG48" t="s">
        <v>167</v>
      </c>
      <c r="AH48">
        <v>0</v>
      </c>
      <c r="AI48">
        <v>204</v>
      </c>
      <c r="AJ48">
        <v>41</v>
      </c>
      <c r="AK48">
        <v>120</v>
      </c>
      <c r="AL48">
        <v>0.86</v>
      </c>
    </row>
    <row r="49" spans="1:38" x14ac:dyDescent="0.3">
      <c r="A49" t="s">
        <v>84</v>
      </c>
      <c r="B49">
        <v>135526</v>
      </c>
      <c r="C49">
        <v>1</v>
      </c>
      <c r="D49" t="s">
        <v>168</v>
      </c>
      <c r="E49">
        <v>2016.12</v>
      </c>
      <c r="F49">
        <v>24</v>
      </c>
      <c r="G49">
        <v>20.309999999999999</v>
      </c>
      <c r="H49">
        <v>67.150000000000006</v>
      </c>
      <c r="I49">
        <v>13.8</v>
      </c>
      <c r="J49">
        <v>45.65</v>
      </c>
      <c r="K49">
        <v>4</v>
      </c>
      <c r="T49">
        <v>3</v>
      </c>
      <c r="U49">
        <v>1</v>
      </c>
      <c r="V49" t="s">
        <v>94</v>
      </c>
      <c r="W49">
        <v>67</v>
      </c>
      <c r="X49">
        <v>5</v>
      </c>
      <c r="Y49">
        <v>5</v>
      </c>
      <c r="Z49" t="s">
        <v>169</v>
      </c>
      <c r="AA49" t="s">
        <v>170</v>
      </c>
      <c r="AB49" t="s">
        <v>89</v>
      </c>
      <c r="AC49" t="s">
        <v>90</v>
      </c>
      <c r="AD49" t="s">
        <v>91</v>
      </c>
      <c r="AE49" t="s">
        <v>92</v>
      </c>
      <c r="AG49" t="s">
        <v>171</v>
      </c>
      <c r="AH49">
        <v>0</v>
      </c>
      <c r="AI49">
        <v>299</v>
      </c>
      <c r="AJ49">
        <v>56</v>
      </c>
      <c r="AK49">
        <v>24</v>
      </c>
      <c r="AL49">
        <v>1</v>
      </c>
    </row>
    <row r="50" spans="1:38" x14ac:dyDescent="0.3">
      <c r="A50" t="s">
        <v>84</v>
      </c>
      <c r="B50">
        <v>135526</v>
      </c>
      <c r="C50">
        <v>2</v>
      </c>
      <c r="D50" t="s">
        <v>168</v>
      </c>
      <c r="E50">
        <v>2016.12</v>
      </c>
      <c r="F50">
        <v>24</v>
      </c>
      <c r="G50">
        <v>21.38</v>
      </c>
      <c r="H50">
        <v>70.680000000000007</v>
      </c>
      <c r="I50">
        <v>14.53</v>
      </c>
      <c r="J50">
        <v>48.04</v>
      </c>
      <c r="K50">
        <v>12</v>
      </c>
      <c r="T50">
        <v>3</v>
      </c>
      <c r="U50">
        <v>1</v>
      </c>
      <c r="V50" t="s">
        <v>94</v>
      </c>
      <c r="W50" t="s">
        <v>172</v>
      </c>
      <c r="X50">
        <v>5</v>
      </c>
      <c r="Y50">
        <v>5</v>
      </c>
      <c r="Z50" t="s">
        <v>169</v>
      </c>
      <c r="AA50" t="s">
        <v>170</v>
      </c>
      <c r="AB50" t="s">
        <v>89</v>
      </c>
      <c r="AC50" t="s">
        <v>90</v>
      </c>
      <c r="AD50" t="s">
        <v>91</v>
      </c>
      <c r="AE50" t="s">
        <v>92</v>
      </c>
      <c r="AG50" t="s">
        <v>171</v>
      </c>
      <c r="AH50">
        <v>0</v>
      </c>
      <c r="AI50">
        <v>299</v>
      </c>
      <c r="AJ50">
        <v>56</v>
      </c>
      <c r="AK50">
        <v>24</v>
      </c>
      <c r="AL50">
        <v>1</v>
      </c>
    </row>
    <row r="51" spans="1:38" x14ac:dyDescent="0.3">
      <c r="A51" t="s">
        <v>84</v>
      </c>
      <c r="B51">
        <v>135526</v>
      </c>
      <c r="C51">
        <v>3</v>
      </c>
      <c r="D51" t="s">
        <v>168</v>
      </c>
      <c r="E51">
        <v>2016.12</v>
      </c>
      <c r="F51">
        <v>24</v>
      </c>
      <c r="G51">
        <v>21.23</v>
      </c>
      <c r="H51">
        <v>70.209999999999994</v>
      </c>
      <c r="I51">
        <v>14.43</v>
      </c>
      <c r="J51">
        <v>47.73</v>
      </c>
      <c r="K51">
        <v>8</v>
      </c>
      <c r="T51">
        <v>3</v>
      </c>
      <c r="U51">
        <v>1</v>
      </c>
      <c r="V51" t="s">
        <v>94</v>
      </c>
      <c r="W51" t="s">
        <v>173</v>
      </c>
      <c r="X51">
        <v>5</v>
      </c>
      <c r="Y51">
        <v>5</v>
      </c>
      <c r="Z51" t="s">
        <v>169</v>
      </c>
      <c r="AA51" t="s">
        <v>170</v>
      </c>
      <c r="AB51" t="s">
        <v>89</v>
      </c>
      <c r="AC51" t="s">
        <v>90</v>
      </c>
      <c r="AD51" t="s">
        <v>91</v>
      </c>
      <c r="AE51" t="s">
        <v>92</v>
      </c>
      <c r="AG51" t="s">
        <v>171</v>
      </c>
      <c r="AH51">
        <v>0</v>
      </c>
      <c r="AI51">
        <v>299</v>
      </c>
      <c r="AJ51">
        <v>56</v>
      </c>
      <c r="AK51">
        <v>24</v>
      </c>
      <c r="AL51">
        <v>1</v>
      </c>
    </row>
    <row r="52" spans="1:38" x14ac:dyDescent="0.3">
      <c r="A52" t="s">
        <v>84</v>
      </c>
      <c r="B52">
        <v>13303</v>
      </c>
      <c r="C52">
        <v>1</v>
      </c>
      <c r="D52" t="s">
        <v>174</v>
      </c>
      <c r="E52">
        <v>1987.09</v>
      </c>
      <c r="F52">
        <v>40</v>
      </c>
      <c r="G52">
        <v>15.63</v>
      </c>
      <c r="H52">
        <v>51.68</v>
      </c>
      <c r="I52">
        <v>11.24</v>
      </c>
      <c r="J52">
        <v>37.17</v>
      </c>
      <c r="K52">
        <v>30</v>
      </c>
      <c r="T52">
        <v>2</v>
      </c>
      <c r="U52">
        <v>1</v>
      </c>
      <c r="V52" t="s">
        <v>94</v>
      </c>
      <c r="W52">
        <v>51</v>
      </c>
      <c r="X52">
        <v>5</v>
      </c>
      <c r="Y52">
        <v>5</v>
      </c>
      <c r="Z52" t="s">
        <v>175</v>
      </c>
      <c r="AA52" t="s">
        <v>176</v>
      </c>
      <c r="AB52" t="s">
        <v>89</v>
      </c>
      <c r="AC52" t="s">
        <v>90</v>
      </c>
      <c r="AD52" t="s">
        <v>91</v>
      </c>
      <c r="AE52" t="s">
        <v>92</v>
      </c>
      <c r="AG52" t="s">
        <v>177</v>
      </c>
      <c r="AH52">
        <v>0</v>
      </c>
      <c r="AI52">
        <v>167</v>
      </c>
      <c r="AJ52">
        <v>36</v>
      </c>
      <c r="AK52">
        <v>0</v>
      </c>
      <c r="AL52">
        <v>0</v>
      </c>
    </row>
    <row r="53" spans="1:38" x14ac:dyDescent="0.3">
      <c r="A53" t="s">
        <v>84</v>
      </c>
      <c r="B53">
        <v>13303</v>
      </c>
      <c r="C53">
        <v>2</v>
      </c>
      <c r="D53" t="s">
        <v>174</v>
      </c>
      <c r="E53">
        <v>1987.09</v>
      </c>
      <c r="F53">
        <v>40</v>
      </c>
      <c r="G53">
        <v>18.55</v>
      </c>
      <c r="H53">
        <v>61.33</v>
      </c>
      <c r="I53">
        <v>13.69</v>
      </c>
      <c r="J53">
        <v>45.27</v>
      </c>
      <c r="K53">
        <v>5</v>
      </c>
      <c r="T53">
        <v>3</v>
      </c>
      <c r="U53">
        <v>1</v>
      </c>
      <c r="V53" t="s">
        <v>94</v>
      </c>
      <c r="W53">
        <v>61</v>
      </c>
      <c r="X53">
        <v>5</v>
      </c>
      <c r="Y53">
        <v>5</v>
      </c>
      <c r="Z53" t="s">
        <v>175</v>
      </c>
      <c r="AA53" t="s">
        <v>176</v>
      </c>
      <c r="AB53" t="s">
        <v>89</v>
      </c>
      <c r="AC53" t="s">
        <v>90</v>
      </c>
      <c r="AD53" t="s">
        <v>91</v>
      </c>
      <c r="AE53" t="s">
        <v>92</v>
      </c>
      <c r="AG53" t="s">
        <v>177</v>
      </c>
      <c r="AH53">
        <v>0</v>
      </c>
      <c r="AI53">
        <v>167</v>
      </c>
      <c r="AJ53">
        <v>36</v>
      </c>
      <c r="AK53">
        <v>0</v>
      </c>
      <c r="AL53">
        <v>0</v>
      </c>
    </row>
    <row r="54" spans="1:38" x14ac:dyDescent="0.3">
      <c r="A54" t="s">
        <v>84</v>
      </c>
      <c r="B54">
        <v>13303</v>
      </c>
      <c r="C54">
        <v>3</v>
      </c>
      <c r="D54" t="s">
        <v>174</v>
      </c>
      <c r="E54">
        <v>1987.09</v>
      </c>
      <c r="F54">
        <v>40</v>
      </c>
      <c r="G54">
        <v>19.96</v>
      </c>
      <c r="H54">
        <v>66</v>
      </c>
      <c r="I54">
        <v>14.83</v>
      </c>
      <c r="J54">
        <v>49.05</v>
      </c>
      <c r="K54">
        <v>5</v>
      </c>
      <c r="T54">
        <v>3</v>
      </c>
      <c r="U54">
        <v>1</v>
      </c>
      <c r="V54" t="s">
        <v>94</v>
      </c>
      <c r="W54">
        <v>66</v>
      </c>
      <c r="X54">
        <v>5</v>
      </c>
      <c r="Y54">
        <v>5</v>
      </c>
      <c r="Z54" t="s">
        <v>175</v>
      </c>
      <c r="AA54" t="s">
        <v>176</v>
      </c>
      <c r="AB54" t="s">
        <v>89</v>
      </c>
      <c r="AC54" t="s">
        <v>90</v>
      </c>
      <c r="AD54" t="s">
        <v>91</v>
      </c>
      <c r="AE54" t="s">
        <v>92</v>
      </c>
      <c r="AG54" t="s">
        <v>177</v>
      </c>
      <c r="AH54">
        <v>0</v>
      </c>
      <c r="AI54">
        <v>167</v>
      </c>
      <c r="AJ54">
        <v>36</v>
      </c>
      <c r="AK54">
        <v>0</v>
      </c>
      <c r="AL54">
        <v>0</v>
      </c>
    </row>
    <row r="55" spans="1:38" x14ac:dyDescent="0.3">
      <c r="A55" t="s">
        <v>84</v>
      </c>
      <c r="B55">
        <v>1461</v>
      </c>
      <c r="C55">
        <v>1</v>
      </c>
      <c r="D55" t="s">
        <v>178</v>
      </c>
      <c r="E55">
        <v>1992.11</v>
      </c>
      <c r="F55">
        <v>436</v>
      </c>
      <c r="G55">
        <v>23.28</v>
      </c>
      <c r="H55">
        <v>76.959999999999994</v>
      </c>
      <c r="I55">
        <v>18.14</v>
      </c>
      <c r="J55">
        <v>59.97</v>
      </c>
      <c r="K55">
        <v>168</v>
      </c>
      <c r="T55">
        <v>3</v>
      </c>
      <c r="U55">
        <v>1</v>
      </c>
      <c r="V55" t="s">
        <v>94</v>
      </c>
      <c r="W55">
        <v>76</v>
      </c>
      <c r="X55">
        <v>16</v>
      </c>
      <c r="Y55">
        <v>14</v>
      </c>
      <c r="Z55" t="s">
        <v>179</v>
      </c>
      <c r="AA55" t="s">
        <v>180</v>
      </c>
      <c r="AB55" t="s">
        <v>89</v>
      </c>
      <c r="AC55" t="s">
        <v>90</v>
      </c>
      <c r="AD55" t="s">
        <v>91</v>
      </c>
      <c r="AE55" t="s">
        <v>92</v>
      </c>
      <c r="AG55" t="s">
        <v>181</v>
      </c>
      <c r="AH55">
        <v>0</v>
      </c>
      <c r="AI55">
        <v>207</v>
      </c>
      <c r="AJ55">
        <v>17</v>
      </c>
      <c r="AK55">
        <v>436</v>
      </c>
      <c r="AL55">
        <v>1</v>
      </c>
    </row>
    <row r="56" spans="1:38" x14ac:dyDescent="0.3">
      <c r="A56" t="s">
        <v>84</v>
      </c>
      <c r="B56">
        <v>1461</v>
      </c>
      <c r="C56">
        <v>2</v>
      </c>
      <c r="D56" t="s">
        <v>178</v>
      </c>
      <c r="E56">
        <v>1992.11</v>
      </c>
      <c r="F56">
        <v>436</v>
      </c>
      <c r="G56">
        <v>31.7</v>
      </c>
      <c r="H56">
        <v>104.81</v>
      </c>
      <c r="I56">
        <v>25.66</v>
      </c>
      <c r="J56">
        <v>84.84</v>
      </c>
      <c r="K56">
        <v>268</v>
      </c>
      <c r="T56">
        <v>3</v>
      </c>
      <c r="U56">
        <v>2</v>
      </c>
      <c r="V56" t="s">
        <v>94</v>
      </c>
      <c r="W56">
        <v>104</v>
      </c>
      <c r="X56">
        <v>16</v>
      </c>
      <c r="Y56">
        <v>14</v>
      </c>
      <c r="Z56" t="s">
        <v>179</v>
      </c>
      <c r="AA56" t="s">
        <v>180</v>
      </c>
      <c r="AB56" t="s">
        <v>89</v>
      </c>
      <c r="AC56" t="s">
        <v>90</v>
      </c>
      <c r="AD56" t="s">
        <v>91</v>
      </c>
      <c r="AE56" t="s">
        <v>92</v>
      </c>
      <c r="AG56" t="s">
        <v>181</v>
      </c>
      <c r="AH56">
        <v>0</v>
      </c>
      <c r="AI56">
        <v>207</v>
      </c>
      <c r="AJ56">
        <v>17</v>
      </c>
      <c r="AK56">
        <v>436</v>
      </c>
      <c r="AL56">
        <v>1</v>
      </c>
    </row>
    <row r="57" spans="1:38" x14ac:dyDescent="0.3">
      <c r="A57" t="s">
        <v>84</v>
      </c>
      <c r="B57">
        <v>1978</v>
      </c>
      <c r="C57">
        <v>1</v>
      </c>
      <c r="D57" t="s">
        <v>182</v>
      </c>
      <c r="E57">
        <v>1985.04</v>
      </c>
      <c r="F57">
        <v>904</v>
      </c>
      <c r="G57">
        <v>32.83</v>
      </c>
      <c r="H57">
        <v>108.53</v>
      </c>
      <c r="I57">
        <v>25.55</v>
      </c>
      <c r="J57">
        <v>84.47</v>
      </c>
      <c r="K57">
        <v>268</v>
      </c>
      <c r="T57">
        <v>3</v>
      </c>
      <c r="U57">
        <v>1</v>
      </c>
      <c r="V57" t="s">
        <v>128</v>
      </c>
      <c r="W57" t="s">
        <v>183</v>
      </c>
      <c r="X57">
        <v>14</v>
      </c>
      <c r="Y57">
        <v>13</v>
      </c>
      <c r="Z57" t="s">
        <v>184</v>
      </c>
      <c r="AA57" t="s">
        <v>185</v>
      </c>
      <c r="AB57" t="s">
        <v>89</v>
      </c>
      <c r="AC57" t="s">
        <v>90</v>
      </c>
      <c r="AD57" t="s">
        <v>91</v>
      </c>
      <c r="AE57" t="s">
        <v>92</v>
      </c>
      <c r="AG57" t="s">
        <v>186</v>
      </c>
      <c r="AH57">
        <v>0</v>
      </c>
      <c r="AI57">
        <v>176</v>
      </c>
      <c r="AJ57">
        <v>13</v>
      </c>
      <c r="AK57">
        <v>0</v>
      </c>
      <c r="AL57">
        <v>0</v>
      </c>
    </row>
    <row r="58" spans="1:38" x14ac:dyDescent="0.3">
      <c r="A58" t="s">
        <v>84</v>
      </c>
      <c r="B58">
        <v>1978</v>
      </c>
      <c r="C58">
        <v>2</v>
      </c>
      <c r="D58" t="s">
        <v>182</v>
      </c>
      <c r="E58">
        <v>1985.04</v>
      </c>
      <c r="F58">
        <v>904</v>
      </c>
      <c r="G58">
        <v>32.840000000000003</v>
      </c>
      <c r="H58">
        <v>108.58</v>
      </c>
      <c r="I58">
        <v>25.56</v>
      </c>
      <c r="J58">
        <v>84.51</v>
      </c>
      <c r="K58">
        <v>188</v>
      </c>
      <c r="T58">
        <v>3</v>
      </c>
      <c r="U58">
        <v>1</v>
      </c>
      <c r="V58" t="s">
        <v>128</v>
      </c>
      <c r="W58" t="s">
        <v>187</v>
      </c>
      <c r="X58">
        <v>14</v>
      </c>
      <c r="Y58">
        <v>13</v>
      </c>
      <c r="Z58" t="s">
        <v>184</v>
      </c>
      <c r="AA58" t="s">
        <v>185</v>
      </c>
      <c r="AB58" t="s">
        <v>89</v>
      </c>
      <c r="AC58" t="s">
        <v>90</v>
      </c>
      <c r="AD58" t="s">
        <v>91</v>
      </c>
      <c r="AE58" t="s">
        <v>92</v>
      </c>
      <c r="AG58" t="s">
        <v>186</v>
      </c>
      <c r="AH58">
        <v>0</v>
      </c>
      <c r="AI58">
        <v>176</v>
      </c>
      <c r="AJ58">
        <v>13</v>
      </c>
      <c r="AK58">
        <v>0</v>
      </c>
      <c r="AL58">
        <v>0</v>
      </c>
    </row>
    <row r="59" spans="1:38" x14ac:dyDescent="0.3">
      <c r="A59" t="s">
        <v>84</v>
      </c>
      <c r="B59">
        <v>1978</v>
      </c>
      <c r="C59">
        <v>3</v>
      </c>
      <c r="D59" t="s">
        <v>182</v>
      </c>
      <c r="E59">
        <v>1985.04</v>
      </c>
      <c r="F59">
        <v>904</v>
      </c>
      <c r="G59">
        <v>43.63</v>
      </c>
      <c r="H59">
        <v>144.24</v>
      </c>
      <c r="I59">
        <v>37.380000000000003</v>
      </c>
      <c r="J59">
        <v>123.6</v>
      </c>
      <c r="K59">
        <v>280</v>
      </c>
      <c r="T59">
        <v>4</v>
      </c>
      <c r="U59">
        <v>2</v>
      </c>
      <c r="V59" t="s">
        <v>94</v>
      </c>
      <c r="W59">
        <v>144</v>
      </c>
      <c r="X59">
        <v>14</v>
      </c>
      <c r="Y59">
        <v>13</v>
      </c>
      <c r="Z59" t="s">
        <v>184</v>
      </c>
      <c r="AA59" t="s">
        <v>185</v>
      </c>
      <c r="AB59" t="s">
        <v>89</v>
      </c>
      <c r="AC59" t="s">
        <v>90</v>
      </c>
      <c r="AD59" t="s">
        <v>91</v>
      </c>
      <c r="AE59" t="s">
        <v>92</v>
      </c>
      <c r="AG59" t="s">
        <v>186</v>
      </c>
      <c r="AH59">
        <v>0</v>
      </c>
      <c r="AI59">
        <v>176</v>
      </c>
      <c r="AJ59">
        <v>13</v>
      </c>
      <c r="AK59">
        <v>0</v>
      </c>
      <c r="AL59">
        <v>0</v>
      </c>
    </row>
    <row r="60" spans="1:38" x14ac:dyDescent="0.3">
      <c r="A60" t="s">
        <v>84</v>
      </c>
      <c r="B60">
        <v>1978</v>
      </c>
      <c r="C60">
        <v>4</v>
      </c>
      <c r="D60" t="s">
        <v>182</v>
      </c>
      <c r="E60">
        <v>1985.04</v>
      </c>
      <c r="F60">
        <v>904</v>
      </c>
      <c r="G60">
        <v>51.33</v>
      </c>
      <c r="H60">
        <v>169.7</v>
      </c>
      <c r="I60">
        <v>44.5</v>
      </c>
      <c r="J60">
        <v>147.11000000000001</v>
      </c>
      <c r="K60">
        <v>168</v>
      </c>
      <c r="T60">
        <v>5</v>
      </c>
      <c r="U60">
        <v>2</v>
      </c>
      <c r="V60" t="s">
        <v>94</v>
      </c>
      <c r="W60">
        <v>169</v>
      </c>
      <c r="X60">
        <v>14</v>
      </c>
      <c r="Y60">
        <v>13</v>
      </c>
      <c r="Z60" t="s">
        <v>184</v>
      </c>
      <c r="AA60" t="s">
        <v>185</v>
      </c>
      <c r="AB60" t="s">
        <v>89</v>
      </c>
      <c r="AC60" t="s">
        <v>90</v>
      </c>
      <c r="AD60" t="s">
        <v>91</v>
      </c>
      <c r="AE60" t="s">
        <v>92</v>
      </c>
      <c r="AG60" t="s">
        <v>186</v>
      </c>
      <c r="AH60">
        <v>0</v>
      </c>
      <c r="AI60">
        <v>176</v>
      </c>
      <c r="AJ60">
        <v>13</v>
      </c>
      <c r="AK60">
        <v>0</v>
      </c>
      <c r="AL60">
        <v>0</v>
      </c>
    </row>
    <row r="61" spans="1:38" x14ac:dyDescent="0.3">
      <c r="A61" t="s">
        <v>84</v>
      </c>
      <c r="B61">
        <v>112467</v>
      </c>
      <c r="C61">
        <v>1</v>
      </c>
      <c r="D61" t="s">
        <v>188</v>
      </c>
      <c r="E61">
        <v>2014.11</v>
      </c>
      <c r="F61">
        <v>90</v>
      </c>
      <c r="G61">
        <v>6.36</v>
      </c>
      <c r="H61">
        <v>21.04</v>
      </c>
      <c r="I61">
        <v>4.08</v>
      </c>
      <c r="J61">
        <v>13.52</v>
      </c>
      <c r="K61">
        <v>72</v>
      </c>
      <c r="T61">
        <v>1</v>
      </c>
      <c r="U61">
        <v>1</v>
      </c>
      <c r="V61" t="s">
        <v>128</v>
      </c>
      <c r="W61" t="s">
        <v>189</v>
      </c>
      <c r="X61">
        <v>7</v>
      </c>
      <c r="Y61">
        <v>7</v>
      </c>
      <c r="Z61" t="s">
        <v>190</v>
      </c>
      <c r="AA61" t="s">
        <v>191</v>
      </c>
      <c r="AB61" t="s">
        <v>89</v>
      </c>
      <c r="AC61" t="s">
        <v>90</v>
      </c>
      <c r="AD61" t="s">
        <v>91</v>
      </c>
      <c r="AE61" t="s">
        <v>92</v>
      </c>
      <c r="AG61" t="s">
        <v>192</v>
      </c>
      <c r="AH61">
        <v>0</v>
      </c>
      <c r="AI61">
        <v>448</v>
      </c>
      <c r="AJ61">
        <v>64</v>
      </c>
      <c r="AK61">
        <v>34</v>
      </c>
      <c r="AL61">
        <v>0.38</v>
      </c>
    </row>
    <row r="62" spans="1:38" x14ac:dyDescent="0.3">
      <c r="A62" t="s">
        <v>84</v>
      </c>
      <c r="B62">
        <v>112467</v>
      </c>
      <c r="C62">
        <v>2</v>
      </c>
      <c r="D62" t="s">
        <v>188</v>
      </c>
      <c r="E62">
        <v>2014.11</v>
      </c>
      <c r="F62">
        <v>90</v>
      </c>
      <c r="G62">
        <v>6.64</v>
      </c>
      <c r="H62">
        <v>21.96</v>
      </c>
      <c r="I62">
        <v>4.26</v>
      </c>
      <c r="J62">
        <v>14.11</v>
      </c>
      <c r="K62">
        <v>12</v>
      </c>
      <c r="T62">
        <v>1</v>
      </c>
      <c r="U62">
        <v>1</v>
      </c>
      <c r="V62" t="s">
        <v>128</v>
      </c>
      <c r="W62">
        <v>21</v>
      </c>
      <c r="X62">
        <v>7</v>
      </c>
      <c r="Y62">
        <v>7</v>
      </c>
      <c r="Z62" t="s">
        <v>190</v>
      </c>
      <c r="AA62" t="s">
        <v>191</v>
      </c>
      <c r="AB62" t="s">
        <v>89</v>
      </c>
      <c r="AC62" t="s">
        <v>90</v>
      </c>
      <c r="AD62" t="s">
        <v>91</v>
      </c>
      <c r="AE62" t="s">
        <v>92</v>
      </c>
      <c r="AG62" t="s">
        <v>192</v>
      </c>
      <c r="AH62">
        <v>0</v>
      </c>
      <c r="AI62">
        <v>448</v>
      </c>
      <c r="AJ62">
        <v>64</v>
      </c>
      <c r="AK62">
        <v>34</v>
      </c>
      <c r="AL62">
        <v>0.38</v>
      </c>
    </row>
    <row r="63" spans="1:38" x14ac:dyDescent="0.3">
      <c r="A63" t="s">
        <v>84</v>
      </c>
      <c r="B63">
        <v>112467</v>
      </c>
      <c r="C63">
        <v>3</v>
      </c>
      <c r="D63" t="s">
        <v>188</v>
      </c>
      <c r="E63">
        <v>2014.11</v>
      </c>
      <c r="F63">
        <v>90</v>
      </c>
      <c r="G63">
        <v>6.36</v>
      </c>
      <c r="H63">
        <v>21.05</v>
      </c>
      <c r="I63">
        <v>4.08</v>
      </c>
      <c r="J63">
        <v>13.52</v>
      </c>
      <c r="K63">
        <v>6</v>
      </c>
      <c r="T63">
        <v>1</v>
      </c>
      <c r="U63">
        <v>1</v>
      </c>
      <c r="V63" t="s">
        <v>128</v>
      </c>
      <c r="W63" t="s">
        <v>193</v>
      </c>
      <c r="X63">
        <v>7</v>
      </c>
      <c r="Y63">
        <v>7</v>
      </c>
      <c r="Z63" t="s">
        <v>190</v>
      </c>
      <c r="AA63" t="s">
        <v>191</v>
      </c>
      <c r="AB63" t="s">
        <v>89</v>
      </c>
      <c r="AC63" t="s">
        <v>90</v>
      </c>
      <c r="AD63" t="s">
        <v>91</v>
      </c>
      <c r="AE63" t="s">
        <v>92</v>
      </c>
      <c r="AG63" t="s">
        <v>192</v>
      </c>
      <c r="AH63">
        <v>0</v>
      </c>
      <c r="AI63">
        <v>448</v>
      </c>
      <c r="AJ63">
        <v>64</v>
      </c>
      <c r="AK63">
        <v>34</v>
      </c>
      <c r="AL63">
        <v>0.38</v>
      </c>
    </row>
    <row r="64" spans="1:38" x14ac:dyDescent="0.3">
      <c r="A64" t="s">
        <v>84</v>
      </c>
      <c r="B64">
        <v>102646</v>
      </c>
      <c r="C64">
        <v>1</v>
      </c>
      <c r="D64" t="s">
        <v>194</v>
      </c>
      <c r="E64">
        <v>2010.03</v>
      </c>
      <c r="F64">
        <v>52</v>
      </c>
      <c r="G64">
        <v>24.24</v>
      </c>
      <c r="H64">
        <v>80.16</v>
      </c>
      <c r="I64">
        <v>19.53</v>
      </c>
      <c r="J64">
        <v>64.569999999999993</v>
      </c>
      <c r="K64">
        <v>38</v>
      </c>
      <c r="T64">
        <v>3</v>
      </c>
      <c r="U64">
        <v>2</v>
      </c>
      <c r="V64" t="s">
        <v>94</v>
      </c>
      <c r="W64">
        <v>80</v>
      </c>
      <c r="X64">
        <v>14</v>
      </c>
      <c r="Y64">
        <v>12</v>
      </c>
      <c r="Z64" t="s">
        <v>195</v>
      </c>
      <c r="AA64" t="s">
        <v>196</v>
      </c>
      <c r="AB64" t="s">
        <v>89</v>
      </c>
      <c r="AC64" t="s">
        <v>90</v>
      </c>
      <c r="AD64" t="s">
        <v>91</v>
      </c>
      <c r="AE64" t="s">
        <v>92</v>
      </c>
      <c r="AG64" t="s">
        <v>197</v>
      </c>
      <c r="AH64">
        <v>0</v>
      </c>
      <c r="AI64">
        <v>246</v>
      </c>
      <c r="AJ64">
        <v>27</v>
      </c>
      <c r="AK64">
        <v>52</v>
      </c>
      <c r="AL64">
        <v>1</v>
      </c>
    </row>
    <row r="65" spans="1:38" x14ac:dyDescent="0.3">
      <c r="A65" t="s">
        <v>84</v>
      </c>
      <c r="B65">
        <v>102646</v>
      </c>
      <c r="C65">
        <v>2</v>
      </c>
      <c r="D65" t="s">
        <v>194</v>
      </c>
      <c r="E65">
        <v>2010.03</v>
      </c>
      <c r="F65">
        <v>52</v>
      </c>
      <c r="G65">
        <v>29.03</v>
      </c>
      <c r="H65">
        <v>95.98</v>
      </c>
      <c r="I65">
        <v>23.54</v>
      </c>
      <c r="J65">
        <v>77.84</v>
      </c>
      <c r="K65">
        <v>14</v>
      </c>
      <c r="T65">
        <v>3</v>
      </c>
      <c r="U65">
        <v>2</v>
      </c>
      <c r="V65" t="s">
        <v>94</v>
      </c>
      <c r="W65">
        <v>95</v>
      </c>
      <c r="X65">
        <v>14</v>
      </c>
      <c r="Y65">
        <v>12</v>
      </c>
      <c r="Z65" t="s">
        <v>195</v>
      </c>
      <c r="AA65" t="s">
        <v>196</v>
      </c>
      <c r="AB65" t="s">
        <v>89</v>
      </c>
      <c r="AC65" t="s">
        <v>90</v>
      </c>
      <c r="AD65" t="s">
        <v>91</v>
      </c>
      <c r="AE65" t="s">
        <v>92</v>
      </c>
      <c r="AG65" t="s">
        <v>197</v>
      </c>
      <c r="AH65">
        <v>0</v>
      </c>
      <c r="AI65">
        <v>246</v>
      </c>
      <c r="AJ65">
        <v>27</v>
      </c>
      <c r="AK65">
        <v>52</v>
      </c>
      <c r="AL65">
        <v>1</v>
      </c>
    </row>
    <row r="66" spans="1:38" x14ac:dyDescent="0.3">
      <c r="A66" t="s">
        <v>84</v>
      </c>
      <c r="B66">
        <v>14854</v>
      </c>
      <c r="C66">
        <v>1</v>
      </c>
      <c r="D66" t="s">
        <v>198</v>
      </c>
      <c r="E66">
        <v>1985.08</v>
      </c>
      <c r="F66">
        <v>50</v>
      </c>
      <c r="G66">
        <v>20.89</v>
      </c>
      <c r="H66">
        <v>69.08</v>
      </c>
      <c r="I66">
        <v>15.76</v>
      </c>
      <c r="J66">
        <v>52.11</v>
      </c>
      <c r="K66">
        <v>30</v>
      </c>
      <c r="T66">
        <v>3</v>
      </c>
      <c r="U66">
        <v>1</v>
      </c>
      <c r="V66" t="s">
        <v>94</v>
      </c>
      <c r="W66">
        <v>69</v>
      </c>
      <c r="X66">
        <v>5</v>
      </c>
      <c r="Y66">
        <v>5</v>
      </c>
      <c r="Z66" t="s">
        <v>199</v>
      </c>
      <c r="AA66" t="s">
        <v>200</v>
      </c>
      <c r="AB66" t="s">
        <v>89</v>
      </c>
      <c r="AC66" t="s">
        <v>90</v>
      </c>
      <c r="AD66" t="s">
        <v>91</v>
      </c>
      <c r="AE66" t="s">
        <v>92</v>
      </c>
      <c r="AG66" t="s">
        <v>201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84</v>
      </c>
      <c r="B67">
        <v>14854</v>
      </c>
      <c r="C67">
        <v>2</v>
      </c>
      <c r="D67" t="s">
        <v>198</v>
      </c>
      <c r="E67">
        <v>1985.08</v>
      </c>
      <c r="F67">
        <v>50</v>
      </c>
      <c r="G67">
        <v>21.77</v>
      </c>
      <c r="H67">
        <v>71.97</v>
      </c>
      <c r="I67">
        <v>16.38</v>
      </c>
      <c r="J67">
        <v>54.18</v>
      </c>
      <c r="K67">
        <v>10</v>
      </c>
      <c r="T67">
        <v>3</v>
      </c>
      <c r="U67">
        <v>1</v>
      </c>
      <c r="V67" t="s">
        <v>94</v>
      </c>
      <c r="W67">
        <v>71</v>
      </c>
      <c r="X67">
        <v>5</v>
      </c>
      <c r="Y67">
        <v>5</v>
      </c>
      <c r="Z67" t="s">
        <v>199</v>
      </c>
      <c r="AA67" t="s">
        <v>200</v>
      </c>
      <c r="AB67" t="s">
        <v>89</v>
      </c>
      <c r="AC67" t="s">
        <v>90</v>
      </c>
      <c r="AD67" t="s">
        <v>91</v>
      </c>
      <c r="AE67" t="s">
        <v>92</v>
      </c>
      <c r="AG67" t="s">
        <v>201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84</v>
      </c>
      <c r="B68">
        <v>14854</v>
      </c>
      <c r="C68">
        <v>3</v>
      </c>
      <c r="D68" t="s">
        <v>198</v>
      </c>
      <c r="E68">
        <v>1985.08</v>
      </c>
      <c r="F68">
        <v>50</v>
      </c>
      <c r="G68">
        <v>25.25</v>
      </c>
      <c r="H68">
        <v>83.49</v>
      </c>
      <c r="I68">
        <v>19.32</v>
      </c>
      <c r="J68">
        <v>63.9</v>
      </c>
      <c r="K68">
        <v>10</v>
      </c>
      <c r="T68">
        <v>3</v>
      </c>
      <c r="U68">
        <v>1</v>
      </c>
      <c r="V68" t="s">
        <v>94</v>
      </c>
      <c r="W68">
        <v>83</v>
      </c>
      <c r="X68">
        <v>5</v>
      </c>
      <c r="Y68">
        <v>5</v>
      </c>
      <c r="Z68" t="s">
        <v>199</v>
      </c>
      <c r="AA68" t="s">
        <v>200</v>
      </c>
      <c r="AB68" t="s">
        <v>89</v>
      </c>
      <c r="AC68" t="s">
        <v>90</v>
      </c>
      <c r="AD68" t="s">
        <v>91</v>
      </c>
      <c r="AE68" t="s">
        <v>92</v>
      </c>
      <c r="AG68" t="s">
        <v>201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84</v>
      </c>
      <c r="B69">
        <v>10281</v>
      </c>
      <c r="C69">
        <v>1</v>
      </c>
      <c r="D69" t="s">
        <v>202</v>
      </c>
      <c r="E69">
        <v>2000.1</v>
      </c>
      <c r="F69">
        <v>160</v>
      </c>
      <c r="G69">
        <v>28.12</v>
      </c>
      <c r="H69">
        <v>92.99</v>
      </c>
      <c r="I69">
        <v>20.41</v>
      </c>
      <c r="J69">
        <v>67.48</v>
      </c>
      <c r="K69">
        <v>16</v>
      </c>
      <c r="T69">
        <v>2</v>
      </c>
      <c r="U69">
        <v>2</v>
      </c>
      <c r="V69" t="s">
        <v>128</v>
      </c>
      <c r="W69">
        <v>92</v>
      </c>
      <c r="X69">
        <v>20</v>
      </c>
      <c r="Y69">
        <v>20</v>
      </c>
      <c r="Z69" t="s">
        <v>203</v>
      </c>
      <c r="AA69" t="s">
        <v>204</v>
      </c>
      <c r="AB69" t="s">
        <v>89</v>
      </c>
      <c r="AC69" t="s">
        <v>90</v>
      </c>
      <c r="AD69" t="s">
        <v>91</v>
      </c>
      <c r="AE69" t="s">
        <v>92</v>
      </c>
      <c r="AG69" t="s">
        <v>205</v>
      </c>
      <c r="AH69">
        <v>0</v>
      </c>
      <c r="AI69">
        <v>803</v>
      </c>
      <c r="AJ69">
        <v>66</v>
      </c>
      <c r="AK69">
        <v>251</v>
      </c>
      <c r="AL69">
        <v>1.57</v>
      </c>
    </row>
    <row r="70" spans="1:38" x14ac:dyDescent="0.3">
      <c r="A70" t="s">
        <v>84</v>
      </c>
      <c r="B70">
        <v>10281</v>
      </c>
      <c r="C70">
        <v>2</v>
      </c>
      <c r="D70" t="s">
        <v>202</v>
      </c>
      <c r="E70">
        <v>2000.1</v>
      </c>
      <c r="F70">
        <v>160</v>
      </c>
      <c r="G70">
        <v>35.4</v>
      </c>
      <c r="H70">
        <v>117.03</v>
      </c>
      <c r="I70">
        <v>25.69</v>
      </c>
      <c r="J70">
        <v>84.93</v>
      </c>
      <c r="K70">
        <v>96</v>
      </c>
      <c r="T70">
        <v>3</v>
      </c>
      <c r="U70">
        <v>2</v>
      </c>
      <c r="V70" t="s">
        <v>128</v>
      </c>
      <c r="W70">
        <v>117</v>
      </c>
      <c r="X70">
        <v>20</v>
      </c>
      <c r="Y70">
        <v>20</v>
      </c>
      <c r="Z70" t="s">
        <v>203</v>
      </c>
      <c r="AA70" t="s">
        <v>204</v>
      </c>
      <c r="AB70" t="s">
        <v>89</v>
      </c>
      <c r="AC70" t="s">
        <v>90</v>
      </c>
      <c r="AD70" t="s">
        <v>91</v>
      </c>
      <c r="AE70" t="s">
        <v>92</v>
      </c>
      <c r="AG70" t="s">
        <v>205</v>
      </c>
      <c r="AH70">
        <v>0</v>
      </c>
      <c r="AI70">
        <v>803</v>
      </c>
      <c r="AJ70">
        <v>66</v>
      </c>
      <c r="AK70">
        <v>251</v>
      </c>
      <c r="AL70">
        <v>1.57</v>
      </c>
    </row>
    <row r="71" spans="1:38" x14ac:dyDescent="0.3">
      <c r="A71" t="s">
        <v>84</v>
      </c>
      <c r="B71">
        <v>10281</v>
      </c>
      <c r="C71">
        <v>3</v>
      </c>
      <c r="D71" t="s">
        <v>202</v>
      </c>
      <c r="E71">
        <v>2000.1</v>
      </c>
      <c r="F71">
        <v>160</v>
      </c>
      <c r="G71">
        <v>49.8</v>
      </c>
      <c r="H71">
        <v>164.65</v>
      </c>
      <c r="I71">
        <v>36.14</v>
      </c>
      <c r="J71">
        <v>119.48</v>
      </c>
      <c r="K71">
        <v>16</v>
      </c>
      <c r="T71">
        <v>4</v>
      </c>
      <c r="U71">
        <v>2</v>
      </c>
      <c r="V71" t="s">
        <v>128</v>
      </c>
      <c r="W71">
        <v>164</v>
      </c>
      <c r="X71">
        <v>20</v>
      </c>
      <c r="Y71">
        <v>20</v>
      </c>
      <c r="Z71" t="s">
        <v>203</v>
      </c>
      <c r="AA71" t="s">
        <v>204</v>
      </c>
      <c r="AB71" t="s">
        <v>89</v>
      </c>
      <c r="AC71" t="s">
        <v>90</v>
      </c>
      <c r="AD71" t="s">
        <v>91</v>
      </c>
      <c r="AE71" t="s">
        <v>92</v>
      </c>
      <c r="AG71" t="s">
        <v>205</v>
      </c>
      <c r="AH71">
        <v>0</v>
      </c>
      <c r="AI71">
        <v>803</v>
      </c>
      <c r="AJ71">
        <v>66</v>
      </c>
      <c r="AK71">
        <v>251</v>
      </c>
      <c r="AL71">
        <v>1.57</v>
      </c>
    </row>
    <row r="72" spans="1:38" x14ac:dyDescent="0.3">
      <c r="A72" t="s">
        <v>84</v>
      </c>
      <c r="B72">
        <v>10281</v>
      </c>
      <c r="C72">
        <v>4</v>
      </c>
      <c r="D72" t="s">
        <v>202</v>
      </c>
      <c r="E72">
        <v>2000.1</v>
      </c>
      <c r="F72">
        <v>160</v>
      </c>
      <c r="G72">
        <v>52.32</v>
      </c>
      <c r="H72">
        <v>172.96</v>
      </c>
      <c r="I72">
        <v>37.96</v>
      </c>
      <c r="J72">
        <v>125.51</v>
      </c>
      <c r="K72">
        <v>16</v>
      </c>
      <c r="T72">
        <v>4</v>
      </c>
      <c r="U72">
        <v>2</v>
      </c>
      <c r="V72" t="s">
        <v>128</v>
      </c>
      <c r="W72" t="s">
        <v>206</v>
      </c>
      <c r="X72">
        <v>20</v>
      </c>
      <c r="Y72">
        <v>20</v>
      </c>
      <c r="Z72" t="s">
        <v>203</v>
      </c>
      <c r="AA72" t="s">
        <v>204</v>
      </c>
      <c r="AB72" t="s">
        <v>89</v>
      </c>
      <c r="AC72" t="s">
        <v>90</v>
      </c>
      <c r="AD72" t="s">
        <v>91</v>
      </c>
      <c r="AE72" t="s">
        <v>92</v>
      </c>
      <c r="AG72" t="s">
        <v>205</v>
      </c>
      <c r="AH72">
        <v>0</v>
      </c>
      <c r="AI72">
        <v>803</v>
      </c>
      <c r="AJ72">
        <v>66</v>
      </c>
      <c r="AK72">
        <v>251</v>
      </c>
      <c r="AL72">
        <v>1.57</v>
      </c>
    </row>
    <row r="73" spans="1:38" x14ac:dyDescent="0.3">
      <c r="A73" t="s">
        <v>84</v>
      </c>
      <c r="B73">
        <v>10281</v>
      </c>
      <c r="C73">
        <v>5</v>
      </c>
      <c r="D73" t="s">
        <v>202</v>
      </c>
      <c r="E73">
        <v>2000.1</v>
      </c>
      <c r="F73">
        <v>160</v>
      </c>
      <c r="G73">
        <v>52.42</v>
      </c>
      <c r="H73">
        <v>173.31</v>
      </c>
      <c r="I73">
        <v>38.04</v>
      </c>
      <c r="J73">
        <v>125.77</v>
      </c>
      <c r="K73">
        <v>16</v>
      </c>
      <c r="T73">
        <v>4</v>
      </c>
      <c r="U73">
        <v>2</v>
      </c>
      <c r="V73" t="s">
        <v>94</v>
      </c>
      <c r="W73" t="s">
        <v>207</v>
      </c>
      <c r="X73">
        <v>20</v>
      </c>
      <c r="Y73">
        <v>20</v>
      </c>
      <c r="Z73" t="s">
        <v>203</v>
      </c>
      <c r="AA73" t="s">
        <v>204</v>
      </c>
      <c r="AB73" t="s">
        <v>89</v>
      </c>
      <c r="AC73" t="s">
        <v>90</v>
      </c>
      <c r="AD73" t="s">
        <v>91</v>
      </c>
      <c r="AE73" t="s">
        <v>92</v>
      </c>
      <c r="AG73" t="s">
        <v>205</v>
      </c>
      <c r="AH73">
        <v>0</v>
      </c>
      <c r="AI73">
        <v>803</v>
      </c>
      <c r="AJ73">
        <v>66</v>
      </c>
      <c r="AK73">
        <v>251</v>
      </c>
      <c r="AL73">
        <v>1.57</v>
      </c>
    </row>
    <row r="74" spans="1:38" x14ac:dyDescent="0.3">
      <c r="A74" t="s">
        <v>84</v>
      </c>
      <c r="B74">
        <v>16151</v>
      </c>
      <c r="C74">
        <v>1</v>
      </c>
      <c r="D74" t="s">
        <v>208</v>
      </c>
      <c r="E74">
        <v>1985.09</v>
      </c>
      <c r="F74">
        <v>60</v>
      </c>
      <c r="G74">
        <v>46.42</v>
      </c>
      <c r="H74">
        <v>153.46</v>
      </c>
      <c r="I74">
        <v>39.57</v>
      </c>
      <c r="J74">
        <v>130.81</v>
      </c>
      <c r="K74">
        <v>23</v>
      </c>
      <c r="T74">
        <v>4</v>
      </c>
      <c r="U74">
        <v>2</v>
      </c>
      <c r="V74" t="s">
        <v>94</v>
      </c>
      <c r="W74" t="s">
        <v>209</v>
      </c>
      <c r="X74">
        <v>3</v>
      </c>
      <c r="Y74">
        <v>3</v>
      </c>
      <c r="Z74" t="s">
        <v>210</v>
      </c>
      <c r="AA74" t="s">
        <v>211</v>
      </c>
      <c r="AB74" t="s">
        <v>89</v>
      </c>
      <c r="AC74" t="s">
        <v>90</v>
      </c>
      <c r="AD74" t="s">
        <v>91</v>
      </c>
      <c r="AE74" t="s">
        <v>92</v>
      </c>
      <c r="AG74" t="s">
        <v>212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84</v>
      </c>
      <c r="B75">
        <v>16151</v>
      </c>
      <c r="C75">
        <v>2</v>
      </c>
      <c r="D75" t="s">
        <v>208</v>
      </c>
      <c r="E75">
        <v>1985.09</v>
      </c>
      <c r="F75">
        <v>60</v>
      </c>
      <c r="G75">
        <v>46.42</v>
      </c>
      <c r="H75">
        <v>153.47</v>
      </c>
      <c r="I75">
        <v>39.57</v>
      </c>
      <c r="J75">
        <v>130.81</v>
      </c>
      <c r="K75">
        <v>1</v>
      </c>
      <c r="T75">
        <v>4</v>
      </c>
      <c r="U75">
        <v>2</v>
      </c>
      <c r="V75" t="s">
        <v>94</v>
      </c>
      <c r="W75" t="s">
        <v>213</v>
      </c>
      <c r="X75">
        <v>3</v>
      </c>
      <c r="Y75">
        <v>3</v>
      </c>
      <c r="Z75" t="s">
        <v>210</v>
      </c>
      <c r="AA75" t="s">
        <v>211</v>
      </c>
      <c r="AB75" t="s">
        <v>89</v>
      </c>
      <c r="AC75" t="s">
        <v>90</v>
      </c>
      <c r="AD75" t="s">
        <v>91</v>
      </c>
      <c r="AE75" t="s">
        <v>92</v>
      </c>
      <c r="AG75" t="s">
        <v>212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84</v>
      </c>
      <c r="B76">
        <v>16151</v>
      </c>
      <c r="C76">
        <v>3</v>
      </c>
      <c r="D76" t="s">
        <v>208</v>
      </c>
      <c r="E76">
        <v>1985.09</v>
      </c>
      <c r="F76">
        <v>60</v>
      </c>
      <c r="G76">
        <v>50.36</v>
      </c>
      <c r="H76">
        <v>166.5</v>
      </c>
      <c r="I76">
        <v>39.57</v>
      </c>
      <c r="J76">
        <v>130.81</v>
      </c>
      <c r="K76">
        <v>17</v>
      </c>
      <c r="T76">
        <v>4</v>
      </c>
      <c r="U76">
        <v>2</v>
      </c>
      <c r="V76" t="s">
        <v>94</v>
      </c>
      <c r="W76" t="s">
        <v>214</v>
      </c>
      <c r="X76">
        <v>3</v>
      </c>
      <c r="Y76">
        <v>3</v>
      </c>
      <c r="Z76" t="s">
        <v>210</v>
      </c>
      <c r="AA76" t="s">
        <v>211</v>
      </c>
      <c r="AB76" t="s">
        <v>89</v>
      </c>
      <c r="AC76" t="s">
        <v>90</v>
      </c>
      <c r="AD76" t="s">
        <v>91</v>
      </c>
      <c r="AE76" t="s">
        <v>92</v>
      </c>
      <c r="AG76" t="s">
        <v>212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84</v>
      </c>
      <c r="B77">
        <v>16151</v>
      </c>
      <c r="C77">
        <v>4</v>
      </c>
      <c r="D77" t="s">
        <v>208</v>
      </c>
      <c r="E77">
        <v>1985.09</v>
      </c>
      <c r="F77">
        <v>60</v>
      </c>
      <c r="G77">
        <v>50.37</v>
      </c>
      <c r="H77">
        <v>166.52</v>
      </c>
      <c r="I77">
        <v>39.57</v>
      </c>
      <c r="J77">
        <v>130.81</v>
      </c>
      <c r="K77">
        <v>1</v>
      </c>
      <c r="T77">
        <v>4</v>
      </c>
      <c r="U77">
        <v>2</v>
      </c>
      <c r="V77" t="s">
        <v>94</v>
      </c>
      <c r="W77" t="s">
        <v>215</v>
      </c>
      <c r="X77">
        <v>3</v>
      </c>
      <c r="Y77">
        <v>3</v>
      </c>
      <c r="Z77" t="s">
        <v>210</v>
      </c>
      <c r="AA77" t="s">
        <v>211</v>
      </c>
      <c r="AB77" t="s">
        <v>89</v>
      </c>
      <c r="AC77" t="s">
        <v>90</v>
      </c>
      <c r="AD77" t="s">
        <v>91</v>
      </c>
      <c r="AE77" t="s">
        <v>92</v>
      </c>
      <c r="AG77" t="s">
        <v>212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84</v>
      </c>
      <c r="B78">
        <v>16151</v>
      </c>
      <c r="C78">
        <v>5</v>
      </c>
      <c r="D78" t="s">
        <v>208</v>
      </c>
      <c r="E78">
        <v>1985.09</v>
      </c>
      <c r="F78">
        <v>60</v>
      </c>
      <c r="G78">
        <v>52.77</v>
      </c>
      <c r="H78">
        <v>174.45</v>
      </c>
      <c r="I78">
        <v>43.72</v>
      </c>
      <c r="J78">
        <v>144.54</v>
      </c>
      <c r="K78">
        <v>2</v>
      </c>
      <c r="T78">
        <v>5</v>
      </c>
      <c r="U78">
        <v>2</v>
      </c>
      <c r="V78" t="s">
        <v>94</v>
      </c>
      <c r="W78" t="s">
        <v>216</v>
      </c>
      <c r="X78">
        <v>3</v>
      </c>
      <c r="Y78">
        <v>3</v>
      </c>
      <c r="Z78" t="s">
        <v>210</v>
      </c>
      <c r="AA78" t="s">
        <v>211</v>
      </c>
      <c r="AB78" t="s">
        <v>89</v>
      </c>
      <c r="AC78" t="s">
        <v>90</v>
      </c>
      <c r="AD78" t="s">
        <v>91</v>
      </c>
      <c r="AE78" t="s">
        <v>92</v>
      </c>
      <c r="AG78" t="s">
        <v>212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84</v>
      </c>
      <c r="B79">
        <v>16151</v>
      </c>
      <c r="C79">
        <v>6</v>
      </c>
      <c r="D79" t="s">
        <v>208</v>
      </c>
      <c r="E79">
        <v>1985.09</v>
      </c>
      <c r="F79">
        <v>60</v>
      </c>
      <c r="G79">
        <v>53.21</v>
      </c>
      <c r="H79">
        <v>175.92</v>
      </c>
      <c r="I79">
        <v>43.72</v>
      </c>
      <c r="J79">
        <v>144.54</v>
      </c>
      <c r="K79">
        <v>2</v>
      </c>
      <c r="T79">
        <v>5</v>
      </c>
      <c r="U79">
        <v>3</v>
      </c>
      <c r="V79" t="s">
        <v>94</v>
      </c>
      <c r="W79" t="s">
        <v>217</v>
      </c>
      <c r="X79">
        <v>3</v>
      </c>
      <c r="Y79">
        <v>3</v>
      </c>
      <c r="Z79" t="s">
        <v>210</v>
      </c>
      <c r="AA79" t="s">
        <v>211</v>
      </c>
      <c r="AB79" t="s">
        <v>89</v>
      </c>
      <c r="AC79" t="s">
        <v>90</v>
      </c>
      <c r="AD79" t="s">
        <v>91</v>
      </c>
      <c r="AE79" t="s">
        <v>92</v>
      </c>
      <c r="AG79" t="s">
        <v>212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84</v>
      </c>
      <c r="B80">
        <v>16151</v>
      </c>
      <c r="C80">
        <v>7</v>
      </c>
      <c r="D80" t="s">
        <v>208</v>
      </c>
      <c r="E80">
        <v>1985.09</v>
      </c>
      <c r="F80">
        <v>60</v>
      </c>
      <c r="G80">
        <v>55.86</v>
      </c>
      <c r="H80">
        <v>184.68</v>
      </c>
      <c r="I80">
        <v>46.43</v>
      </c>
      <c r="J80">
        <v>153.51</v>
      </c>
      <c r="K80">
        <v>4</v>
      </c>
      <c r="T80">
        <v>5</v>
      </c>
      <c r="U80">
        <v>3</v>
      </c>
      <c r="V80" t="s">
        <v>94</v>
      </c>
      <c r="W80">
        <v>184</v>
      </c>
      <c r="X80">
        <v>3</v>
      </c>
      <c r="Y80">
        <v>3</v>
      </c>
      <c r="Z80" t="s">
        <v>210</v>
      </c>
      <c r="AA80" t="s">
        <v>211</v>
      </c>
      <c r="AB80" t="s">
        <v>89</v>
      </c>
      <c r="AC80" t="s">
        <v>90</v>
      </c>
      <c r="AD80" t="s">
        <v>91</v>
      </c>
      <c r="AE80" t="s">
        <v>92</v>
      </c>
      <c r="AG80" t="s">
        <v>212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84</v>
      </c>
      <c r="B81">
        <v>16151</v>
      </c>
      <c r="C81">
        <v>8</v>
      </c>
      <c r="D81" t="s">
        <v>208</v>
      </c>
      <c r="E81">
        <v>1985.09</v>
      </c>
      <c r="F81">
        <v>60</v>
      </c>
      <c r="G81">
        <v>56.31</v>
      </c>
      <c r="H81">
        <v>186.15</v>
      </c>
      <c r="I81">
        <v>46.43</v>
      </c>
      <c r="J81">
        <v>153.51</v>
      </c>
      <c r="K81">
        <v>4</v>
      </c>
      <c r="T81">
        <v>4</v>
      </c>
      <c r="U81">
        <v>2</v>
      </c>
      <c r="V81" t="s">
        <v>94</v>
      </c>
      <c r="W81">
        <v>186</v>
      </c>
      <c r="X81">
        <v>3</v>
      </c>
      <c r="Y81">
        <v>3</v>
      </c>
      <c r="Z81" t="s">
        <v>210</v>
      </c>
      <c r="AA81" t="s">
        <v>211</v>
      </c>
      <c r="AB81" t="s">
        <v>89</v>
      </c>
      <c r="AC81" t="s">
        <v>90</v>
      </c>
      <c r="AD81" t="s">
        <v>91</v>
      </c>
      <c r="AE81" t="s">
        <v>92</v>
      </c>
      <c r="AG81" t="s">
        <v>212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84</v>
      </c>
      <c r="B82">
        <v>16151</v>
      </c>
      <c r="C82">
        <v>9</v>
      </c>
      <c r="D82" t="s">
        <v>208</v>
      </c>
      <c r="E82">
        <v>1985.09</v>
      </c>
      <c r="F82">
        <v>60</v>
      </c>
      <c r="G82">
        <v>60.49</v>
      </c>
      <c r="H82">
        <v>199.97</v>
      </c>
      <c r="I82">
        <v>43.72</v>
      </c>
      <c r="J82">
        <v>144.54</v>
      </c>
      <c r="K82">
        <v>2</v>
      </c>
      <c r="T82">
        <v>4</v>
      </c>
      <c r="U82">
        <v>2</v>
      </c>
      <c r="V82" t="s">
        <v>94</v>
      </c>
      <c r="W82">
        <v>199</v>
      </c>
      <c r="X82">
        <v>3</v>
      </c>
      <c r="Y82">
        <v>3</v>
      </c>
      <c r="Z82" t="s">
        <v>210</v>
      </c>
      <c r="AA82" t="s">
        <v>211</v>
      </c>
      <c r="AB82" t="s">
        <v>89</v>
      </c>
      <c r="AC82" t="s">
        <v>90</v>
      </c>
      <c r="AD82" t="s">
        <v>91</v>
      </c>
      <c r="AE82" t="s">
        <v>92</v>
      </c>
      <c r="AG82" t="s">
        <v>212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84</v>
      </c>
      <c r="B83">
        <v>16151</v>
      </c>
      <c r="C83">
        <v>10</v>
      </c>
      <c r="D83" t="s">
        <v>208</v>
      </c>
      <c r="E83">
        <v>1985.09</v>
      </c>
      <c r="F83">
        <v>60</v>
      </c>
      <c r="G83">
        <v>63.83</v>
      </c>
      <c r="H83">
        <v>211.01</v>
      </c>
      <c r="I83">
        <v>46.43</v>
      </c>
      <c r="J83">
        <v>153.51</v>
      </c>
      <c r="K83">
        <v>4</v>
      </c>
      <c r="T83">
        <v>4</v>
      </c>
      <c r="U83">
        <v>2</v>
      </c>
      <c r="V83" t="s">
        <v>94</v>
      </c>
      <c r="W83">
        <v>211</v>
      </c>
      <c r="X83">
        <v>3</v>
      </c>
      <c r="Y83">
        <v>3</v>
      </c>
      <c r="Z83" t="s">
        <v>210</v>
      </c>
      <c r="AA83" t="s">
        <v>211</v>
      </c>
      <c r="AB83" t="s">
        <v>89</v>
      </c>
      <c r="AC83" t="s">
        <v>90</v>
      </c>
      <c r="AD83" t="s">
        <v>91</v>
      </c>
      <c r="AE83" t="s">
        <v>92</v>
      </c>
      <c r="AG83" t="s">
        <v>212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84</v>
      </c>
      <c r="B84">
        <v>113473</v>
      </c>
      <c r="C84">
        <v>1</v>
      </c>
      <c r="D84" t="s">
        <v>218</v>
      </c>
      <c r="E84">
        <v>1988.05</v>
      </c>
      <c r="F84">
        <v>40</v>
      </c>
      <c r="G84">
        <v>16.829999999999998</v>
      </c>
      <c r="H84">
        <v>55.66</v>
      </c>
      <c r="I84">
        <v>12.1</v>
      </c>
      <c r="J84">
        <v>40.03</v>
      </c>
      <c r="K84">
        <v>5</v>
      </c>
      <c r="T84">
        <v>2</v>
      </c>
      <c r="U84">
        <v>1</v>
      </c>
      <c r="V84" t="s">
        <v>94</v>
      </c>
      <c r="W84">
        <v>55</v>
      </c>
      <c r="X84">
        <v>5</v>
      </c>
      <c r="Y84">
        <v>5</v>
      </c>
      <c r="Z84" t="s">
        <v>219</v>
      </c>
      <c r="AA84" t="s">
        <v>220</v>
      </c>
      <c r="AB84" t="s">
        <v>89</v>
      </c>
      <c r="AC84" t="s">
        <v>90</v>
      </c>
      <c r="AD84" t="s">
        <v>91</v>
      </c>
      <c r="AE84" t="s">
        <v>92</v>
      </c>
      <c r="AG84" t="s">
        <v>221</v>
      </c>
      <c r="AH84">
        <v>0</v>
      </c>
      <c r="AI84">
        <v>181</v>
      </c>
      <c r="AJ84">
        <v>36</v>
      </c>
      <c r="AK84">
        <v>10</v>
      </c>
      <c r="AL84">
        <v>0.25</v>
      </c>
    </row>
    <row r="85" spans="1:38" x14ac:dyDescent="0.3">
      <c r="A85" t="s">
        <v>84</v>
      </c>
      <c r="B85">
        <v>113473</v>
      </c>
      <c r="C85">
        <v>2</v>
      </c>
      <c r="D85" t="s">
        <v>218</v>
      </c>
      <c r="E85">
        <v>1988.05</v>
      </c>
      <c r="F85">
        <v>40</v>
      </c>
      <c r="G85">
        <v>21.13</v>
      </c>
      <c r="H85">
        <v>69.87</v>
      </c>
      <c r="I85">
        <v>15.58</v>
      </c>
      <c r="J85">
        <v>51.51</v>
      </c>
      <c r="K85">
        <v>35</v>
      </c>
      <c r="T85">
        <v>3</v>
      </c>
      <c r="U85">
        <v>1</v>
      </c>
      <c r="V85" t="s">
        <v>94</v>
      </c>
      <c r="W85">
        <v>69</v>
      </c>
      <c r="X85">
        <v>5</v>
      </c>
      <c r="Y85">
        <v>5</v>
      </c>
      <c r="Z85" t="s">
        <v>219</v>
      </c>
      <c r="AA85" t="s">
        <v>220</v>
      </c>
      <c r="AB85" t="s">
        <v>89</v>
      </c>
      <c r="AC85" t="s">
        <v>90</v>
      </c>
      <c r="AD85" t="s">
        <v>91</v>
      </c>
      <c r="AE85" t="s">
        <v>92</v>
      </c>
      <c r="AG85" t="s">
        <v>221</v>
      </c>
      <c r="AH85">
        <v>0</v>
      </c>
      <c r="AI85">
        <v>181</v>
      </c>
      <c r="AJ85">
        <v>36</v>
      </c>
      <c r="AK85">
        <v>10</v>
      </c>
      <c r="AL85">
        <v>0.25</v>
      </c>
    </row>
    <row r="86" spans="1:38" x14ac:dyDescent="0.3">
      <c r="A86" t="s">
        <v>84</v>
      </c>
      <c r="B86">
        <v>134034</v>
      </c>
      <c r="C86">
        <v>1</v>
      </c>
      <c r="D86" t="s">
        <v>222</v>
      </c>
      <c r="E86">
        <v>2020.07</v>
      </c>
      <c r="F86">
        <v>10</v>
      </c>
      <c r="G86">
        <v>16.96</v>
      </c>
      <c r="H86">
        <v>56.07</v>
      </c>
      <c r="I86">
        <v>14.75</v>
      </c>
      <c r="J86">
        <v>48.77</v>
      </c>
      <c r="K86">
        <v>2</v>
      </c>
      <c r="T86">
        <v>2</v>
      </c>
      <c r="U86">
        <v>1</v>
      </c>
      <c r="V86" t="s">
        <v>94</v>
      </c>
      <c r="W86" t="s">
        <v>223</v>
      </c>
      <c r="X86">
        <v>7</v>
      </c>
      <c r="Y86">
        <v>6</v>
      </c>
      <c r="Z86" t="s">
        <v>224</v>
      </c>
      <c r="AA86" t="s">
        <v>225</v>
      </c>
      <c r="AB86" t="s">
        <v>89</v>
      </c>
      <c r="AC86" t="s">
        <v>90</v>
      </c>
      <c r="AD86" t="s">
        <v>91</v>
      </c>
      <c r="AE86" t="s">
        <v>92</v>
      </c>
      <c r="AG86" t="s">
        <v>226</v>
      </c>
      <c r="AH86">
        <v>0</v>
      </c>
      <c r="AI86">
        <v>299</v>
      </c>
      <c r="AJ86">
        <v>59</v>
      </c>
      <c r="AK86">
        <v>10</v>
      </c>
      <c r="AL86">
        <v>1</v>
      </c>
    </row>
    <row r="87" spans="1:38" x14ac:dyDescent="0.3">
      <c r="A87" t="s">
        <v>84</v>
      </c>
      <c r="B87">
        <v>134034</v>
      </c>
      <c r="C87">
        <v>2</v>
      </c>
      <c r="D87" t="s">
        <v>222</v>
      </c>
      <c r="E87">
        <v>2020.07</v>
      </c>
      <c r="F87">
        <v>10</v>
      </c>
      <c r="G87">
        <v>17.32</v>
      </c>
      <c r="H87">
        <v>57.26</v>
      </c>
      <c r="I87">
        <v>15.06</v>
      </c>
      <c r="J87">
        <v>49.81</v>
      </c>
      <c r="K87">
        <v>2</v>
      </c>
      <c r="T87">
        <v>2</v>
      </c>
      <c r="U87">
        <v>1</v>
      </c>
      <c r="V87" t="s">
        <v>94</v>
      </c>
      <c r="W87" t="s">
        <v>227</v>
      </c>
      <c r="X87">
        <v>7</v>
      </c>
      <c r="Y87">
        <v>6</v>
      </c>
      <c r="Z87" t="s">
        <v>224</v>
      </c>
      <c r="AA87" t="s">
        <v>225</v>
      </c>
      <c r="AB87" t="s">
        <v>89</v>
      </c>
      <c r="AC87" t="s">
        <v>90</v>
      </c>
      <c r="AD87" t="s">
        <v>91</v>
      </c>
      <c r="AE87" t="s">
        <v>92</v>
      </c>
      <c r="AG87" t="s">
        <v>226</v>
      </c>
      <c r="AH87">
        <v>0</v>
      </c>
      <c r="AI87">
        <v>299</v>
      </c>
      <c r="AJ87">
        <v>59</v>
      </c>
      <c r="AK87">
        <v>10</v>
      </c>
      <c r="AL87">
        <v>1</v>
      </c>
    </row>
    <row r="88" spans="1:38" x14ac:dyDescent="0.3">
      <c r="A88" t="s">
        <v>84</v>
      </c>
      <c r="B88">
        <v>134034</v>
      </c>
      <c r="C88">
        <v>3</v>
      </c>
      <c r="D88" t="s">
        <v>222</v>
      </c>
      <c r="E88">
        <v>2020.07</v>
      </c>
      <c r="F88">
        <v>10</v>
      </c>
      <c r="G88">
        <v>18.77</v>
      </c>
      <c r="H88">
        <v>62.07</v>
      </c>
      <c r="I88">
        <v>16.329999999999998</v>
      </c>
      <c r="J88">
        <v>53.99</v>
      </c>
      <c r="K88">
        <v>2</v>
      </c>
      <c r="T88">
        <v>2</v>
      </c>
      <c r="U88">
        <v>1</v>
      </c>
      <c r="V88" t="s">
        <v>94</v>
      </c>
      <c r="W88" t="s">
        <v>228</v>
      </c>
      <c r="X88">
        <v>7</v>
      </c>
      <c r="Y88">
        <v>6</v>
      </c>
      <c r="Z88" t="s">
        <v>224</v>
      </c>
      <c r="AA88" t="s">
        <v>225</v>
      </c>
      <c r="AB88" t="s">
        <v>89</v>
      </c>
      <c r="AC88" t="s">
        <v>90</v>
      </c>
      <c r="AD88" t="s">
        <v>91</v>
      </c>
      <c r="AE88" t="s">
        <v>92</v>
      </c>
      <c r="AG88" t="s">
        <v>226</v>
      </c>
      <c r="AH88">
        <v>0</v>
      </c>
      <c r="AI88">
        <v>299</v>
      </c>
      <c r="AJ88">
        <v>59</v>
      </c>
      <c r="AK88">
        <v>10</v>
      </c>
      <c r="AL88">
        <v>1</v>
      </c>
    </row>
    <row r="89" spans="1:38" x14ac:dyDescent="0.3">
      <c r="A89" t="s">
        <v>84</v>
      </c>
      <c r="B89">
        <v>134034</v>
      </c>
      <c r="C89">
        <v>4</v>
      </c>
      <c r="D89" t="s">
        <v>222</v>
      </c>
      <c r="E89">
        <v>2020.07</v>
      </c>
      <c r="F89">
        <v>10</v>
      </c>
      <c r="G89">
        <v>18.75</v>
      </c>
      <c r="H89">
        <v>62.01</v>
      </c>
      <c r="I89">
        <v>16.309999999999999</v>
      </c>
      <c r="J89">
        <v>53.94</v>
      </c>
      <c r="K89">
        <v>2</v>
      </c>
      <c r="T89">
        <v>2</v>
      </c>
      <c r="U89">
        <v>1</v>
      </c>
      <c r="V89" t="s">
        <v>94</v>
      </c>
      <c r="W89" t="s">
        <v>229</v>
      </c>
      <c r="X89">
        <v>7</v>
      </c>
      <c r="Y89">
        <v>6</v>
      </c>
      <c r="Z89" t="s">
        <v>224</v>
      </c>
      <c r="AA89" t="s">
        <v>225</v>
      </c>
      <c r="AB89" t="s">
        <v>89</v>
      </c>
      <c r="AC89" t="s">
        <v>90</v>
      </c>
      <c r="AD89" t="s">
        <v>91</v>
      </c>
      <c r="AE89" t="s">
        <v>92</v>
      </c>
      <c r="AG89" t="s">
        <v>226</v>
      </c>
      <c r="AH89">
        <v>0</v>
      </c>
      <c r="AI89">
        <v>299</v>
      </c>
      <c r="AJ89">
        <v>59</v>
      </c>
      <c r="AK89">
        <v>10</v>
      </c>
      <c r="AL89">
        <v>1</v>
      </c>
    </row>
    <row r="90" spans="1:38" x14ac:dyDescent="0.3">
      <c r="A90" t="s">
        <v>84</v>
      </c>
      <c r="B90">
        <v>134034</v>
      </c>
      <c r="C90">
        <v>5</v>
      </c>
      <c r="D90" t="s">
        <v>222</v>
      </c>
      <c r="E90">
        <v>2020.07</v>
      </c>
      <c r="F90">
        <v>10</v>
      </c>
      <c r="G90">
        <v>27.66</v>
      </c>
      <c r="H90">
        <v>91.44</v>
      </c>
      <c r="I90">
        <v>24.06</v>
      </c>
      <c r="J90">
        <v>79.540000000000006</v>
      </c>
      <c r="K90">
        <v>1</v>
      </c>
      <c r="T90">
        <v>3</v>
      </c>
      <c r="U90">
        <v>2</v>
      </c>
      <c r="V90" t="s">
        <v>94</v>
      </c>
      <c r="W90" t="s">
        <v>230</v>
      </c>
      <c r="X90">
        <v>7</v>
      </c>
      <c r="Y90">
        <v>6</v>
      </c>
      <c r="Z90" t="s">
        <v>224</v>
      </c>
      <c r="AA90" t="s">
        <v>225</v>
      </c>
      <c r="AB90" t="s">
        <v>89</v>
      </c>
      <c r="AC90" t="s">
        <v>90</v>
      </c>
      <c r="AD90" t="s">
        <v>91</v>
      </c>
      <c r="AE90" t="s">
        <v>92</v>
      </c>
      <c r="AG90" t="s">
        <v>226</v>
      </c>
      <c r="AH90">
        <v>0</v>
      </c>
      <c r="AI90">
        <v>299</v>
      </c>
      <c r="AJ90">
        <v>59</v>
      </c>
      <c r="AK90">
        <v>10</v>
      </c>
      <c r="AL90">
        <v>1</v>
      </c>
    </row>
    <row r="91" spans="1:38" x14ac:dyDescent="0.3">
      <c r="A91" t="s">
        <v>84</v>
      </c>
      <c r="B91">
        <v>134034</v>
      </c>
      <c r="C91">
        <v>6</v>
      </c>
      <c r="D91" t="s">
        <v>222</v>
      </c>
      <c r="E91">
        <v>2020.07</v>
      </c>
      <c r="F91">
        <v>10</v>
      </c>
      <c r="G91">
        <v>27.92</v>
      </c>
      <c r="H91">
        <v>92.3</v>
      </c>
      <c r="I91">
        <v>24.28</v>
      </c>
      <c r="J91">
        <v>80.290000000000006</v>
      </c>
      <c r="K91">
        <v>1</v>
      </c>
      <c r="T91">
        <v>3</v>
      </c>
      <c r="U91">
        <v>2</v>
      </c>
      <c r="V91" t="s">
        <v>94</v>
      </c>
      <c r="W91" t="s">
        <v>147</v>
      </c>
      <c r="X91">
        <v>7</v>
      </c>
      <c r="Y91">
        <v>6</v>
      </c>
      <c r="Z91" t="s">
        <v>224</v>
      </c>
      <c r="AA91" t="s">
        <v>225</v>
      </c>
      <c r="AB91" t="s">
        <v>89</v>
      </c>
      <c r="AC91" t="s">
        <v>90</v>
      </c>
      <c r="AD91" t="s">
        <v>91</v>
      </c>
      <c r="AE91" t="s">
        <v>92</v>
      </c>
      <c r="AG91" t="s">
        <v>226</v>
      </c>
      <c r="AH91">
        <v>0</v>
      </c>
      <c r="AI91">
        <v>299</v>
      </c>
      <c r="AJ91">
        <v>59</v>
      </c>
      <c r="AK91">
        <v>10</v>
      </c>
      <c r="AL91">
        <v>1</v>
      </c>
    </row>
    <row r="92" spans="1:38" x14ac:dyDescent="0.3">
      <c r="A92" t="s">
        <v>84</v>
      </c>
      <c r="B92">
        <v>118693</v>
      </c>
      <c r="C92">
        <v>1</v>
      </c>
      <c r="D92" t="s">
        <v>231</v>
      </c>
      <c r="E92">
        <v>2017.11</v>
      </c>
      <c r="F92">
        <v>29</v>
      </c>
      <c r="G92">
        <v>27.47</v>
      </c>
      <c r="H92">
        <v>90.82</v>
      </c>
      <c r="I92">
        <v>20.76</v>
      </c>
      <c r="J92">
        <v>68.66</v>
      </c>
      <c r="K92">
        <v>26</v>
      </c>
      <c r="T92">
        <v>3</v>
      </c>
      <c r="U92">
        <v>2</v>
      </c>
      <c r="V92" t="s">
        <v>94</v>
      </c>
      <c r="W92" t="s">
        <v>143</v>
      </c>
      <c r="X92">
        <v>9</v>
      </c>
      <c r="Y92">
        <v>8</v>
      </c>
      <c r="Z92" t="s">
        <v>232</v>
      </c>
      <c r="AA92" t="s">
        <v>233</v>
      </c>
      <c r="AB92" t="s">
        <v>89</v>
      </c>
      <c r="AC92" t="s">
        <v>90</v>
      </c>
      <c r="AD92" t="s">
        <v>91</v>
      </c>
      <c r="AE92" t="s">
        <v>92</v>
      </c>
      <c r="AG92" t="s">
        <v>234</v>
      </c>
      <c r="AH92">
        <v>0</v>
      </c>
      <c r="AI92">
        <v>270</v>
      </c>
      <c r="AJ92">
        <v>42</v>
      </c>
      <c r="AK92">
        <v>29</v>
      </c>
      <c r="AL92">
        <v>1</v>
      </c>
    </row>
    <row r="93" spans="1:38" x14ac:dyDescent="0.3">
      <c r="A93" t="s">
        <v>84</v>
      </c>
      <c r="B93">
        <v>118693</v>
      </c>
      <c r="C93">
        <v>2</v>
      </c>
      <c r="D93" t="s">
        <v>231</v>
      </c>
      <c r="E93">
        <v>2017.11</v>
      </c>
      <c r="F93">
        <v>29</v>
      </c>
      <c r="G93">
        <v>52.15</v>
      </c>
      <c r="H93">
        <v>172.4</v>
      </c>
      <c r="I93">
        <v>39.18</v>
      </c>
      <c r="J93">
        <v>129.55000000000001</v>
      </c>
      <c r="K93">
        <v>3</v>
      </c>
      <c r="T93">
        <v>5</v>
      </c>
      <c r="U93">
        <v>3</v>
      </c>
      <c r="V93" t="s">
        <v>94</v>
      </c>
      <c r="W93" t="s">
        <v>235</v>
      </c>
      <c r="X93">
        <v>9</v>
      </c>
      <c r="Y93">
        <v>8</v>
      </c>
      <c r="Z93" t="s">
        <v>232</v>
      </c>
      <c r="AA93" t="s">
        <v>233</v>
      </c>
      <c r="AB93" t="s">
        <v>89</v>
      </c>
      <c r="AC93" t="s">
        <v>90</v>
      </c>
      <c r="AD93" t="s">
        <v>91</v>
      </c>
      <c r="AE93" t="s">
        <v>92</v>
      </c>
      <c r="AG93" t="s">
        <v>234</v>
      </c>
      <c r="AH93">
        <v>0</v>
      </c>
      <c r="AI93">
        <v>270</v>
      </c>
      <c r="AJ93">
        <v>42</v>
      </c>
      <c r="AK93">
        <v>29</v>
      </c>
      <c r="AL93">
        <v>1</v>
      </c>
    </row>
    <row r="94" spans="1:38" x14ac:dyDescent="0.3">
      <c r="A94" t="s">
        <v>84</v>
      </c>
      <c r="B94">
        <v>25197</v>
      </c>
      <c r="C94">
        <v>1</v>
      </c>
      <c r="D94" t="s">
        <v>236</v>
      </c>
      <c r="E94">
        <v>1984.12</v>
      </c>
      <c r="F94">
        <v>36</v>
      </c>
      <c r="G94">
        <v>27.78</v>
      </c>
      <c r="H94">
        <v>91.86</v>
      </c>
      <c r="I94">
        <v>21.88</v>
      </c>
      <c r="J94">
        <v>72.36</v>
      </c>
      <c r="K94">
        <v>36</v>
      </c>
      <c r="T94">
        <v>3</v>
      </c>
      <c r="U94">
        <v>1</v>
      </c>
      <c r="V94" t="s">
        <v>94</v>
      </c>
      <c r="W94">
        <v>91</v>
      </c>
      <c r="X94">
        <v>6</v>
      </c>
      <c r="Y94">
        <v>6</v>
      </c>
      <c r="Z94" t="s">
        <v>237</v>
      </c>
      <c r="AA94" t="s">
        <v>238</v>
      </c>
      <c r="AB94" t="s">
        <v>89</v>
      </c>
      <c r="AC94" t="s">
        <v>90</v>
      </c>
      <c r="AD94" t="s">
        <v>91</v>
      </c>
      <c r="AE94" t="s">
        <v>92</v>
      </c>
      <c r="AG94" t="s">
        <v>239</v>
      </c>
      <c r="AH94">
        <v>0</v>
      </c>
      <c r="AI94">
        <v>0</v>
      </c>
      <c r="AJ94">
        <v>0</v>
      </c>
      <c r="AK94">
        <v>40</v>
      </c>
      <c r="AL94">
        <v>1.1100000000000001</v>
      </c>
    </row>
    <row r="95" spans="1:38" x14ac:dyDescent="0.3">
      <c r="A95" t="s">
        <v>84</v>
      </c>
      <c r="B95">
        <v>1462</v>
      </c>
      <c r="C95">
        <v>1</v>
      </c>
      <c r="D95" t="s">
        <v>240</v>
      </c>
      <c r="E95">
        <v>1993.02</v>
      </c>
      <c r="F95">
        <v>750</v>
      </c>
      <c r="G95">
        <v>16.64</v>
      </c>
      <c r="H95">
        <v>55.01</v>
      </c>
      <c r="I95">
        <v>11.97</v>
      </c>
      <c r="J95">
        <v>39.6</v>
      </c>
      <c r="K95">
        <v>310</v>
      </c>
      <c r="T95">
        <v>2</v>
      </c>
      <c r="U95">
        <v>1</v>
      </c>
      <c r="V95" t="s">
        <v>128</v>
      </c>
      <c r="W95">
        <v>55</v>
      </c>
      <c r="X95">
        <v>15</v>
      </c>
      <c r="Y95">
        <v>10</v>
      </c>
      <c r="Z95" t="s">
        <v>241</v>
      </c>
      <c r="AA95" t="s">
        <v>242</v>
      </c>
      <c r="AB95" t="s">
        <v>89</v>
      </c>
      <c r="AC95" t="s">
        <v>90</v>
      </c>
      <c r="AD95" t="s">
        <v>91</v>
      </c>
      <c r="AE95" t="s">
        <v>92</v>
      </c>
      <c r="AG95" t="s">
        <v>243</v>
      </c>
      <c r="AH95">
        <v>0</v>
      </c>
      <c r="AI95">
        <v>209</v>
      </c>
      <c r="AJ95">
        <v>21</v>
      </c>
      <c r="AK95">
        <v>460</v>
      </c>
      <c r="AL95">
        <v>0.61</v>
      </c>
    </row>
    <row r="96" spans="1:38" x14ac:dyDescent="0.3">
      <c r="A96" t="s">
        <v>84</v>
      </c>
      <c r="B96">
        <v>1462</v>
      </c>
      <c r="C96">
        <v>2</v>
      </c>
      <c r="D96" t="s">
        <v>240</v>
      </c>
      <c r="E96">
        <v>1993.02</v>
      </c>
      <c r="F96">
        <v>750</v>
      </c>
      <c r="G96">
        <v>23.24</v>
      </c>
      <c r="H96">
        <v>76.83</v>
      </c>
      <c r="I96">
        <v>18.04</v>
      </c>
      <c r="J96">
        <v>59.64</v>
      </c>
      <c r="K96">
        <v>200</v>
      </c>
      <c r="T96">
        <v>3</v>
      </c>
      <c r="U96">
        <v>1</v>
      </c>
      <c r="V96" t="s">
        <v>94</v>
      </c>
      <c r="W96">
        <v>76</v>
      </c>
      <c r="X96">
        <v>15</v>
      </c>
      <c r="Y96">
        <v>10</v>
      </c>
      <c r="Z96" t="s">
        <v>241</v>
      </c>
      <c r="AA96" t="s">
        <v>242</v>
      </c>
      <c r="AB96" t="s">
        <v>89</v>
      </c>
      <c r="AC96" t="s">
        <v>90</v>
      </c>
      <c r="AD96" t="s">
        <v>91</v>
      </c>
      <c r="AE96" t="s">
        <v>92</v>
      </c>
      <c r="AG96" t="s">
        <v>243</v>
      </c>
      <c r="AH96">
        <v>0</v>
      </c>
      <c r="AI96">
        <v>209</v>
      </c>
      <c r="AJ96">
        <v>21</v>
      </c>
      <c r="AK96">
        <v>460</v>
      </c>
      <c r="AL96">
        <v>0.61</v>
      </c>
    </row>
    <row r="97" spans="1:38" x14ac:dyDescent="0.3">
      <c r="A97" t="s">
        <v>84</v>
      </c>
      <c r="B97">
        <v>1462</v>
      </c>
      <c r="C97">
        <v>3</v>
      </c>
      <c r="D97" t="s">
        <v>240</v>
      </c>
      <c r="E97">
        <v>1993.02</v>
      </c>
      <c r="F97">
        <v>750</v>
      </c>
      <c r="G97">
        <v>29.19</v>
      </c>
      <c r="H97">
        <v>96.5</v>
      </c>
      <c r="I97">
        <v>23.9</v>
      </c>
      <c r="J97">
        <v>79.02</v>
      </c>
      <c r="K97">
        <v>240</v>
      </c>
      <c r="T97">
        <v>3</v>
      </c>
      <c r="U97">
        <v>2</v>
      </c>
      <c r="V97" t="s">
        <v>94</v>
      </c>
      <c r="W97">
        <v>96</v>
      </c>
      <c r="X97">
        <v>15</v>
      </c>
      <c r="Y97">
        <v>10</v>
      </c>
      <c r="Z97" t="s">
        <v>241</v>
      </c>
      <c r="AA97" t="s">
        <v>242</v>
      </c>
      <c r="AB97" t="s">
        <v>89</v>
      </c>
      <c r="AC97" t="s">
        <v>90</v>
      </c>
      <c r="AD97" t="s">
        <v>91</v>
      </c>
      <c r="AE97" t="s">
        <v>92</v>
      </c>
      <c r="AG97" t="s">
        <v>243</v>
      </c>
      <c r="AH97">
        <v>0</v>
      </c>
      <c r="AI97">
        <v>209</v>
      </c>
      <c r="AJ97">
        <v>21</v>
      </c>
      <c r="AK97">
        <v>460</v>
      </c>
      <c r="AL97">
        <v>0.61</v>
      </c>
    </row>
    <row r="98" spans="1:38" x14ac:dyDescent="0.3">
      <c r="A98" t="s">
        <v>84</v>
      </c>
      <c r="B98">
        <v>1975</v>
      </c>
      <c r="C98">
        <v>1</v>
      </c>
      <c r="D98" t="s">
        <v>244</v>
      </c>
      <c r="E98">
        <v>1996.02</v>
      </c>
      <c r="F98">
        <v>46</v>
      </c>
      <c r="G98">
        <v>20.62</v>
      </c>
      <c r="H98">
        <v>68.19</v>
      </c>
      <c r="I98">
        <v>17.29</v>
      </c>
      <c r="J98">
        <v>57.17</v>
      </c>
      <c r="K98">
        <v>3</v>
      </c>
      <c r="T98">
        <v>3</v>
      </c>
      <c r="U98">
        <v>1</v>
      </c>
      <c r="V98" t="s">
        <v>94</v>
      </c>
      <c r="W98" t="s">
        <v>245</v>
      </c>
      <c r="X98">
        <v>17</v>
      </c>
      <c r="Y98">
        <v>17</v>
      </c>
      <c r="Z98" t="s">
        <v>246</v>
      </c>
      <c r="AA98" t="s">
        <v>247</v>
      </c>
      <c r="AB98" t="s">
        <v>89</v>
      </c>
      <c r="AC98" t="s">
        <v>90</v>
      </c>
      <c r="AD98" t="s">
        <v>91</v>
      </c>
      <c r="AE98" t="s">
        <v>92</v>
      </c>
      <c r="AG98" t="s">
        <v>248</v>
      </c>
      <c r="AH98">
        <v>0</v>
      </c>
      <c r="AI98">
        <v>415</v>
      </c>
      <c r="AJ98">
        <v>32</v>
      </c>
      <c r="AK98">
        <v>33</v>
      </c>
      <c r="AL98">
        <v>0.72</v>
      </c>
    </row>
    <row r="99" spans="1:38" x14ac:dyDescent="0.3">
      <c r="A99" t="s">
        <v>84</v>
      </c>
      <c r="B99">
        <v>1975</v>
      </c>
      <c r="C99">
        <v>2</v>
      </c>
      <c r="D99" t="s">
        <v>244</v>
      </c>
      <c r="E99">
        <v>1996.02</v>
      </c>
      <c r="F99">
        <v>46</v>
      </c>
      <c r="G99">
        <v>20.79</v>
      </c>
      <c r="H99">
        <v>68.75</v>
      </c>
      <c r="I99">
        <v>17.43</v>
      </c>
      <c r="J99">
        <v>57.63</v>
      </c>
      <c r="K99">
        <v>3</v>
      </c>
      <c r="T99">
        <v>2</v>
      </c>
      <c r="U99">
        <v>1</v>
      </c>
      <c r="V99" t="s">
        <v>94</v>
      </c>
      <c r="W99" t="s">
        <v>249</v>
      </c>
      <c r="X99">
        <v>17</v>
      </c>
      <c r="Y99">
        <v>17</v>
      </c>
      <c r="Z99" t="s">
        <v>246</v>
      </c>
      <c r="AA99" t="s">
        <v>247</v>
      </c>
      <c r="AB99" t="s">
        <v>89</v>
      </c>
      <c r="AC99" t="s">
        <v>90</v>
      </c>
      <c r="AD99" t="s">
        <v>91</v>
      </c>
      <c r="AE99" t="s">
        <v>92</v>
      </c>
      <c r="AG99" t="s">
        <v>248</v>
      </c>
      <c r="AH99">
        <v>0</v>
      </c>
      <c r="AI99">
        <v>415</v>
      </c>
      <c r="AJ99">
        <v>32</v>
      </c>
      <c r="AK99">
        <v>33</v>
      </c>
      <c r="AL99">
        <v>0.72</v>
      </c>
    </row>
    <row r="100" spans="1:38" x14ac:dyDescent="0.3">
      <c r="A100" t="s">
        <v>84</v>
      </c>
      <c r="B100">
        <v>1975</v>
      </c>
      <c r="C100">
        <v>3</v>
      </c>
      <c r="D100" t="s">
        <v>244</v>
      </c>
      <c r="E100">
        <v>1996.02</v>
      </c>
      <c r="F100">
        <v>46</v>
      </c>
      <c r="G100">
        <v>20.83</v>
      </c>
      <c r="H100">
        <v>68.88</v>
      </c>
      <c r="I100">
        <v>17.46</v>
      </c>
      <c r="J100">
        <v>57.74</v>
      </c>
      <c r="K100">
        <v>3</v>
      </c>
      <c r="T100">
        <v>2</v>
      </c>
      <c r="U100">
        <v>1</v>
      </c>
      <c r="V100" t="s">
        <v>94</v>
      </c>
      <c r="W100" t="s">
        <v>250</v>
      </c>
      <c r="X100">
        <v>17</v>
      </c>
      <c r="Y100">
        <v>17</v>
      </c>
      <c r="Z100" t="s">
        <v>246</v>
      </c>
      <c r="AA100" t="s">
        <v>247</v>
      </c>
      <c r="AB100" t="s">
        <v>89</v>
      </c>
      <c r="AC100" t="s">
        <v>90</v>
      </c>
      <c r="AD100" t="s">
        <v>91</v>
      </c>
      <c r="AE100" t="s">
        <v>92</v>
      </c>
      <c r="AG100" t="s">
        <v>248</v>
      </c>
      <c r="AH100">
        <v>0</v>
      </c>
      <c r="AI100">
        <v>415</v>
      </c>
      <c r="AJ100">
        <v>32</v>
      </c>
      <c r="AK100">
        <v>33</v>
      </c>
      <c r="AL100">
        <v>0.72</v>
      </c>
    </row>
    <row r="101" spans="1:38" x14ac:dyDescent="0.3">
      <c r="A101" t="s">
        <v>84</v>
      </c>
      <c r="B101">
        <v>1975</v>
      </c>
      <c r="C101">
        <v>4</v>
      </c>
      <c r="D101" t="s">
        <v>244</v>
      </c>
      <c r="E101">
        <v>1996.02</v>
      </c>
      <c r="F101">
        <v>46</v>
      </c>
      <c r="G101">
        <v>21.63</v>
      </c>
      <c r="H101">
        <v>71.53</v>
      </c>
      <c r="I101">
        <v>18.13</v>
      </c>
      <c r="J101">
        <v>59.94</v>
      </c>
      <c r="K101">
        <v>11</v>
      </c>
      <c r="T101">
        <v>2</v>
      </c>
      <c r="U101">
        <v>1</v>
      </c>
      <c r="V101" t="s">
        <v>94</v>
      </c>
      <c r="W101">
        <v>71</v>
      </c>
      <c r="X101">
        <v>17</v>
      </c>
      <c r="Y101">
        <v>17</v>
      </c>
      <c r="Z101" t="s">
        <v>246</v>
      </c>
      <c r="AA101" t="s">
        <v>247</v>
      </c>
      <c r="AB101" t="s">
        <v>89</v>
      </c>
      <c r="AC101" t="s">
        <v>90</v>
      </c>
      <c r="AD101" t="s">
        <v>91</v>
      </c>
      <c r="AE101" t="s">
        <v>92</v>
      </c>
      <c r="AG101" t="s">
        <v>248</v>
      </c>
      <c r="AH101">
        <v>0</v>
      </c>
      <c r="AI101">
        <v>415</v>
      </c>
      <c r="AJ101">
        <v>32</v>
      </c>
      <c r="AK101">
        <v>33</v>
      </c>
      <c r="AL101">
        <v>0.72</v>
      </c>
    </row>
    <row r="102" spans="1:38" x14ac:dyDescent="0.3">
      <c r="A102" t="s">
        <v>84</v>
      </c>
      <c r="B102">
        <v>1975</v>
      </c>
      <c r="C102">
        <v>5</v>
      </c>
      <c r="D102" t="s">
        <v>244</v>
      </c>
      <c r="E102">
        <v>1996.02</v>
      </c>
      <c r="F102">
        <v>46</v>
      </c>
      <c r="G102">
        <v>30.37</v>
      </c>
      <c r="H102">
        <v>100.41</v>
      </c>
      <c r="I102">
        <v>25.46</v>
      </c>
      <c r="J102">
        <v>84.18</v>
      </c>
      <c r="K102">
        <v>26</v>
      </c>
      <c r="T102">
        <v>3</v>
      </c>
      <c r="U102">
        <v>2</v>
      </c>
      <c r="V102" t="s">
        <v>94</v>
      </c>
      <c r="W102">
        <v>100</v>
      </c>
      <c r="X102">
        <v>17</v>
      </c>
      <c r="Y102">
        <v>17</v>
      </c>
      <c r="Z102" t="s">
        <v>246</v>
      </c>
      <c r="AA102" t="s">
        <v>247</v>
      </c>
      <c r="AB102" t="s">
        <v>89</v>
      </c>
      <c r="AC102" t="s">
        <v>90</v>
      </c>
      <c r="AD102" t="s">
        <v>91</v>
      </c>
      <c r="AE102" t="s">
        <v>92</v>
      </c>
      <c r="AG102" t="s">
        <v>248</v>
      </c>
      <c r="AH102">
        <v>0</v>
      </c>
      <c r="AI102">
        <v>415</v>
      </c>
      <c r="AJ102">
        <v>32</v>
      </c>
      <c r="AK102">
        <v>33</v>
      </c>
      <c r="AL102">
        <v>0.72</v>
      </c>
    </row>
    <row r="103" spans="1:38" x14ac:dyDescent="0.3">
      <c r="A103" t="s">
        <v>84</v>
      </c>
      <c r="B103">
        <v>23131</v>
      </c>
      <c r="C103">
        <v>1</v>
      </c>
      <c r="D103" t="s">
        <v>251</v>
      </c>
      <c r="E103">
        <v>1998.08</v>
      </c>
      <c r="F103">
        <v>18</v>
      </c>
      <c r="G103">
        <v>30.33</v>
      </c>
      <c r="H103">
        <v>100.27</v>
      </c>
      <c r="I103">
        <v>23.48</v>
      </c>
      <c r="J103">
        <v>77.64</v>
      </c>
      <c r="K103">
        <v>6</v>
      </c>
      <c r="T103">
        <v>3</v>
      </c>
      <c r="U103">
        <v>2</v>
      </c>
      <c r="V103" t="s">
        <v>86</v>
      </c>
      <c r="W103">
        <v>100</v>
      </c>
      <c r="X103">
        <v>9</v>
      </c>
      <c r="Y103">
        <v>9</v>
      </c>
      <c r="Z103" t="s">
        <v>252</v>
      </c>
      <c r="AA103" t="s">
        <v>253</v>
      </c>
      <c r="AB103" t="s">
        <v>89</v>
      </c>
      <c r="AC103" t="s">
        <v>90</v>
      </c>
      <c r="AD103" t="s">
        <v>91</v>
      </c>
      <c r="AE103" t="s">
        <v>92</v>
      </c>
      <c r="AG103" t="s">
        <v>254</v>
      </c>
      <c r="AH103">
        <v>0</v>
      </c>
      <c r="AI103">
        <v>320</v>
      </c>
      <c r="AJ103">
        <v>57</v>
      </c>
      <c r="AK103">
        <v>24</v>
      </c>
      <c r="AL103">
        <v>1.33</v>
      </c>
    </row>
    <row r="104" spans="1:38" x14ac:dyDescent="0.3">
      <c r="A104" t="s">
        <v>84</v>
      </c>
      <c r="B104">
        <v>23131</v>
      </c>
      <c r="C104">
        <v>2</v>
      </c>
      <c r="D104" t="s">
        <v>251</v>
      </c>
      <c r="E104">
        <v>1998.08</v>
      </c>
      <c r="F104">
        <v>18</v>
      </c>
      <c r="G104">
        <v>33.04</v>
      </c>
      <c r="H104">
        <v>109.24</v>
      </c>
      <c r="I104">
        <v>25.59</v>
      </c>
      <c r="J104">
        <v>84.6</v>
      </c>
      <c r="K104">
        <v>12</v>
      </c>
      <c r="T104">
        <v>3</v>
      </c>
      <c r="U104">
        <v>2</v>
      </c>
      <c r="V104" t="s">
        <v>94</v>
      </c>
      <c r="W104">
        <v>109</v>
      </c>
      <c r="X104">
        <v>9</v>
      </c>
      <c r="Y104">
        <v>9</v>
      </c>
      <c r="Z104" t="s">
        <v>252</v>
      </c>
      <c r="AA104" t="s">
        <v>253</v>
      </c>
      <c r="AB104" t="s">
        <v>89</v>
      </c>
      <c r="AC104" t="s">
        <v>90</v>
      </c>
      <c r="AD104" t="s">
        <v>91</v>
      </c>
      <c r="AE104" t="s">
        <v>92</v>
      </c>
      <c r="AG104" t="s">
        <v>254</v>
      </c>
      <c r="AH104">
        <v>0</v>
      </c>
      <c r="AI104">
        <v>320</v>
      </c>
      <c r="AJ104">
        <v>57</v>
      </c>
      <c r="AK104">
        <v>24</v>
      </c>
      <c r="AL104">
        <v>1.33</v>
      </c>
    </row>
    <row r="105" spans="1:38" x14ac:dyDescent="0.3">
      <c r="A105" t="s">
        <v>84</v>
      </c>
      <c r="B105">
        <v>107579</v>
      </c>
      <c r="C105">
        <v>1</v>
      </c>
      <c r="D105" t="s">
        <v>255</v>
      </c>
      <c r="E105">
        <v>2016.06</v>
      </c>
      <c r="F105">
        <v>1459</v>
      </c>
      <c r="G105">
        <v>24.4</v>
      </c>
      <c r="H105">
        <v>80.69</v>
      </c>
      <c r="I105">
        <v>18.14</v>
      </c>
      <c r="J105">
        <v>59.98</v>
      </c>
      <c r="K105">
        <v>102</v>
      </c>
      <c r="T105">
        <v>3</v>
      </c>
      <c r="U105">
        <v>2</v>
      </c>
      <c r="V105" t="s">
        <v>94</v>
      </c>
      <c r="W105" t="s">
        <v>256</v>
      </c>
      <c r="X105">
        <v>32</v>
      </c>
      <c r="Y105">
        <v>26</v>
      </c>
      <c r="Z105" t="s">
        <v>257</v>
      </c>
      <c r="AA105" t="s">
        <v>258</v>
      </c>
      <c r="AB105" t="s">
        <v>89</v>
      </c>
      <c r="AC105" t="s">
        <v>90</v>
      </c>
      <c r="AD105" t="s">
        <v>91</v>
      </c>
      <c r="AE105" t="s">
        <v>92</v>
      </c>
      <c r="AG105" t="s">
        <v>259</v>
      </c>
      <c r="AH105">
        <v>0</v>
      </c>
      <c r="AI105">
        <v>249</v>
      </c>
      <c r="AJ105">
        <v>15</v>
      </c>
      <c r="AK105">
        <v>1906</v>
      </c>
      <c r="AL105">
        <v>1.31</v>
      </c>
    </row>
    <row r="106" spans="1:38" x14ac:dyDescent="0.3">
      <c r="A106" t="s">
        <v>84</v>
      </c>
      <c r="B106">
        <v>107579</v>
      </c>
      <c r="C106">
        <v>2</v>
      </c>
      <c r="D106" t="s">
        <v>255</v>
      </c>
      <c r="E106">
        <v>2016.06</v>
      </c>
      <c r="F106">
        <v>1459</v>
      </c>
      <c r="G106">
        <v>24.64</v>
      </c>
      <c r="H106">
        <v>81.48</v>
      </c>
      <c r="I106">
        <v>18.14</v>
      </c>
      <c r="J106">
        <v>59.99</v>
      </c>
      <c r="K106">
        <v>218</v>
      </c>
      <c r="T106">
        <v>3</v>
      </c>
      <c r="U106">
        <v>2</v>
      </c>
      <c r="V106" t="s">
        <v>94</v>
      </c>
      <c r="W106" t="s">
        <v>260</v>
      </c>
      <c r="X106">
        <v>32</v>
      </c>
      <c r="Y106">
        <v>26</v>
      </c>
      <c r="Z106" t="s">
        <v>257</v>
      </c>
      <c r="AA106" t="s">
        <v>258</v>
      </c>
      <c r="AB106" t="s">
        <v>89</v>
      </c>
      <c r="AC106" t="s">
        <v>90</v>
      </c>
      <c r="AD106" t="s">
        <v>91</v>
      </c>
      <c r="AE106" t="s">
        <v>92</v>
      </c>
      <c r="AG106" t="s">
        <v>259</v>
      </c>
      <c r="AH106">
        <v>0</v>
      </c>
      <c r="AI106">
        <v>249</v>
      </c>
      <c r="AJ106">
        <v>15</v>
      </c>
      <c r="AK106">
        <v>1906</v>
      </c>
      <c r="AL106">
        <v>1.31</v>
      </c>
    </row>
    <row r="107" spans="1:38" x14ac:dyDescent="0.3">
      <c r="A107" t="s">
        <v>84</v>
      </c>
      <c r="B107">
        <v>107579</v>
      </c>
      <c r="C107">
        <v>3</v>
      </c>
      <c r="D107" t="s">
        <v>255</v>
      </c>
      <c r="E107">
        <v>2016.06</v>
      </c>
      <c r="F107">
        <v>1459</v>
      </c>
      <c r="G107">
        <v>34.1</v>
      </c>
      <c r="H107">
        <v>112.75</v>
      </c>
      <c r="I107">
        <v>25.7</v>
      </c>
      <c r="J107">
        <v>84.98</v>
      </c>
      <c r="K107">
        <v>436</v>
      </c>
      <c r="T107">
        <v>3</v>
      </c>
      <c r="U107">
        <v>2</v>
      </c>
      <c r="V107" t="s">
        <v>94</v>
      </c>
      <c r="W107" t="s">
        <v>261</v>
      </c>
      <c r="X107">
        <v>32</v>
      </c>
      <c r="Y107">
        <v>26</v>
      </c>
      <c r="Z107" t="s">
        <v>257</v>
      </c>
      <c r="AA107" t="s">
        <v>258</v>
      </c>
      <c r="AB107" t="s">
        <v>89</v>
      </c>
      <c r="AC107" t="s">
        <v>90</v>
      </c>
      <c r="AD107" t="s">
        <v>91</v>
      </c>
      <c r="AE107" t="s">
        <v>92</v>
      </c>
      <c r="AG107" t="s">
        <v>259</v>
      </c>
      <c r="AH107">
        <v>0</v>
      </c>
      <c r="AI107">
        <v>249</v>
      </c>
      <c r="AJ107">
        <v>15</v>
      </c>
      <c r="AK107">
        <v>1906</v>
      </c>
      <c r="AL107">
        <v>1.31</v>
      </c>
    </row>
    <row r="108" spans="1:38" x14ac:dyDescent="0.3">
      <c r="A108" t="s">
        <v>84</v>
      </c>
      <c r="B108">
        <v>107579</v>
      </c>
      <c r="C108">
        <v>4</v>
      </c>
      <c r="D108" t="s">
        <v>255</v>
      </c>
      <c r="E108">
        <v>2016.06</v>
      </c>
      <c r="F108">
        <v>1459</v>
      </c>
      <c r="G108">
        <v>34.32</v>
      </c>
      <c r="H108">
        <v>113.46</v>
      </c>
      <c r="I108">
        <v>25.7</v>
      </c>
      <c r="J108">
        <v>84.98</v>
      </c>
      <c r="K108">
        <v>362</v>
      </c>
      <c r="T108">
        <v>3</v>
      </c>
      <c r="U108">
        <v>2</v>
      </c>
      <c r="V108" t="s">
        <v>94</v>
      </c>
      <c r="W108" t="s">
        <v>262</v>
      </c>
      <c r="X108">
        <v>32</v>
      </c>
      <c r="Y108">
        <v>26</v>
      </c>
      <c r="Z108" t="s">
        <v>257</v>
      </c>
      <c r="AA108" t="s">
        <v>258</v>
      </c>
      <c r="AB108" t="s">
        <v>89</v>
      </c>
      <c r="AC108" t="s">
        <v>90</v>
      </c>
      <c r="AD108" t="s">
        <v>91</v>
      </c>
      <c r="AE108" t="s">
        <v>92</v>
      </c>
      <c r="AG108" t="s">
        <v>259</v>
      </c>
      <c r="AH108">
        <v>0</v>
      </c>
      <c r="AI108">
        <v>249</v>
      </c>
      <c r="AJ108">
        <v>15</v>
      </c>
      <c r="AK108">
        <v>1906</v>
      </c>
      <c r="AL108">
        <v>1.31</v>
      </c>
    </row>
    <row r="109" spans="1:38" x14ac:dyDescent="0.3">
      <c r="A109" t="s">
        <v>84</v>
      </c>
      <c r="B109">
        <v>107579</v>
      </c>
      <c r="C109">
        <v>5</v>
      </c>
      <c r="D109" t="s">
        <v>255</v>
      </c>
      <c r="E109">
        <v>2016.06</v>
      </c>
      <c r="F109">
        <v>1459</v>
      </c>
      <c r="G109">
        <v>34.270000000000003</v>
      </c>
      <c r="H109">
        <v>113.3</v>
      </c>
      <c r="I109">
        <v>25.7</v>
      </c>
      <c r="J109">
        <v>84.98</v>
      </c>
      <c r="K109">
        <v>227</v>
      </c>
      <c r="T109">
        <v>3</v>
      </c>
      <c r="U109">
        <v>2</v>
      </c>
      <c r="V109" t="s">
        <v>94</v>
      </c>
      <c r="W109" t="s">
        <v>263</v>
      </c>
      <c r="X109">
        <v>32</v>
      </c>
      <c r="Y109">
        <v>26</v>
      </c>
      <c r="Z109" t="s">
        <v>257</v>
      </c>
      <c r="AA109" t="s">
        <v>258</v>
      </c>
      <c r="AB109" t="s">
        <v>89</v>
      </c>
      <c r="AC109" t="s">
        <v>90</v>
      </c>
      <c r="AD109" t="s">
        <v>91</v>
      </c>
      <c r="AE109" t="s">
        <v>92</v>
      </c>
      <c r="AG109" t="s">
        <v>259</v>
      </c>
      <c r="AH109">
        <v>0</v>
      </c>
      <c r="AI109">
        <v>249</v>
      </c>
      <c r="AJ109">
        <v>15</v>
      </c>
      <c r="AK109">
        <v>1906</v>
      </c>
      <c r="AL109">
        <v>1.31</v>
      </c>
    </row>
    <row r="110" spans="1:38" x14ac:dyDescent="0.3">
      <c r="A110" t="s">
        <v>84</v>
      </c>
      <c r="B110">
        <v>107579</v>
      </c>
      <c r="C110">
        <v>6</v>
      </c>
      <c r="D110" t="s">
        <v>255</v>
      </c>
      <c r="E110">
        <v>2016.06</v>
      </c>
      <c r="F110">
        <v>1459</v>
      </c>
      <c r="G110">
        <v>38.54</v>
      </c>
      <c r="H110">
        <v>127.43</v>
      </c>
      <c r="I110">
        <v>29.33</v>
      </c>
      <c r="J110">
        <v>96.99</v>
      </c>
      <c r="K110">
        <v>114</v>
      </c>
      <c r="T110">
        <v>4</v>
      </c>
      <c r="U110">
        <v>2</v>
      </c>
      <c r="V110" t="s">
        <v>94</v>
      </c>
      <c r="W110">
        <v>127</v>
      </c>
      <c r="X110">
        <v>32</v>
      </c>
      <c r="Y110">
        <v>26</v>
      </c>
      <c r="Z110" t="s">
        <v>257</v>
      </c>
      <c r="AA110" t="s">
        <v>258</v>
      </c>
      <c r="AB110" t="s">
        <v>89</v>
      </c>
      <c r="AC110" t="s">
        <v>90</v>
      </c>
      <c r="AD110" t="s">
        <v>91</v>
      </c>
      <c r="AE110" t="s">
        <v>92</v>
      </c>
      <c r="AG110" t="s">
        <v>259</v>
      </c>
      <c r="AH110">
        <v>0</v>
      </c>
      <c r="AI110">
        <v>249</v>
      </c>
      <c r="AJ110">
        <v>15</v>
      </c>
      <c r="AK110">
        <v>1906</v>
      </c>
      <c r="AL110">
        <v>1.31</v>
      </c>
    </row>
    <row r="111" spans="1:38" x14ac:dyDescent="0.3">
      <c r="A111" t="s">
        <v>84</v>
      </c>
      <c r="B111">
        <v>108041</v>
      </c>
      <c r="C111">
        <v>1</v>
      </c>
      <c r="D111" t="s">
        <v>264</v>
      </c>
      <c r="E111">
        <v>1986.12</v>
      </c>
      <c r="F111">
        <v>40</v>
      </c>
      <c r="G111">
        <v>20.63</v>
      </c>
      <c r="H111">
        <v>68.2</v>
      </c>
      <c r="I111">
        <v>15.44</v>
      </c>
      <c r="J111">
        <v>51.07</v>
      </c>
      <c r="K111">
        <v>20</v>
      </c>
      <c r="T111">
        <v>3</v>
      </c>
      <c r="U111">
        <v>1</v>
      </c>
      <c r="V111" t="s">
        <v>94</v>
      </c>
      <c r="W111" t="s">
        <v>245</v>
      </c>
      <c r="X111">
        <v>5</v>
      </c>
      <c r="Y111">
        <v>5</v>
      </c>
      <c r="Z111" t="s">
        <v>265</v>
      </c>
      <c r="AA111" t="s">
        <v>266</v>
      </c>
      <c r="AB111" t="s">
        <v>89</v>
      </c>
      <c r="AC111" t="s">
        <v>90</v>
      </c>
      <c r="AD111" t="s">
        <v>91</v>
      </c>
      <c r="AE111" t="s">
        <v>92</v>
      </c>
      <c r="AG111" t="s">
        <v>267</v>
      </c>
      <c r="AH111">
        <v>0</v>
      </c>
      <c r="AI111">
        <v>0</v>
      </c>
      <c r="AJ111">
        <v>0</v>
      </c>
      <c r="AK111">
        <v>25</v>
      </c>
      <c r="AL111">
        <v>0.62</v>
      </c>
    </row>
    <row r="112" spans="1:38" x14ac:dyDescent="0.3">
      <c r="A112" t="s">
        <v>84</v>
      </c>
      <c r="B112">
        <v>108041</v>
      </c>
      <c r="C112">
        <v>2</v>
      </c>
      <c r="D112" t="s">
        <v>264</v>
      </c>
      <c r="E112">
        <v>1986.12</v>
      </c>
      <c r="F112">
        <v>40</v>
      </c>
      <c r="G112">
        <v>20.84</v>
      </c>
      <c r="H112">
        <v>68.900000000000006</v>
      </c>
      <c r="I112">
        <v>15.62</v>
      </c>
      <c r="J112">
        <v>51.66</v>
      </c>
      <c r="K112">
        <v>10</v>
      </c>
      <c r="T112">
        <v>3</v>
      </c>
      <c r="U112">
        <v>1</v>
      </c>
      <c r="V112" t="s">
        <v>94</v>
      </c>
      <c r="W112" t="s">
        <v>249</v>
      </c>
      <c r="X112">
        <v>5</v>
      </c>
      <c r="Y112">
        <v>5</v>
      </c>
      <c r="Z112" t="s">
        <v>265</v>
      </c>
      <c r="AA112" t="s">
        <v>266</v>
      </c>
      <c r="AB112" t="s">
        <v>89</v>
      </c>
      <c r="AC112" t="s">
        <v>90</v>
      </c>
      <c r="AD112" t="s">
        <v>91</v>
      </c>
      <c r="AE112" t="s">
        <v>92</v>
      </c>
      <c r="AG112" t="s">
        <v>267</v>
      </c>
      <c r="AH112">
        <v>0</v>
      </c>
      <c r="AI112">
        <v>0</v>
      </c>
      <c r="AJ112">
        <v>0</v>
      </c>
      <c r="AK112">
        <v>25</v>
      </c>
      <c r="AL112">
        <v>0.62</v>
      </c>
    </row>
    <row r="113" spans="1:38" x14ac:dyDescent="0.3">
      <c r="A113" t="s">
        <v>84</v>
      </c>
      <c r="B113">
        <v>108041</v>
      </c>
      <c r="C113">
        <v>3</v>
      </c>
      <c r="D113" t="s">
        <v>264</v>
      </c>
      <c r="E113">
        <v>1986.12</v>
      </c>
      <c r="F113">
        <v>40</v>
      </c>
      <c r="G113">
        <v>21.85</v>
      </c>
      <c r="H113">
        <v>72.25</v>
      </c>
      <c r="I113">
        <v>16.600000000000001</v>
      </c>
      <c r="J113">
        <v>54.88</v>
      </c>
      <c r="K113">
        <v>5</v>
      </c>
      <c r="T113">
        <v>3</v>
      </c>
      <c r="U113">
        <v>1</v>
      </c>
      <c r="V113" t="s">
        <v>94</v>
      </c>
      <c r="W113">
        <v>72</v>
      </c>
      <c r="X113">
        <v>5</v>
      </c>
      <c r="Y113">
        <v>5</v>
      </c>
      <c r="Z113" t="s">
        <v>265</v>
      </c>
      <c r="AA113" t="s">
        <v>266</v>
      </c>
      <c r="AB113" t="s">
        <v>89</v>
      </c>
      <c r="AC113" t="s">
        <v>90</v>
      </c>
      <c r="AD113" t="s">
        <v>91</v>
      </c>
      <c r="AE113" t="s">
        <v>92</v>
      </c>
      <c r="AG113" t="s">
        <v>267</v>
      </c>
      <c r="AH113">
        <v>0</v>
      </c>
      <c r="AI113">
        <v>0</v>
      </c>
      <c r="AJ113">
        <v>0</v>
      </c>
      <c r="AK113">
        <v>25</v>
      </c>
      <c r="AL113">
        <v>0.62</v>
      </c>
    </row>
    <row r="114" spans="1:38" x14ac:dyDescent="0.3">
      <c r="A114" t="s">
        <v>84</v>
      </c>
      <c r="B114">
        <v>108041</v>
      </c>
      <c r="C114">
        <v>4</v>
      </c>
      <c r="D114" t="s">
        <v>264</v>
      </c>
      <c r="E114">
        <v>1986.12</v>
      </c>
      <c r="F114">
        <v>40</v>
      </c>
      <c r="G114">
        <v>23.28</v>
      </c>
      <c r="H114">
        <v>76.989999999999995</v>
      </c>
      <c r="I114">
        <v>17.690000000000001</v>
      </c>
      <c r="J114">
        <v>58.48</v>
      </c>
      <c r="K114">
        <v>5</v>
      </c>
      <c r="T114">
        <v>3</v>
      </c>
      <c r="U114">
        <v>1</v>
      </c>
      <c r="V114" t="s">
        <v>94</v>
      </c>
      <c r="W114">
        <v>76</v>
      </c>
      <c r="X114">
        <v>5</v>
      </c>
      <c r="Y114">
        <v>5</v>
      </c>
      <c r="Z114" t="s">
        <v>265</v>
      </c>
      <c r="AA114" t="s">
        <v>266</v>
      </c>
      <c r="AB114" t="s">
        <v>89</v>
      </c>
      <c r="AC114" t="s">
        <v>90</v>
      </c>
      <c r="AD114" t="s">
        <v>91</v>
      </c>
      <c r="AE114" t="s">
        <v>92</v>
      </c>
      <c r="AG114" t="s">
        <v>267</v>
      </c>
      <c r="AH114">
        <v>0</v>
      </c>
      <c r="AI114">
        <v>0</v>
      </c>
      <c r="AJ114">
        <v>0</v>
      </c>
      <c r="AK114">
        <v>25</v>
      </c>
      <c r="AL114">
        <v>0.62</v>
      </c>
    </row>
    <row r="115" spans="1:38" x14ac:dyDescent="0.3">
      <c r="A115" t="s">
        <v>84</v>
      </c>
      <c r="B115">
        <v>151643</v>
      </c>
      <c r="C115">
        <v>1</v>
      </c>
      <c r="D115" t="s">
        <v>268</v>
      </c>
      <c r="E115">
        <v>2022.08</v>
      </c>
      <c r="F115">
        <v>8</v>
      </c>
      <c r="G115">
        <v>21.89</v>
      </c>
      <c r="H115">
        <v>72.39</v>
      </c>
      <c r="I115">
        <v>18.07</v>
      </c>
      <c r="J115">
        <v>59.74</v>
      </c>
      <c r="K115">
        <v>4</v>
      </c>
      <c r="T115">
        <v>3</v>
      </c>
      <c r="U115">
        <v>1</v>
      </c>
      <c r="V115" t="s">
        <v>94</v>
      </c>
      <c r="W115">
        <v>72</v>
      </c>
      <c r="X115">
        <v>11</v>
      </c>
      <c r="Y115">
        <v>11</v>
      </c>
      <c r="Z115" t="s">
        <v>269</v>
      </c>
      <c r="AA115" t="s">
        <v>270</v>
      </c>
      <c r="AB115" t="s">
        <v>89</v>
      </c>
      <c r="AC115" t="s">
        <v>90</v>
      </c>
      <c r="AD115" t="s">
        <v>91</v>
      </c>
      <c r="AE115" t="s">
        <v>92</v>
      </c>
      <c r="AG115" t="s">
        <v>271</v>
      </c>
      <c r="AH115">
        <v>0</v>
      </c>
      <c r="AI115">
        <v>355</v>
      </c>
      <c r="AJ115">
        <v>45</v>
      </c>
      <c r="AK115">
        <v>8</v>
      </c>
      <c r="AL115">
        <v>1</v>
      </c>
    </row>
    <row r="116" spans="1:38" x14ac:dyDescent="0.3">
      <c r="A116" t="s">
        <v>84</v>
      </c>
      <c r="B116">
        <v>151643</v>
      </c>
      <c r="C116">
        <v>2</v>
      </c>
      <c r="D116" t="s">
        <v>268</v>
      </c>
      <c r="E116">
        <v>2022.08</v>
      </c>
      <c r="F116">
        <v>8</v>
      </c>
      <c r="G116">
        <v>23.23</v>
      </c>
      <c r="H116">
        <v>76.819999999999993</v>
      </c>
      <c r="I116">
        <v>19.170000000000002</v>
      </c>
      <c r="J116">
        <v>63.4</v>
      </c>
      <c r="K116">
        <v>4</v>
      </c>
      <c r="T116">
        <v>3</v>
      </c>
      <c r="U116">
        <v>1</v>
      </c>
      <c r="V116" t="s">
        <v>94</v>
      </c>
      <c r="W116">
        <v>76</v>
      </c>
      <c r="X116">
        <v>11</v>
      </c>
      <c r="Y116">
        <v>11</v>
      </c>
      <c r="Z116" t="s">
        <v>269</v>
      </c>
      <c r="AA116" t="s">
        <v>270</v>
      </c>
      <c r="AB116" t="s">
        <v>89</v>
      </c>
      <c r="AC116" t="s">
        <v>90</v>
      </c>
      <c r="AD116" t="s">
        <v>91</v>
      </c>
      <c r="AE116" t="s">
        <v>92</v>
      </c>
      <c r="AG116" t="s">
        <v>271</v>
      </c>
      <c r="AH116">
        <v>0</v>
      </c>
      <c r="AI116">
        <v>355</v>
      </c>
      <c r="AJ116">
        <v>45</v>
      </c>
      <c r="AK116">
        <v>8</v>
      </c>
      <c r="AL116">
        <v>1</v>
      </c>
    </row>
    <row r="117" spans="1:38" x14ac:dyDescent="0.3">
      <c r="A117" t="s">
        <v>84</v>
      </c>
      <c r="B117">
        <v>1974</v>
      </c>
      <c r="C117">
        <v>1</v>
      </c>
      <c r="D117" t="s">
        <v>272</v>
      </c>
      <c r="E117">
        <v>1984.01</v>
      </c>
      <c r="F117">
        <v>70</v>
      </c>
      <c r="G117">
        <v>20.72</v>
      </c>
      <c r="H117">
        <v>68.52</v>
      </c>
      <c r="I117">
        <v>15.38</v>
      </c>
      <c r="J117">
        <v>50.86</v>
      </c>
      <c r="K117">
        <v>40</v>
      </c>
      <c r="T117">
        <v>3</v>
      </c>
      <c r="U117">
        <v>1</v>
      </c>
      <c r="V117" t="s">
        <v>94</v>
      </c>
      <c r="W117" t="s">
        <v>245</v>
      </c>
      <c r="X117">
        <v>5</v>
      </c>
      <c r="Y117">
        <v>5</v>
      </c>
      <c r="Z117" t="s">
        <v>273</v>
      </c>
      <c r="AA117" t="s">
        <v>274</v>
      </c>
      <c r="AB117" t="s">
        <v>89</v>
      </c>
      <c r="AC117" t="s">
        <v>90</v>
      </c>
      <c r="AD117" t="s">
        <v>91</v>
      </c>
      <c r="AE117" t="s">
        <v>92</v>
      </c>
      <c r="AG117" t="s">
        <v>275</v>
      </c>
      <c r="AH117">
        <v>0</v>
      </c>
      <c r="AI117">
        <v>0</v>
      </c>
      <c r="AJ117">
        <v>0</v>
      </c>
      <c r="AK117">
        <v>35</v>
      </c>
      <c r="AL117">
        <v>0.5</v>
      </c>
    </row>
    <row r="118" spans="1:38" x14ac:dyDescent="0.3">
      <c r="A118" t="s">
        <v>84</v>
      </c>
      <c r="B118">
        <v>1974</v>
      </c>
      <c r="C118">
        <v>2</v>
      </c>
      <c r="D118" t="s">
        <v>272</v>
      </c>
      <c r="E118">
        <v>1984.01</v>
      </c>
      <c r="F118">
        <v>70</v>
      </c>
      <c r="G118">
        <v>21.06</v>
      </c>
      <c r="H118">
        <v>69.64</v>
      </c>
      <c r="I118">
        <v>15.84</v>
      </c>
      <c r="J118">
        <v>52.37</v>
      </c>
      <c r="K118">
        <v>30</v>
      </c>
      <c r="T118">
        <v>3</v>
      </c>
      <c r="U118">
        <v>1</v>
      </c>
      <c r="V118" t="s">
        <v>94</v>
      </c>
      <c r="W118" t="s">
        <v>276</v>
      </c>
      <c r="X118">
        <v>5</v>
      </c>
      <c r="Y118">
        <v>5</v>
      </c>
      <c r="Z118" t="s">
        <v>273</v>
      </c>
      <c r="AA118" t="s">
        <v>274</v>
      </c>
      <c r="AB118" t="s">
        <v>89</v>
      </c>
      <c r="AC118" t="s">
        <v>90</v>
      </c>
      <c r="AD118" t="s">
        <v>91</v>
      </c>
      <c r="AE118" t="s">
        <v>92</v>
      </c>
      <c r="AG118" t="s">
        <v>275</v>
      </c>
      <c r="AH118">
        <v>0</v>
      </c>
      <c r="AI118">
        <v>0</v>
      </c>
      <c r="AJ118">
        <v>0</v>
      </c>
      <c r="AK118">
        <v>35</v>
      </c>
      <c r="AL118">
        <v>0.5</v>
      </c>
    </row>
    <row r="119" spans="1:38" x14ac:dyDescent="0.3">
      <c r="A119" t="s">
        <v>84</v>
      </c>
      <c r="B119">
        <v>106572</v>
      </c>
      <c r="C119">
        <v>1</v>
      </c>
      <c r="D119" t="s">
        <v>277</v>
      </c>
      <c r="E119">
        <v>1989.12</v>
      </c>
      <c r="F119">
        <v>24</v>
      </c>
      <c r="G119">
        <v>22.15</v>
      </c>
      <c r="H119">
        <v>73.25</v>
      </c>
      <c r="I119">
        <v>15.92</v>
      </c>
      <c r="J119">
        <v>52.65</v>
      </c>
      <c r="K119">
        <v>4</v>
      </c>
      <c r="T119">
        <v>2</v>
      </c>
      <c r="U119">
        <v>1</v>
      </c>
      <c r="V119" t="s">
        <v>86</v>
      </c>
      <c r="W119" t="s">
        <v>100</v>
      </c>
      <c r="X119">
        <v>4</v>
      </c>
      <c r="Y119">
        <v>4</v>
      </c>
      <c r="Z119" t="s">
        <v>278</v>
      </c>
      <c r="AA119" t="s">
        <v>279</v>
      </c>
      <c r="AB119" t="s">
        <v>89</v>
      </c>
      <c r="AC119" t="s">
        <v>90</v>
      </c>
      <c r="AD119" t="s">
        <v>91</v>
      </c>
      <c r="AE119" t="s">
        <v>92</v>
      </c>
      <c r="AG119" t="s">
        <v>280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84</v>
      </c>
      <c r="B120">
        <v>106572</v>
      </c>
      <c r="C120">
        <v>2</v>
      </c>
      <c r="D120" t="s">
        <v>277</v>
      </c>
      <c r="E120">
        <v>1989.12</v>
      </c>
      <c r="F120">
        <v>24</v>
      </c>
      <c r="G120">
        <v>22.48</v>
      </c>
      <c r="H120">
        <v>74.33</v>
      </c>
      <c r="I120">
        <v>16.18</v>
      </c>
      <c r="J120">
        <v>53.52</v>
      </c>
      <c r="K120">
        <v>5</v>
      </c>
      <c r="T120">
        <v>2</v>
      </c>
      <c r="U120">
        <v>1</v>
      </c>
      <c r="V120" t="s">
        <v>86</v>
      </c>
      <c r="W120" t="s">
        <v>281</v>
      </c>
      <c r="X120">
        <v>4</v>
      </c>
      <c r="Y120">
        <v>4</v>
      </c>
      <c r="Z120" t="s">
        <v>278</v>
      </c>
      <c r="AA120" t="s">
        <v>279</v>
      </c>
      <c r="AB120" t="s">
        <v>89</v>
      </c>
      <c r="AC120" t="s">
        <v>90</v>
      </c>
      <c r="AD120" t="s">
        <v>91</v>
      </c>
      <c r="AE120" t="s">
        <v>92</v>
      </c>
      <c r="AG120" t="s">
        <v>280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84</v>
      </c>
      <c r="B121">
        <v>106572</v>
      </c>
      <c r="C121">
        <v>3</v>
      </c>
      <c r="D121" t="s">
        <v>277</v>
      </c>
      <c r="E121">
        <v>1989.12</v>
      </c>
      <c r="F121">
        <v>24</v>
      </c>
      <c r="G121">
        <v>24.5</v>
      </c>
      <c r="H121">
        <v>81.02</v>
      </c>
      <c r="I121">
        <v>17.78</v>
      </c>
      <c r="J121">
        <v>58.8</v>
      </c>
      <c r="K121">
        <v>15</v>
      </c>
      <c r="T121">
        <v>3</v>
      </c>
      <c r="U121">
        <v>2</v>
      </c>
      <c r="V121" t="s">
        <v>86</v>
      </c>
      <c r="W121">
        <v>81</v>
      </c>
      <c r="X121">
        <v>4</v>
      </c>
      <c r="Y121">
        <v>4</v>
      </c>
      <c r="Z121" t="s">
        <v>278</v>
      </c>
      <c r="AA121" t="s">
        <v>279</v>
      </c>
      <c r="AB121" t="s">
        <v>89</v>
      </c>
      <c r="AC121" t="s">
        <v>90</v>
      </c>
      <c r="AD121" t="s">
        <v>91</v>
      </c>
      <c r="AE121" t="s">
        <v>92</v>
      </c>
      <c r="AG121" t="s">
        <v>280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84</v>
      </c>
      <c r="B122">
        <v>10392</v>
      </c>
      <c r="C122">
        <v>1</v>
      </c>
      <c r="D122" t="s">
        <v>282</v>
      </c>
      <c r="E122">
        <v>1998.03</v>
      </c>
      <c r="F122">
        <v>40</v>
      </c>
      <c r="G122">
        <v>24.27</v>
      </c>
      <c r="H122">
        <v>80.25</v>
      </c>
      <c r="I122">
        <v>19.149999999999999</v>
      </c>
      <c r="J122">
        <v>63.31</v>
      </c>
      <c r="K122">
        <v>20</v>
      </c>
      <c r="T122">
        <v>2</v>
      </c>
      <c r="U122">
        <v>1</v>
      </c>
      <c r="V122" t="s">
        <v>128</v>
      </c>
      <c r="W122">
        <v>80</v>
      </c>
      <c r="X122">
        <v>15</v>
      </c>
      <c r="Y122">
        <v>15</v>
      </c>
      <c r="Z122" t="s">
        <v>283</v>
      </c>
      <c r="AA122" t="s">
        <v>284</v>
      </c>
      <c r="AB122" t="s">
        <v>89</v>
      </c>
      <c r="AC122" t="s">
        <v>90</v>
      </c>
      <c r="AD122" t="s">
        <v>91</v>
      </c>
      <c r="AE122" t="s">
        <v>92</v>
      </c>
      <c r="AG122" t="s">
        <v>285</v>
      </c>
      <c r="AH122">
        <v>0</v>
      </c>
      <c r="AI122">
        <v>580</v>
      </c>
      <c r="AJ122">
        <v>60</v>
      </c>
      <c r="AK122">
        <v>50</v>
      </c>
      <c r="AL122">
        <v>1.25</v>
      </c>
    </row>
    <row r="123" spans="1:38" x14ac:dyDescent="0.3">
      <c r="A123" t="s">
        <v>84</v>
      </c>
      <c r="B123">
        <v>10392</v>
      </c>
      <c r="C123">
        <v>2</v>
      </c>
      <c r="D123" t="s">
        <v>282</v>
      </c>
      <c r="E123">
        <v>1998.03</v>
      </c>
      <c r="F123">
        <v>40</v>
      </c>
      <c r="G123">
        <v>27.54</v>
      </c>
      <c r="H123">
        <v>91.06</v>
      </c>
      <c r="I123">
        <v>21.72</v>
      </c>
      <c r="J123">
        <v>71.83</v>
      </c>
      <c r="K123">
        <v>10</v>
      </c>
      <c r="T123">
        <v>3</v>
      </c>
      <c r="U123">
        <v>2</v>
      </c>
      <c r="V123" t="s">
        <v>128</v>
      </c>
      <c r="W123">
        <v>91</v>
      </c>
      <c r="X123">
        <v>15</v>
      </c>
      <c r="Y123">
        <v>15</v>
      </c>
      <c r="Z123" t="s">
        <v>283</v>
      </c>
      <c r="AA123" t="s">
        <v>284</v>
      </c>
      <c r="AB123" t="s">
        <v>89</v>
      </c>
      <c r="AC123" t="s">
        <v>90</v>
      </c>
      <c r="AD123" t="s">
        <v>91</v>
      </c>
      <c r="AE123" t="s">
        <v>92</v>
      </c>
      <c r="AG123" t="s">
        <v>285</v>
      </c>
      <c r="AH123">
        <v>0</v>
      </c>
      <c r="AI123">
        <v>580</v>
      </c>
      <c r="AJ123">
        <v>60</v>
      </c>
      <c r="AK123">
        <v>50</v>
      </c>
      <c r="AL123">
        <v>1.25</v>
      </c>
    </row>
    <row r="124" spans="1:38" x14ac:dyDescent="0.3">
      <c r="A124" t="s">
        <v>84</v>
      </c>
      <c r="B124">
        <v>10392</v>
      </c>
      <c r="C124">
        <v>3</v>
      </c>
      <c r="D124" t="s">
        <v>282</v>
      </c>
      <c r="E124">
        <v>1998.03</v>
      </c>
      <c r="F124">
        <v>40</v>
      </c>
      <c r="G124">
        <v>38.17</v>
      </c>
      <c r="H124">
        <v>126.21</v>
      </c>
      <c r="I124">
        <v>30.11</v>
      </c>
      <c r="J124">
        <v>99.57</v>
      </c>
      <c r="K124">
        <v>10</v>
      </c>
      <c r="T124">
        <v>3</v>
      </c>
      <c r="U124">
        <v>2</v>
      </c>
      <c r="V124" t="s">
        <v>128</v>
      </c>
      <c r="W124">
        <v>126</v>
      </c>
      <c r="X124">
        <v>15</v>
      </c>
      <c r="Y124">
        <v>15</v>
      </c>
      <c r="Z124" t="s">
        <v>283</v>
      </c>
      <c r="AA124" t="s">
        <v>284</v>
      </c>
      <c r="AB124" t="s">
        <v>89</v>
      </c>
      <c r="AC124" t="s">
        <v>90</v>
      </c>
      <c r="AD124" t="s">
        <v>91</v>
      </c>
      <c r="AE124" t="s">
        <v>92</v>
      </c>
      <c r="AG124" t="s">
        <v>285</v>
      </c>
      <c r="AH124">
        <v>0</v>
      </c>
      <c r="AI124">
        <v>580</v>
      </c>
      <c r="AJ124">
        <v>60</v>
      </c>
      <c r="AK124">
        <v>50</v>
      </c>
      <c r="AL124">
        <v>1.25</v>
      </c>
    </row>
    <row r="125" spans="1:38" x14ac:dyDescent="0.3">
      <c r="A125" t="s">
        <v>84</v>
      </c>
      <c r="B125">
        <v>23137</v>
      </c>
      <c r="C125">
        <v>1</v>
      </c>
      <c r="D125" t="s">
        <v>286</v>
      </c>
      <c r="E125">
        <v>2002.05</v>
      </c>
      <c r="F125">
        <v>19</v>
      </c>
      <c r="G125">
        <v>29.49</v>
      </c>
      <c r="H125">
        <v>97.51</v>
      </c>
      <c r="I125">
        <v>23.4</v>
      </c>
      <c r="J125">
        <v>77.37</v>
      </c>
      <c r="K125">
        <v>1</v>
      </c>
      <c r="T125">
        <v>3</v>
      </c>
      <c r="U125">
        <v>2</v>
      </c>
      <c r="V125" t="s">
        <v>94</v>
      </c>
      <c r="W125">
        <v>97</v>
      </c>
      <c r="X125">
        <v>10</v>
      </c>
      <c r="Y125">
        <v>10</v>
      </c>
      <c r="Z125" t="s">
        <v>287</v>
      </c>
      <c r="AA125" t="s">
        <v>288</v>
      </c>
      <c r="AB125" t="s">
        <v>89</v>
      </c>
      <c r="AC125" t="s">
        <v>90</v>
      </c>
      <c r="AD125" t="s">
        <v>91</v>
      </c>
      <c r="AE125" t="s">
        <v>92</v>
      </c>
      <c r="AG125" t="s">
        <v>289</v>
      </c>
      <c r="AH125">
        <v>0</v>
      </c>
      <c r="AI125">
        <v>279</v>
      </c>
      <c r="AJ125">
        <v>34</v>
      </c>
      <c r="AK125">
        <v>19</v>
      </c>
      <c r="AL125">
        <v>1</v>
      </c>
    </row>
    <row r="126" spans="1:38" x14ac:dyDescent="0.3">
      <c r="A126" t="s">
        <v>84</v>
      </c>
      <c r="B126">
        <v>23137</v>
      </c>
      <c r="C126">
        <v>2</v>
      </c>
      <c r="D126" t="s">
        <v>286</v>
      </c>
      <c r="E126">
        <v>2002.05</v>
      </c>
      <c r="F126">
        <v>19</v>
      </c>
      <c r="G126">
        <v>31.55</v>
      </c>
      <c r="H126">
        <v>104.33</v>
      </c>
      <c r="I126">
        <v>25.04</v>
      </c>
      <c r="J126">
        <v>82.78</v>
      </c>
      <c r="K126">
        <v>10</v>
      </c>
      <c r="T126">
        <v>3</v>
      </c>
      <c r="U126">
        <v>2</v>
      </c>
      <c r="V126" t="s">
        <v>94</v>
      </c>
      <c r="W126" t="s">
        <v>290</v>
      </c>
      <c r="X126">
        <v>10</v>
      </c>
      <c r="Y126">
        <v>10</v>
      </c>
      <c r="Z126" t="s">
        <v>287</v>
      </c>
      <c r="AA126" t="s">
        <v>288</v>
      </c>
      <c r="AB126" t="s">
        <v>89</v>
      </c>
      <c r="AC126" t="s">
        <v>90</v>
      </c>
      <c r="AD126" t="s">
        <v>91</v>
      </c>
      <c r="AE126" t="s">
        <v>92</v>
      </c>
      <c r="AG126" t="s">
        <v>289</v>
      </c>
      <c r="AH126">
        <v>0</v>
      </c>
      <c r="AI126">
        <v>279</v>
      </c>
      <c r="AJ126">
        <v>34</v>
      </c>
      <c r="AK126">
        <v>19</v>
      </c>
      <c r="AL126">
        <v>1</v>
      </c>
    </row>
    <row r="127" spans="1:38" x14ac:dyDescent="0.3">
      <c r="A127" t="s">
        <v>84</v>
      </c>
      <c r="B127">
        <v>23137</v>
      </c>
      <c r="C127">
        <v>3</v>
      </c>
      <c r="D127" t="s">
        <v>286</v>
      </c>
      <c r="E127">
        <v>2002.05</v>
      </c>
      <c r="F127">
        <v>19</v>
      </c>
      <c r="G127">
        <v>32.11</v>
      </c>
      <c r="H127">
        <v>106.18</v>
      </c>
      <c r="I127">
        <v>25.48</v>
      </c>
      <c r="J127">
        <v>84.25</v>
      </c>
      <c r="K127">
        <v>8</v>
      </c>
      <c r="T127">
        <v>3</v>
      </c>
      <c r="U127">
        <v>2</v>
      </c>
      <c r="V127" t="s">
        <v>94</v>
      </c>
      <c r="W127" t="s">
        <v>291</v>
      </c>
      <c r="X127">
        <v>10</v>
      </c>
      <c r="Y127">
        <v>10</v>
      </c>
      <c r="Z127" t="s">
        <v>287</v>
      </c>
      <c r="AA127" t="s">
        <v>288</v>
      </c>
      <c r="AB127" t="s">
        <v>89</v>
      </c>
      <c r="AC127" t="s">
        <v>90</v>
      </c>
      <c r="AD127" t="s">
        <v>91</v>
      </c>
      <c r="AE127" t="s">
        <v>92</v>
      </c>
      <c r="AG127" t="s">
        <v>289</v>
      </c>
      <c r="AH127">
        <v>0</v>
      </c>
      <c r="AI127">
        <v>279</v>
      </c>
      <c r="AJ127">
        <v>34</v>
      </c>
      <c r="AK127">
        <v>19</v>
      </c>
      <c r="AL127">
        <v>1</v>
      </c>
    </row>
    <row r="128" spans="1:38" x14ac:dyDescent="0.3">
      <c r="A128" t="s">
        <v>84</v>
      </c>
      <c r="B128">
        <v>24006</v>
      </c>
      <c r="C128">
        <v>1</v>
      </c>
      <c r="D128" t="s">
        <v>292</v>
      </c>
      <c r="E128">
        <v>1988.1</v>
      </c>
      <c r="F128">
        <v>34</v>
      </c>
      <c r="G128">
        <v>15.29</v>
      </c>
      <c r="H128">
        <v>50.56</v>
      </c>
      <c r="I128">
        <v>10.71</v>
      </c>
      <c r="J128">
        <v>35.43</v>
      </c>
      <c r="K128">
        <v>1</v>
      </c>
      <c r="T128">
        <v>2</v>
      </c>
      <c r="U128">
        <v>1</v>
      </c>
      <c r="V128" t="s">
        <v>94</v>
      </c>
      <c r="W128">
        <v>50</v>
      </c>
      <c r="X128">
        <v>5</v>
      </c>
      <c r="Y128">
        <v>4</v>
      </c>
      <c r="Z128" t="s">
        <v>293</v>
      </c>
      <c r="AA128" t="s">
        <v>294</v>
      </c>
      <c r="AB128" t="s">
        <v>89</v>
      </c>
      <c r="AC128" t="s">
        <v>90</v>
      </c>
      <c r="AD128" t="s">
        <v>91</v>
      </c>
      <c r="AE128" t="s">
        <v>92</v>
      </c>
      <c r="AG128" t="s">
        <v>295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84</v>
      </c>
      <c r="B129">
        <v>24006</v>
      </c>
      <c r="C129">
        <v>2</v>
      </c>
      <c r="D129" t="s">
        <v>292</v>
      </c>
      <c r="E129">
        <v>1988.1</v>
      </c>
      <c r="F129">
        <v>34</v>
      </c>
      <c r="G129">
        <v>15.9</v>
      </c>
      <c r="H129">
        <v>52.57</v>
      </c>
      <c r="I129">
        <v>11.21</v>
      </c>
      <c r="J129">
        <v>37.08</v>
      </c>
      <c r="K129">
        <v>3</v>
      </c>
      <c r="T129">
        <v>2</v>
      </c>
      <c r="U129">
        <v>1</v>
      </c>
      <c r="V129" t="s">
        <v>94</v>
      </c>
      <c r="W129">
        <v>52</v>
      </c>
      <c r="X129">
        <v>5</v>
      </c>
      <c r="Y129">
        <v>4</v>
      </c>
      <c r="Z129" t="s">
        <v>293</v>
      </c>
      <c r="AA129" t="s">
        <v>294</v>
      </c>
      <c r="AB129" t="s">
        <v>89</v>
      </c>
      <c r="AC129" t="s">
        <v>90</v>
      </c>
      <c r="AD129" t="s">
        <v>91</v>
      </c>
      <c r="AE129" t="s">
        <v>92</v>
      </c>
      <c r="AG129" t="s">
        <v>295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84</v>
      </c>
      <c r="B130">
        <v>24006</v>
      </c>
      <c r="C130">
        <v>3</v>
      </c>
      <c r="D130" t="s">
        <v>292</v>
      </c>
      <c r="E130">
        <v>1988.1</v>
      </c>
      <c r="F130">
        <v>34</v>
      </c>
      <c r="G130">
        <v>20.74</v>
      </c>
      <c r="H130">
        <v>68.58</v>
      </c>
      <c r="I130">
        <v>15.08</v>
      </c>
      <c r="J130">
        <v>49.86</v>
      </c>
      <c r="K130">
        <v>4</v>
      </c>
      <c r="T130">
        <v>3</v>
      </c>
      <c r="U130">
        <v>1</v>
      </c>
      <c r="V130" t="s">
        <v>94</v>
      </c>
      <c r="W130">
        <v>68</v>
      </c>
      <c r="X130">
        <v>5</v>
      </c>
      <c r="Y130">
        <v>4</v>
      </c>
      <c r="Z130" t="s">
        <v>293</v>
      </c>
      <c r="AA130" t="s">
        <v>294</v>
      </c>
      <c r="AB130" t="s">
        <v>89</v>
      </c>
      <c r="AC130" t="s">
        <v>90</v>
      </c>
      <c r="AD130" t="s">
        <v>91</v>
      </c>
      <c r="AE130" t="s">
        <v>92</v>
      </c>
      <c r="AG130" t="s">
        <v>295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84</v>
      </c>
      <c r="B131">
        <v>24006</v>
      </c>
      <c r="C131">
        <v>4</v>
      </c>
      <c r="D131" t="s">
        <v>292</v>
      </c>
      <c r="E131">
        <v>1988.1</v>
      </c>
      <c r="F131">
        <v>34</v>
      </c>
      <c r="G131">
        <v>24.49</v>
      </c>
      <c r="H131">
        <v>80.98</v>
      </c>
      <c r="I131">
        <v>18.07</v>
      </c>
      <c r="J131">
        <v>59.76</v>
      </c>
      <c r="K131">
        <v>26</v>
      </c>
      <c r="T131">
        <v>3</v>
      </c>
      <c r="U131">
        <v>1</v>
      </c>
      <c r="V131" t="s">
        <v>86</v>
      </c>
      <c r="W131">
        <v>80</v>
      </c>
      <c r="X131">
        <v>5</v>
      </c>
      <c r="Y131">
        <v>4</v>
      </c>
      <c r="Z131" t="s">
        <v>293</v>
      </c>
      <c r="AA131" t="s">
        <v>294</v>
      </c>
      <c r="AB131" t="s">
        <v>89</v>
      </c>
      <c r="AC131" t="s">
        <v>90</v>
      </c>
      <c r="AD131" t="s">
        <v>91</v>
      </c>
      <c r="AE131" t="s">
        <v>92</v>
      </c>
      <c r="AG131" t="s">
        <v>295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84</v>
      </c>
      <c r="B132">
        <v>25883</v>
      </c>
      <c r="C132">
        <v>1</v>
      </c>
      <c r="D132" t="s">
        <v>296</v>
      </c>
      <c r="E132">
        <v>2007.05</v>
      </c>
      <c r="F132">
        <v>80</v>
      </c>
      <c r="G132">
        <v>30.04</v>
      </c>
      <c r="H132">
        <v>99.32</v>
      </c>
      <c r="I132">
        <v>23.47</v>
      </c>
      <c r="J132">
        <v>77.61</v>
      </c>
      <c r="K132">
        <v>24</v>
      </c>
      <c r="T132">
        <v>3</v>
      </c>
      <c r="U132">
        <v>2</v>
      </c>
      <c r="V132" t="s">
        <v>94</v>
      </c>
      <c r="W132">
        <v>99</v>
      </c>
      <c r="X132">
        <v>15</v>
      </c>
      <c r="Y132">
        <v>12</v>
      </c>
      <c r="Z132" t="s">
        <v>297</v>
      </c>
      <c r="AA132" t="s">
        <v>298</v>
      </c>
      <c r="AB132" t="s">
        <v>89</v>
      </c>
      <c r="AC132" t="s">
        <v>90</v>
      </c>
      <c r="AD132" t="s">
        <v>91</v>
      </c>
      <c r="AE132" t="s">
        <v>92</v>
      </c>
      <c r="AG132" t="s">
        <v>299</v>
      </c>
      <c r="AH132">
        <v>0</v>
      </c>
      <c r="AI132">
        <v>244</v>
      </c>
      <c r="AJ132">
        <v>26</v>
      </c>
      <c r="AK132">
        <v>82</v>
      </c>
      <c r="AL132">
        <v>1.02</v>
      </c>
    </row>
    <row r="133" spans="1:38" x14ac:dyDescent="0.3">
      <c r="A133" t="s">
        <v>84</v>
      </c>
      <c r="B133">
        <v>25883</v>
      </c>
      <c r="C133">
        <v>2</v>
      </c>
      <c r="D133" t="s">
        <v>296</v>
      </c>
      <c r="E133">
        <v>2007.05</v>
      </c>
      <c r="F133">
        <v>80</v>
      </c>
      <c r="G133">
        <v>32.299999999999997</v>
      </c>
      <c r="H133">
        <v>106.79</v>
      </c>
      <c r="I133">
        <v>25.52</v>
      </c>
      <c r="J133">
        <v>84.37</v>
      </c>
      <c r="K133">
        <v>56</v>
      </c>
      <c r="T133">
        <v>3</v>
      </c>
      <c r="U133">
        <v>2</v>
      </c>
      <c r="V133" t="s">
        <v>94</v>
      </c>
      <c r="W133">
        <v>106</v>
      </c>
      <c r="X133">
        <v>15</v>
      </c>
      <c r="Y133">
        <v>12</v>
      </c>
      <c r="Z133" t="s">
        <v>297</v>
      </c>
      <c r="AA133" t="s">
        <v>298</v>
      </c>
      <c r="AB133" t="s">
        <v>89</v>
      </c>
      <c r="AC133" t="s">
        <v>90</v>
      </c>
      <c r="AD133" t="s">
        <v>91</v>
      </c>
      <c r="AE133" t="s">
        <v>92</v>
      </c>
      <c r="AG133" t="s">
        <v>299</v>
      </c>
      <c r="AH133">
        <v>0</v>
      </c>
      <c r="AI133">
        <v>244</v>
      </c>
      <c r="AJ133">
        <v>26</v>
      </c>
      <c r="AK133">
        <v>82</v>
      </c>
      <c r="AL133">
        <v>1.02</v>
      </c>
    </row>
    <row r="134" spans="1:38" x14ac:dyDescent="0.3">
      <c r="A134" t="s">
        <v>84</v>
      </c>
      <c r="B134">
        <v>1977</v>
      </c>
      <c r="C134">
        <v>1</v>
      </c>
      <c r="D134" t="s">
        <v>300</v>
      </c>
      <c r="E134">
        <v>1986.05</v>
      </c>
      <c r="F134">
        <v>220</v>
      </c>
      <c r="G134">
        <v>16.510000000000002</v>
      </c>
      <c r="H134">
        <v>54.61</v>
      </c>
      <c r="I134">
        <v>12.44</v>
      </c>
      <c r="J134">
        <v>41.13</v>
      </c>
      <c r="K134">
        <v>40</v>
      </c>
      <c r="T134">
        <v>2</v>
      </c>
      <c r="U134">
        <v>1</v>
      </c>
      <c r="V134" t="s">
        <v>94</v>
      </c>
      <c r="W134" t="s">
        <v>301</v>
      </c>
      <c r="X134">
        <v>5</v>
      </c>
      <c r="Y134">
        <v>5</v>
      </c>
      <c r="Z134" t="s">
        <v>302</v>
      </c>
      <c r="AA134" t="s">
        <v>303</v>
      </c>
      <c r="AB134" t="s">
        <v>89</v>
      </c>
      <c r="AC134" t="s">
        <v>90</v>
      </c>
      <c r="AD134" t="s">
        <v>91</v>
      </c>
      <c r="AE134" t="s">
        <v>92</v>
      </c>
      <c r="AG134" t="s">
        <v>304</v>
      </c>
      <c r="AH134">
        <v>0</v>
      </c>
      <c r="AI134">
        <v>179</v>
      </c>
      <c r="AJ134">
        <v>0</v>
      </c>
      <c r="AK134">
        <v>0</v>
      </c>
      <c r="AL134">
        <v>0</v>
      </c>
    </row>
    <row r="135" spans="1:38" x14ac:dyDescent="0.3">
      <c r="A135" t="s">
        <v>84</v>
      </c>
      <c r="B135">
        <v>1977</v>
      </c>
      <c r="C135">
        <v>2</v>
      </c>
      <c r="D135" t="s">
        <v>300</v>
      </c>
      <c r="E135">
        <v>1986.05</v>
      </c>
      <c r="F135">
        <v>220</v>
      </c>
      <c r="G135">
        <v>17.46</v>
      </c>
      <c r="H135">
        <v>57.74</v>
      </c>
      <c r="I135">
        <v>13.23</v>
      </c>
      <c r="J135">
        <v>43.74</v>
      </c>
      <c r="K135">
        <v>50</v>
      </c>
      <c r="T135">
        <v>2</v>
      </c>
      <c r="U135">
        <v>1</v>
      </c>
      <c r="V135" t="s">
        <v>94</v>
      </c>
      <c r="W135" t="s">
        <v>227</v>
      </c>
      <c r="X135">
        <v>5</v>
      </c>
      <c r="Y135">
        <v>5</v>
      </c>
      <c r="Z135" t="s">
        <v>302</v>
      </c>
      <c r="AA135" t="s">
        <v>303</v>
      </c>
      <c r="AB135" t="s">
        <v>89</v>
      </c>
      <c r="AC135" t="s">
        <v>90</v>
      </c>
      <c r="AD135" t="s">
        <v>91</v>
      </c>
      <c r="AE135" t="s">
        <v>92</v>
      </c>
      <c r="AG135" t="s">
        <v>304</v>
      </c>
      <c r="AH135">
        <v>0</v>
      </c>
      <c r="AI135">
        <v>179</v>
      </c>
      <c r="AJ135">
        <v>0</v>
      </c>
      <c r="AK135">
        <v>0</v>
      </c>
      <c r="AL135">
        <v>0</v>
      </c>
    </row>
    <row r="136" spans="1:38" x14ac:dyDescent="0.3">
      <c r="A136" t="s">
        <v>84</v>
      </c>
      <c r="B136">
        <v>1977</v>
      </c>
      <c r="C136">
        <v>3</v>
      </c>
      <c r="D136" t="s">
        <v>300</v>
      </c>
      <c r="E136">
        <v>1986.05</v>
      </c>
      <c r="F136">
        <v>220</v>
      </c>
      <c r="G136">
        <v>19.64</v>
      </c>
      <c r="H136">
        <v>64.94</v>
      </c>
      <c r="I136">
        <v>15.02</v>
      </c>
      <c r="J136">
        <v>49.68</v>
      </c>
      <c r="K136">
        <v>50</v>
      </c>
      <c r="T136">
        <v>3</v>
      </c>
      <c r="U136">
        <v>1</v>
      </c>
      <c r="V136" t="s">
        <v>94</v>
      </c>
      <c r="W136">
        <v>64</v>
      </c>
      <c r="X136">
        <v>5</v>
      </c>
      <c r="Y136">
        <v>5</v>
      </c>
      <c r="Z136" t="s">
        <v>302</v>
      </c>
      <c r="AA136" t="s">
        <v>303</v>
      </c>
      <c r="AB136" t="s">
        <v>89</v>
      </c>
      <c r="AC136" t="s">
        <v>90</v>
      </c>
      <c r="AD136" t="s">
        <v>91</v>
      </c>
      <c r="AE136" t="s">
        <v>92</v>
      </c>
      <c r="AG136" t="s">
        <v>304</v>
      </c>
      <c r="AH136">
        <v>0</v>
      </c>
      <c r="AI136">
        <v>179</v>
      </c>
      <c r="AJ136">
        <v>0</v>
      </c>
      <c r="AK136">
        <v>0</v>
      </c>
      <c r="AL136">
        <v>0</v>
      </c>
    </row>
    <row r="137" spans="1:38" x14ac:dyDescent="0.3">
      <c r="A137" t="s">
        <v>84</v>
      </c>
      <c r="B137">
        <v>1977</v>
      </c>
      <c r="C137">
        <v>4</v>
      </c>
      <c r="D137" t="s">
        <v>300</v>
      </c>
      <c r="E137">
        <v>1986.05</v>
      </c>
      <c r="F137">
        <v>220</v>
      </c>
      <c r="G137">
        <v>22.6</v>
      </c>
      <c r="H137">
        <v>74.73</v>
      </c>
      <c r="I137">
        <v>17.53</v>
      </c>
      <c r="J137">
        <v>57.96</v>
      </c>
      <c r="K137">
        <v>80</v>
      </c>
      <c r="T137">
        <v>3</v>
      </c>
      <c r="U137">
        <v>1</v>
      </c>
      <c r="V137" t="s">
        <v>94</v>
      </c>
      <c r="W137">
        <v>74</v>
      </c>
      <c r="X137">
        <v>5</v>
      </c>
      <c r="Y137">
        <v>5</v>
      </c>
      <c r="Z137" t="s">
        <v>302</v>
      </c>
      <c r="AA137" t="s">
        <v>303</v>
      </c>
      <c r="AB137" t="s">
        <v>89</v>
      </c>
      <c r="AC137" t="s">
        <v>90</v>
      </c>
      <c r="AD137" t="s">
        <v>91</v>
      </c>
      <c r="AE137" t="s">
        <v>92</v>
      </c>
      <c r="AG137" t="s">
        <v>304</v>
      </c>
      <c r="AH137">
        <v>0</v>
      </c>
      <c r="AI137">
        <v>179</v>
      </c>
      <c r="AJ137">
        <v>0</v>
      </c>
      <c r="AK137">
        <v>0</v>
      </c>
      <c r="AL137">
        <v>0</v>
      </c>
    </row>
    <row r="138" spans="1:38" x14ac:dyDescent="0.3">
      <c r="A138" t="s">
        <v>84</v>
      </c>
      <c r="B138">
        <v>3001</v>
      </c>
      <c r="C138">
        <v>1</v>
      </c>
      <c r="D138" t="s">
        <v>305</v>
      </c>
      <c r="E138">
        <v>1995.05</v>
      </c>
      <c r="F138">
        <v>952</v>
      </c>
      <c r="G138">
        <v>16.670000000000002</v>
      </c>
      <c r="H138">
        <v>55.12</v>
      </c>
      <c r="I138">
        <v>12.42</v>
      </c>
      <c r="J138">
        <v>41.09</v>
      </c>
      <c r="K138">
        <v>560</v>
      </c>
      <c r="T138">
        <v>2</v>
      </c>
      <c r="U138">
        <v>1</v>
      </c>
      <c r="V138" t="s">
        <v>128</v>
      </c>
      <c r="W138">
        <v>55</v>
      </c>
      <c r="X138">
        <v>23</v>
      </c>
      <c r="Y138">
        <v>12</v>
      </c>
      <c r="Z138" t="s">
        <v>306</v>
      </c>
      <c r="AA138" t="s">
        <v>307</v>
      </c>
      <c r="AB138" t="s">
        <v>89</v>
      </c>
      <c r="AC138" t="s">
        <v>90</v>
      </c>
      <c r="AD138" t="s">
        <v>91</v>
      </c>
      <c r="AE138" t="s">
        <v>92</v>
      </c>
      <c r="AG138" t="s">
        <v>308</v>
      </c>
      <c r="AH138">
        <v>0</v>
      </c>
      <c r="AI138">
        <v>208</v>
      </c>
      <c r="AJ138">
        <v>16</v>
      </c>
      <c r="AK138">
        <v>960</v>
      </c>
      <c r="AL138">
        <v>1.01</v>
      </c>
    </row>
    <row r="139" spans="1:38" x14ac:dyDescent="0.3">
      <c r="A139" t="s">
        <v>84</v>
      </c>
      <c r="B139">
        <v>3001</v>
      </c>
      <c r="C139">
        <v>2</v>
      </c>
      <c r="D139" t="s">
        <v>305</v>
      </c>
      <c r="E139">
        <v>1995.05</v>
      </c>
      <c r="F139">
        <v>952</v>
      </c>
      <c r="G139">
        <v>24.1</v>
      </c>
      <c r="H139">
        <v>79.7</v>
      </c>
      <c r="I139">
        <v>18.079999999999998</v>
      </c>
      <c r="J139">
        <v>59.78</v>
      </c>
      <c r="K139">
        <v>72</v>
      </c>
      <c r="T139">
        <v>3</v>
      </c>
      <c r="U139">
        <v>1</v>
      </c>
      <c r="V139" t="s">
        <v>128</v>
      </c>
      <c r="W139">
        <v>79</v>
      </c>
      <c r="X139">
        <v>23</v>
      </c>
      <c r="Y139">
        <v>12</v>
      </c>
      <c r="Z139" t="s">
        <v>306</v>
      </c>
      <c r="AA139" t="s">
        <v>307</v>
      </c>
      <c r="AB139" t="s">
        <v>89</v>
      </c>
      <c r="AC139" t="s">
        <v>90</v>
      </c>
      <c r="AD139" t="s">
        <v>91</v>
      </c>
      <c r="AE139" t="s">
        <v>92</v>
      </c>
      <c r="AG139" t="s">
        <v>308</v>
      </c>
      <c r="AH139">
        <v>0</v>
      </c>
      <c r="AI139">
        <v>208</v>
      </c>
      <c r="AJ139">
        <v>16</v>
      </c>
      <c r="AK139">
        <v>960</v>
      </c>
      <c r="AL139">
        <v>1.01</v>
      </c>
    </row>
    <row r="140" spans="1:38" x14ac:dyDescent="0.3">
      <c r="A140" t="s">
        <v>84</v>
      </c>
      <c r="B140">
        <v>3001</v>
      </c>
      <c r="C140">
        <v>3</v>
      </c>
      <c r="D140" t="s">
        <v>305</v>
      </c>
      <c r="E140">
        <v>1995.05</v>
      </c>
      <c r="F140">
        <v>952</v>
      </c>
      <c r="G140">
        <v>31.65</v>
      </c>
      <c r="H140">
        <v>104.65</v>
      </c>
      <c r="I140">
        <v>25.68</v>
      </c>
      <c r="J140">
        <v>84.9</v>
      </c>
      <c r="K140">
        <v>320</v>
      </c>
      <c r="T140">
        <v>3</v>
      </c>
      <c r="U140">
        <v>2</v>
      </c>
      <c r="V140" t="s">
        <v>94</v>
      </c>
      <c r="W140">
        <v>104</v>
      </c>
      <c r="X140">
        <v>23</v>
      </c>
      <c r="Y140">
        <v>12</v>
      </c>
      <c r="Z140" t="s">
        <v>306</v>
      </c>
      <c r="AA140" t="s">
        <v>307</v>
      </c>
      <c r="AB140" t="s">
        <v>89</v>
      </c>
      <c r="AC140" t="s">
        <v>90</v>
      </c>
      <c r="AD140" t="s">
        <v>91</v>
      </c>
      <c r="AE140" t="s">
        <v>92</v>
      </c>
      <c r="AG140" t="s">
        <v>308</v>
      </c>
      <c r="AH140">
        <v>0</v>
      </c>
      <c r="AI140">
        <v>208</v>
      </c>
      <c r="AJ140">
        <v>16</v>
      </c>
      <c r="AK140">
        <v>960</v>
      </c>
      <c r="AL140">
        <v>1.01</v>
      </c>
    </row>
    <row r="141" spans="1:38" x14ac:dyDescent="0.3">
      <c r="A141" t="s">
        <v>84</v>
      </c>
      <c r="B141">
        <v>135882</v>
      </c>
      <c r="C141">
        <v>1</v>
      </c>
      <c r="D141" t="s">
        <v>309</v>
      </c>
      <c r="E141">
        <v>2020.1</v>
      </c>
      <c r="F141">
        <v>12</v>
      </c>
      <c r="G141">
        <v>21.05</v>
      </c>
      <c r="H141">
        <v>69.59</v>
      </c>
      <c r="I141">
        <v>18.190000000000001</v>
      </c>
      <c r="J141">
        <v>60.15</v>
      </c>
      <c r="K141">
        <v>3</v>
      </c>
      <c r="T141">
        <v>3</v>
      </c>
      <c r="U141">
        <v>2</v>
      </c>
      <c r="V141" t="s">
        <v>94</v>
      </c>
      <c r="W141">
        <v>69</v>
      </c>
      <c r="X141">
        <v>15</v>
      </c>
      <c r="Y141">
        <v>15</v>
      </c>
      <c r="Z141" t="s">
        <v>310</v>
      </c>
      <c r="AA141" t="s">
        <v>311</v>
      </c>
      <c r="AB141" t="s">
        <v>89</v>
      </c>
      <c r="AC141" t="s">
        <v>90</v>
      </c>
      <c r="AD141" t="s">
        <v>91</v>
      </c>
      <c r="AE141" t="s">
        <v>92</v>
      </c>
      <c r="AG141" t="s">
        <v>312</v>
      </c>
      <c r="AH141">
        <v>0</v>
      </c>
      <c r="AI141">
        <v>799</v>
      </c>
      <c r="AJ141">
        <v>72</v>
      </c>
      <c r="AK141">
        <v>12</v>
      </c>
      <c r="AL141">
        <v>1</v>
      </c>
    </row>
    <row r="142" spans="1:38" x14ac:dyDescent="0.3">
      <c r="A142" t="s">
        <v>84</v>
      </c>
      <c r="B142">
        <v>135882</v>
      </c>
      <c r="C142">
        <v>2</v>
      </c>
      <c r="D142" t="s">
        <v>309</v>
      </c>
      <c r="E142">
        <v>2020.1</v>
      </c>
      <c r="F142">
        <v>12</v>
      </c>
      <c r="G142">
        <v>22.94</v>
      </c>
      <c r="H142">
        <v>75.849999999999994</v>
      </c>
      <c r="I142">
        <v>19.829999999999998</v>
      </c>
      <c r="J142">
        <v>65.56</v>
      </c>
      <c r="K142">
        <v>3</v>
      </c>
      <c r="T142">
        <v>3</v>
      </c>
      <c r="U142">
        <v>2</v>
      </c>
      <c r="V142" t="s">
        <v>94</v>
      </c>
      <c r="W142" t="s">
        <v>137</v>
      </c>
      <c r="X142">
        <v>15</v>
      </c>
      <c r="Y142">
        <v>15</v>
      </c>
      <c r="Z142" t="s">
        <v>310</v>
      </c>
      <c r="AA142" t="s">
        <v>311</v>
      </c>
      <c r="AB142" t="s">
        <v>89</v>
      </c>
      <c r="AC142" t="s">
        <v>90</v>
      </c>
      <c r="AD142" t="s">
        <v>91</v>
      </c>
      <c r="AE142" t="s">
        <v>92</v>
      </c>
      <c r="AG142" t="s">
        <v>312</v>
      </c>
      <c r="AH142">
        <v>0</v>
      </c>
      <c r="AI142">
        <v>799</v>
      </c>
      <c r="AJ142">
        <v>72</v>
      </c>
      <c r="AK142">
        <v>12</v>
      </c>
      <c r="AL142">
        <v>1</v>
      </c>
    </row>
    <row r="143" spans="1:38" x14ac:dyDescent="0.3">
      <c r="A143" t="s">
        <v>84</v>
      </c>
      <c r="B143">
        <v>135882</v>
      </c>
      <c r="C143">
        <v>3</v>
      </c>
      <c r="D143" t="s">
        <v>309</v>
      </c>
      <c r="E143">
        <v>2020.1</v>
      </c>
      <c r="F143">
        <v>12</v>
      </c>
      <c r="G143">
        <v>23.29</v>
      </c>
      <c r="H143">
        <v>77.02</v>
      </c>
      <c r="I143">
        <v>20.13</v>
      </c>
      <c r="J143">
        <v>66.569999999999993</v>
      </c>
      <c r="K143">
        <v>3</v>
      </c>
      <c r="T143">
        <v>3</v>
      </c>
      <c r="U143">
        <v>2</v>
      </c>
      <c r="V143" t="s">
        <v>94</v>
      </c>
      <c r="W143" t="s">
        <v>101</v>
      </c>
      <c r="X143">
        <v>15</v>
      </c>
      <c r="Y143">
        <v>15</v>
      </c>
      <c r="Z143" t="s">
        <v>310</v>
      </c>
      <c r="AA143" t="s">
        <v>311</v>
      </c>
      <c r="AB143" t="s">
        <v>89</v>
      </c>
      <c r="AC143" t="s">
        <v>90</v>
      </c>
      <c r="AD143" t="s">
        <v>91</v>
      </c>
      <c r="AE143" t="s">
        <v>92</v>
      </c>
      <c r="AG143" t="s">
        <v>312</v>
      </c>
      <c r="AH143">
        <v>0</v>
      </c>
      <c r="AI143">
        <v>799</v>
      </c>
      <c r="AJ143">
        <v>72</v>
      </c>
      <c r="AK143">
        <v>12</v>
      </c>
      <c r="AL143">
        <v>1</v>
      </c>
    </row>
    <row r="144" spans="1:38" x14ac:dyDescent="0.3">
      <c r="A144" t="s">
        <v>84</v>
      </c>
      <c r="B144">
        <v>135882</v>
      </c>
      <c r="C144">
        <v>4</v>
      </c>
      <c r="D144" t="s">
        <v>309</v>
      </c>
      <c r="E144">
        <v>2020.1</v>
      </c>
      <c r="F144">
        <v>12</v>
      </c>
      <c r="G144">
        <v>23.99</v>
      </c>
      <c r="H144">
        <v>79.31</v>
      </c>
      <c r="I144">
        <v>20.73</v>
      </c>
      <c r="J144">
        <v>68.55</v>
      </c>
      <c r="K144">
        <v>3</v>
      </c>
      <c r="T144">
        <v>3</v>
      </c>
      <c r="U144">
        <v>2</v>
      </c>
      <c r="V144" t="s">
        <v>94</v>
      </c>
      <c r="W144">
        <v>79</v>
      </c>
      <c r="X144">
        <v>15</v>
      </c>
      <c r="Y144">
        <v>15</v>
      </c>
      <c r="Z144" t="s">
        <v>310</v>
      </c>
      <c r="AA144" t="s">
        <v>311</v>
      </c>
      <c r="AB144" t="s">
        <v>89</v>
      </c>
      <c r="AC144" t="s">
        <v>90</v>
      </c>
      <c r="AD144" t="s">
        <v>91</v>
      </c>
      <c r="AE144" t="s">
        <v>92</v>
      </c>
      <c r="AG144" t="s">
        <v>312</v>
      </c>
      <c r="AH144">
        <v>0</v>
      </c>
      <c r="AI144">
        <v>799</v>
      </c>
      <c r="AJ144">
        <v>72</v>
      </c>
      <c r="AK144">
        <v>12</v>
      </c>
      <c r="AL144">
        <v>1</v>
      </c>
    </row>
    <row r="145" spans="1:38" x14ac:dyDescent="0.3">
      <c r="A145" t="s">
        <v>84</v>
      </c>
      <c r="B145">
        <v>3286</v>
      </c>
      <c r="C145">
        <v>1</v>
      </c>
      <c r="D145" t="s">
        <v>313</v>
      </c>
      <c r="E145">
        <v>1996.11</v>
      </c>
      <c r="F145">
        <v>1292</v>
      </c>
      <c r="G145">
        <v>19.37</v>
      </c>
      <c r="H145">
        <v>64.06</v>
      </c>
      <c r="I145">
        <v>15.02</v>
      </c>
      <c r="J145">
        <v>49.68</v>
      </c>
      <c r="K145">
        <v>660</v>
      </c>
      <c r="T145">
        <v>2</v>
      </c>
      <c r="U145">
        <v>1</v>
      </c>
      <c r="V145" t="s">
        <v>128</v>
      </c>
      <c r="W145">
        <v>64</v>
      </c>
      <c r="X145">
        <v>23</v>
      </c>
      <c r="Y145">
        <v>10</v>
      </c>
      <c r="Z145" t="s">
        <v>314</v>
      </c>
      <c r="AA145" t="s">
        <v>315</v>
      </c>
      <c r="AB145" t="s">
        <v>89</v>
      </c>
      <c r="AC145" t="s">
        <v>90</v>
      </c>
      <c r="AD145" t="s">
        <v>91</v>
      </c>
      <c r="AE145" t="s">
        <v>92</v>
      </c>
      <c r="AG145" t="s">
        <v>316</v>
      </c>
      <c r="AH145">
        <v>0</v>
      </c>
      <c r="AI145">
        <v>196</v>
      </c>
      <c r="AJ145">
        <v>16</v>
      </c>
      <c r="AK145">
        <v>766</v>
      </c>
      <c r="AL145">
        <v>0.59</v>
      </c>
    </row>
    <row r="146" spans="1:38" x14ac:dyDescent="0.3">
      <c r="A146" t="s">
        <v>84</v>
      </c>
      <c r="B146">
        <v>3286</v>
      </c>
      <c r="C146">
        <v>2</v>
      </c>
      <c r="D146" t="s">
        <v>313</v>
      </c>
      <c r="E146">
        <v>1996.11</v>
      </c>
      <c r="F146">
        <v>1292</v>
      </c>
      <c r="G146">
        <v>20.190000000000001</v>
      </c>
      <c r="H146">
        <v>66.77</v>
      </c>
      <c r="I146">
        <v>15.65</v>
      </c>
      <c r="J146">
        <v>51.75</v>
      </c>
      <c r="K146">
        <v>632</v>
      </c>
      <c r="T146">
        <v>2</v>
      </c>
      <c r="U146">
        <v>1</v>
      </c>
      <c r="V146" t="s">
        <v>128</v>
      </c>
      <c r="W146">
        <v>66</v>
      </c>
      <c r="X146">
        <v>23</v>
      </c>
      <c r="Y146">
        <v>10</v>
      </c>
      <c r="Z146" t="s">
        <v>314</v>
      </c>
      <c r="AA146" t="s">
        <v>315</v>
      </c>
      <c r="AB146" t="s">
        <v>89</v>
      </c>
      <c r="AC146" t="s">
        <v>90</v>
      </c>
      <c r="AD146" t="s">
        <v>91</v>
      </c>
      <c r="AE146" t="s">
        <v>92</v>
      </c>
      <c r="AG146" t="s">
        <v>316</v>
      </c>
      <c r="AH146">
        <v>0</v>
      </c>
      <c r="AI146">
        <v>196</v>
      </c>
      <c r="AJ146">
        <v>16</v>
      </c>
      <c r="AK146">
        <v>766</v>
      </c>
      <c r="AL146">
        <v>0.59</v>
      </c>
    </row>
    <row r="147" spans="1:38" x14ac:dyDescent="0.3">
      <c r="A147" t="s">
        <v>84</v>
      </c>
      <c r="B147">
        <v>1463</v>
      </c>
      <c r="C147">
        <v>1</v>
      </c>
      <c r="D147" t="s">
        <v>317</v>
      </c>
      <c r="E147">
        <v>1993.03</v>
      </c>
      <c r="F147">
        <v>1710</v>
      </c>
      <c r="G147">
        <v>15.56</v>
      </c>
      <c r="H147">
        <v>51.46</v>
      </c>
      <c r="I147">
        <v>11.44</v>
      </c>
      <c r="J147">
        <v>37.85</v>
      </c>
      <c r="K147">
        <v>735</v>
      </c>
      <c r="T147">
        <v>2</v>
      </c>
      <c r="U147">
        <v>1</v>
      </c>
      <c r="V147" t="s">
        <v>128</v>
      </c>
      <c r="W147">
        <v>51</v>
      </c>
      <c r="X147">
        <v>20</v>
      </c>
      <c r="Y147">
        <v>10</v>
      </c>
      <c r="Z147" t="s">
        <v>318</v>
      </c>
      <c r="AA147" t="s">
        <v>319</v>
      </c>
      <c r="AB147" t="s">
        <v>89</v>
      </c>
      <c r="AC147" t="s">
        <v>90</v>
      </c>
      <c r="AD147" t="s">
        <v>91</v>
      </c>
      <c r="AE147" t="s">
        <v>92</v>
      </c>
      <c r="AG147" t="s">
        <v>320</v>
      </c>
      <c r="AH147">
        <v>0</v>
      </c>
      <c r="AI147">
        <v>198</v>
      </c>
      <c r="AJ147">
        <v>14</v>
      </c>
      <c r="AK147">
        <v>692</v>
      </c>
      <c r="AL147">
        <v>0.4</v>
      </c>
    </row>
    <row r="148" spans="1:38" x14ac:dyDescent="0.3">
      <c r="A148" t="s">
        <v>84</v>
      </c>
      <c r="B148">
        <v>1463</v>
      </c>
      <c r="C148">
        <v>2</v>
      </c>
      <c r="D148" t="s">
        <v>317</v>
      </c>
      <c r="E148">
        <v>1993.03</v>
      </c>
      <c r="F148">
        <v>1710</v>
      </c>
      <c r="G148">
        <v>20.6</v>
      </c>
      <c r="H148">
        <v>68.099999999999994</v>
      </c>
      <c r="I148">
        <v>15.12</v>
      </c>
      <c r="J148">
        <v>50</v>
      </c>
      <c r="K148">
        <v>510</v>
      </c>
      <c r="T148">
        <v>3</v>
      </c>
      <c r="U148">
        <v>1</v>
      </c>
      <c r="V148" t="s">
        <v>128</v>
      </c>
      <c r="W148">
        <v>68</v>
      </c>
      <c r="X148">
        <v>20</v>
      </c>
      <c r="Y148">
        <v>10</v>
      </c>
      <c r="Z148" t="s">
        <v>318</v>
      </c>
      <c r="AA148" t="s">
        <v>319</v>
      </c>
      <c r="AB148" t="s">
        <v>89</v>
      </c>
      <c r="AC148" t="s">
        <v>90</v>
      </c>
      <c r="AD148" t="s">
        <v>91</v>
      </c>
      <c r="AE148" t="s">
        <v>92</v>
      </c>
      <c r="AG148" t="s">
        <v>320</v>
      </c>
      <c r="AH148">
        <v>0</v>
      </c>
      <c r="AI148">
        <v>198</v>
      </c>
      <c r="AJ148">
        <v>14</v>
      </c>
      <c r="AK148">
        <v>692</v>
      </c>
      <c r="AL148">
        <v>0.4</v>
      </c>
    </row>
    <row r="149" spans="1:38" x14ac:dyDescent="0.3">
      <c r="A149" t="s">
        <v>84</v>
      </c>
      <c r="B149">
        <v>1463</v>
      </c>
      <c r="C149">
        <v>3</v>
      </c>
      <c r="D149" t="s">
        <v>317</v>
      </c>
      <c r="E149">
        <v>1993.03</v>
      </c>
      <c r="F149">
        <v>1710</v>
      </c>
      <c r="G149">
        <v>25.32</v>
      </c>
      <c r="H149">
        <v>83.73</v>
      </c>
      <c r="I149">
        <v>18.149999999999999</v>
      </c>
      <c r="J149">
        <v>60</v>
      </c>
      <c r="K149">
        <v>465</v>
      </c>
      <c r="T149">
        <v>3</v>
      </c>
      <c r="U149">
        <v>1</v>
      </c>
      <c r="V149" t="s">
        <v>128</v>
      </c>
      <c r="W149">
        <v>83</v>
      </c>
      <c r="X149">
        <v>20</v>
      </c>
      <c r="Y149">
        <v>10</v>
      </c>
      <c r="Z149" t="s">
        <v>318</v>
      </c>
      <c r="AA149" t="s">
        <v>319</v>
      </c>
      <c r="AB149" t="s">
        <v>89</v>
      </c>
      <c r="AC149" t="s">
        <v>90</v>
      </c>
      <c r="AD149" t="s">
        <v>91</v>
      </c>
      <c r="AE149" t="s">
        <v>92</v>
      </c>
      <c r="AG149" t="s">
        <v>320</v>
      </c>
      <c r="AH149">
        <v>0</v>
      </c>
      <c r="AI149">
        <v>198</v>
      </c>
      <c r="AJ149">
        <v>14</v>
      </c>
      <c r="AK149">
        <v>692</v>
      </c>
      <c r="AL149">
        <v>0.4</v>
      </c>
    </row>
    <row r="150" spans="1:38" x14ac:dyDescent="0.3">
      <c r="A150" t="s">
        <v>84</v>
      </c>
      <c r="B150">
        <v>153721</v>
      </c>
      <c r="C150">
        <v>1</v>
      </c>
      <c r="D150" t="s">
        <v>321</v>
      </c>
      <c r="E150">
        <v>2022.1</v>
      </c>
      <c r="F150">
        <v>18</v>
      </c>
      <c r="G150">
        <v>22.25</v>
      </c>
      <c r="H150">
        <v>73.58</v>
      </c>
      <c r="I150">
        <v>18.41</v>
      </c>
      <c r="J150">
        <v>60.89</v>
      </c>
      <c r="K150">
        <v>5</v>
      </c>
      <c r="T150">
        <v>3</v>
      </c>
      <c r="U150">
        <v>1</v>
      </c>
      <c r="V150" t="s">
        <v>94</v>
      </c>
      <c r="W150" t="s">
        <v>322</v>
      </c>
      <c r="X150">
        <v>20</v>
      </c>
      <c r="Y150">
        <v>16</v>
      </c>
      <c r="Z150" t="s">
        <v>323</v>
      </c>
      <c r="AA150" t="s">
        <v>324</v>
      </c>
      <c r="AB150" t="s">
        <v>89</v>
      </c>
      <c r="AC150" t="s">
        <v>90</v>
      </c>
      <c r="AD150" t="s">
        <v>91</v>
      </c>
      <c r="AE150" t="s">
        <v>92</v>
      </c>
      <c r="AG150" t="s">
        <v>325</v>
      </c>
      <c r="AH150">
        <v>0</v>
      </c>
      <c r="AI150">
        <v>799</v>
      </c>
      <c r="AJ150">
        <v>52</v>
      </c>
      <c r="AK150">
        <v>18</v>
      </c>
      <c r="AL150">
        <v>1</v>
      </c>
    </row>
    <row r="151" spans="1:38" x14ac:dyDescent="0.3">
      <c r="A151" t="s">
        <v>84</v>
      </c>
      <c r="B151">
        <v>153721</v>
      </c>
      <c r="C151">
        <v>2</v>
      </c>
      <c r="D151" t="s">
        <v>321</v>
      </c>
      <c r="E151">
        <v>2022.1</v>
      </c>
      <c r="F151">
        <v>18</v>
      </c>
      <c r="G151">
        <v>22.78</v>
      </c>
      <c r="H151">
        <v>75.319999999999993</v>
      </c>
      <c r="I151">
        <v>18.84</v>
      </c>
      <c r="J151">
        <v>62.29</v>
      </c>
      <c r="K151">
        <v>4</v>
      </c>
      <c r="T151">
        <v>3</v>
      </c>
      <c r="U151">
        <v>1</v>
      </c>
      <c r="V151" t="s">
        <v>94</v>
      </c>
      <c r="W151" t="s">
        <v>326</v>
      </c>
      <c r="X151">
        <v>20</v>
      </c>
      <c r="Y151">
        <v>16</v>
      </c>
      <c r="Z151" t="s">
        <v>323</v>
      </c>
      <c r="AA151" t="s">
        <v>324</v>
      </c>
      <c r="AB151" t="s">
        <v>89</v>
      </c>
      <c r="AC151" t="s">
        <v>90</v>
      </c>
      <c r="AD151" t="s">
        <v>91</v>
      </c>
      <c r="AE151" t="s">
        <v>92</v>
      </c>
      <c r="AG151" t="s">
        <v>325</v>
      </c>
      <c r="AH151">
        <v>0</v>
      </c>
      <c r="AI151">
        <v>799</v>
      </c>
      <c r="AJ151">
        <v>52</v>
      </c>
      <c r="AK151">
        <v>18</v>
      </c>
      <c r="AL151">
        <v>1</v>
      </c>
    </row>
    <row r="152" spans="1:38" x14ac:dyDescent="0.3">
      <c r="A152" t="s">
        <v>84</v>
      </c>
      <c r="B152">
        <v>153721</v>
      </c>
      <c r="C152">
        <v>3</v>
      </c>
      <c r="D152" t="s">
        <v>321</v>
      </c>
      <c r="E152">
        <v>2022.1</v>
      </c>
      <c r="F152">
        <v>18</v>
      </c>
      <c r="G152">
        <v>23.95</v>
      </c>
      <c r="H152">
        <v>79.19</v>
      </c>
      <c r="I152">
        <v>19.82</v>
      </c>
      <c r="J152">
        <v>65.53</v>
      </c>
      <c r="K152">
        <v>4</v>
      </c>
      <c r="T152">
        <v>3</v>
      </c>
      <c r="U152">
        <v>1</v>
      </c>
      <c r="V152" t="s">
        <v>94</v>
      </c>
      <c r="W152">
        <v>79</v>
      </c>
      <c r="X152">
        <v>20</v>
      </c>
      <c r="Y152">
        <v>16</v>
      </c>
      <c r="Z152" t="s">
        <v>323</v>
      </c>
      <c r="AA152" t="s">
        <v>324</v>
      </c>
      <c r="AB152" t="s">
        <v>89</v>
      </c>
      <c r="AC152" t="s">
        <v>90</v>
      </c>
      <c r="AD152" t="s">
        <v>91</v>
      </c>
      <c r="AE152" t="s">
        <v>92</v>
      </c>
      <c r="AG152" t="s">
        <v>325</v>
      </c>
      <c r="AH152">
        <v>0</v>
      </c>
      <c r="AI152">
        <v>799</v>
      </c>
      <c r="AJ152">
        <v>52</v>
      </c>
      <c r="AK152">
        <v>18</v>
      </c>
      <c r="AL152">
        <v>1</v>
      </c>
    </row>
    <row r="153" spans="1:38" x14ac:dyDescent="0.3">
      <c r="A153" t="s">
        <v>84</v>
      </c>
      <c r="B153">
        <v>153721</v>
      </c>
      <c r="C153">
        <v>4</v>
      </c>
      <c r="D153" t="s">
        <v>321</v>
      </c>
      <c r="E153">
        <v>2022.1</v>
      </c>
      <c r="F153">
        <v>18</v>
      </c>
      <c r="G153">
        <v>25.4</v>
      </c>
      <c r="H153">
        <v>83.99</v>
      </c>
      <c r="I153">
        <v>21.01</v>
      </c>
      <c r="J153">
        <v>69.459999999999994</v>
      </c>
      <c r="K153">
        <v>5</v>
      </c>
      <c r="T153">
        <v>3</v>
      </c>
      <c r="U153">
        <v>2</v>
      </c>
      <c r="V153" t="s">
        <v>94</v>
      </c>
      <c r="W153">
        <v>83</v>
      </c>
      <c r="X153">
        <v>20</v>
      </c>
      <c r="Y153">
        <v>16</v>
      </c>
      <c r="Z153" t="s">
        <v>323</v>
      </c>
      <c r="AA153" t="s">
        <v>324</v>
      </c>
      <c r="AB153" t="s">
        <v>89</v>
      </c>
      <c r="AC153" t="s">
        <v>90</v>
      </c>
      <c r="AD153" t="s">
        <v>91</v>
      </c>
      <c r="AE153" t="s">
        <v>92</v>
      </c>
      <c r="AG153" t="s">
        <v>325</v>
      </c>
      <c r="AH153">
        <v>0</v>
      </c>
      <c r="AI153">
        <v>799</v>
      </c>
      <c r="AJ153">
        <v>52</v>
      </c>
      <c r="AK153">
        <v>18</v>
      </c>
      <c r="AL153">
        <v>1</v>
      </c>
    </row>
    <row r="154" spans="1:38" x14ac:dyDescent="0.3">
      <c r="A154" t="s">
        <v>84</v>
      </c>
      <c r="B154">
        <v>16152</v>
      </c>
      <c r="C154">
        <v>1</v>
      </c>
      <c r="D154" t="s">
        <v>327</v>
      </c>
      <c r="E154">
        <v>1982.08</v>
      </c>
      <c r="F154">
        <v>40</v>
      </c>
      <c r="G154">
        <v>18.190000000000001</v>
      </c>
      <c r="H154">
        <v>60.14</v>
      </c>
      <c r="I154">
        <v>13.18</v>
      </c>
      <c r="J154">
        <v>43.59</v>
      </c>
      <c r="K154">
        <v>40</v>
      </c>
      <c r="T154">
        <v>2</v>
      </c>
      <c r="U154">
        <v>1</v>
      </c>
      <c r="V154" t="s">
        <v>94</v>
      </c>
      <c r="W154">
        <v>60</v>
      </c>
      <c r="X154">
        <v>5</v>
      </c>
      <c r="Y154">
        <v>5</v>
      </c>
      <c r="Z154" t="s">
        <v>328</v>
      </c>
      <c r="AA154" t="s">
        <v>329</v>
      </c>
      <c r="AB154" t="s">
        <v>89</v>
      </c>
      <c r="AC154" t="s">
        <v>90</v>
      </c>
      <c r="AD154" t="s">
        <v>91</v>
      </c>
      <c r="AE154" t="s">
        <v>92</v>
      </c>
      <c r="AG154" t="s">
        <v>330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84</v>
      </c>
      <c r="B155">
        <v>24277</v>
      </c>
      <c r="C155">
        <v>1</v>
      </c>
      <c r="D155" t="s">
        <v>331</v>
      </c>
      <c r="E155">
        <v>1988.01</v>
      </c>
      <c r="F155">
        <v>55</v>
      </c>
      <c r="G155">
        <v>18.940000000000001</v>
      </c>
      <c r="H155">
        <v>62.64</v>
      </c>
      <c r="I155">
        <v>14.15</v>
      </c>
      <c r="J155">
        <v>46.8</v>
      </c>
      <c r="K155">
        <v>40</v>
      </c>
      <c r="T155">
        <v>3</v>
      </c>
      <c r="U155">
        <v>1</v>
      </c>
      <c r="V155" t="s">
        <v>94</v>
      </c>
      <c r="W155">
        <v>62</v>
      </c>
      <c r="X155">
        <v>5</v>
      </c>
      <c r="Y155">
        <v>5</v>
      </c>
      <c r="Z155" t="s">
        <v>332</v>
      </c>
      <c r="AA155" t="s">
        <v>333</v>
      </c>
      <c r="AB155" t="s">
        <v>89</v>
      </c>
      <c r="AC155" t="s">
        <v>90</v>
      </c>
      <c r="AD155" t="s">
        <v>91</v>
      </c>
      <c r="AE155" t="s">
        <v>92</v>
      </c>
      <c r="AG155" t="s">
        <v>334</v>
      </c>
      <c r="AH155">
        <v>0</v>
      </c>
      <c r="AI155">
        <v>175</v>
      </c>
      <c r="AJ155">
        <v>35</v>
      </c>
      <c r="AK155">
        <v>9</v>
      </c>
      <c r="AL155">
        <v>0.16</v>
      </c>
    </row>
    <row r="156" spans="1:38" x14ac:dyDescent="0.3">
      <c r="A156" t="s">
        <v>84</v>
      </c>
      <c r="B156">
        <v>24277</v>
      </c>
      <c r="C156">
        <v>2</v>
      </c>
      <c r="D156" t="s">
        <v>331</v>
      </c>
      <c r="E156">
        <v>1988.01</v>
      </c>
      <c r="F156">
        <v>55</v>
      </c>
      <c r="G156">
        <v>21.11</v>
      </c>
      <c r="H156">
        <v>69.8</v>
      </c>
      <c r="I156">
        <v>15.79</v>
      </c>
      <c r="J156">
        <v>52.2</v>
      </c>
      <c r="K156">
        <v>5</v>
      </c>
      <c r="T156">
        <v>3</v>
      </c>
      <c r="U156">
        <v>1</v>
      </c>
      <c r="V156" t="s">
        <v>94</v>
      </c>
      <c r="W156">
        <v>69</v>
      </c>
      <c r="X156">
        <v>5</v>
      </c>
      <c r="Y156">
        <v>5</v>
      </c>
      <c r="Z156" t="s">
        <v>332</v>
      </c>
      <c r="AA156" t="s">
        <v>333</v>
      </c>
      <c r="AB156" t="s">
        <v>89</v>
      </c>
      <c r="AC156" t="s">
        <v>90</v>
      </c>
      <c r="AD156" t="s">
        <v>91</v>
      </c>
      <c r="AE156" t="s">
        <v>92</v>
      </c>
      <c r="AG156" t="s">
        <v>334</v>
      </c>
      <c r="AH156">
        <v>0</v>
      </c>
      <c r="AI156">
        <v>175</v>
      </c>
      <c r="AJ156">
        <v>35</v>
      </c>
      <c r="AK156">
        <v>9</v>
      </c>
      <c r="AL156">
        <v>0.16</v>
      </c>
    </row>
    <row r="157" spans="1:38" x14ac:dyDescent="0.3">
      <c r="A157" t="s">
        <v>84</v>
      </c>
      <c r="B157">
        <v>24277</v>
      </c>
      <c r="C157">
        <v>3</v>
      </c>
      <c r="D157" t="s">
        <v>331</v>
      </c>
      <c r="E157">
        <v>1988.01</v>
      </c>
      <c r="F157">
        <v>55</v>
      </c>
      <c r="G157">
        <v>22.17</v>
      </c>
      <c r="H157">
        <v>73.290000000000006</v>
      </c>
      <c r="I157">
        <v>16.579999999999998</v>
      </c>
      <c r="J157">
        <v>54.81</v>
      </c>
      <c r="K157">
        <v>10</v>
      </c>
      <c r="T157">
        <v>3</v>
      </c>
      <c r="U157">
        <v>1</v>
      </c>
      <c r="V157" t="s">
        <v>94</v>
      </c>
      <c r="W157">
        <v>73</v>
      </c>
      <c r="X157">
        <v>5</v>
      </c>
      <c r="Y157">
        <v>5</v>
      </c>
      <c r="Z157" t="s">
        <v>332</v>
      </c>
      <c r="AA157" t="s">
        <v>333</v>
      </c>
      <c r="AB157" t="s">
        <v>89</v>
      </c>
      <c r="AC157" t="s">
        <v>90</v>
      </c>
      <c r="AD157" t="s">
        <v>91</v>
      </c>
      <c r="AE157" t="s">
        <v>92</v>
      </c>
      <c r="AG157" t="s">
        <v>334</v>
      </c>
      <c r="AH157">
        <v>0</v>
      </c>
      <c r="AI157">
        <v>175</v>
      </c>
      <c r="AJ157">
        <v>35</v>
      </c>
      <c r="AK157">
        <v>9</v>
      </c>
      <c r="AL157">
        <v>0.16</v>
      </c>
    </row>
    <row r="158" spans="1:38" x14ac:dyDescent="0.3">
      <c r="A158" t="s">
        <v>84</v>
      </c>
      <c r="B158">
        <v>11244</v>
      </c>
      <c r="C158">
        <v>1</v>
      </c>
      <c r="D158" t="s">
        <v>335</v>
      </c>
      <c r="E158">
        <v>1988.05</v>
      </c>
      <c r="F158">
        <v>30</v>
      </c>
      <c r="G158">
        <v>18.72</v>
      </c>
      <c r="H158">
        <v>61.91</v>
      </c>
      <c r="I158">
        <v>14.04</v>
      </c>
      <c r="J158">
        <v>46.44</v>
      </c>
      <c r="K158">
        <v>10</v>
      </c>
      <c r="T158">
        <v>3</v>
      </c>
      <c r="U158">
        <v>1</v>
      </c>
      <c r="V158" t="s">
        <v>94</v>
      </c>
      <c r="W158">
        <v>61</v>
      </c>
      <c r="X158">
        <v>5</v>
      </c>
      <c r="Y158">
        <v>5</v>
      </c>
      <c r="Z158" t="s">
        <v>336</v>
      </c>
      <c r="AA158" t="s">
        <v>337</v>
      </c>
      <c r="AB158" t="s">
        <v>89</v>
      </c>
      <c r="AC158" t="s">
        <v>90</v>
      </c>
      <c r="AD158" t="s">
        <v>91</v>
      </c>
      <c r="AE158" t="s">
        <v>92</v>
      </c>
      <c r="AG158" t="s">
        <v>338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84</v>
      </c>
      <c r="B159">
        <v>11244</v>
      </c>
      <c r="C159">
        <v>2</v>
      </c>
      <c r="D159" t="s">
        <v>335</v>
      </c>
      <c r="E159">
        <v>1988.05</v>
      </c>
      <c r="F159">
        <v>30</v>
      </c>
      <c r="G159">
        <v>20.69</v>
      </c>
      <c r="H159">
        <v>68.400000000000006</v>
      </c>
      <c r="I159">
        <v>15.57</v>
      </c>
      <c r="J159">
        <v>51.48</v>
      </c>
      <c r="K159">
        <v>20</v>
      </c>
      <c r="T159">
        <v>3</v>
      </c>
      <c r="U159">
        <v>1</v>
      </c>
      <c r="V159" t="s">
        <v>94</v>
      </c>
      <c r="W159">
        <v>68</v>
      </c>
      <c r="X159">
        <v>5</v>
      </c>
      <c r="Y159">
        <v>5</v>
      </c>
      <c r="Z159" t="s">
        <v>336</v>
      </c>
      <c r="AA159" t="s">
        <v>337</v>
      </c>
      <c r="AB159" t="s">
        <v>89</v>
      </c>
      <c r="AC159" t="s">
        <v>90</v>
      </c>
      <c r="AD159" t="s">
        <v>91</v>
      </c>
      <c r="AE159" t="s">
        <v>92</v>
      </c>
      <c r="AG159" t="s">
        <v>338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84</v>
      </c>
      <c r="B160">
        <v>105053</v>
      </c>
      <c r="C160">
        <v>1</v>
      </c>
      <c r="D160" t="s">
        <v>339</v>
      </c>
      <c r="E160">
        <v>1985.1</v>
      </c>
      <c r="F160">
        <v>80</v>
      </c>
      <c r="G160">
        <v>16.77</v>
      </c>
      <c r="H160">
        <v>55.46</v>
      </c>
      <c r="I160">
        <v>11.78</v>
      </c>
      <c r="J160">
        <v>38.97</v>
      </c>
      <c r="K160">
        <v>8</v>
      </c>
      <c r="T160">
        <v>2</v>
      </c>
      <c r="U160">
        <v>1</v>
      </c>
      <c r="V160" t="s">
        <v>94</v>
      </c>
      <c r="W160">
        <v>55</v>
      </c>
      <c r="X160">
        <v>4</v>
      </c>
      <c r="Y160">
        <v>4</v>
      </c>
      <c r="Z160" t="s">
        <v>340</v>
      </c>
      <c r="AA160" t="s">
        <v>341</v>
      </c>
      <c r="AB160" t="s">
        <v>89</v>
      </c>
      <c r="AC160" t="s">
        <v>90</v>
      </c>
      <c r="AD160" t="s">
        <v>91</v>
      </c>
      <c r="AE160" t="s">
        <v>92</v>
      </c>
      <c r="AG160" t="s">
        <v>342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84</v>
      </c>
      <c r="B161">
        <v>105053</v>
      </c>
      <c r="C161">
        <v>2</v>
      </c>
      <c r="D161" t="s">
        <v>339</v>
      </c>
      <c r="E161">
        <v>1985.1</v>
      </c>
      <c r="F161">
        <v>80</v>
      </c>
      <c r="G161">
        <v>23.68</v>
      </c>
      <c r="H161">
        <v>78.3</v>
      </c>
      <c r="I161">
        <v>17.2</v>
      </c>
      <c r="J161">
        <v>56.88</v>
      </c>
      <c r="K161">
        <v>40</v>
      </c>
      <c r="T161">
        <v>3</v>
      </c>
      <c r="U161">
        <v>1</v>
      </c>
      <c r="V161" t="s">
        <v>94</v>
      </c>
      <c r="W161" t="s">
        <v>343</v>
      </c>
      <c r="X161">
        <v>4</v>
      </c>
      <c r="Y161">
        <v>4</v>
      </c>
      <c r="Z161" t="s">
        <v>340</v>
      </c>
      <c r="AA161" t="s">
        <v>341</v>
      </c>
      <c r="AB161" t="s">
        <v>89</v>
      </c>
      <c r="AC161" t="s">
        <v>90</v>
      </c>
      <c r="AD161" t="s">
        <v>91</v>
      </c>
      <c r="AE161" t="s">
        <v>92</v>
      </c>
      <c r="AG161" t="s">
        <v>342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84</v>
      </c>
      <c r="B162">
        <v>105053</v>
      </c>
      <c r="C162">
        <v>3</v>
      </c>
      <c r="D162" t="s">
        <v>339</v>
      </c>
      <c r="E162">
        <v>1985.1</v>
      </c>
      <c r="F162">
        <v>80</v>
      </c>
      <c r="G162">
        <v>23.82</v>
      </c>
      <c r="H162">
        <v>78.75</v>
      </c>
      <c r="I162">
        <v>17.420000000000002</v>
      </c>
      <c r="J162">
        <v>57.6</v>
      </c>
      <c r="K162">
        <v>32</v>
      </c>
      <c r="T162">
        <v>3</v>
      </c>
      <c r="U162">
        <v>2</v>
      </c>
      <c r="V162" t="s">
        <v>94</v>
      </c>
      <c r="W162" t="s">
        <v>344</v>
      </c>
      <c r="X162">
        <v>4</v>
      </c>
      <c r="Y162">
        <v>4</v>
      </c>
      <c r="Z162" t="s">
        <v>340</v>
      </c>
      <c r="AA162" t="s">
        <v>341</v>
      </c>
      <c r="AB162" t="s">
        <v>89</v>
      </c>
      <c r="AC162" t="s">
        <v>90</v>
      </c>
      <c r="AD162" t="s">
        <v>91</v>
      </c>
      <c r="AE162" t="s">
        <v>92</v>
      </c>
      <c r="AG162" t="s">
        <v>342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84</v>
      </c>
      <c r="B163">
        <v>25290</v>
      </c>
      <c r="C163">
        <v>1</v>
      </c>
      <c r="D163" t="s">
        <v>345</v>
      </c>
      <c r="E163">
        <v>1990.03</v>
      </c>
      <c r="F163">
        <v>65</v>
      </c>
      <c r="G163">
        <v>20.57</v>
      </c>
      <c r="H163">
        <v>68.03</v>
      </c>
      <c r="I163">
        <v>15.46</v>
      </c>
      <c r="J163">
        <v>51.12</v>
      </c>
      <c r="K163">
        <v>30</v>
      </c>
      <c r="T163">
        <v>3</v>
      </c>
      <c r="U163">
        <v>1</v>
      </c>
      <c r="V163" t="s">
        <v>94</v>
      </c>
      <c r="W163">
        <v>68</v>
      </c>
      <c r="X163">
        <v>5</v>
      </c>
      <c r="Y163">
        <v>5</v>
      </c>
      <c r="Z163" t="s">
        <v>346</v>
      </c>
      <c r="AA163" t="s">
        <v>347</v>
      </c>
      <c r="AB163" t="s">
        <v>89</v>
      </c>
      <c r="AC163" t="s">
        <v>90</v>
      </c>
      <c r="AD163" t="s">
        <v>91</v>
      </c>
      <c r="AE163" t="s">
        <v>92</v>
      </c>
      <c r="AG163" t="s">
        <v>348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">
      <c r="A164" t="s">
        <v>84</v>
      </c>
      <c r="B164">
        <v>25290</v>
      </c>
      <c r="C164">
        <v>2</v>
      </c>
      <c r="D164" t="s">
        <v>345</v>
      </c>
      <c r="E164">
        <v>1990.03</v>
      </c>
      <c r="F164">
        <v>65</v>
      </c>
      <c r="G164">
        <v>22.2</v>
      </c>
      <c r="H164">
        <v>73.41</v>
      </c>
      <c r="I164">
        <v>16.3</v>
      </c>
      <c r="J164">
        <v>53.91</v>
      </c>
      <c r="K164">
        <v>30</v>
      </c>
      <c r="T164">
        <v>3</v>
      </c>
      <c r="U164">
        <v>1</v>
      </c>
      <c r="V164" t="s">
        <v>94</v>
      </c>
      <c r="W164">
        <v>73</v>
      </c>
      <c r="X164">
        <v>5</v>
      </c>
      <c r="Y164">
        <v>5</v>
      </c>
      <c r="Z164" t="s">
        <v>346</v>
      </c>
      <c r="AA164" t="s">
        <v>347</v>
      </c>
      <c r="AB164" t="s">
        <v>89</v>
      </c>
      <c r="AC164" t="s">
        <v>90</v>
      </c>
      <c r="AD164" t="s">
        <v>91</v>
      </c>
      <c r="AE164" t="s">
        <v>92</v>
      </c>
      <c r="AG164" t="s">
        <v>348</v>
      </c>
      <c r="AH164">
        <v>0</v>
      </c>
      <c r="AI164">
        <v>0</v>
      </c>
      <c r="AJ164">
        <v>0</v>
      </c>
      <c r="AK164">
        <v>0</v>
      </c>
      <c r="AL164">
        <v>0</v>
      </c>
    </row>
    <row r="165" spans="1:38" x14ac:dyDescent="0.3">
      <c r="A165" t="s">
        <v>84</v>
      </c>
      <c r="B165">
        <v>25290</v>
      </c>
      <c r="C165">
        <v>3</v>
      </c>
      <c r="D165" t="s">
        <v>345</v>
      </c>
      <c r="E165">
        <v>1990.03</v>
      </c>
      <c r="F165">
        <v>65</v>
      </c>
      <c r="G165">
        <v>23.67</v>
      </c>
      <c r="H165">
        <v>78.27</v>
      </c>
      <c r="I165">
        <v>16.579999999999998</v>
      </c>
      <c r="J165">
        <v>54.81</v>
      </c>
      <c r="K165">
        <v>5</v>
      </c>
      <c r="T165">
        <v>3</v>
      </c>
      <c r="U165">
        <v>1</v>
      </c>
      <c r="V165" t="s">
        <v>94</v>
      </c>
      <c r="W165">
        <v>78</v>
      </c>
      <c r="X165">
        <v>5</v>
      </c>
      <c r="Y165">
        <v>5</v>
      </c>
      <c r="Z165" t="s">
        <v>346</v>
      </c>
      <c r="AA165" t="s">
        <v>347</v>
      </c>
      <c r="AB165" t="s">
        <v>89</v>
      </c>
      <c r="AC165" t="s">
        <v>90</v>
      </c>
      <c r="AD165" t="s">
        <v>91</v>
      </c>
      <c r="AE165" t="s">
        <v>92</v>
      </c>
      <c r="AG165" t="s">
        <v>348</v>
      </c>
      <c r="AH165">
        <v>0</v>
      </c>
      <c r="AI165">
        <v>0</v>
      </c>
      <c r="AJ165">
        <v>0</v>
      </c>
      <c r="AK165">
        <v>0</v>
      </c>
      <c r="AL165">
        <v>0</v>
      </c>
    </row>
    <row r="166" spans="1:38" x14ac:dyDescent="0.3">
      <c r="A166" t="s">
        <v>84</v>
      </c>
      <c r="B166">
        <v>13276</v>
      </c>
      <c r="C166">
        <v>1</v>
      </c>
      <c r="D166" t="s">
        <v>349</v>
      </c>
      <c r="E166">
        <v>1986.09</v>
      </c>
      <c r="F166">
        <v>80</v>
      </c>
      <c r="G166">
        <v>18.649999999999999</v>
      </c>
      <c r="H166">
        <v>61.68</v>
      </c>
      <c r="I166">
        <v>13.99</v>
      </c>
      <c r="J166">
        <v>46.26</v>
      </c>
      <c r="K166">
        <v>20</v>
      </c>
      <c r="T166">
        <v>2</v>
      </c>
      <c r="U166">
        <v>1</v>
      </c>
      <c r="V166" t="s">
        <v>94</v>
      </c>
      <c r="W166">
        <v>61</v>
      </c>
      <c r="X166">
        <v>5</v>
      </c>
      <c r="Y166">
        <v>5</v>
      </c>
      <c r="Z166" t="s">
        <v>350</v>
      </c>
      <c r="AA166" t="s">
        <v>351</v>
      </c>
      <c r="AB166" t="s">
        <v>89</v>
      </c>
      <c r="AC166" t="s">
        <v>90</v>
      </c>
      <c r="AD166" t="s">
        <v>91</v>
      </c>
      <c r="AE166" t="s">
        <v>92</v>
      </c>
      <c r="AG166" t="s">
        <v>352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 x14ac:dyDescent="0.3">
      <c r="A167" t="s">
        <v>84</v>
      </c>
      <c r="B167">
        <v>13276</v>
      </c>
      <c r="C167">
        <v>2</v>
      </c>
      <c r="D167" t="s">
        <v>349</v>
      </c>
      <c r="E167">
        <v>1986.09</v>
      </c>
      <c r="F167">
        <v>80</v>
      </c>
      <c r="G167">
        <v>20.71</v>
      </c>
      <c r="H167">
        <v>68.47</v>
      </c>
      <c r="I167">
        <v>15.62</v>
      </c>
      <c r="J167">
        <v>51.66</v>
      </c>
      <c r="K167">
        <v>40</v>
      </c>
      <c r="T167">
        <v>2</v>
      </c>
      <c r="U167">
        <v>1</v>
      </c>
      <c r="V167" t="s">
        <v>94</v>
      </c>
      <c r="W167">
        <v>68</v>
      </c>
      <c r="X167">
        <v>5</v>
      </c>
      <c r="Y167">
        <v>5</v>
      </c>
      <c r="Z167" t="s">
        <v>350</v>
      </c>
      <c r="AA167" t="s">
        <v>351</v>
      </c>
      <c r="AB167" t="s">
        <v>89</v>
      </c>
      <c r="AC167" t="s">
        <v>90</v>
      </c>
      <c r="AD167" t="s">
        <v>91</v>
      </c>
      <c r="AE167" t="s">
        <v>92</v>
      </c>
      <c r="AG167" t="s">
        <v>352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84</v>
      </c>
      <c r="B168">
        <v>13276</v>
      </c>
      <c r="C168">
        <v>3</v>
      </c>
      <c r="D168" t="s">
        <v>349</v>
      </c>
      <c r="E168">
        <v>1986.09</v>
      </c>
      <c r="F168">
        <v>80</v>
      </c>
      <c r="G168">
        <v>22.56</v>
      </c>
      <c r="H168">
        <v>74.58</v>
      </c>
      <c r="I168">
        <v>17.260000000000002</v>
      </c>
      <c r="J168">
        <v>57.06</v>
      </c>
      <c r="K168">
        <v>20</v>
      </c>
      <c r="T168">
        <v>3</v>
      </c>
      <c r="U168">
        <v>1</v>
      </c>
      <c r="V168" t="s">
        <v>94</v>
      </c>
      <c r="W168">
        <v>74</v>
      </c>
      <c r="X168">
        <v>5</v>
      </c>
      <c r="Y168">
        <v>5</v>
      </c>
      <c r="Z168" t="s">
        <v>350</v>
      </c>
      <c r="AA168" t="s">
        <v>351</v>
      </c>
      <c r="AB168" t="s">
        <v>89</v>
      </c>
      <c r="AC168" t="s">
        <v>90</v>
      </c>
      <c r="AD168" t="s">
        <v>91</v>
      </c>
      <c r="AE168" t="s">
        <v>92</v>
      </c>
      <c r="AG168" t="s">
        <v>352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84</v>
      </c>
      <c r="B169">
        <v>13227</v>
      </c>
      <c r="C169">
        <v>1</v>
      </c>
      <c r="D169" t="s">
        <v>353</v>
      </c>
      <c r="E169">
        <v>1984.1</v>
      </c>
      <c r="F169">
        <v>72</v>
      </c>
      <c r="G169">
        <v>23.04</v>
      </c>
      <c r="H169">
        <v>76.180000000000007</v>
      </c>
      <c r="I169">
        <v>16.739999999999998</v>
      </c>
      <c r="J169">
        <v>55.35</v>
      </c>
      <c r="K169">
        <v>48</v>
      </c>
      <c r="T169">
        <v>3</v>
      </c>
      <c r="U169">
        <v>1</v>
      </c>
      <c r="V169" t="s">
        <v>94</v>
      </c>
      <c r="W169">
        <v>76</v>
      </c>
      <c r="X169">
        <v>4</v>
      </c>
      <c r="Y169">
        <v>4</v>
      </c>
      <c r="Z169" t="s">
        <v>354</v>
      </c>
      <c r="AA169" t="s">
        <v>355</v>
      </c>
      <c r="AB169" t="s">
        <v>89</v>
      </c>
      <c r="AC169" t="s">
        <v>90</v>
      </c>
      <c r="AD169" t="s">
        <v>91</v>
      </c>
      <c r="AE169" t="s">
        <v>92</v>
      </c>
      <c r="AG169" t="s">
        <v>356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84</v>
      </c>
      <c r="B170">
        <v>13227</v>
      </c>
      <c r="C170">
        <v>2</v>
      </c>
      <c r="D170" t="s">
        <v>353</v>
      </c>
      <c r="E170">
        <v>1984.1</v>
      </c>
      <c r="F170">
        <v>72</v>
      </c>
      <c r="G170">
        <v>25.59</v>
      </c>
      <c r="H170">
        <v>84.62</v>
      </c>
      <c r="I170">
        <v>18.78</v>
      </c>
      <c r="J170">
        <v>62.1</v>
      </c>
      <c r="K170">
        <v>24</v>
      </c>
      <c r="T170">
        <v>3</v>
      </c>
      <c r="U170">
        <v>1</v>
      </c>
      <c r="V170" t="s">
        <v>94</v>
      </c>
      <c r="W170">
        <v>84</v>
      </c>
      <c r="X170">
        <v>4</v>
      </c>
      <c r="Y170">
        <v>4</v>
      </c>
      <c r="Z170" t="s">
        <v>354</v>
      </c>
      <c r="AA170" t="s">
        <v>355</v>
      </c>
      <c r="AB170" t="s">
        <v>89</v>
      </c>
      <c r="AC170" t="s">
        <v>90</v>
      </c>
      <c r="AD170" t="s">
        <v>91</v>
      </c>
      <c r="AE170" t="s">
        <v>92</v>
      </c>
      <c r="AG170" t="s">
        <v>356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84</v>
      </c>
      <c r="B171">
        <v>23687</v>
      </c>
      <c r="C171">
        <v>1</v>
      </c>
      <c r="D171" t="s">
        <v>357</v>
      </c>
      <c r="E171">
        <v>1995.12</v>
      </c>
      <c r="F171">
        <v>16</v>
      </c>
      <c r="G171">
        <v>36.840000000000003</v>
      </c>
      <c r="H171">
        <v>121.81</v>
      </c>
      <c r="I171">
        <v>28.28</v>
      </c>
      <c r="J171">
        <v>93.51</v>
      </c>
      <c r="K171">
        <v>16</v>
      </c>
      <c r="T171">
        <v>3</v>
      </c>
      <c r="U171">
        <v>2</v>
      </c>
      <c r="V171" t="s">
        <v>94</v>
      </c>
      <c r="W171">
        <v>121</v>
      </c>
      <c r="X171">
        <v>12</v>
      </c>
      <c r="Y171">
        <v>12</v>
      </c>
      <c r="Z171" t="s">
        <v>358</v>
      </c>
      <c r="AA171" t="s">
        <v>359</v>
      </c>
      <c r="AB171" t="s">
        <v>89</v>
      </c>
      <c r="AC171" t="s">
        <v>90</v>
      </c>
      <c r="AD171" t="s">
        <v>91</v>
      </c>
      <c r="AE171" t="s">
        <v>92</v>
      </c>
      <c r="AG171" t="s">
        <v>360</v>
      </c>
      <c r="AH171">
        <v>0</v>
      </c>
      <c r="AI171">
        <v>391</v>
      </c>
      <c r="AJ171">
        <v>59</v>
      </c>
      <c r="AK171">
        <v>42</v>
      </c>
      <c r="AL171">
        <v>2.62</v>
      </c>
    </row>
    <row r="172" spans="1:38" x14ac:dyDescent="0.3">
      <c r="A172" t="s">
        <v>84</v>
      </c>
      <c r="B172">
        <v>11703</v>
      </c>
      <c r="C172">
        <v>1</v>
      </c>
      <c r="D172" t="s">
        <v>361</v>
      </c>
      <c r="E172">
        <v>1992.12</v>
      </c>
      <c r="F172">
        <v>18</v>
      </c>
      <c r="G172">
        <v>58.35</v>
      </c>
      <c r="H172">
        <v>192.9</v>
      </c>
      <c r="I172">
        <v>39.74</v>
      </c>
      <c r="J172">
        <v>131.4</v>
      </c>
      <c r="K172">
        <v>15</v>
      </c>
      <c r="T172">
        <v>4</v>
      </c>
      <c r="U172">
        <v>2</v>
      </c>
      <c r="V172" t="s">
        <v>128</v>
      </c>
      <c r="W172">
        <v>192</v>
      </c>
      <c r="X172">
        <v>9</v>
      </c>
      <c r="Y172">
        <v>6</v>
      </c>
      <c r="Z172" t="s">
        <v>362</v>
      </c>
      <c r="AA172" t="s">
        <v>363</v>
      </c>
      <c r="AB172" t="s">
        <v>89</v>
      </c>
      <c r="AC172" t="s">
        <v>90</v>
      </c>
      <c r="AD172" t="s">
        <v>91</v>
      </c>
      <c r="AE172" t="s">
        <v>92</v>
      </c>
      <c r="AG172" t="s">
        <v>364</v>
      </c>
      <c r="AH172">
        <v>0</v>
      </c>
      <c r="AI172">
        <v>276</v>
      </c>
      <c r="AJ172">
        <v>58</v>
      </c>
      <c r="AK172">
        <v>9</v>
      </c>
      <c r="AL172">
        <v>0.5</v>
      </c>
    </row>
    <row r="173" spans="1:38" x14ac:dyDescent="0.3">
      <c r="A173" t="s">
        <v>84</v>
      </c>
      <c r="B173">
        <v>11703</v>
      </c>
      <c r="C173">
        <v>2</v>
      </c>
      <c r="D173" t="s">
        <v>361</v>
      </c>
      <c r="E173">
        <v>1992.12</v>
      </c>
      <c r="F173">
        <v>18</v>
      </c>
      <c r="G173">
        <v>74.010000000000005</v>
      </c>
      <c r="H173">
        <v>244.68</v>
      </c>
      <c r="I173">
        <v>50.42</v>
      </c>
      <c r="J173">
        <v>166.68</v>
      </c>
      <c r="K173">
        <v>3</v>
      </c>
      <c r="T173">
        <v>5</v>
      </c>
      <c r="U173">
        <v>2</v>
      </c>
      <c r="V173" t="s">
        <v>128</v>
      </c>
      <c r="W173">
        <v>244</v>
      </c>
      <c r="X173">
        <v>9</v>
      </c>
      <c r="Y173">
        <v>6</v>
      </c>
      <c r="Z173" t="s">
        <v>362</v>
      </c>
      <c r="AA173" t="s">
        <v>363</v>
      </c>
      <c r="AB173" t="s">
        <v>89</v>
      </c>
      <c r="AC173" t="s">
        <v>90</v>
      </c>
      <c r="AD173" t="s">
        <v>91</v>
      </c>
      <c r="AE173" t="s">
        <v>92</v>
      </c>
      <c r="AG173" t="s">
        <v>364</v>
      </c>
      <c r="AH173">
        <v>0</v>
      </c>
      <c r="AI173">
        <v>276</v>
      </c>
      <c r="AJ173">
        <v>58</v>
      </c>
      <c r="AK173">
        <v>9</v>
      </c>
      <c r="AL173">
        <v>0.5</v>
      </c>
    </row>
    <row r="174" spans="1:38" x14ac:dyDescent="0.3">
      <c r="A174" t="s">
        <v>84</v>
      </c>
      <c r="B174">
        <v>132626</v>
      </c>
      <c r="C174">
        <v>1</v>
      </c>
      <c r="D174" t="s">
        <v>365</v>
      </c>
      <c r="E174">
        <v>2020.06</v>
      </c>
      <c r="F174">
        <v>9</v>
      </c>
      <c r="G174">
        <v>18.23</v>
      </c>
      <c r="H174">
        <v>60.27</v>
      </c>
      <c r="I174">
        <v>15.79</v>
      </c>
      <c r="J174">
        <v>52.23</v>
      </c>
      <c r="K174">
        <v>3</v>
      </c>
      <c r="T174">
        <v>3</v>
      </c>
      <c r="U174">
        <v>1</v>
      </c>
      <c r="V174" t="s">
        <v>94</v>
      </c>
      <c r="W174">
        <v>60</v>
      </c>
      <c r="X174">
        <v>7</v>
      </c>
      <c r="Y174">
        <v>7</v>
      </c>
      <c r="Z174" t="s">
        <v>366</v>
      </c>
      <c r="AA174" t="s">
        <v>367</v>
      </c>
      <c r="AB174" t="s">
        <v>89</v>
      </c>
      <c r="AC174" t="s">
        <v>90</v>
      </c>
      <c r="AD174" t="s">
        <v>91</v>
      </c>
      <c r="AE174" t="s">
        <v>92</v>
      </c>
      <c r="AG174" t="s">
        <v>368</v>
      </c>
      <c r="AH174">
        <v>0</v>
      </c>
      <c r="AI174">
        <v>298</v>
      </c>
      <c r="AJ174">
        <v>58</v>
      </c>
      <c r="AK174">
        <v>8</v>
      </c>
      <c r="AL174">
        <v>0.89</v>
      </c>
    </row>
    <row r="175" spans="1:38" x14ac:dyDescent="0.3">
      <c r="A175" t="s">
        <v>84</v>
      </c>
      <c r="B175">
        <v>132626</v>
      </c>
      <c r="C175">
        <v>2</v>
      </c>
      <c r="D175" t="s">
        <v>365</v>
      </c>
      <c r="E175">
        <v>2020.06</v>
      </c>
      <c r="F175">
        <v>9</v>
      </c>
      <c r="G175">
        <v>18.72</v>
      </c>
      <c r="H175">
        <v>61.9</v>
      </c>
      <c r="I175">
        <v>16.22</v>
      </c>
      <c r="J175">
        <v>53.64</v>
      </c>
      <c r="K175">
        <v>3</v>
      </c>
      <c r="T175">
        <v>3</v>
      </c>
      <c r="U175">
        <v>1</v>
      </c>
      <c r="V175" t="s">
        <v>94</v>
      </c>
      <c r="W175" t="s">
        <v>369</v>
      </c>
      <c r="X175">
        <v>7</v>
      </c>
      <c r="Y175">
        <v>7</v>
      </c>
      <c r="Z175" t="s">
        <v>366</v>
      </c>
      <c r="AA175" t="s">
        <v>367</v>
      </c>
      <c r="AB175" t="s">
        <v>89</v>
      </c>
      <c r="AC175" t="s">
        <v>90</v>
      </c>
      <c r="AD175" t="s">
        <v>91</v>
      </c>
      <c r="AE175" t="s">
        <v>92</v>
      </c>
      <c r="AG175" t="s">
        <v>368</v>
      </c>
      <c r="AH175">
        <v>0</v>
      </c>
      <c r="AI175">
        <v>298</v>
      </c>
      <c r="AJ175">
        <v>58</v>
      </c>
      <c r="AK175">
        <v>8</v>
      </c>
      <c r="AL175">
        <v>0.89</v>
      </c>
    </row>
    <row r="176" spans="1:38" x14ac:dyDescent="0.3">
      <c r="A176" t="s">
        <v>84</v>
      </c>
      <c r="B176">
        <v>132626</v>
      </c>
      <c r="C176">
        <v>3</v>
      </c>
      <c r="D176" t="s">
        <v>365</v>
      </c>
      <c r="E176">
        <v>2020.06</v>
      </c>
      <c r="F176">
        <v>9</v>
      </c>
      <c r="G176">
        <v>18.78</v>
      </c>
      <c r="H176">
        <v>62.1</v>
      </c>
      <c r="I176">
        <v>16.28</v>
      </c>
      <c r="J176">
        <v>53.82</v>
      </c>
      <c r="K176">
        <v>3</v>
      </c>
      <c r="T176">
        <v>3</v>
      </c>
      <c r="U176">
        <v>1</v>
      </c>
      <c r="V176" t="s">
        <v>94</v>
      </c>
      <c r="W176" t="s">
        <v>228</v>
      </c>
      <c r="X176">
        <v>7</v>
      </c>
      <c r="Y176">
        <v>7</v>
      </c>
      <c r="Z176" t="s">
        <v>366</v>
      </c>
      <c r="AA176" t="s">
        <v>367</v>
      </c>
      <c r="AB176" t="s">
        <v>89</v>
      </c>
      <c r="AC176" t="s">
        <v>90</v>
      </c>
      <c r="AD176" t="s">
        <v>91</v>
      </c>
      <c r="AE176" t="s">
        <v>92</v>
      </c>
      <c r="AG176" t="s">
        <v>368</v>
      </c>
      <c r="AH176">
        <v>0</v>
      </c>
      <c r="AI176">
        <v>298</v>
      </c>
      <c r="AJ176">
        <v>58</v>
      </c>
      <c r="AK176">
        <v>8</v>
      </c>
      <c r="AL176">
        <v>0.89</v>
      </c>
    </row>
    <row r="177" spans="1:38" x14ac:dyDescent="0.3">
      <c r="A177" t="s">
        <v>84</v>
      </c>
      <c r="B177">
        <v>112875</v>
      </c>
      <c r="C177">
        <v>1</v>
      </c>
      <c r="D177" t="s">
        <v>370</v>
      </c>
      <c r="E177">
        <v>2016.06</v>
      </c>
      <c r="F177">
        <v>28</v>
      </c>
      <c r="G177">
        <v>10.94</v>
      </c>
      <c r="H177">
        <v>36.19</v>
      </c>
      <c r="I177">
        <v>7.62</v>
      </c>
      <c r="J177">
        <v>25.2</v>
      </c>
      <c r="K177">
        <v>8</v>
      </c>
      <c r="T177">
        <v>1</v>
      </c>
      <c r="U177">
        <v>1</v>
      </c>
      <c r="V177" t="s">
        <v>128</v>
      </c>
      <c r="W177">
        <v>36</v>
      </c>
      <c r="X177">
        <v>5</v>
      </c>
      <c r="Y177">
        <v>5</v>
      </c>
      <c r="Z177" t="s">
        <v>371</v>
      </c>
      <c r="AA177" t="s">
        <v>372</v>
      </c>
      <c r="AB177" t="s">
        <v>89</v>
      </c>
      <c r="AC177" t="s">
        <v>90</v>
      </c>
      <c r="AD177" t="s">
        <v>91</v>
      </c>
      <c r="AE177" t="s">
        <v>92</v>
      </c>
      <c r="AG177" t="s">
        <v>373</v>
      </c>
      <c r="AH177">
        <v>0</v>
      </c>
      <c r="AI177">
        <v>538</v>
      </c>
      <c r="AJ177">
        <v>67</v>
      </c>
      <c r="AK177">
        <v>21</v>
      </c>
      <c r="AL177">
        <v>0.75</v>
      </c>
    </row>
    <row r="178" spans="1:38" x14ac:dyDescent="0.3">
      <c r="A178" t="s">
        <v>84</v>
      </c>
      <c r="B178">
        <v>112875</v>
      </c>
      <c r="C178">
        <v>2</v>
      </c>
      <c r="D178" t="s">
        <v>370</v>
      </c>
      <c r="E178">
        <v>2016.06</v>
      </c>
      <c r="F178">
        <v>28</v>
      </c>
      <c r="G178">
        <v>11.57</v>
      </c>
      <c r="H178">
        <v>38.28</v>
      </c>
      <c r="I178">
        <v>8.06</v>
      </c>
      <c r="J178">
        <v>26.66</v>
      </c>
      <c r="K178">
        <v>4</v>
      </c>
      <c r="T178">
        <v>1</v>
      </c>
      <c r="U178">
        <v>1</v>
      </c>
      <c r="V178" t="s">
        <v>128</v>
      </c>
      <c r="W178" t="s">
        <v>374</v>
      </c>
      <c r="X178">
        <v>5</v>
      </c>
      <c r="Y178">
        <v>5</v>
      </c>
      <c r="Z178" t="s">
        <v>371</v>
      </c>
      <c r="AA178" t="s">
        <v>372</v>
      </c>
      <c r="AB178" t="s">
        <v>89</v>
      </c>
      <c r="AC178" t="s">
        <v>90</v>
      </c>
      <c r="AD178" t="s">
        <v>91</v>
      </c>
      <c r="AE178" t="s">
        <v>92</v>
      </c>
      <c r="AG178" t="s">
        <v>373</v>
      </c>
      <c r="AH178">
        <v>0</v>
      </c>
      <c r="AI178">
        <v>538</v>
      </c>
      <c r="AJ178">
        <v>67</v>
      </c>
      <c r="AK178">
        <v>21</v>
      </c>
      <c r="AL178">
        <v>0.75</v>
      </c>
    </row>
    <row r="179" spans="1:38" x14ac:dyDescent="0.3">
      <c r="A179" t="s">
        <v>84</v>
      </c>
      <c r="B179">
        <v>112875</v>
      </c>
      <c r="C179">
        <v>3</v>
      </c>
      <c r="D179" t="s">
        <v>370</v>
      </c>
      <c r="E179">
        <v>2016.06</v>
      </c>
      <c r="F179">
        <v>28</v>
      </c>
      <c r="G179">
        <v>11.84</v>
      </c>
      <c r="H179">
        <v>39.17</v>
      </c>
      <c r="I179">
        <v>8.25</v>
      </c>
      <c r="J179">
        <v>27.28</v>
      </c>
      <c r="K179">
        <v>4</v>
      </c>
      <c r="T179">
        <v>1</v>
      </c>
      <c r="U179">
        <v>1</v>
      </c>
      <c r="V179" t="s">
        <v>128</v>
      </c>
      <c r="W179" t="s">
        <v>375</v>
      </c>
      <c r="X179">
        <v>5</v>
      </c>
      <c r="Y179">
        <v>5</v>
      </c>
      <c r="Z179" t="s">
        <v>371</v>
      </c>
      <c r="AA179" t="s">
        <v>372</v>
      </c>
      <c r="AB179" t="s">
        <v>89</v>
      </c>
      <c r="AC179" t="s">
        <v>90</v>
      </c>
      <c r="AD179" t="s">
        <v>91</v>
      </c>
      <c r="AE179" t="s">
        <v>92</v>
      </c>
      <c r="AG179" t="s">
        <v>373</v>
      </c>
      <c r="AH179">
        <v>0</v>
      </c>
      <c r="AI179">
        <v>538</v>
      </c>
      <c r="AJ179">
        <v>67</v>
      </c>
      <c r="AK179">
        <v>21</v>
      </c>
      <c r="AL179">
        <v>0.75</v>
      </c>
    </row>
    <row r="180" spans="1:38" x14ac:dyDescent="0.3">
      <c r="A180" t="s">
        <v>84</v>
      </c>
      <c r="B180">
        <v>112875</v>
      </c>
      <c r="C180">
        <v>4</v>
      </c>
      <c r="D180" t="s">
        <v>370</v>
      </c>
      <c r="E180">
        <v>2016.06</v>
      </c>
      <c r="F180">
        <v>28</v>
      </c>
      <c r="G180">
        <v>12.11</v>
      </c>
      <c r="H180">
        <v>40.06</v>
      </c>
      <c r="I180">
        <v>8.43</v>
      </c>
      <c r="J180">
        <v>27.9</v>
      </c>
      <c r="K180">
        <v>4</v>
      </c>
      <c r="T180">
        <v>1</v>
      </c>
      <c r="U180">
        <v>1</v>
      </c>
      <c r="V180" t="s">
        <v>128</v>
      </c>
      <c r="W180" t="s">
        <v>376</v>
      </c>
      <c r="X180">
        <v>5</v>
      </c>
      <c r="Y180">
        <v>5</v>
      </c>
      <c r="Z180" t="s">
        <v>371</v>
      </c>
      <c r="AA180" t="s">
        <v>372</v>
      </c>
      <c r="AB180" t="s">
        <v>89</v>
      </c>
      <c r="AC180" t="s">
        <v>90</v>
      </c>
      <c r="AD180" t="s">
        <v>91</v>
      </c>
      <c r="AE180" t="s">
        <v>92</v>
      </c>
      <c r="AG180" t="s">
        <v>373</v>
      </c>
      <c r="AH180">
        <v>0</v>
      </c>
      <c r="AI180">
        <v>538</v>
      </c>
      <c r="AJ180">
        <v>67</v>
      </c>
      <c r="AK180">
        <v>21</v>
      </c>
      <c r="AL180">
        <v>0.75</v>
      </c>
    </row>
    <row r="181" spans="1:38" x14ac:dyDescent="0.3">
      <c r="A181" t="s">
        <v>84</v>
      </c>
      <c r="B181">
        <v>112875</v>
      </c>
      <c r="C181">
        <v>5</v>
      </c>
      <c r="D181" t="s">
        <v>370</v>
      </c>
      <c r="E181">
        <v>2016.06</v>
      </c>
      <c r="F181">
        <v>28</v>
      </c>
      <c r="G181">
        <v>17.3</v>
      </c>
      <c r="H181">
        <v>57.22</v>
      </c>
      <c r="I181">
        <v>12.05</v>
      </c>
      <c r="J181">
        <v>39.85</v>
      </c>
      <c r="K181">
        <v>4</v>
      </c>
      <c r="T181">
        <v>1</v>
      </c>
      <c r="U181">
        <v>1</v>
      </c>
      <c r="V181" t="s">
        <v>128</v>
      </c>
      <c r="W181">
        <v>57</v>
      </c>
      <c r="X181">
        <v>5</v>
      </c>
      <c r="Y181">
        <v>5</v>
      </c>
      <c r="Z181" t="s">
        <v>371</v>
      </c>
      <c r="AA181" t="s">
        <v>372</v>
      </c>
      <c r="AB181" t="s">
        <v>89</v>
      </c>
      <c r="AC181" t="s">
        <v>90</v>
      </c>
      <c r="AD181" t="s">
        <v>91</v>
      </c>
      <c r="AE181" t="s">
        <v>92</v>
      </c>
      <c r="AG181" t="s">
        <v>373</v>
      </c>
      <c r="AH181">
        <v>0</v>
      </c>
      <c r="AI181">
        <v>538</v>
      </c>
      <c r="AJ181">
        <v>67</v>
      </c>
      <c r="AK181">
        <v>21</v>
      </c>
      <c r="AL181">
        <v>0.75</v>
      </c>
    </row>
    <row r="182" spans="1:38" x14ac:dyDescent="0.3">
      <c r="A182" t="s">
        <v>84</v>
      </c>
      <c r="B182">
        <v>112875</v>
      </c>
      <c r="C182">
        <v>6</v>
      </c>
      <c r="D182" t="s">
        <v>370</v>
      </c>
      <c r="E182">
        <v>2016.06</v>
      </c>
      <c r="F182">
        <v>28</v>
      </c>
      <c r="G182">
        <v>18.27</v>
      </c>
      <c r="H182">
        <v>60.4</v>
      </c>
      <c r="I182">
        <v>12.72</v>
      </c>
      <c r="J182">
        <v>42.06</v>
      </c>
      <c r="K182">
        <v>4</v>
      </c>
      <c r="T182">
        <v>1</v>
      </c>
      <c r="U182">
        <v>1</v>
      </c>
      <c r="V182" t="s">
        <v>128</v>
      </c>
      <c r="W182">
        <v>60</v>
      </c>
      <c r="X182">
        <v>5</v>
      </c>
      <c r="Y182">
        <v>5</v>
      </c>
      <c r="Z182" t="s">
        <v>371</v>
      </c>
      <c r="AA182" t="s">
        <v>372</v>
      </c>
      <c r="AB182" t="s">
        <v>89</v>
      </c>
      <c r="AC182" t="s">
        <v>90</v>
      </c>
      <c r="AD182" t="s">
        <v>91</v>
      </c>
      <c r="AE182" t="s">
        <v>92</v>
      </c>
      <c r="AG182" t="s">
        <v>373</v>
      </c>
      <c r="AH182">
        <v>0</v>
      </c>
      <c r="AI182">
        <v>538</v>
      </c>
      <c r="AJ182">
        <v>67</v>
      </c>
      <c r="AK182">
        <v>21</v>
      </c>
      <c r="AL182">
        <v>0.75</v>
      </c>
    </row>
    <row r="183" spans="1:38" x14ac:dyDescent="0.3">
      <c r="A183" t="s">
        <v>84</v>
      </c>
      <c r="B183">
        <v>107946</v>
      </c>
      <c r="C183">
        <v>1</v>
      </c>
      <c r="D183" t="s">
        <v>377</v>
      </c>
      <c r="E183">
        <v>1982.09</v>
      </c>
      <c r="F183">
        <v>32</v>
      </c>
      <c r="G183">
        <v>22.11</v>
      </c>
      <c r="H183">
        <v>73.12</v>
      </c>
      <c r="I183">
        <v>15.84</v>
      </c>
      <c r="J183">
        <v>52.39</v>
      </c>
      <c r="K183">
        <v>32</v>
      </c>
      <c r="T183">
        <v>2</v>
      </c>
      <c r="U183">
        <v>1</v>
      </c>
      <c r="V183" t="s">
        <v>86</v>
      </c>
      <c r="W183">
        <v>73</v>
      </c>
      <c r="X183">
        <v>4</v>
      </c>
      <c r="Y183">
        <v>4</v>
      </c>
      <c r="Z183" t="s">
        <v>378</v>
      </c>
      <c r="AA183" t="s">
        <v>379</v>
      </c>
      <c r="AB183" t="s">
        <v>89</v>
      </c>
      <c r="AC183" t="s">
        <v>90</v>
      </c>
      <c r="AD183" t="s">
        <v>91</v>
      </c>
      <c r="AE183" t="s">
        <v>92</v>
      </c>
      <c r="AG183" t="s">
        <v>380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84</v>
      </c>
      <c r="B184">
        <v>19450</v>
      </c>
      <c r="C184">
        <v>1</v>
      </c>
      <c r="D184" t="s">
        <v>381</v>
      </c>
      <c r="E184">
        <v>1988.04</v>
      </c>
      <c r="F184">
        <v>30</v>
      </c>
      <c r="G184">
        <v>20.32</v>
      </c>
      <c r="H184">
        <v>67.2</v>
      </c>
      <c r="I184">
        <v>15.55</v>
      </c>
      <c r="J184">
        <v>51.43</v>
      </c>
      <c r="K184">
        <v>5</v>
      </c>
      <c r="T184">
        <v>3</v>
      </c>
      <c r="U184">
        <v>1</v>
      </c>
      <c r="V184" t="s">
        <v>94</v>
      </c>
      <c r="W184">
        <v>67</v>
      </c>
      <c r="X184">
        <v>5</v>
      </c>
      <c r="Y184">
        <v>5</v>
      </c>
      <c r="Z184" t="s">
        <v>382</v>
      </c>
      <c r="AA184" t="s">
        <v>383</v>
      </c>
      <c r="AB184" t="s">
        <v>89</v>
      </c>
      <c r="AC184" t="s">
        <v>90</v>
      </c>
      <c r="AD184" t="s">
        <v>91</v>
      </c>
      <c r="AE184" t="s">
        <v>92</v>
      </c>
      <c r="AG184" t="s">
        <v>384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 x14ac:dyDescent="0.3">
      <c r="A185" t="s">
        <v>84</v>
      </c>
      <c r="B185">
        <v>19450</v>
      </c>
      <c r="C185">
        <v>2</v>
      </c>
      <c r="D185" t="s">
        <v>381</v>
      </c>
      <c r="E185">
        <v>1988.04</v>
      </c>
      <c r="F185">
        <v>30</v>
      </c>
      <c r="G185">
        <v>20.73</v>
      </c>
      <c r="H185">
        <v>68.55</v>
      </c>
      <c r="I185">
        <v>15.89</v>
      </c>
      <c r="J185">
        <v>52.56</v>
      </c>
      <c r="K185">
        <v>25</v>
      </c>
      <c r="T185">
        <v>2</v>
      </c>
      <c r="U185">
        <v>1</v>
      </c>
      <c r="V185" t="s">
        <v>94</v>
      </c>
      <c r="W185">
        <v>68</v>
      </c>
      <c r="X185">
        <v>5</v>
      </c>
      <c r="Y185">
        <v>5</v>
      </c>
      <c r="Z185" t="s">
        <v>382</v>
      </c>
      <c r="AA185" t="s">
        <v>383</v>
      </c>
      <c r="AB185" t="s">
        <v>89</v>
      </c>
      <c r="AC185" t="s">
        <v>90</v>
      </c>
      <c r="AD185" t="s">
        <v>91</v>
      </c>
      <c r="AE185" t="s">
        <v>92</v>
      </c>
      <c r="AG185" t="s">
        <v>384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 x14ac:dyDescent="0.3">
      <c r="A186" t="s">
        <v>84</v>
      </c>
      <c r="B186">
        <v>1464</v>
      </c>
      <c r="C186">
        <v>1</v>
      </c>
      <c r="D186" t="s">
        <v>385</v>
      </c>
      <c r="E186">
        <v>1992.07</v>
      </c>
      <c r="F186">
        <v>1068</v>
      </c>
      <c r="G186">
        <v>15.11</v>
      </c>
      <c r="H186">
        <v>49.97</v>
      </c>
      <c r="I186">
        <v>11.59</v>
      </c>
      <c r="J186">
        <v>38.33</v>
      </c>
      <c r="K186">
        <v>180</v>
      </c>
      <c r="T186">
        <v>2</v>
      </c>
      <c r="U186">
        <v>1</v>
      </c>
      <c r="V186" t="s">
        <v>128</v>
      </c>
      <c r="W186">
        <v>49</v>
      </c>
      <c r="X186">
        <v>23</v>
      </c>
      <c r="Y186">
        <v>15</v>
      </c>
      <c r="Z186" t="s">
        <v>386</v>
      </c>
      <c r="AA186" t="s">
        <v>387</v>
      </c>
      <c r="AB186" t="s">
        <v>89</v>
      </c>
      <c r="AC186" t="s">
        <v>90</v>
      </c>
      <c r="AD186" t="s">
        <v>91</v>
      </c>
      <c r="AE186" t="s">
        <v>92</v>
      </c>
      <c r="AG186" t="s">
        <v>388</v>
      </c>
      <c r="AH186">
        <v>0</v>
      </c>
      <c r="AI186">
        <v>197</v>
      </c>
      <c r="AJ186">
        <v>17</v>
      </c>
      <c r="AK186">
        <v>338</v>
      </c>
      <c r="AL186">
        <v>0.32</v>
      </c>
    </row>
    <row r="187" spans="1:38" x14ac:dyDescent="0.3">
      <c r="A187" t="s">
        <v>84</v>
      </c>
      <c r="B187">
        <v>1464</v>
      </c>
      <c r="C187">
        <v>2</v>
      </c>
      <c r="D187" t="s">
        <v>385</v>
      </c>
      <c r="E187">
        <v>1992.07</v>
      </c>
      <c r="F187">
        <v>1068</v>
      </c>
      <c r="G187">
        <v>15.95</v>
      </c>
      <c r="H187">
        <v>52.75</v>
      </c>
      <c r="I187">
        <v>11.59</v>
      </c>
      <c r="J187">
        <v>38.33</v>
      </c>
      <c r="K187">
        <v>138</v>
      </c>
      <c r="T187">
        <v>2</v>
      </c>
      <c r="U187">
        <v>1</v>
      </c>
      <c r="V187" t="s">
        <v>128</v>
      </c>
      <c r="W187">
        <v>52</v>
      </c>
      <c r="X187">
        <v>23</v>
      </c>
      <c r="Y187">
        <v>15</v>
      </c>
      <c r="Z187" t="s">
        <v>386</v>
      </c>
      <c r="AA187" t="s">
        <v>387</v>
      </c>
      <c r="AB187" t="s">
        <v>89</v>
      </c>
      <c r="AC187" t="s">
        <v>90</v>
      </c>
      <c r="AD187" t="s">
        <v>91</v>
      </c>
      <c r="AE187" t="s">
        <v>92</v>
      </c>
      <c r="AG187" t="s">
        <v>388</v>
      </c>
      <c r="AH187">
        <v>0</v>
      </c>
      <c r="AI187">
        <v>197</v>
      </c>
      <c r="AJ187">
        <v>17</v>
      </c>
      <c r="AK187">
        <v>338</v>
      </c>
      <c r="AL187">
        <v>0.32</v>
      </c>
    </row>
    <row r="188" spans="1:38" x14ac:dyDescent="0.3">
      <c r="A188" t="s">
        <v>84</v>
      </c>
      <c r="B188">
        <v>1464</v>
      </c>
      <c r="C188">
        <v>3</v>
      </c>
      <c r="D188" t="s">
        <v>385</v>
      </c>
      <c r="E188">
        <v>1992.07</v>
      </c>
      <c r="F188">
        <v>1068</v>
      </c>
      <c r="G188">
        <v>17.260000000000002</v>
      </c>
      <c r="H188">
        <v>57.07</v>
      </c>
      <c r="I188">
        <v>12.92</v>
      </c>
      <c r="J188">
        <v>42.73</v>
      </c>
      <c r="K188">
        <v>238</v>
      </c>
      <c r="T188">
        <v>2</v>
      </c>
      <c r="U188">
        <v>1</v>
      </c>
      <c r="V188" t="s">
        <v>128</v>
      </c>
      <c r="W188">
        <v>57</v>
      </c>
      <c r="X188">
        <v>23</v>
      </c>
      <c r="Y188">
        <v>15</v>
      </c>
      <c r="Z188" t="s">
        <v>386</v>
      </c>
      <c r="AA188" t="s">
        <v>387</v>
      </c>
      <c r="AB188" t="s">
        <v>89</v>
      </c>
      <c r="AC188" t="s">
        <v>90</v>
      </c>
      <c r="AD188" t="s">
        <v>91</v>
      </c>
      <c r="AE188" t="s">
        <v>92</v>
      </c>
      <c r="AG188" t="s">
        <v>388</v>
      </c>
      <c r="AH188">
        <v>0</v>
      </c>
      <c r="AI188">
        <v>197</v>
      </c>
      <c r="AJ188">
        <v>17</v>
      </c>
      <c r="AK188">
        <v>338</v>
      </c>
      <c r="AL188">
        <v>0.32</v>
      </c>
    </row>
    <row r="189" spans="1:38" x14ac:dyDescent="0.3">
      <c r="A189" t="s">
        <v>84</v>
      </c>
      <c r="B189">
        <v>1464</v>
      </c>
      <c r="C189">
        <v>4</v>
      </c>
      <c r="D189" t="s">
        <v>385</v>
      </c>
      <c r="E189">
        <v>1992.07</v>
      </c>
      <c r="F189">
        <v>1068</v>
      </c>
      <c r="G189">
        <v>18.07</v>
      </c>
      <c r="H189">
        <v>59.74</v>
      </c>
      <c r="I189">
        <v>13.85</v>
      </c>
      <c r="J189">
        <v>45.8</v>
      </c>
      <c r="K189">
        <v>182</v>
      </c>
      <c r="T189">
        <v>2</v>
      </c>
      <c r="U189">
        <v>1</v>
      </c>
      <c r="V189" t="s">
        <v>128</v>
      </c>
      <c r="W189">
        <v>59</v>
      </c>
      <c r="X189">
        <v>23</v>
      </c>
      <c r="Y189">
        <v>15</v>
      </c>
      <c r="Z189" t="s">
        <v>386</v>
      </c>
      <c r="AA189" t="s">
        <v>387</v>
      </c>
      <c r="AB189" t="s">
        <v>89</v>
      </c>
      <c r="AC189" t="s">
        <v>90</v>
      </c>
      <c r="AD189" t="s">
        <v>91</v>
      </c>
      <c r="AE189" t="s">
        <v>92</v>
      </c>
      <c r="AG189" t="s">
        <v>388</v>
      </c>
      <c r="AH189">
        <v>0</v>
      </c>
      <c r="AI189">
        <v>197</v>
      </c>
      <c r="AJ189">
        <v>17</v>
      </c>
      <c r="AK189">
        <v>338</v>
      </c>
      <c r="AL189">
        <v>0.32</v>
      </c>
    </row>
    <row r="190" spans="1:38" x14ac:dyDescent="0.3">
      <c r="A190" t="s">
        <v>84</v>
      </c>
      <c r="B190">
        <v>1464</v>
      </c>
      <c r="C190">
        <v>5</v>
      </c>
      <c r="D190" t="s">
        <v>385</v>
      </c>
      <c r="E190">
        <v>1992.07</v>
      </c>
      <c r="F190">
        <v>1068</v>
      </c>
      <c r="G190">
        <v>24.23</v>
      </c>
      <c r="H190">
        <v>80.13</v>
      </c>
      <c r="I190">
        <v>18.07</v>
      </c>
      <c r="J190">
        <v>59.76</v>
      </c>
      <c r="K190">
        <v>330</v>
      </c>
      <c r="T190">
        <v>3</v>
      </c>
      <c r="U190">
        <v>1</v>
      </c>
      <c r="V190" t="s">
        <v>128</v>
      </c>
      <c r="W190">
        <v>80</v>
      </c>
      <c r="X190">
        <v>23</v>
      </c>
      <c r="Y190">
        <v>15</v>
      </c>
      <c r="Z190" t="s">
        <v>386</v>
      </c>
      <c r="AA190" t="s">
        <v>387</v>
      </c>
      <c r="AB190" t="s">
        <v>89</v>
      </c>
      <c r="AC190" t="s">
        <v>90</v>
      </c>
      <c r="AD190" t="s">
        <v>91</v>
      </c>
      <c r="AE190" t="s">
        <v>92</v>
      </c>
      <c r="AG190" t="s">
        <v>388</v>
      </c>
      <c r="AH190">
        <v>0</v>
      </c>
      <c r="AI190">
        <v>197</v>
      </c>
      <c r="AJ190">
        <v>17</v>
      </c>
      <c r="AK190">
        <v>338</v>
      </c>
      <c r="AL190">
        <v>0.32</v>
      </c>
    </row>
    <row r="191" spans="1:38" x14ac:dyDescent="0.3">
      <c r="A191" t="s">
        <v>84</v>
      </c>
      <c r="B191">
        <v>1465</v>
      </c>
      <c r="C191">
        <v>1</v>
      </c>
      <c r="D191" t="s">
        <v>389</v>
      </c>
      <c r="E191">
        <v>1995.01</v>
      </c>
      <c r="F191">
        <v>708</v>
      </c>
      <c r="G191">
        <v>25.34</v>
      </c>
      <c r="H191">
        <v>83.77</v>
      </c>
      <c r="I191">
        <v>18.07</v>
      </c>
      <c r="J191">
        <v>59.76</v>
      </c>
      <c r="K191">
        <v>250</v>
      </c>
      <c r="T191">
        <v>3</v>
      </c>
      <c r="U191">
        <v>1</v>
      </c>
      <c r="V191" t="s">
        <v>128</v>
      </c>
      <c r="W191">
        <v>83</v>
      </c>
      <c r="X191">
        <v>25</v>
      </c>
      <c r="Y191">
        <v>15</v>
      </c>
      <c r="Z191" t="s">
        <v>390</v>
      </c>
      <c r="AA191" t="s">
        <v>391</v>
      </c>
      <c r="AB191" t="s">
        <v>89</v>
      </c>
      <c r="AC191" t="s">
        <v>90</v>
      </c>
      <c r="AD191" t="s">
        <v>91</v>
      </c>
      <c r="AE191" t="s">
        <v>92</v>
      </c>
      <c r="AG191" t="s">
        <v>392</v>
      </c>
      <c r="AH191">
        <v>0</v>
      </c>
      <c r="AI191">
        <v>204</v>
      </c>
      <c r="AJ191">
        <v>17</v>
      </c>
      <c r="AK191">
        <v>708</v>
      </c>
      <c r="AL191">
        <v>1</v>
      </c>
    </row>
    <row r="192" spans="1:38" x14ac:dyDescent="0.3">
      <c r="A192" t="s">
        <v>84</v>
      </c>
      <c r="B192">
        <v>1465</v>
      </c>
      <c r="C192">
        <v>2</v>
      </c>
      <c r="D192" t="s">
        <v>389</v>
      </c>
      <c r="E192">
        <v>1995.01</v>
      </c>
      <c r="F192">
        <v>708</v>
      </c>
      <c r="G192">
        <v>32.28</v>
      </c>
      <c r="H192">
        <v>106.72</v>
      </c>
      <c r="I192">
        <v>25.69</v>
      </c>
      <c r="J192">
        <v>84.93</v>
      </c>
      <c r="K192">
        <v>458</v>
      </c>
      <c r="T192">
        <v>3</v>
      </c>
      <c r="U192">
        <v>2</v>
      </c>
      <c r="V192" t="s">
        <v>94</v>
      </c>
      <c r="W192">
        <v>106</v>
      </c>
      <c r="X192">
        <v>25</v>
      </c>
      <c r="Y192">
        <v>15</v>
      </c>
      <c r="Z192" t="s">
        <v>390</v>
      </c>
      <c r="AA192" t="s">
        <v>391</v>
      </c>
      <c r="AB192" t="s">
        <v>89</v>
      </c>
      <c r="AC192" t="s">
        <v>90</v>
      </c>
      <c r="AD192" t="s">
        <v>91</v>
      </c>
      <c r="AE192" t="s">
        <v>92</v>
      </c>
      <c r="AG192" t="s">
        <v>392</v>
      </c>
      <c r="AH192">
        <v>0</v>
      </c>
      <c r="AI192">
        <v>204</v>
      </c>
      <c r="AJ192">
        <v>17</v>
      </c>
      <c r="AK192">
        <v>708</v>
      </c>
      <c r="AL192">
        <v>1</v>
      </c>
    </row>
    <row r="193" spans="1:38" x14ac:dyDescent="0.3">
      <c r="A193" t="s">
        <v>84</v>
      </c>
      <c r="B193">
        <v>145391</v>
      </c>
      <c r="C193">
        <v>1</v>
      </c>
      <c r="D193" t="s">
        <v>393</v>
      </c>
      <c r="E193">
        <v>1984.12</v>
      </c>
      <c r="F193">
        <v>37</v>
      </c>
      <c r="G193">
        <v>20.170000000000002</v>
      </c>
      <c r="H193">
        <v>66.680000000000007</v>
      </c>
      <c r="I193">
        <v>15.36</v>
      </c>
      <c r="J193">
        <v>50.8</v>
      </c>
      <c r="K193">
        <v>20</v>
      </c>
      <c r="T193">
        <v>3</v>
      </c>
      <c r="U193">
        <v>1</v>
      </c>
      <c r="V193" t="s">
        <v>94</v>
      </c>
      <c r="W193">
        <v>66</v>
      </c>
      <c r="X193">
        <v>5</v>
      </c>
      <c r="Y193">
        <v>3</v>
      </c>
      <c r="Z193" t="s">
        <v>394</v>
      </c>
      <c r="AA193" t="s">
        <v>395</v>
      </c>
      <c r="AB193" t="s">
        <v>89</v>
      </c>
      <c r="AC193" t="s">
        <v>90</v>
      </c>
      <c r="AD193" t="s">
        <v>91</v>
      </c>
      <c r="AE193" t="s">
        <v>92</v>
      </c>
      <c r="AG193" t="s">
        <v>396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38" x14ac:dyDescent="0.3">
      <c r="A194" t="s">
        <v>84</v>
      </c>
      <c r="B194">
        <v>145391</v>
      </c>
      <c r="C194">
        <v>2</v>
      </c>
      <c r="D194" t="s">
        <v>393</v>
      </c>
      <c r="E194">
        <v>1984.12</v>
      </c>
      <c r="F194">
        <v>37</v>
      </c>
      <c r="G194">
        <v>23.9</v>
      </c>
      <c r="H194">
        <v>79.040000000000006</v>
      </c>
      <c r="I194">
        <v>16.96</v>
      </c>
      <c r="J194">
        <v>56.07</v>
      </c>
      <c r="K194">
        <v>5</v>
      </c>
      <c r="T194">
        <v>3</v>
      </c>
      <c r="U194">
        <v>1</v>
      </c>
      <c r="V194" t="s">
        <v>94</v>
      </c>
      <c r="W194" t="s">
        <v>159</v>
      </c>
      <c r="X194">
        <v>5</v>
      </c>
      <c r="Y194">
        <v>3</v>
      </c>
      <c r="Z194" t="s">
        <v>394</v>
      </c>
      <c r="AA194" t="s">
        <v>395</v>
      </c>
      <c r="AB194" t="s">
        <v>89</v>
      </c>
      <c r="AC194" t="s">
        <v>90</v>
      </c>
      <c r="AD194" t="s">
        <v>91</v>
      </c>
      <c r="AE194" t="s">
        <v>92</v>
      </c>
      <c r="AG194" t="s">
        <v>396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38" x14ac:dyDescent="0.3">
      <c r="A195" t="s">
        <v>84</v>
      </c>
      <c r="B195">
        <v>145391</v>
      </c>
      <c r="C195">
        <v>3</v>
      </c>
      <c r="D195" t="s">
        <v>393</v>
      </c>
      <c r="E195">
        <v>1984.12</v>
      </c>
      <c r="F195">
        <v>37</v>
      </c>
      <c r="G195">
        <v>24.34</v>
      </c>
      <c r="H195">
        <v>80.47</v>
      </c>
      <c r="I195">
        <v>18.670000000000002</v>
      </c>
      <c r="J195">
        <v>61.75</v>
      </c>
      <c r="K195">
        <v>6</v>
      </c>
      <c r="T195">
        <v>3</v>
      </c>
      <c r="U195">
        <v>1</v>
      </c>
      <c r="V195" t="s">
        <v>94</v>
      </c>
      <c r="W195" t="s">
        <v>397</v>
      </c>
      <c r="X195">
        <v>5</v>
      </c>
      <c r="Y195">
        <v>3</v>
      </c>
      <c r="Z195" t="s">
        <v>394</v>
      </c>
      <c r="AA195" t="s">
        <v>395</v>
      </c>
      <c r="AB195" t="s">
        <v>89</v>
      </c>
      <c r="AC195" t="s">
        <v>90</v>
      </c>
      <c r="AD195" t="s">
        <v>91</v>
      </c>
      <c r="AE195" t="s">
        <v>92</v>
      </c>
      <c r="AG195" t="s">
        <v>396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 x14ac:dyDescent="0.3">
      <c r="A196" t="s">
        <v>84</v>
      </c>
      <c r="B196">
        <v>145391</v>
      </c>
      <c r="C196">
        <v>4</v>
      </c>
      <c r="D196" t="s">
        <v>393</v>
      </c>
      <c r="E196">
        <v>1984.12</v>
      </c>
      <c r="F196">
        <v>37</v>
      </c>
      <c r="G196">
        <v>24.91</v>
      </c>
      <c r="H196">
        <v>82.36</v>
      </c>
      <c r="I196">
        <v>19.809999999999999</v>
      </c>
      <c r="J196">
        <v>65.5</v>
      </c>
      <c r="K196">
        <v>2</v>
      </c>
      <c r="T196">
        <v>3</v>
      </c>
      <c r="U196">
        <v>2</v>
      </c>
      <c r="V196" t="s">
        <v>94</v>
      </c>
      <c r="W196">
        <v>82</v>
      </c>
      <c r="X196">
        <v>5</v>
      </c>
      <c r="Y196">
        <v>3</v>
      </c>
      <c r="Z196" t="s">
        <v>394</v>
      </c>
      <c r="AA196" t="s">
        <v>395</v>
      </c>
      <c r="AB196" t="s">
        <v>89</v>
      </c>
      <c r="AC196" t="s">
        <v>90</v>
      </c>
      <c r="AD196" t="s">
        <v>91</v>
      </c>
      <c r="AE196" t="s">
        <v>92</v>
      </c>
      <c r="AG196" t="s">
        <v>396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">
      <c r="A197" t="s">
        <v>84</v>
      </c>
      <c r="B197">
        <v>145391</v>
      </c>
      <c r="C197">
        <v>5</v>
      </c>
      <c r="D197" t="s">
        <v>393</v>
      </c>
      <c r="E197">
        <v>1984.12</v>
      </c>
      <c r="F197">
        <v>37</v>
      </c>
      <c r="G197">
        <v>25.82</v>
      </c>
      <c r="H197">
        <v>85.36</v>
      </c>
      <c r="I197">
        <v>19.809999999999999</v>
      </c>
      <c r="J197">
        <v>65.5</v>
      </c>
      <c r="K197">
        <v>4</v>
      </c>
      <c r="T197">
        <v>3</v>
      </c>
      <c r="U197">
        <v>2</v>
      </c>
      <c r="V197" t="s">
        <v>94</v>
      </c>
      <c r="W197">
        <v>85</v>
      </c>
      <c r="X197">
        <v>5</v>
      </c>
      <c r="Y197">
        <v>3</v>
      </c>
      <c r="Z197" t="s">
        <v>394</v>
      </c>
      <c r="AA197" t="s">
        <v>395</v>
      </c>
      <c r="AB197" t="s">
        <v>89</v>
      </c>
      <c r="AC197" t="s">
        <v>90</v>
      </c>
      <c r="AD197" t="s">
        <v>91</v>
      </c>
      <c r="AE197" t="s">
        <v>92</v>
      </c>
      <c r="AG197" t="s">
        <v>396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">
      <c r="A198" t="s">
        <v>84</v>
      </c>
      <c r="B198">
        <v>26181</v>
      </c>
      <c r="C198">
        <v>1</v>
      </c>
      <c r="D198" t="s">
        <v>398</v>
      </c>
      <c r="E198">
        <v>2007.1</v>
      </c>
      <c r="F198">
        <v>30</v>
      </c>
      <c r="G198">
        <v>26.02</v>
      </c>
      <c r="H198">
        <v>86.02</v>
      </c>
      <c r="I198">
        <v>20.43</v>
      </c>
      <c r="J198">
        <v>67.540000000000006</v>
      </c>
      <c r="K198">
        <v>20</v>
      </c>
      <c r="T198">
        <v>3</v>
      </c>
      <c r="U198">
        <v>1</v>
      </c>
      <c r="V198" t="s">
        <v>86</v>
      </c>
      <c r="W198">
        <v>86</v>
      </c>
      <c r="X198">
        <v>6</v>
      </c>
      <c r="Y198">
        <v>6</v>
      </c>
      <c r="Z198" t="s">
        <v>399</v>
      </c>
      <c r="AA198" t="s">
        <v>400</v>
      </c>
      <c r="AB198" t="s">
        <v>89</v>
      </c>
      <c r="AC198" t="s">
        <v>90</v>
      </c>
      <c r="AD198" t="s">
        <v>91</v>
      </c>
      <c r="AE198" t="s">
        <v>92</v>
      </c>
      <c r="AG198" t="s">
        <v>401</v>
      </c>
      <c r="AH198">
        <v>0</v>
      </c>
      <c r="AI198">
        <v>248</v>
      </c>
      <c r="AJ198">
        <v>59</v>
      </c>
      <c r="AK198">
        <v>30</v>
      </c>
      <c r="AL198">
        <v>1</v>
      </c>
    </row>
    <row r="199" spans="1:38" x14ac:dyDescent="0.3">
      <c r="A199" t="s">
        <v>84</v>
      </c>
      <c r="B199">
        <v>26181</v>
      </c>
      <c r="C199">
        <v>2</v>
      </c>
      <c r="D199" t="s">
        <v>398</v>
      </c>
      <c r="E199">
        <v>2007.1</v>
      </c>
      <c r="F199">
        <v>30</v>
      </c>
      <c r="G199">
        <v>27.37</v>
      </c>
      <c r="H199">
        <v>90.51</v>
      </c>
      <c r="I199">
        <v>21.49</v>
      </c>
      <c r="J199">
        <v>71.06</v>
      </c>
      <c r="K199">
        <v>5</v>
      </c>
      <c r="T199">
        <v>3</v>
      </c>
      <c r="U199">
        <v>1</v>
      </c>
      <c r="V199" t="s">
        <v>86</v>
      </c>
      <c r="W199">
        <v>90</v>
      </c>
      <c r="X199">
        <v>6</v>
      </c>
      <c r="Y199">
        <v>6</v>
      </c>
      <c r="Z199" t="s">
        <v>399</v>
      </c>
      <c r="AA199" t="s">
        <v>400</v>
      </c>
      <c r="AB199" t="s">
        <v>89</v>
      </c>
      <c r="AC199" t="s">
        <v>90</v>
      </c>
      <c r="AD199" t="s">
        <v>91</v>
      </c>
      <c r="AE199" t="s">
        <v>92</v>
      </c>
      <c r="AG199" t="s">
        <v>401</v>
      </c>
      <c r="AH199">
        <v>0</v>
      </c>
      <c r="AI199">
        <v>248</v>
      </c>
      <c r="AJ199">
        <v>59</v>
      </c>
      <c r="AK199">
        <v>30</v>
      </c>
      <c r="AL199">
        <v>1</v>
      </c>
    </row>
    <row r="200" spans="1:38" x14ac:dyDescent="0.3">
      <c r="A200" t="s">
        <v>84</v>
      </c>
      <c r="B200">
        <v>26181</v>
      </c>
      <c r="C200">
        <v>3</v>
      </c>
      <c r="D200" t="s">
        <v>398</v>
      </c>
      <c r="E200">
        <v>2007.1</v>
      </c>
      <c r="F200">
        <v>30</v>
      </c>
      <c r="G200">
        <v>27.87</v>
      </c>
      <c r="H200">
        <v>92.16</v>
      </c>
      <c r="I200">
        <v>21.74</v>
      </c>
      <c r="J200">
        <v>71.89</v>
      </c>
      <c r="K200">
        <v>5</v>
      </c>
      <c r="T200">
        <v>3</v>
      </c>
      <c r="U200">
        <v>1</v>
      </c>
      <c r="V200" t="s">
        <v>86</v>
      </c>
      <c r="W200">
        <v>92</v>
      </c>
      <c r="X200">
        <v>6</v>
      </c>
      <c r="Y200">
        <v>6</v>
      </c>
      <c r="Z200" t="s">
        <v>399</v>
      </c>
      <c r="AA200" t="s">
        <v>400</v>
      </c>
      <c r="AB200" t="s">
        <v>89</v>
      </c>
      <c r="AC200" t="s">
        <v>90</v>
      </c>
      <c r="AD200" t="s">
        <v>91</v>
      </c>
      <c r="AE200" t="s">
        <v>92</v>
      </c>
      <c r="AG200" t="s">
        <v>401</v>
      </c>
      <c r="AH200">
        <v>0</v>
      </c>
      <c r="AI200">
        <v>248</v>
      </c>
      <c r="AJ200">
        <v>59</v>
      </c>
      <c r="AK200">
        <v>30</v>
      </c>
      <c r="AL200">
        <v>1</v>
      </c>
    </row>
    <row r="201" spans="1:38" x14ac:dyDescent="0.3">
      <c r="A201" t="s">
        <v>84</v>
      </c>
      <c r="B201">
        <v>1973</v>
      </c>
      <c r="C201">
        <v>1</v>
      </c>
      <c r="D201" t="s">
        <v>402</v>
      </c>
      <c r="E201">
        <v>1986.06</v>
      </c>
      <c r="F201">
        <v>50</v>
      </c>
      <c r="G201">
        <v>19.62</v>
      </c>
      <c r="H201">
        <v>64.88</v>
      </c>
      <c r="I201">
        <v>15.02</v>
      </c>
      <c r="J201">
        <v>49.68</v>
      </c>
      <c r="K201">
        <v>4</v>
      </c>
      <c r="T201">
        <v>3</v>
      </c>
      <c r="U201">
        <v>1</v>
      </c>
      <c r="V201" t="s">
        <v>94</v>
      </c>
      <c r="W201">
        <v>64</v>
      </c>
      <c r="X201">
        <v>5</v>
      </c>
      <c r="Y201">
        <v>5</v>
      </c>
      <c r="Z201" t="s">
        <v>403</v>
      </c>
      <c r="AA201" t="s">
        <v>404</v>
      </c>
      <c r="AB201" t="s">
        <v>89</v>
      </c>
      <c r="AC201" t="s">
        <v>90</v>
      </c>
      <c r="AD201" t="s">
        <v>91</v>
      </c>
      <c r="AE201" t="s">
        <v>92</v>
      </c>
      <c r="AG201" t="s">
        <v>405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84</v>
      </c>
      <c r="B202">
        <v>1973</v>
      </c>
      <c r="C202">
        <v>2</v>
      </c>
      <c r="D202" t="s">
        <v>402</v>
      </c>
      <c r="E202">
        <v>1986.06</v>
      </c>
      <c r="F202">
        <v>50</v>
      </c>
      <c r="G202">
        <v>20.5</v>
      </c>
      <c r="H202">
        <v>67.8</v>
      </c>
      <c r="I202">
        <v>16.87</v>
      </c>
      <c r="J202">
        <v>55.8</v>
      </c>
      <c r="K202">
        <v>4</v>
      </c>
      <c r="T202">
        <v>3</v>
      </c>
      <c r="U202">
        <v>1</v>
      </c>
      <c r="V202" t="s">
        <v>94</v>
      </c>
      <c r="W202">
        <v>67</v>
      </c>
      <c r="X202">
        <v>5</v>
      </c>
      <c r="Y202">
        <v>5</v>
      </c>
      <c r="Z202" t="s">
        <v>403</v>
      </c>
      <c r="AA202" t="s">
        <v>404</v>
      </c>
      <c r="AB202" t="s">
        <v>89</v>
      </c>
      <c r="AC202" t="s">
        <v>90</v>
      </c>
      <c r="AD202" t="s">
        <v>91</v>
      </c>
      <c r="AE202" t="s">
        <v>92</v>
      </c>
      <c r="AG202" t="s">
        <v>405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84</v>
      </c>
      <c r="B203">
        <v>1973</v>
      </c>
      <c r="C203">
        <v>3</v>
      </c>
      <c r="D203" t="s">
        <v>402</v>
      </c>
      <c r="E203">
        <v>1986.06</v>
      </c>
      <c r="F203">
        <v>50</v>
      </c>
      <c r="G203">
        <v>21.96</v>
      </c>
      <c r="H203">
        <v>72.599999999999994</v>
      </c>
      <c r="I203">
        <v>16.670000000000002</v>
      </c>
      <c r="J203">
        <v>55.14</v>
      </c>
      <c r="K203">
        <v>26</v>
      </c>
      <c r="T203">
        <v>3</v>
      </c>
      <c r="U203">
        <v>1</v>
      </c>
      <c r="V203" t="s">
        <v>94</v>
      </c>
      <c r="W203">
        <v>72</v>
      </c>
      <c r="X203">
        <v>5</v>
      </c>
      <c r="Y203">
        <v>5</v>
      </c>
      <c r="Z203" t="s">
        <v>403</v>
      </c>
      <c r="AA203" t="s">
        <v>404</v>
      </c>
      <c r="AB203" t="s">
        <v>89</v>
      </c>
      <c r="AC203" t="s">
        <v>90</v>
      </c>
      <c r="AD203" t="s">
        <v>91</v>
      </c>
      <c r="AE203" t="s">
        <v>92</v>
      </c>
      <c r="AG203" t="s">
        <v>405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84</v>
      </c>
      <c r="B204">
        <v>1973</v>
      </c>
      <c r="C204">
        <v>4</v>
      </c>
      <c r="D204" t="s">
        <v>402</v>
      </c>
      <c r="E204">
        <v>1986.06</v>
      </c>
      <c r="F204">
        <v>50</v>
      </c>
      <c r="G204">
        <v>24.46</v>
      </c>
      <c r="H204">
        <v>80.86</v>
      </c>
      <c r="I204">
        <v>18.760000000000002</v>
      </c>
      <c r="J204">
        <v>62.04</v>
      </c>
      <c r="K204">
        <v>16</v>
      </c>
      <c r="T204">
        <v>3</v>
      </c>
      <c r="U204">
        <v>1</v>
      </c>
      <c r="V204" t="s">
        <v>94</v>
      </c>
      <c r="W204">
        <v>80</v>
      </c>
      <c r="X204">
        <v>5</v>
      </c>
      <c r="Y204">
        <v>5</v>
      </c>
      <c r="Z204" t="s">
        <v>403</v>
      </c>
      <c r="AA204" t="s">
        <v>404</v>
      </c>
      <c r="AB204" t="s">
        <v>89</v>
      </c>
      <c r="AC204" t="s">
        <v>90</v>
      </c>
      <c r="AD204" t="s">
        <v>91</v>
      </c>
      <c r="AE204" t="s">
        <v>92</v>
      </c>
      <c r="AG204" t="s">
        <v>405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84</v>
      </c>
      <c r="B205">
        <v>102625</v>
      </c>
      <c r="C205">
        <v>1</v>
      </c>
      <c r="D205" t="s">
        <v>406</v>
      </c>
      <c r="E205">
        <v>2012.03</v>
      </c>
      <c r="F205">
        <v>711</v>
      </c>
      <c r="G205">
        <v>38.380000000000003</v>
      </c>
      <c r="H205">
        <v>126.89</v>
      </c>
      <c r="I205">
        <v>30.4</v>
      </c>
      <c r="J205">
        <v>100.52</v>
      </c>
      <c r="K205">
        <v>195</v>
      </c>
      <c r="T205">
        <v>3</v>
      </c>
      <c r="U205">
        <v>2</v>
      </c>
      <c r="V205" t="s">
        <v>94</v>
      </c>
      <c r="W205" t="s">
        <v>407</v>
      </c>
      <c r="X205">
        <v>20</v>
      </c>
      <c r="Y205">
        <v>10</v>
      </c>
      <c r="Z205" t="s">
        <v>408</v>
      </c>
      <c r="AA205" t="s">
        <v>409</v>
      </c>
      <c r="AB205" t="s">
        <v>89</v>
      </c>
      <c r="AC205" t="s">
        <v>90</v>
      </c>
      <c r="AD205" t="s">
        <v>91</v>
      </c>
      <c r="AE205" t="s">
        <v>92</v>
      </c>
      <c r="AG205" t="s">
        <v>410</v>
      </c>
      <c r="AH205">
        <v>0</v>
      </c>
      <c r="AI205">
        <v>199</v>
      </c>
      <c r="AJ205">
        <v>22</v>
      </c>
      <c r="AK205">
        <v>1221</v>
      </c>
      <c r="AL205">
        <v>1.72</v>
      </c>
    </row>
    <row r="206" spans="1:38" x14ac:dyDescent="0.3">
      <c r="A206" t="s">
        <v>84</v>
      </c>
      <c r="B206">
        <v>102625</v>
      </c>
      <c r="C206">
        <v>2</v>
      </c>
      <c r="D206" t="s">
        <v>406</v>
      </c>
      <c r="E206">
        <v>2012.03</v>
      </c>
      <c r="F206">
        <v>711</v>
      </c>
      <c r="G206">
        <v>38.380000000000003</v>
      </c>
      <c r="H206">
        <v>126.89</v>
      </c>
      <c r="I206">
        <v>30.4</v>
      </c>
      <c r="J206">
        <v>100.52</v>
      </c>
      <c r="K206">
        <v>20</v>
      </c>
      <c r="T206">
        <v>3</v>
      </c>
      <c r="U206">
        <v>2</v>
      </c>
      <c r="V206" t="s">
        <v>94</v>
      </c>
      <c r="W206" t="s">
        <v>411</v>
      </c>
      <c r="X206">
        <v>20</v>
      </c>
      <c r="Y206">
        <v>10</v>
      </c>
      <c r="Z206" t="s">
        <v>408</v>
      </c>
      <c r="AA206" t="s">
        <v>409</v>
      </c>
      <c r="AB206" t="s">
        <v>89</v>
      </c>
      <c r="AC206" t="s">
        <v>90</v>
      </c>
      <c r="AD206" t="s">
        <v>91</v>
      </c>
      <c r="AE206" t="s">
        <v>92</v>
      </c>
      <c r="AG206" t="s">
        <v>410</v>
      </c>
      <c r="AH206">
        <v>0</v>
      </c>
      <c r="AI206">
        <v>199</v>
      </c>
      <c r="AJ206">
        <v>22</v>
      </c>
      <c r="AK206">
        <v>1221</v>
      </c>
      <c r="AL206">
        <v>1.72</v>
      </c>
    </row>
    <row r="207" spans="1:38" x14ac:dyDescent="0.3">
      <c r="A207" t="s">
        <v>84</v>
      </c>
      <c r="B207">
        <v>102625</v>
      </c>
      <c r="C207">
        <v>3</v>
      </c>
      <c r="D207" t="s">
        <v>406</v>
      </c>
      <c r="E207">
        <v>2012.03</v>
      </c>
      <c r="F207">
        <v>711</v>
      </c>
      <c r="G207">
        <v>38.43</v>
      </c>
      <c r="H207">
        <v>127.05</v>
      </c>
      <c r="I207">
        <v>30.44</v>
      </c>
      <c r="J207">
        <v>100.65</v>
      </c>
      <c r="K207">
        <v>73</v>
      </c>
      <c r="T207">
        <v>3</v>
      </c>
      <c r="U207">
        <v>2</v>
      </c>
      <c r="V207" t="s">
        <v>94</v>
      </c>
      <c r="W207" t="s">
        <v>412</v>
      </c>
      <c r="X207">
        <v>20</v>
      </c>
      <c r="Y207">
        <v>10</v>
      </c>
      <c r="Z207" t="s">
        <v>408</v>
      </c>
      <c r="AA207" t="s">
        <v>409</v>
      </c>
      <c r="AB207" t="s">
        <v>89</v>
      </c>
      <c r="AC207" t="s">
        <v>90</v>
      </c>
      <c r="AD207" t="s">
        <v>91</v>
      </c>
      <c r="AE207" t="s">
        <v>92</v>
      </c>
      <c r="AG207" t="s">
        <v>410</v>
      </c>
      <c r="AH207">
        <v>0</v>
      </c>
      <c r="AI207">
        <v>199</v>
      </c>
      <c r="AJ207">
        <v>22</v>
      </c>
      <c r="AK207">
        <v>1221</v>
      </c>
      <c r="AL207">
        <v>1.72</v>
      </c>
    </row>
    <row r="208" spans="1:38" x14ac:dyDescent="0.3">
      <c r="A208" t="s">
        <v>84</v>
      </c>
      <c r="B208">
        <v>102625</v>
      </c>
      <c r="C208">
        <v>4</v>
      </c>
      <c r="D208" t="s">
        <v>406</v>
      </c>
      <c r="E208">
        <v>2012.03</v>
      </c>
      <c r="F208">
        <v>711</v>
      </c>
      <c r="G208">
        <v>38.47</v>
      </c>
      <c r="H208">
        <v>127.19</v>
      </c>
      <c r="I208">
        <v>30.47</v>
      </c>
      <c r="J208">
        <v>100.76</v>
      </c>
      <c r="K208">
        <v>32</v>
      </c>
      <c r="T208">
        <v>3</v>
      </c>
      <c r="U208">
        <v>2</v>
      </c>
      <c r="V208" t="s">
        <v>94</v>
      </c>
      <c r="W208" t="s">
        <v>413</v>
      </c>
      <c r="X208">
        <v>20</v>
      </c>
      <c r="Y208">
        <v>10</v>
      </c>
      <c r="Z208" t="s">
        <v>408</v>
      </c>
      <c r="AA208" t="s">
        <v>409</v>
      </c>
      <c r="AB208" t="s">
        <v>89</v>
      </c>
      <c r="AC208" t="s">
        <v>90</v>
      </c>
      <c r="AD208" t="s">
        <v>91</v>
      </c>
      <c r="AE208" t="s">
        <v>92</v>
      </c>
      <c r="AG208" t="s">
        <v>410</v>
      </c>
      <c r="AH208">
        <v>0</v>
      </c>
      <c r="AI208">
        <v>199</v>
      </c>
      <c r="AJ208">
        <v>22</v>
      </c>
      <c r="AK208">
        <v>1221</v>
      </c>
      <c r="AL208">
        <v>1.72</v>
      </c>
    </row>
    <row r="209" spans="1:38" x14ac:dyDescent="0.3">
      <c r="A209" t="s">
        <v>84</v>
      </c>
      <c r="B209">
        <v>102625</v>
      </c>
      <c r="C209">
        <v>5</v>
      </c>
      <c r="D209" t="s">
        <v>406</v>
      </c>
      <c r="E209">
        <v>2012.03</v>
      </c>
      <c r="F209">
        <v>711</v>
      </c>
      <c r="G209">
        <v>46</v>
      </c>
      <c r="H209">
        <v>152.08000000000001</v>
      </c>
      <c r="I209">
        <v>36.44</v>
      </c>
      <c r="J209">
        <v>120.48</v>
      </c>
      <c r="K209">
        <v>118</v>
      </c>
      <c r="T209">
        <v>4</v>
      </c>
      <c r="U209">
        <v>2</v>
      </c>
      <c r="V209" t="s">
        <v>94</v>
      </c>
      <c r="W209" t="s">
        <v>414</v>
      </c>
      <c r="X209">
        <v>20</v>
      </c>
      <c r="Y209">
        <v>10</v>
      </c>
      <c r="Z209" t="s">
        <v>408</v>
      </c>
      <c r="AA209" t="s">
        <v>409</v>
      </c>
      <c r="AB209" t="s">
        <v>89</v>
      </c>
      <c r="AC209" t="s">
        <v>90</v>
      </c>
      <c r="AD209" t="s">
        <v>91</v>
      </c>
      <c r="AE209" t="s">
        <v>92</v>
      </c>
      <c r="AG209" t="s">
        <v>410</v>
      </c>
      <c r="AH209">
        <v>0</v>
      </c>
      <c r="AI209">
        <v>199</v>
      </c>
      <c r="AJ209">
        <v>22</v>
      </c>
      <c r="AK209">
        <v>1221</v>
      </c>
      <c r="AL209">
        <v>1.72</v>
      </c>
    </row>
    <row r="210" spans="1:38" x14ac:dyDescent="0.3">
      <c r="A210" t="s">
        <v>84</v>
      </c>
      <c r="B210">
        <v>102625</v>
      </c>
      <c r="C210">
        <v>6</v>
      </c>
      <c r="D210" t="s">
        <v>406</v>
      </c>
      <c r="E210">
        <v>2012.03</v>
      </c>
      <c r="F210">
        <v>711</v>
      </c>
      <c r="G210">
        <v>46.07</v>
      </c>
      <c r="H210">
        <v>152.31</v>
      </c>
      <c r="I210">
        <v>36.49</v>
      </c>
      <c r="J210">
        <v>120.66</v>
      </c>
      <c r="K210">
        <v>96</v>
      </c>
      <c r="T210">
        <v>4</v>
      </c>
      <c r="U210">
        <v>2</v>
      </c>
      <c r="V210" t="s">
        <v>94</v>
      </c>
      <c r="W210" t="s">
        <v>415</v>
      </c>
      <c r="X210">
        <v>20</v>
      </c>
      <c r="Y210">
        <v>10</v>
      </c>
      <c r="Z210" t="s">
        <v>408</v>
      </c>
      <c r="AA210" t="s">
        <v>409</v>
      </c>
      <c r="AB210" t="s">
        <v>89</v>
      </c>
      <c r="AC210" t="s">
        <v>90</v>
      </c>
      <c r="AD210" t="s">
        <v>91</v>
      </c>
      <c r="AE210" t="s">
        <v>92</v>
      </c>
      <c r="AG210" t="s">
        <v>410</v>
      </c>
      <c r="AH210">
        <v>0</v>
      </c>
      <c r="AI210">
        <v>199</v>
      </c>
      <c r="AJ210">
        <v>22</v>
      </c>
      <c r="AK210">
        <v>1221</v>
      </c>
      <c r="AL210">
        <v>1.72</v>
      </c>
    </row>
    <row r="211" spans="1:38" x14ac:dyDescent="0.3">
      <c r="A211" t="s">
        <v>84</v>
      </c>
      <c r="B211">
        <v>102625</v>
      </c>
      <c r="C211">
        <v>7</v>
      </c>
      <c r="D211" t="s">
        <v>406</v>
      </c>
      <c r="E211">
        <v>2012.03</v>
      </c>
      <c r="F211">
        <v>711</v>
      </c>
      <c r="G211">
        <v>46.07</v>
      </c>
      <c r="H211">
        <v>152.31</v>
      </c>
      <c r="I211">
        <v>36.49</v>
      </c>
      <c r="J211">
        <v>120.66</v>
      </c>
      <c r="K211">
        <v>18</v>
      </c>
      <c r="T211">
        <v>4</v>
      </c>
      <c r="U211">
        <v>2</v>
      </c>
      <c r="V211" t="s">
        <v>94</v>
      </c>
      <c r="W211" t="s">
        <v>416</v>
      </c>
      <c r="X211">
        <v>20</v>
      </c>
      <c r="Y211">
        <v>10</v>
      </c>
      <c r="Z211" t="s">
        <v>408</v>
      </c>
      <c r="AA211" t="s">
        <v>409</v>
      </c>
      <c r="AB211" t="s">
        <v>89</v>
      </c>
      <c r="AC211" t="s">
        <v>90</v>
      </c>
      <c r="AD211" t="s">
        <v>91</v>
      </c>
      <c r="AE211" t="s">
        <v>92</v>
      </c>
      <c r="AG211" t="s">
        <v>410</v>
      </c>
      <c r="AH211">
        <v>0</v>
      </c>
      <c r="AI211">
        <v>199</v>
      </c>
      <c r="AJ211">
        <v>22</v>
      </c>
      <c r="AK211">
        <v>1221</v>
      </c>
      <c r="AL211">
        <v>1.72</v>
      </c>
    </row>
    <row r="212" spans="1:38" x14ac:dyDescent="0.3">
      <c r="A212" t="s">
        <v>84</v>
      </c>
      <c r="B212">
        <v>102625</v>
      </c>
      <c r="C212">
        <v>8</v>
      </c>
      <c r="D212" t="s">
        <v>406</v>
      </c>
      <c r="E212">
        <v>2012.03</v>
      </c>
      <c r="F212">
        <v>711</v>
      </c>
      <c r="G212">
        <v>51.74</v>
      </c>
      <c r="H212">
        <v>171.06</v>
      </c>
      <c r="I212">
        <v>40.99</v>
      </c>
      <c r="J212">
        <v>135.51</v>
      </c>
      <c r="K212">
        <v>65</v>
      </c>
      <c r="T212">
        <v>4</v>
      </c>
      <c r="U212">
        <v>2</v>
      </c>
      <c r="V212" t="s">
        <v>94</v>
      </c>
      <c r="W212" t="s">
        <v>417</v>
      </c>
      <c r="X212">
        <v>20</v>
      </c>
      <c r="Y212">
        <v>10</v>
      </c>
      <c r="Z212" t="s">
        <v>408</v>
      </c>
      <c r="AA212" t="s">
        <v>409</v>
      </c>
      <c r="AB212" t="s">
        <v>89</v>
      </c>
      <c r="AC212" t="s">
        <v>90</v>
      </c>
      <c r="AD212" t="s">
        <v>91</v>
      </c>
      <c r="AE212" t="s">
        <v>92</v>
      </c>
      <c r="AG212" t="s">
        <v>410</v>
      </c>
      <c r="AH212">
        <v>0</v>
      </c>
      <c r="AI212">
        <v>199</v>
      </c>
      <c r="AJ212">
        <v>22</v>
      </c>
      <c r="AK212">
        <v>1221</v>
      </c>
      <c r="AL212">
        <v>1.72</v>
      </c>
    </row>
    <row r="213" spans="1:38" x14ac:dyDescent="0.3">
      <c r="A213" t="s">
        <v>84</v>
      </c>
      <c r="B213">
        <v>102625</v>
      </c>
      <c r="C213">
        <v>9</v>
      </c>
      <c r="D213" t="s">
        <v>406</v>
      </c>
      <c r="E213">
        <v>2012.03</v>
      </c>
      <c r="F213">
        <v>711</v>
      </c>
      <c r="G213">
        <v>51.79</v>
      </c>
      <c r="H213">
        <v>171.23</v>
      </c>
      <c r="I213">
        <v>41.03</v>
      </c>
      <c r="J213">
        <v>135.65</v>
      </c>
      <c r="K213">
        <v>40</v>
      </c>
      <c r="T213">
        <v>4</v>
      </c>
      <c r="U213">
        <v>2</v>
      </c>
      <c r="V213" t="s">
        <v>94</v>
      </c>
      <c r="W213">
        <v>171</v>
      </c>
      <c r="X213">
        <v>20</v>
      </c>
      <c r="Y213">
        <v>10</v>
      </c>
      <c r="Z213" t="s">
        <v>408</v>
      </c>
      <c r="AA213" t="s">
        <v>409</v>
      </c>
      <c r="AB213" t="s">
        <v>89</v>
      </c>
      <c r="AC213" t="s">
        <v>90</v>
      </c>
      <c r="AD213" t="s">
        <v>91</v>
      </c>
      <c r="AE213" t="s">
        <v>92</v>
      </c>
      <c r="AG213" t="s">
        <v>410</v>
      </c>
      <c r="AH213">
        <v>0</v>
      </c>
      <c r="AI213">
        <v>199</v>
      </c>
      <c r="AJ213">
        <v>22</v>
      </c>
      <c r="AK213">
        <v>1221</v>
      </c>
      <c r="AL213">
        <v>1.72</v>
      </c>
    </row>
    <row r="214" spans="1:38" x14ac:dyDescent="0.3">
      <c r="A214" t="s">
        <v>84</v>
      </c>
      <c r="B214">
        <v>102625</v>
      </c>
      <c r="C214">
        <v>10</v>
      </c>
      <c r="D214" t="s">
        <v>406</v>
      </c>
      <c r="E214">
        <v>2012.03</v>
      </c>
      <c r="F214">
        <v>711</v>
      </c>
      <c r="G214">
        <v>51.74</v>
      </c>
      <c r="H214">
        <v>171.06</v>
      </c>
      <c r="I214">
        <v>40.99</v>
      </c>
      <c r="J214">
        <v>135.51</v>
      </c>
      <c r="K214">
        <v>40</v>
      </c>
      <c r="T214">
        <v>4</v>
      </c>
      <c r="U214">
        <v>2</v>
      </c>
      <c r="V214" t="s">
        <v>94</v>
      </c>
      <c r="W214" t="s">
        <v>418</v>
      </c>
      <c r="X214">
        <v>20</v>
      </c>
      <c r="Y214">
        <v>10</v>
      </c>
      <c r="Z214" t="s">
        <v>408</v>
      </c>
      <c r="AA214" t="s">
        <v>409</v>
      </c>
      <c r="AB214" t="s">
        <v>89</v>
      </c>
      <c r="AC214" t="s">
        <v>90</v>
      </c>
      <c r="AD214" t="s">
        <v>91</v>
      </c>
      <c r="AE214" t="s">
        <v>92</v>
      </c>
      <c r="AG214" t="s">
        <v>410</v>
      </c>
      <c r="AH214">
        <v>0</v>
      </c>
      <c r="AI214">
        <v>199</v>
      </c>
      <c r="AJ214">
        <v>22</v>
      </c>
      <c r="AK214">
        <v>1221</v>
      </c>
      <c r="AL214">
        <v>1.72</v>
      </c>
    </row>
    <row r="215" spans="1:38" x14ac:dyDescent="0.3">
      <c r="A215" t="s">
        <v>84</v>
      </c>
      <c r="B215">
        <v>102625</v>
      </c>
      <c r="C215">
        <v>11</v>
      </c>
      <c r="D215" t="s">
        <v>406</v>
      </c>
      <c r="E215">
        <v>2012.03</v>
      </c>
      <c r="F215">
        <v>711</v>
      </c>
      <c r="G215">
        <v>51.74</v>
      </c>
      <c r="H215">
        <v>171.06</v>
      </c>
      <c r="I215">
        <v>40.99</v>
      </c>
      <c r="J215">
        <v>135.51</v>
      </c>
      <c r="K215">
        <v>11</v>
      </c>
      <c r="T215">
        <v>4</v>
      </c>
      <c r="U215">
        <v>2</v>
      </c>
      <c r="V215" t="s">
        <v>94</v>
      </c>
      <c r="W215" t="s">
        <v>419</v>
      </c>
      <c r="X215">
        <v>20</v>
      </c>
      <c r="Y215">
        <v>10</v>
      </c>
      <c r="Z215" t="s">
        <v>408</v>
      </c>
      <c r="AA215" t="s">
        <v>409</v>
      </c>
      <c r="AB215" t="s">
        <v>89</v>
      </c>
      <c r="AC215" t="s">
        <v>90</v>
      </c>
      <c r="AD215" t="s">
        <v>91</v>
      </c>
      <c r="AE215" t="s">
        <v>92</v>
      </c>
      <c r="AG215" t="s">
        <v>410</v>
      </c>
      <c r="AH215">
        <v>0</v>
      </c>
      <c r="AI215">
        <v>199</v>
      </c>
      <c r="AJ215">
        <v>22</v>
      </c>
      <c r="AK215">
        <v>1221</v>
      </c>
      <c r="AL215">
        <v>1.72</v>
      </c>
    </row>
    <row r="216" spans="1:38" x14ac:dyDescent="0.3">
      <c r="A216" t="s">
        <v>84</v>
      </c>
      <c r="B216">
        <v>102625</v>
      </c>
      <c r="C216">
        <v>12</v>
      </c>
      <c r="D216" t="s">
        <v>406</v>
      </c>
      <c r="E216">
        <v>2012.03</v>
      </c>
      <c r="F216">
        <v>711</v>
      </c>
      <c r="G216">
        <v>60.97</v>
      </c>
      <c r="H216">
        <v>201.57</v>
      </c>
      <c r="I216">
        <v>48.3</v>
      </c>
      <c r="J216">
        <v>159.68</v>
      </c>
      <c r="K216">
        <v>3</v>
      </c>
      <c r="T216">
        <v>4</v>
      </c>
      <c r="U216">
        <v>2</v>
      </c>
      <c r="V216" t="s">
        <v>94</v>
      </c>
      <c r="W216" t="s">
        <v>420</v>
      </c>
      <c r="X216">
        <v>20</v>
      </c>
      <c r="Y216">
        <v>10</v>
      </c>
      <c r="Z216" t="s">
        <v>408</v>
      </c>
      <c r="AA216" t="s">
        <v>409</v>
      </c>
      <c r="AB216" t="s">
        <v>89</v>
      </c>
      <c r="AC216" t="s">
        <v>90</v>
      </c>
      <c r="AD216" t="s">
        <v>91</v>
      </c>
      <c r="AE216" t="s">
        <v>92</v>
      </c>
      <c r="AG216" t="s">
        <v>410</v>
      </c>
      <c r="AH216">
        <v>0</v>
      </c>
      <c r="AI216">
        <v>199</v>
      </c>
      <c r="AJ216">
        <v>22</v>
      </c>
      <c r="AK216">
        <v>1221</v>
      </c>
      <c r="AL216">
        <v>1.72</v>
      </c>
    </row>
    <row r="217" spans="1:38" x14ac:dyDescent="0.3">
      <c r="A217" t="s">
        <v>421</v>
      </c>
      <c r="B217">
        <v>3075</v>
      </c>
      <c r="C217">
        <v>1</v>
      </c>
      <c r="D217" t="s">
        <v>422</v>
      </c>
      <c r="E217">
        <v>1992.06</v>
      </c>
      <c r="F217">
        <v>502</v>
      </c>
      <c r="G217">
        <v>23.25</v>
      </c>
      <c r="H217">
        <v>76.87</v>
      </c>
      <c r="I217">
        <v>16.77</v>
      </c>
      <c r="J217">
        <v>55.44</v>
      </c>
      <c r="K217">
        <v>92</v>
      </c>
      <c r="T217">
        <v>2</v>
      </c>
      <c r="U217">
        <v>1</v>
      </c>
      <c r="V217" t="s">
        <v>128</v>
      </c>
      <c r="W217">
        <v>76</v>
      </c>
      <c r="X217">
        <v>23</v>
      </c>
      <c r="Y217">
        <v>15</v>
      </c>
      <c r="Z217" t="s">
        <v>423</v>
      </c>
      <c r="AA217" t="s">
        <v>424</v>
      </c>
      <c r="AB217" t="s">
        <v>89</v>
      </c>
      <c r="AC217" t="s">
        <v>90</v>
      </c>
      <c r="AD217" t="s">
        <v>91</v>
      </c>
      <c r="AE217" t="s">
        <v>425</v>
      </c>
      <c r="AG217" t="s">
        <v>426</v>
      </c>
      <c r="AH217">
        <v>0</v>
      </c>
      <c r="AI217">
        <v>208</v>
      </c>
      <c r="AJ217">
        <v>14</v>
      </c>
      <c r="AK217">
        <v>520</v>
      </c>
      <c r="AL217">
        <v>1.04</v>
      </c>
    </row>
    <row r="218" spans="1:38" x14ac:dyDescent="0.3">
      <c r="A218" t="s">
        <v>421</v>
      </c>
      <c r="B218">
        <v>3075</v>
      </c>
      <c r="C218">
        <v>2</v>
      </c>
      <c r="D218" t="s">
        <v>422</v>
      </c>
      <c r="E218">
        <v>1992.06</v>
      </c>
      <c r="F218">
        <v>502</v>
      </c>
      <c r="G218">
        <v>27.12</v>
      </c>
      <c r="H218">
        <v>89.68</v>
      </c>
      <c r="I218">
        <v>19.559999999999999</v>
      </c>
      <c r="J218">
        <v>64.680000000000007</v>
      </c>
      <c r="K218">
        <v>46</v>
      </c>
      <c r="T218">
        <v>3</v>
      </c>
      <c r="U218">
        <v>1</v>
      </c>
      <c r="V218" t="s">
        <v>128</v>
      </c>
      <c r="W218">
        <v>89</v>
      </c>
      <c r="X218">
        <v>23</v>
      </c>
      <c r="Y218">
        <v>15</v>
      </c>
      <c r="Z218" t="s">
        <v>423</v>
      </c>
      <c r="AA218" t="s">
        <v>424</v>
      </c>
      <c r="AB218" t="s">
        <v>89</v>
      </c>
      <c r="AC218" t="s">
        <v>90</v>
      </c>
      <c r="AD218" t="s">
        <v>91</v>
      </c>
      <c r="AE218" t="s">
        <v>425</v>
      </c>
      <c r="AG218" t="s">
        <v>426</v>
      </c>
      <c r="AH218">
        <v>0</v>
      </c>
      <c r="AI218">
        <v>208</v>
      </c>
      <c r="AJ218">
        <v>14</v>
      </c>
      <c r="AK218">
        <v>520</v>
      </c>
      <c r="AL218">
        <v>1.04</v>
      </c>
    </row>
    <row r="219" spans="1:38" x14ac:dyDescent="0.3">
      <c r="A219" t="s">
        <v>421</v>
      </c>
      <c r="B219">
        <v>3075</v>
      </c>
      <c r="C219">
        <v>3</v>
      </c>
      <c r="D219" t="s">
        <v>422</v>
      </c>
      <c r="E219">
        <v>1992.06</v>
      </c>
      <c r="F219">
        <v>502</v>
      </c>
      <c r="G219">
        <v>32.53</v>
      </c>
      <c r="H219">
        <v>107.57</v>
      </c>
      <c r="I219">
        <v>25.59</v>
      </c>
      <c r="J219">
        <v>84.6</v>
      </c>
      <c r="K219">
        <v>304</v>
      </c>
      <c r="T219">
        <v>3</v>
      </c>
      <c r="U219">
        <v>2</v>
      </c>
      <c r="V219" t="s">
        <v>94</v>
      </c>
      <c r="W219" t="s">
        <v>427</v>
      </c>
      <c r="X219">
        <v>23</v>
      </c>
      <c r="Y219">
        <v>15</v>
      </c>
      <c r="Z219" t="s">
        <v>423</v>
      </c>
      <c r="AA219" t="s">
        <v>424</v>
      </c>
      <c r="AB219" t="s">
        <v>89</v>
      </c>
      <c r="AC219" t="s">
        <v>90</v>
      </c>
      <c r="AD219" t="s">
        <v>91</v>
      </c>
      <c r="AE219" t="s">
        <v>425</v>
      </c>
      <c r="AG219" t="s">
        <v>426</v>
      </c>
      <c r="AH219">
        <v>0</v>
      </c>
      <c r="AI219">
        <v>208</v>
      </c>
      <c r="AJ219">
        <v>14</v>
      </c>
      <c r="AK219">
        <v>520</v>
      </c>
      <c r="AL219">
        <v>1.04</v>
      </c>
    </row>
    <row r="220" spans="1:38" x14ac:dyDescent="0.3">
      <c r="A220" t="s">
        <v>421</v>
      </c>
      <c r="B220">
        <v>3075</v>
      </c>
      <c r="C220">
        <v>4</v>
      </c>
      <c r="D220" t="s">
        <v>422</v>
      </c>
      <c r="E220">
        <v>1992.06</v>
      </c>
      <c r="F220">
        <v>502</v>
      </c>
      <c r="G220">
        <v>32.380000000000003</v>
      </c>
      <c r="H220">
        <v>107.06</v>
      </c>
      <c r="I220">
        <v>25.67</v>
      </c>
      <c r="J220">
        <v>84.87</v>
      </c>
      <c r="K220">
        <v>60</v>
      </c>
      <c r="T220">
        <v>3</v>
      </c>
      <c r="U220">
        <v>2</v>
      </c>
      <c r="V220" t="s">
        <v>94</v>
      </c>
      <c r="W220" t="s">
        <v>428</v>
      </c>
      <c r="X220">
        <v>23</v>
      </c>
      <c r="Y220">
        <v>15</v>
      </c>
      <c r="Z220" t="s">
        <v>423</v>
      </c>
      <c r="AA220" t="s">
        <v>424</v>
      </c>
      <c r="AB220" t="s">
        <v>89</v>
      </c>
      <c r="AC220" t="s">
        <v>90</v>
      </c>
      <c r="AD220" t="s">
        <v>91</v>
      </c>
      <c r="AE220" t="s">
        <v>425</v>
      </c>
      <c r="AG220" t="s">
        <v>426</v>
      </c>
      <c r="AH220">
        <v>0</v>
      </c>
      <c r="AI220">
        <v>208</v>
      </c>
      <c r="AJ220">
        <v>14</v>
      </c>
      <c r="AK220">
        <v>520</v>
      </c>
      <c r="AL220">
        <v>1.04</v>
      </c>
    </row>
    <row r="221" spans="1:38" x14ac:dyDescent="0.3">
      <c r="A221" t="s">
        <v>421</v>
      </c>
      <c r="B221">
        <v>1985</v>
      </c>
      <c r="C221">
        <v>1</v>
      </c>
      <c r="D221" t="s">
        <v>429</v>
      </c>
      <c r="E221">
        <v>1993.07</v>
      </c>
      <c r="F221">
        <v>790</v>
      </c>
      <c r="G221">
        <v>15.42</v>
      </c>
      <c r="H221">
        <v>51</v>
      </c>
      <c r="I221">
        <v>10.199999999999999</v>
      </c>
      <c r="J221">
        <v>33.729999999999997</v>
      </c>
      <c r="K221">
        <v>200</v>
      </c>
      <c r="T221">
        <v>2</v>
      </c>
      <c r="U221">
        <v>1</v>
      </c>
      <c r="V221" t="s">
        <v>128</v>
      </c>
      <c r="W221" t="s">
        <v>430</v>
      </c>
      <c r="X221">
        <v>15</v>
      </c>
      <c r="Y221">
        <v>10</v>
      </c>
      <c r="Z221" t="s">
        <v>431</v>
      </c>
      <c r="AA221" t="s">
        <v>432</v>
      </c>
      <c r="AB221" t="s">
        <v>89</v>
      </c>
      <c r="AC221" t="s">
        <v>90</v>
      </c>
      <c r="AD221" t="s">
        <v>91</v>
      </c>
      <c r="AE221" t="s">
        <v>425</v>
      </c>
      <c r="AG221" t="s">
        <v>433</v>
      </c>
      <c r="AH221">
        <v>0</v>
      </c>
      <c r="AI221">
        <v>207</v>
      </c>
      <c r="AJ221">
        <v>0</v>
      </c>
      <c r="AK221">
        <v>235</v>
      </c>
      <c r="AL221">
        <v>0.3</v>
      </c>
    </row>
    <row r="222" spans="1:38" x14ac:dyDescent="0.3">
      <c r="A222" t="s">
        <v>421</v>
      </c>
      <c r="B222">
        <v>1985</v>
      </c>
      <c r="C222">
        <v>2</v>
      </c>
      <c r="D222" t="s">
        <v>429</v>
      </c>
      <c r="E222">
        <v>1993.07</v>
      </c>
      <c r="F222">
        <v>790</v>
      </c>
      <c r="G222">
        <v>15.42</v>
      </c>
      <c r="H222">
        <v>51</v>
      </c>
      <c r="I222">
        <v>10.199999999999999</v>
      </c>
      <c r="J222">
        <v>33.729999999999997</v>
      </c>
      <c r="K222">
        <v>50</v>
      </c>
      <c r="T222">
        <v>2</v>
      </c>
      <c r="U222">
        <v>1</v>
      </c>
      <c r="V222" t="s">
        <v>94</v>
      </c>
      <c r="W222" t="s">
        <v>434</v>
      </c>
      <c r="X222">
        <v>15</v>
      </c>
      <c r="Y222">
        <v>10</v>
      </c>
      <c r="Z222" t="s">
        <v>431</v>
      </c>
      <c r="AA222" t="s">
        <v>432</v>
      </c>
      <c r="AB222" t="s">
        <v>89</v>
      </c>
      <c r="AC222" t="s">
        <v>90</v>
      </c>
      <c r="AD222" t="s">
        <v>91</v>
      </c>
      <c r="AE222" t="s">
        <v>425</v>
      </c>
      <c r="AG222" t="s">
        <v>433</v>
      </c>
      <c r="AH222">
        <v>0</v>
      </c>
      <c r="AI222">
        <v>207</v>
      </c>
      <c r="AJ222">
        <v>0</v>
      </c>
      <c r="AK222">
        <v>235</v>
      </c>
      <c r="AL222">
        <v>0.3</v>
      </c>
    </row>
    <row r="223" spans="1:38" x14ac:dyDescent="0.3">
      <c r="A223" t="s">
        <v>421</v>
      </c>
      <c r="B223">
        <v>1985</v>
      </c>
      <c r="C223">
        <v>3</v>
      </c>
      <c r="D223" t="s">
        <v>429</v>
      </c>
      <c r="E223">
        <v>1993.07</v>
      </c>
      <c r="F223">
        <v>790</v>
      </c>
      <c r="G223">
        <v>17.899999999999999</v>
      </c>
      <c r="H223">
        <v>59.2</v>
      </c>
      <c r="I223">
        <v>12.36</v>
      </c>
      <c r="J223">
        <v>40.869999999999997</v>
      </c>
      <c r="K223">
        <v>180</v>
      </c>
      <c r="T223">
        <v>2</v>
      </c>
      <c r="U223">
        <v>1</v>
      </c>
      <c r="V223" t="s">
        <v>128</v>
      </c>
      <c r="W223">
        <v>59</v>
      </c>
      <c r="X223">
        <v>15</v>
      </c>
      <c r="Y223">
        <v>10</v>
      </c>
      <c r="Z223" t="s">
        <v>431</v>
      </c>
      <c r="AA223" t="s">
        <v>432</v>
      </c>
      <c r="AB223" t="s">
        <v>89</v>
      </c>
      <c r="AC223" t="s">
        <v>90</v>
      </c>
      <c r="AD223" t="s">
        <v>91</v>
      </c>
      <c r="AE223" t="s">
        <v>425</v>
      </c>
      <c r="AG223" t="s">
        <v>433</v>
      </c>
      <c r="AH223">
        <v>0</v>
      </c>
      <c r="AI223">
        <v>207</v>
      </c>
      <c r="AJ223">
        <v>0</v>
      </c>
      <c r="AK223">
        <v>235</v>
      </c>
      <c r="AL223">
        <v>0.3</v>
      </c>
    </row>
    <row r="224" spans="1:38" x14ac:dyDescent="0.3">
      <c r="A224" t="s">
        <v>421</v>
      </c>
      <c r="B224">
        <v>1985</v>
      </c>
      <c r="C224">
        <v>4</v>
      </c>
      <c r="D224" t="s">
        <v>429</v>
      </c>
      <c r="E224">
        <v>1993.07</v>
      </c>
      <c r="F224">
        <v>790</v>
      </c>
      <c r="G224">
        <v>21.13</v>
      </c>
      <c r="H224">
        <v>69.88</v>
      </c>
      <c r="I224">
        <v>15.02</v>
      </c>
      <c r="J224">
        <v>49.68</v>
      </c>
      <c r="K224">
        <v>360</v>
      </c>
      <c r="T224">
        <v>3</v>
      </c>
      <c r="U224">
        <v>1</v>
      </c>
      <c r="V224" t="s">
        <v>128</v>
      </c>
      <c r="W224">
        <v>69</v>
      </c>
      <c r="X224">
        <v>15</v>
      </c>
      <c r="Y224">
        <v>10</v>
      </c>
      <c r="Z224" t="s">
        <v>431</v>
      </c>
      <c r="AA224" t="s">
        <v>432</v>
      </c>
      <c r="AB224" t="s">
        <v>89</v>
      </c>
      <c r="AC224" t="s">
        <v>90</v>
      </c>
      <c r="AD224" t="s">
        <v>91</v>
      </c>
      <c r="AE224" t="s">
        <v>425</v>
      </c>
      <c r="AG224" t="s">
        <v>433</v>
      </c>
      <c r="AH224">
        <v>0</v>
      </c>
      <c r="AI224">
        <v>207</v>
      </c>
      <c r="AJ224">
        <v>0</v>
      </c>
      <c r="AK224">
        <v>235</v>
      </c>
      <c r="AL224">
        <v>0.3</v>
      </c>
    </row>
    <row r="225" spans="1:38" x14ac:dyDescent="0.3">
      <c r="A225" t="s">
        <v>421</v>
      </c>
      <c r="B225">
        <v>141825</v>
      </c>
      <c r="C225">
        <v>1</v>
      </c>
      <c r="D225" t="s">
        <v>435</v>
      </c>
      <c r="E225">
        <v>2023.05</v>
      </c>
      <c r="F225">
        <v>230</v>
      </c>
      <c r="G225">
        <v>20.3</v>
      </c>
      <c r="H225">
        <v>67.11</v>
      </c>
      <c r="I225">
        <v>14.72</v>
      </c>
      <c r="J225">
        <v>48.67</v>
      </c>
      <c r="K225">
        <v>77</v>
      </c>
      <c r="T225">
        <v>2</v>
      </c>
      <c r="U225">
        <v>1</v>
      </c>
      <c r="V225" t="s">
        <v>94</v>
      </c>
      <c r="W225">
        <v>67</v>
      </c>
      <c r="X225">
        <v>25</v>
      </c>
      <c r="Y225">
        <v>25</v>
      </c>
      <c r="Z225" t="s">
        <v>436</v>
      </c>
      <c r="AA225" t="s">
        <v>437</v>
      </c>
      <c r="AB225" t="s">
        <v>89</v>
      </c>
      <c r="AC225" t="s">
        <v>90</v>
      </c>
      <c r="AD225" t="s">
        <v>91</v>
      </c>
      <c r="AE225" t="s">
        <v>425</v>
      </c>
      <c r="AG225" t="s">
        <v>438</v>
      </c>
      <c r="AH225">
        <v>0</v>
      </c>
      <c r="AI225">
        <v>0</v>
      </c>
      <c r="AJ225">
        <v>0</v>
      </c>
      <c r="AK225">
        <v>264</v>
      </c>
      <c r="AL225">
        <v>1.1499999999999999</v>
      </c>
    </row>
    <row r="226" spans="1:38" x14ac:dyDescent="0.3">
      <c r="A226" t="s">
        <v>421</v>
      </c>
      <c r="B226">
        <v>141825</v>
      </c>
      <c r="C226">
        <v>2</v>
      </c>
      <c r="D226" t="s">
        <v>435</v>
      </c>
      <c r="E226">
        <v>2023.05</v>
      </c>
      <c r="F226">
        <v>230</v>
      </c>
      <c r="G226">
        <v>24.35</v>
      </c>
      <c r="H226">
        <v>80.52</v>
      </c>
      <c r="I226">
        <v>18.75</v>
      </c>
      <c r="J226">
        <v>62.01</v>
      </c>
      <c r="K226">
        <v>18</v>
      </c>
      <c r="T226">
        <v>3</v>
      </c>
      <c r="U226">
        <v>2</v>
      </c>
      <c r="V226" t="s">
        <v>94</v>
      </c>
      <c r="W226" t="s">
        <v>397</v>
      </c>
      <c r="X226">
        <v>25</v>
      </c>
      <c r="Y226">
        <v>25</v>
      </c>
      <c r="Z226" t="s">
        <v>436</v>
      </c>
      <c r="AA226" t="s">
        <v>437</v>
      </c>
      <c r="AB226" t="s">
        <v>89</v>
      </c>
      <c r="AC226" t="s">
        <v>90</v>
      </c>
      <c r="AD226" t="s">
        <v>91</v>
      </c>
      <c r="AE226" t="s">
        <v>425</v>
      </c>
      <c r="AG226" t="s">
        <v>438</v>
      </c>
      <c r="AH226">
        <v>0</v>
      </c>
      <c r="AI226">
        <v>0</v>
      </c>
      <c r="AJ226">
        <v>0</v>
      </c>
      <c r="AK226">
        <v>264</v>
      </c>
      <c r="AL226">
        <v>1.1499999999999999</v>
      </c>
    </row>
    <row r="227" spans="1:38" x14ac:dyDescent="0.3">
      <c r="A227" t="s">
        <v>421</v>
      </c>
      <c r="B227">
        <v>141825</v>
      </c>
      <c r="C227">
        <v>3</v>
      </c>
      <c r="D227" t="s">
        <v>435</v>
      </c>
      <c r="E227">
        <v>2023.05</v>
      </c>
      <c r="F227">
        <v>230</v>
      </c>
      <c r="G227">
        <v>24.45</v>
      </c>
      <c r="H227">
        <v>80.84</v>
      </c>
      <c r="I227">
        <v>18.97</v>
      </c>
      <c r="J227">
        <v>62.74</v>
      </c>
      <c r="K227">
        <v>15</v>
      </c>
      <c r="T227">
        <v>3</v>
      </c>
      <c r="U227">
        <v>2</v>
      </c>
      <c r="V227" t="s">
        <v>94</v>
      </c>
      <c r="W227" t="s">
        <v>256</v>
      </c>
      <c r="X227">
        <v>25</v>
      </c>
      <c r="Y227">
        <v>25</v>
      </c>
      <c r="Z227" t="s">
        <v>436</v>
      </c>
      <c r="AA227" t="s">
        <v>437</v>
      </c>
      <c r="AB227" t="s">
        <v>89</v>
      </c>
      <c r="AC227" t="s">
        <v>90</v>
      </c>
      <c r="AD227" t="s">
        <v>91</v>
      </c>
      <c r="AE227" t="s">
        <v>425</v>
      </c>
      <c r="AG227" t="s">
        <v>438</v>
      </c>
      <c r="AH227">
        <v>0</v>
      </c>
      <c r="AI227">
        <v>0</v>
      </c>
      <c r="AJ227">
        <v>0</v>
      </c>
      <c r="AK227">
        <v>264</v>
      </c>
      <c r="AL227">
        <v>1.1499999999999999</v>
      </c>
    </row>
    <row r="228" spans="1:38" x14ac:dyDescent="0.3">
      <c r="A228" t="s">
        <v>421</v>
      </c>
      <c r="B228">
        <v>13918</v>
      </c>
      <c r="C228">
        <v>1</v>
      </c>
      <c r="D228" t="s">
        <v>439</v>
      </c>
      <c r="E228">
        <v>1988.06</v>
      </c>
      <c r="F228">
        <v>126</v>
      </c>
      <c r="G228">
        <v>21.1</v>
      </c>
      <c r="H228">
        <v>69.78</v>
      </c>
      <c r="I228">
        <v>16.87</v>
      </c>
      <c r="J228">
        <v>55.8</v>
      </c>
      <c r="K228">
        <v>82</v>
      </c>
      <c r="T228">
        <v>2</v>
      </c>
      <c r="U228">
        <v>1</v>
      </c>
      <c r="V228" t="s">
        <v>94</v>
      </c>
      <c r="W228" t="s">
        <v>440</v>
      </c>
      <c r="X228">
        <v>15</v>
      </c>
      <c r="Y228">
        <v>7</v>
      </c>
      <c r="Z228" t="s">
        <v>441</v>
      </c>
      <c r="AA228" t="s">
        <v>442</v>
      </c>
      <c r="AB228" t="s">
        <v>89</v>
      </c>
      <c r="AC228" t="s">
        <v>90</v>
      </c>
      <c r="AD228" t="s">
        <v>91</v>
      </c>
      <c r="AE228" t="s">
        <v>425</v>
      </c>
      <c r="AG228" t="s">
        <v>443</v>
      </c>
      <c r="AH228">
        <v>0</v>
      </c>
      <c r="AI228">
        <v>182</v>
      </c>
      <c r="AJ228">
        <v>15</v>
      </c>
      <c r="AK228">
        <v>0</v>
      </c>
      <c r="AL228">
        <v>0</v>
      </c>
    </row>
    <row r="229" spans="1:38" x14ac:dyDescent="0.3">
      <c r="A229" t="s">
        <v>421</v>
      </c>
      <c r="B229">
        <v>13918</v>
      </c>
      <c r="C229">
        <v>2</v>
      </c>
      <c r="D229" t="s">
        <v>439</v>
      </c>
      <c r="E229">
        <v>1988.06</v>
      </c>
      <c r="F229">
        <v>126</v>
      </c>
      <c r="G229">
        <v>28.56</v>
      </c>
      <c r="H229">
        <v>94.42</v>
      </c>
      <c r="I229">
        <v>22.83</v>
      </c>
      <c r="J229">
        <v>75.5</v>
      </c>
      <c r="K229">
        <v>44</v>
      </c>
      <c r="T229">
        <v>3</v>
      </c>
      <c r="U229">
        <v>1</v>
      </c>
      <c r="V229" t="s">
        <v>94</v>
      </c>
      <c r="W229">
        <v>94</v>
      </c>
      <c r="X229">
        <v>15</v>
      </c>
      <c r="Y229">
        <v>7</v>
      </c>
      <c r="Z229" t="s">
        <v>441</v>
      </c>
      <c r="AA229" t="s">
        <v>442</v>
      </c>
      <c r="AB229" t="s">
        <v>89</v>
      </c>
      <c r="AC229" t="s">
        <v>90</v>
      </c>
      <c r="AD229" t="s">
        <v>91</v>
      </c>
      <c r="AE229" t="s">
        <v>425</v>
      </c>
      <c r="AG229" t="s">
        <v>443</v>
      </c>
      <c r="AH229">
        <v>0</v>
      </c>
      <c r="AI229">
        <v>182</v>
      </c>
      <c r="AJ229">
        <v>15</v>
      </c>
      <c r="AK229">
        <v>0</v>
      </c>
      <c r="AL229">
        <v>0</v>
      </c>
    </row>
    <row r="230" spans="1:38" x14ac:dyDescent="0.3">
      <c r="A230" t="s">
        <v>421</v>
      </c>
      <c r="B230">
        <v>127903</v>
      </c>
      <c r="C230">
        <v>1</v>
      </c>
      <c r="D230" t="s">
        <v>444</v>
      </c>
      <c r="E230">
        <v>2022.04</v>
      </c>
      <c r="F230">
        <v>303</v>
      </c>
      <c r="G230">
        <v>25.48</v>
      </c>
      <c r="H230">
        <v>84.24</v>
      </c>
      <c r="I230">
        <v>18.11</v>
      </c>
      <c r="J230">
        <v>59.9</v>
      </c>
      <c r="K230">
        <v>153</v>
      </c>
      <c r="T230">
        <v>3</v>
      </c>
      <c r="U230">
        <v>2</v>
      </c>
      <c r="V230" t="s">
        <v>94</v>
      </c>
      <c r="W230" t="s">
        <v>445</v>
      </c>
      <c r="X230">
        <v>29</v>
      </c>
      <c r="Y230">
        <v>15</v>
      </c>
      <c r="Z230" t="s">
        <v>446</v>
      </c>
      <c r="AA230" t="s">
        <v>447</v>
      </c>
      <c r="AB230" t="s">
        <v>89</v>
      </c>
      <c r="AC230" t="s">
        <v>90</v>
      </c>
      <c r="AD230" t="s">
        <v>91</v>
      </c>
      <c r="AE230" t="s">
        <v>425</v>
      </c>
      <c r="AG230" t="s">
        <v>448</v>
      </c>
      <c r="AH230">
        <v>0</v>
      </c>
      <c r="AI230">
        <v>229</v>
      </c>
      <c r="AJ230">
        <v>16</v>
      </c>
      <c r="AK230">
        <v>380</v>
      </c>
      <c r="AL230">
        <v>1.25</v>
      </c>
    </row>
    <row r="231" spans="1:38" x14ac:dyDescent="0.3">
      <c r="A231" t="s">
        <v>421</v>
      </c>
      <c r="B231">
        <v>127903</v>
      </c>
      <c r="C231">
        <v>2</v>
      </c>
      <c r="D231" t="s">
        <v>444</v>
      </c>
      <c r="E231">
        <v>2022.04</v>
      </c>
      <c r="F231">
        <v>303</v>
      </c>
      <c r="G231">
        <v>32.42</v>
      </c>
      <c r="H231">
        <v>107.18</v>
      </c>
      <c r="I231">
        <v>23.22</v>
      </c>
      <c r="J231">
        <v>76.78</v>
      </c>
      <c r="K231">
        <v>150</v>
      </c>
      <c r="T231">
        <v>3</v>
      </c>
      <c r="U231">
        <v>2</v>
      </c>
      <c r="V231" t="s">
        <v>94</v>
      </c>
      <c r="W231" t="s">
        <v>428</v>
      </c>
      <c r="X231">
        <v>29</v>
      </c>
      <c r="Y231">
        <v>15</v>
      </c>
      <c r="Z231" t="s">
        <v>446</v>
      </c>
      <c r="AA231" t="s">
        <v>447</v>
      </c>
      <c r="AB231" t="s">
        <v>89</v>
      </c>
      <c r="AC231" t="s">
        <v>90</v>
      </c>
      <c r="AD231" t="s">
        <v>91</v>
      </c>
      <c r="AE231" t="s">
        <v>425</v>
      </c>
      <c r="AG231" t="s">
        <v>448</v>
      </c>
      <c r="AH231">
        <v>0</v>
      </c>
      <c r="AI231">
        <v>229</v>
      </c>
      <c r="AJ231">
        <v>16</v>
      </c>
      <c r="AK231">
        <v>380</v>
      </c>
      <c r="AL231">
        <v>1.25</v>
      </c>
    </row>
    <row r="232" spans="1:38" x14ac:dyDescent="0.3">
      <c r="A232" t="s">
        <v>421</v>
      </c>
      <c r="B232">
        <v>3078</v>
      </c>
      <c r="C232">
        <v>1</v>
      </c>
      <c r="D232" t="s">
        <v>449</v>
      </c>
      <c r="E232">
        <v>2003.09</v>
      </c>
      <c r="F232">
        <v>955</v>
      </c>
      <c r="G232">
        <v>22.02</v>
      </c>
      <c r="H232">
        <v>72.81</v>
      </c>
      <c r="I232">
        <v>17.190000000000001</v>
      </c>
      <c r="J232">
        <v>56.84</v>
      </c>
      <c r="K232">
        <v>144</v>
      </c>
      <c r="T232">
        <v>3</v>
      </c>
      <c r="U232">
        <v>1</v>
      </c>
      <c r="V232" t="s">
        <v>94</v>
      </c>
      <c r="W232">
        <v>72</v>
      </c>
      <c r="X232">
        <v>25</v>
      </c>
      <c r="Y232">
        <v>16</v>
      </c>
      <c r="Z232" t="s">
        <v>450</v>
      </c>
      <c r="AA232" t="s">
        <v>451</v>
      </c>
      <c r="AB232" t="s">
        <v>89</v>
      </c>
      <c r="AC232" t="s">
        <v>90</v>
      </c>
      <c r="AD232" t="s">
        <v>91</v>
      </c>
      <c r="AE232" t="s">
        <v>425</v>
      </c>
      <c r="AG232" t="s">
        <v>452</v>
      </c>
      <c r="AH232">
        <v>0</v>
      </c>
      <c r="AI232">
        <v>359</v>
      </c>
      <c r="AJ232">
        <v>21</v>
      </c>
      <c r="AK232">
        <v>1008</v>
      </c>
      <c r="AL232">
        <v>1.06</v>
      </c>
    </row>
    <row r="233" spans="1:38" x14ac:dyDescent="0.3">
      <c r="A233" t="s">
        <v>421</v>
      </c>
      <c r="B233">
        <v>3078</v>
      </c>
      <c r="C233">
        <v>2</v>
      </c>
      <c r="D233" t="s">
        <v>449</v>
      </c>
      <c r="E233">
        <v>2003.09</v>
      </c>
      <c r="F233">
        <v>955</v>
      </c>
      <c r="G233">
        <v>31.66</v>
      </c>
      <c r="H233">
        <v>104.68</v>
      </c>
      <c r="I233">
        <v>24.87</v>
      </c>
      <c r="J233">
        <v>82.24</v>
      </c>
      <c r="K233">
        <v>648</v>
      </c>
      <c r="T233">
        <v>3</v>
      </c>
      <c r="U233">
        <v>2</v>
      </c>
      <c r="V233" t="s">
        <v>94</v>
      </c>
      <c r="W233">
        <v>104</v>
      </c>
      <c r="X233">
        <v>25</v>
      </c>
      <c r="Y233">
        <v>16</v>
      </c>
      <c r="Z233" t="s">
        <v>450</v>
      </c>
      <c r="AA233" t="s">
        <v>451</v>
      </c>
      <c r="AB233" t="s">
        <v>89</v>
      </c>
      <c r="AC233" t="s">
        <v>90</v>
      </c>
      <c r="AD233" t="s">
        <v>91</v>
      </c>
      <c r="AE233" t="s">
        <v>425</v>
      </c>
      <c r="AG233" t="s">
        <v>452</v>
      </c>
      <c r="AH233">
        <v>0</v>
      </c>
      <c r="AI233">
        <v>359</v>
      </c>
      <c r="AJ233">
        <v>21</v>
      </c>
      <c r="AK233">
        <v>1008</v>
      </c>
      <c r="AL233">
        <v>1.06</v>
      </c>
    </row>
    <row r="234" spans="1:38" x14ac:dyDescent="0.3">
      <c r="A234" t="s">
        <v>421</v>
      </c>
      <c r="B234">
        <v>3078</v>
      </c>
      <c r="C234">
        <v>3</v>
      </c>
      <c r="D234" t="s">
        <v>449</v>
      </c>
      <c r="E234">
        <v>2003.09</v>
      </c>
      <c r="F234">
        <v>955</v>
      </c>
      <c r="G234">
        <v>32.58</v>
      </c>
      <c r="H234">
        <v>107.73</v>
      </c>
      <c r="I234">
        <v>25.6</v>
      </c>
      <c r="J234">
        <v>84.66</v>
      </c>
      <c r="K234">
        <v>17</v>
      </c>
      <c r="T234">
        <v>3</v>
      </c>
      <c r="U234">
        <v>2</v>
      </c>
      <c r="V234" t="s">
        <v>94</v>
      </c>
      <c r="W234">
        <v>107</v>
      </c>
      <c r="X234">
        <v>25</v>
      </c>
      <c r="Y234">
        <v>16</v>
      </c>
      <c r="Z234" t="s">
        <v>450</v>
      </c>
      <c r="AA234" t="s">
        <v>451</v>
      </c>
      <c r="AB234" t="s">
        <v>89</v>
      </c>
      <c r="AC234" t="s">
        <v>90</v>
      </c>
      <c r="AD234" t="s">
        <v>91</v>
      </c>
      <c r="AE234" t="s">
        <v>425</v>
      </c>
      <c r="AG234" t="s">
        <v>452</v>
      </c>
      <c r="AH234">
        <v>0</v>
      </c>
      <c r="AI234">
        <v>359</v>
      </c>
      <c r="AJ234">
        <v>21</v>
      </c>
      <c r="AK234">
        <v>1008</v>
      </c>
      <c r="AL234">
        <v>1.06</v>
      </c>
    </row>
    <row r="235" spans="1:38" x14ac:dyDescent="0.3">
      <c r="A235" t="s">
        <v>421</v>
      </c>
      <c r="B235">
        <v>3078</v>
      </c>
      <c r="C235">
        <v>4</v>
      </c>
      <c r="D235" t="s">
        <v>449</v>
      </c>
      <c r="E235">
        <v>2003.09</v>
      </c>
      <c r="F235">
        <v>955</v>
      </c>
      <c r="G235">
        <v>41.4</v>
      </c>
      <c r="H235">
        <v>136.86000000000001</v>
      </c>
      <c r="I235">
        <v>32.72</v>
      </c>
      <c r="J235">
        <v>108.19</v>
      </c>
      <c r="K235">
        <v>146</v>
      </c>
      <c r="T235">
        <v>4</v>
      </c>
      <c r="U235">
        <v>2</v>
      </c>
      <c r="V235" t="s">
        <v>94</v>
      </c>
      <c r="W235">
        <v>136</v>
      </c>
      <c r="X235">
        <v>25</v>
      </c>
      <c r="Y235">
        <v>16</v>
      </c>
      <c r="Z235" t="s">
        <v>450</v>
      </c>
      <c r="AA235" t="s">
        <v>451</v>
      </c>
      <c r="AB235" t="s">
        <v>89</v>
      </c>
      <c r="AC235" t="s">
        <v>90</v>
      </c>
      <c r="AD235" t="s">
        <v>91</v>
      </c>
      <c r="AE235" t="s">
        <v>425</v>
      </c>
      <c r="AG235" t="s">
        <v>452</v>
      </c>
      <c r="AH235">
        <v>0</v>
      </c>
      <c r="AI235">
        <v>359</v>
      </c>
      <c r="AJ235">
        <v>21</v>
      </c>
      <c r="AK235">
        <v>1008</v>
      </c>
      <c r="AL235">
        <v>1.06</v>
      </c>
    </row>
    <row r="236" spans="1:38" x14ac:dyDescent="0.3">
      <c r="A236" t="s">
        <v>421</v>
      </c>
      <c r="B236">
        <v>13777</v>
      </c>
      <c r="C236">
        <v>1</v>
      </c>
      <c r="D236" t="s">
        <v>453</v>
      </c>
      <c r="E236">
        <v>2005.08</v>
      </c>
      <c r="F236">
        <v>131</v>
      </c>
      <c r="G236">
        <v>23.44</v>
      </c>
      <c r="H236">
        <v>77.5</v>
      </c>
      <c r="I236">
        <v>17.72</v>
      </c>
      <c r="J236">
        <v>58.61</v>
      </c>
      <c r="K236">
        <v>17</v>
      </c>
      <c r="T236">
        <v>3</v>
      </c>
      <c r="U236">
        <v>2</v>
      </c>
      <c r="V236" t="s">
        <v>94</v>
      </c>
      <c r="W236">
        <v>77</v>
      </c>
      <c r="X236">
        <v>23</v>
      </c>
      <c r="Y236">
        <v>17</v>
      </c>
      <c r="Z236" t="s">
        <v>454</v>
      </c>
      <c r="AA236" t="s">
        <v>455</v>
      </c>
      <c r="AB236" t="s">
        <v>89</v>
      </c>
      <c r="AC236" t="s">
        <v>90</v>
      </c>
      <c r="AD236" t="s">
        <v>91</v>
      </c>
      <c r="AE236" t="s">
        <v>425</v>
      </c>
      <c r="AG236" t="s">
        <v>456</v>
      </c>
      <c r="AH236">
        <v>0</v>
      </c>
      <c r="AI236">
        <v>329</v>
      </c>
      <c r="AJ236">
        <v>20</v>
      </c>
      <c r="AK236">
        <v>131</v>
      </c>
      <c r="AL236">
        <v>1</v>
      </c>
    </row>
    <row r="237" spans="1:38" x14ac:dyDescent="0.3">
      <c r="A237" t="s">
        <v>421</v>
      </c>
      <c r="B237">
        <v>13777</v>
      </c>
      <c r="C237">
        <v>2</v>
      </c>
      <c r="D237" t="s">
        <v>453</v>
      </c>
      <c r="E237">
        <v>2005.08</v>
      </c>
      <c r="F237">
        <v>131</v>
      </c>
      <c r="G237">
        <v>33.29</v>
      </c>
      <c r="H237">
        <v>110.06</v>
      </c>
      <c r="I237">
        <v>25.24</v>
      </c>
      <c r="J237">
        <v>83.46</v>
      </c>
      <c r="K237">
        <v>46</v>
      </c>
      <c r="T237">
        <v>3</v>
      </c>
      <c r="U237">
        <v>2</v>
      </c>
      <c r="V237" t="s">
        <v>94</v>
      </c>
      <c r="W237" t="s">
        <v>457</v>
      </c>
      <c r="X237">
        <v>23</v>
      </c>
      <c r="Y237">
        <v>17</v>
      </c>
      <c r="Z237" t="s">
        <v>454</v>
      </c>
      <c r="AA237" t="s">
        <v>455</v>
      </c>
      <c r="AB237" t="s">
        <v>89</v>
      </c>
      <c r="AC237" t="s">
        <v>90</v>
      </c>
      <c r="AD237" t="s">
        <v>91</v>
      </c>
      <c r="AE237" t="s">
        <v>425</v>
      </c>
      <c r="AG237" t="s">
        <v>456</v>
      </c>
      <c r="AH237">
        <v>0</v>
      </c>
      <c r="AI237">
        <v>329</v>
      </c>
      <c r="AJ237">
        <v>20</v>
      </c>
      <c r="AK237">
        <v>131</v>
      </c>
      <c r="AL237">
        <v>1</v>
      </c>
    </row>
    <row r="238" spans="1:38" x14ac:dyDescent="0.3">
      <c r="A238" t="s">
        <v>421</v>
      </c>
      <c r="B238">
        <v>13777</v>
      </c>
      <c r="C238">
        <v>3</v>
      </c>
      <c r="D238" t="s">
        <v>453</v>
      </c>
      <c r="E238">
        <v>2005.08</v>
      </c>
      <c r="F238">
        <v>131</v>
      </c>
      <c r="G238">
        <v>33.29</v>
      </c>
      <c r="H238">
        <v>110.06</v>
      </c>
      <c r="I238">
        <v>25.24</v>
      </c>
      <c r="J238">
        <v>83.46</v>
      </c>
      <c r="K238">
        <v>45</v>
      </c>
      <c r="T238">
        <v>3</v>
      </c>
      <c r="U238">
        <v>2</v>
      </c>
      <c r="V238" t="s">
        <v>94</v>
      </c>
      <c r="W238" t="s">
        <v>458</v>
      </c>
      <c r="X238">
        <v>23</v>
      </c>
      <c r="Y238">
        <v>17</v>
      </c>
      <c r="Z238" t="s">
        <v>454</v>
      </c>
      <c r="AA238" t="s">
        <v>455</v>
      </c>
      <c r="AB238" t="s">
        <v>89</v>
      </c>
      <c r="AC238" t="s">
        <v>90</v>
      </c>
      <c r="AD238" t="s">
        <v>91</v>
      </c>
      <c r="AE238" t="s">
        <v>425</v>
      </c>
      <c r="AG238" t="s">
        <v>456</v>
      </c>
      <c r="AH238">
        <v>0</v>
      </c>
      <c r="AI238">
        <v>329</v>
      </c>
      <c r="AJ238">
        <v>20</v>
      </c>
      <c r="AK238">
        <v>131</v>
      </c>
      <c r="AL238">
        <v>1</v>
      </c>
    </row>
    <row r="239" spans="1:38" x14ac:dyDescent="0.3">
      <c r="A239" t="s">
        <v>421</v>
      </c>
      <c r="B239">
        <v>13777</v>
      </c>
      <c r="C239">
        <v>4</v>
      </c>
      <c r="D239" t="s">
        <v>453</v>
      </c>
      <c r="E239">
        <v>2005.08</v>
      </c>
      <c r="F239">
        <v>131</v>
      </c>
      <c r="G239">
        <v>33.36</v>
      </c>
      <c r="H239">
        <v>110.29</v>
      </c>
      <c r="I239">
        <v>25.14</v>
      </c>
      <c r="J239">
        <v>83.14</v>
      </c>
      <c r="K239">
        <v>23</v>
      </c>
      <c r="T239">
        <v>3</v>
      </c>
      <c r="U239">
        <v>2</v>
      </c>
      <c r="V239" t="s">
        <v>94</v>
      </c>
      <c r="W239" t="s">
        <v>459</v>
      </c>
      <c r="X239">
        <v>23</v>
      </c>
      <c r="Y239">
        <v>17</v>
      </c>
      <c r="Z239" t="s">
        <v>454</v>
      </c>
      <c r="AA239" t="s">
        <v>455</v>
      </c>
      <c r="AB239" t="s">
        <v>89</v>
      </c>
      <c r="AC239" t="s">
        <v>90</v>
      </c>
      <c r="AD239" t="s">
        <v>91</v>
      </c>
      <c r="AE239" t="s">
        <v>425</v>
      </c>
      <c r="AG239" t="s">
        <v>456</v>
      </c>
      <c r="AH239">
        <v>0</v>
      </c>
      <c r="AI239">
        <v>329</v>
      </c>
      <c r="AJ239">
        <v>20</v>
      </c>
      <c r="AK239">
        <v>131</v>
      </c>
      <c r="AL239">
        <v>1</v>
      </c>
    </row>
    <row r="240" spans="1:38" x14ac:dyDescent="0.3">
      <c r="A240" t="s">
        <v>421</v>
      </c>
      <c r="B240">
        <v>3079</v>
      </c>
      <c r="C240">
        <v>1</v>
      </c>
      <c r="D240" t="s">
        <v>460</v>
      </c>
      <c r="E240">
        <v>2003.12</v>
      </c>
      <c r="F240">
        <v>3806</v>
      </c>
      <c r="G240">
        <v>24.03</v>
      </c>
      <c r="H240">
        <v>79.45</v>
      </c>
      <c r="I240">
        <v>18.11</v>
      </c>
      <c r="J240">
        <v>59.88</v>
      </c>
      <c r="K240">
        <v>120</v>
      </c>
      <c r="T240">
        <v>3</v>
      </c>
      <c r="U240">
        <v>2</v>
      </c>
      <c r="V240" t="s">
        <v>94</v>
      </c>
      <c r="W240" t="s">
        <v>163</v>
      </c>
      <c r="X240">
        <v>28</v>
      </c>
      <c r="Y240">
        <v>15</v>
      </c>
      <c r="Z240" t="s">
        <v>461</v>
      </c>
      <c r="AA240" t="s">
        <v>462</v>
      </c>
      <c r="AB240" t="s">
        <v>89</v>
      </c>
      <c r="AC240" t="s">
        <v>90</v>
      </c>
      <c r="AD240" t="s">
        <v>91</v>
      </c>
      <c r="AE240" t="s">
        <v>425</v>
      </c>
      <c r="AG240" t="s">
        <v>463</v>
      </c>
      <c r="AH240">
        <v>0</v>
      </c>
      <c r="AI240">
        <v>359</v>
      </c>
      <c r="AJ240">
        <v>18</v>
      </c>
      <c r="AK240">
        <v>4790</v>
      </c>
      <c r="AL240">
        <v>1.26</v>
      </c>
    </row>
    <row r="241" spans="1:38" x14ac:dyDescent="0.3">
      <c r="A241" t="s">
        <v>421</v>
      </c>
      <c r="B241">
        <v>3079</v>
      </c>
      <c r="C241">
        <v>2</v>
      </c>
      <c r="D241" t="s">
        <v>460</v>
      </c>
      <c r="E241">
        <v>2003.12</v>
      </c>
      <c r="F241">
        <v>3806</v>
      </c>
      <c r="G241">
        <v>24.7</v>
      </c>
      <c r="H241">
        <v>81.66</v>
      </c>
      <c r="I241">
        <v>18.11</v>
      </c>
      <c r="J241">
        <v>59.87</v>
      </c>
      <c r="K241">
        <v>250</v>
      </c>
      <c r="T241">
        <v>3</v>
      </c>
      <c r="U241">
        <v>2</v>
      </c>
      <c r="V241" t="s">
        <v>94</v>
      </c>
      <c r="W241" t="s">
        <v>464</v>
      </c>
      <c r="X241">
        <v>28</v>
      </c>
      <c r="Y241">
        <v>15</v>
      </c>
      <c r="Z241" t="s">
        <v>461</v>
      </c>
      <c r="AA241" t="s">
        <v>462</v>
      </c>
      <c r="AB241" t="s">
        <v>89</v>
      </c>
      <c r="AC241" t="s">
        <v>90</v>
      </c>
      <c r="AD241" t="s">
        <v>91</v>
      </c>
      <c r="AE241" t="s">
        <v>425</v>
      </c>
      <c r="AG241" t="s">
        <v>463</v>
      </c>
      <c r="AH241">
        <v>0</v>
      </c>
      <c r="AI241">
        <v>359</v>
      </c>
      <c r="AJ241">
        <v>18</v>
      </c>
      <c r="AK241">
        <v>4790</v>
      </c>
      <c r="AL241">
        <v>1.26</v>
      </c>
    </row>
    <row r="242" spans="1:38" x14ac:dyDescent="0.3">
      <c r="A242" t="s">
        <v>421</v>
      </c>
      <c r="B242">
        <v>3079</v>
      </c>
      <c r="C242">
        <v>3</v>
      </c>
      <c r="D242" t="s">
        <v>460</v>
      </c>
      <c r="E242">
        <v>2003.12</v>
      </c>
      <c r="F242">
        <v>3806</v>
      </c>
      <c r="G242">
        <v>24.58</v>
      </c>
      <c r="H242">
        <v>81.260000000000005</v>
      </c>
      <c r="I242">
        <v>18.11</v>
      </c>
      <c r="J242">
        <v>59.87</v>
      </c>
      <c r="K242">
        <v>204</v>
      </c>
      <c r="T242">
        <v>3</v>
      </c>
      <c r="U242">
        <v>2</v>
      </c>
      <c r="V242" t="s">
        <v>94</v>
      </c>
      <c r="W242" t="s">
        <v>465</v>
      </c>
      <c r="X242">
        <v>28</v>
      </c>
      <c r="Y242">
        <v>15</v>
      </c>
      <c r="Z242" t="s">
        <v>461</v>
      </c>
      <c r="AA242" t="s">
        <v>462</v>
      </c>
      <c r="AB242" t="s">
        <v>89</v>
      </c>
      <c r="AC242" t="s">
        <v>90</v>
      </c>
      <c r="AD242" t="s">
        <v>91</v>
      </c>
      <c r="AE242" t="s">
        <v>425</v>
      </c>
      <c r="AG242" t="s">
        <v>463</v>
      </c>
      <c r="AH242">
        <v>0</v>
      </c>
      <c r="AI242">
        <v>359</v>
      </c>
      <c r="AJ242">
        <v>18</v>
      </c>
      <c r="AK242">
        <v>4790</v>
      </c>
      <c r="AL242">
        <v>1.26</v>
      </c>
    </row>
    <row r="243" spans="1:38" x14ac:dyDescent="0.3">
      <c r="A243" t="s">
        <v>421</v>
      </c>
      <c r="B243">
        <v>3079</v>
      </c>
      <c r="C243">
        <v>4</v>
      </c>
      <c r="D243" t="s">
        <v>460</v>
      </c>
      <c r="E243">
        <v>2003.12</v>
      </c>
      <c r="F243">
        <v>3806</v>
      </c>
      <c r="G243">
        <v>32.74</v>
      </c>
      <c r="H243">
        <v>108.26</v>
      </c>
      <c r="I243">
        <v>25.68</v>
      </c>
      <c r="J243">
        <v>84.91</v>
      </c>
      <c r="K243">
        <v>2000</v>
      </c>
      <c r="T243">
        <v>3</v>
      </c>
      <c r="U243">
        <v>2</v>
      </c>
      <c r="V243" t="s">
        <v>94</v>
      </c>
      <c r="W243">
        <v>108</v>
      </c>
      <c r="X243">
        <v>28</v>
      </c>
      <c r="Y243">
        <v>15</v>
      </c>
      <c r="Z243" t="s">
        <v>461</v>
      </c>
      <c r="AA243" t="s">
        <v>462</v>
      </c>
      <c r="AB243" t="s">
        <v>89</v>
      </c>
      <c r="AC243" t="s">
        <v>90</v>
      </c>
      <c r="AD243" t="s">
        <v>91</v>
      </c>
      <c r="AE243" t="s">
        <v>425</v>
      </c>
      <c r="AG243" t="s">
        <v>463</v>
      </c>
      <c r="AH243">
        <v>0</v>
      </c>
      <c r="AI243">
        <v>359</v>
      </c>
      <c r="AJ243">
        <v>18</v>
      </c>
      <c r="AK243">
        <v>4790</v>
      </c>
      <c r="AL243">
        <v>1.26</v>
      </c>
    </row>
    <row r="244" spans="1:38" x14ac:dyDescent="0.3">
      <c r="A244" t="s">
        <v>421</v>
      </c>
      <c r="B244">
        <v>3079</v>
      </c>
      <c r="C244">
        <v>5</v>
      </c>
      <c r="D244" t="s">
        <v>460</v>
      </c>
      <c r="E244">
        <v>2003.12</v>
      </c>
      <c r="F244">
        <v>3806</v>
      </c>
      <c r="G244">
        <v>41.87</v>
      </c>
      <c r="H244">
        <v>138.43</v>
      </c>
      <c r="I244">
        <v>34.659999999999997</v>
      </c>
      <c r="J244">
        <v>114.6</v>
      </c>
      <c r="K244">
        <v>820</v>
      </c>
      <c r="T244">
        <v>4</v>
      </c>
      <c r="U244">
        <v>2</v>
      </c>
      <c r="V244" t="s">
        <v>94</v>
      </c>
      <c r="W244">
        <v>138</v>
      </c>
      <c r="X244">
        <v>28</v>
      </c>
      <c r="Y244">
        <v>15</v>
      </c>
      <c r="Z244" t="s">
        <v>461</v>
      </c>
      <c r="AA244" t="s">
        <v>462</v>
      </c>
      <c r="AB244" t="s">
        <v>89</v>
      </c>
      <c r="AC244" t="s">
        <v>90</v>
      </c>
      <c r="AD244" t="s">
        <v>91</v>
      </c>
      <c r="AE244" t="s">
        <v>425</v>
      </c>
      <c r="AG244" t="s">
        <v>463</v>
      </c>
      <c r="AH244">
        <v>0</v>
      </c>
      <c r="AI244">
        <v>359</v>
      </c>
      <c r="AJ244">
        <v>18</v>
      </c>
      <c r="AK244">
        <v>4790</v>
      </c>
      <c r="AL244">
        <v>1.26</v>
      </c>
    </row>
    <row r="245" spans="1:38" x14ac:dyDescent="0.3">
      <c r="A245" t="s">
        <v>421</v>
      </c>
      <c r="B245">
        <v>3079</v>
      </c>
      <c r="C245">
        <v>6</v>
      </c>
      <c r="D245" t="s">
        <v>460</v>
      </c>
      <c r="E245">
        <v>2003.12</v>
      </c>
      <c r="F245">
        <v>3806</v>
      </c>
      <c r="G245">
        <v>48.29</v>
      </c>
      <c r="H245">
        <v>159.66</v>
      </c>
      <c r="I245">
        <v>40.15</v>
      </c>
      <c r="J245">
        <v>132.76</v>
      </c>
      <c r="K245">
        <v>108</v>
      </c>
      <c r="T245">
        <v>4</v>
      </c>
      <c r="U245">
        <v>2</v>
      </c>
      <c r="V245" t="s">
        <v>94</v>
      </c>
      <c r="W245">
        <v>159</v>
      </c>
      <c r="X245">
        <v>28</v>
      </c>
      <c r="Y245">
        <v>15</v>
      </c>
      <c r="Z245" t="s">
        <v>461</v>
      </c>
      <c r="AA245" t="s">
        <v>462</v>
      </c>
      <c r="AB245" t="s">
        <v>89</v>
      </c>
      <c r="AC245" t="s">
        <v>90</v>
      </c>
      <c r="AD245" t="s">
        <v>91</v>
      </c>
      <c r="AE245" t="s">
        <v>425</v>
      </c>
      <c r="AG245" t="s">
        <v>463</v>
      </c>
      <c r="AH245">
        <v>0</v>
      </c>
      <c r="AI245">
        <v>359</v>
      </c>
      <c r="AJ245">
        <v>18</v>
      </c>
      <c r="AK245">
        <v>4790</v>
      </c>
      <c r="AL245">
        <v>1.26</v>
      </c>
    </row>
    <row r="246" spans="1:38" x14ac:dyDescent="0.3">
      <c r="A246" t="s">
        <v>421</v>
      </c>
      <c r="B246">
        <v>3079</v>
      </c>
      <c r="C246">
        <v>7</v>
      </c>
      <c r="D246" t="s">
        <v>460</v>
      </c>
      <c r="E246">
        <v>2003.12</v>
      </c>
      <c r="F246">
        <v>3806</v>
      </c>
      <c r="G246">
        <v>58.7</v>
      </c>
      <c r="H246">
        <v>194.06</v>
      </c>
      <c r="I246">
        <v>49.72</v>
      </c>
      <c r="J246">
        <v>164.37</v>
      </c>
      <c r="K246">
        <v>142</v>
      </c>
      <c r="T246">
        <v>5</v>
      </c>
      <c r="U246">
        <v>2</v>
      </c>
      <c r="V246" t="s">
        <v>94</v>
      </c>
      <c r="W246">
        <v>194</v>
      </c>
      <c r="X246">
        <v>28</v>
      </c>
      <c r="Y246">
        <v>15</v>
      </c>
      <c r="Z246" t="s">
        <v>461</v>
      </c>
      <c r="AA246" t="s">
        <v>462</v>
      </c>
      <c r="AB246" t="s">
        <v>89</v>
      </c>
      <c r="AC246" t="s">
        <v>90</v>
      </c>
      <c r="AD246" t="s">
        <v>91</v>
      </c>
      <c r="AE246" t="s">
        <v>425</v>
      </c>
      <c r="AG246" t="s">
        <v>463</v>
      </c>
      <c r="AH246">
        <v>0</v>
      </c>
      <c r="AI246">
        <v>359</v>
      </c>
      <c r="AJ246">
        <v>18</v>
      </c>
      <c r="AK246">
        <v>4790</v>
      </c>
      <c r="AL246">
        <v>1.26</v>
      </c>
    </row>
    <row r="247" spans="1:38" x14ac:dyDescent="0.3">
      <c r="A247" t="s">
        <v>421</v>
      </c>
      <c r="B247">
        <v>3079</v>
      </c>
      <c r="C247">
        <v>8</v>
      </c>
      <c r="D247" t="s">
        <v>460</v>
      </c>
      <c r="E247">
        <v>2003.12</v>
      </c>
      <c r="F247">
        <v>3806</v>
      </c>
      <c r="G247">
        <v>64.67</v>
      </c>
      <c r="H247">
        <v>213.8</v>
      </c>
      <c r="I247">
        <v>55.2</v>
      </c>
      <c r="J247">
        <v>182.48</v>
      </c>
      <c r="K247">
        <v>162</v>
      </c>
      <c r="T247">
        <v>5</v>
      </c>
      <c r="U247">
        <v>3</v>
      </c>
      <c r="V247" t="s">
        <v>94</v>
      </c>
      <c r="W247">
        <v>213</v>
      </c>
      <c r="X247">
        <v>28</v>
      </c>
      <c r="Y247">
        <v>15</v>
      </c>
      <c r="Z247" t="s">
        <v>461</v>
      </c>
      <c r="AA247" t="s">
        <v>462</v>
      </c>
      <c r="AB247" t="s">
        <v>89</v>
      </c>
      <c r="AC247" t="s">
        <v>90</v>
      </c>
      <c r="AD247" t="s">
        <v>91</v>
      </c>
      <c r="AE247" t="s">
        <v>425</v>
      </c>
      <c r="AG247" t="s">
        <v>463</v>
      </c>
      <c r="AH247">
        <v>0</v>
      </c>
      <c r="AI247">
        <v>359</v>
      </c>
      <c r="AJ247">
        <v>18</v>
      </c>
      <c r="AK247">
        <v>4790</v>
      </c>
      <c r="AL247">
        <v>1.26</v>
      </c>
    </row>
    <row r="248" spans="1:38" x14ac:dyDescent="0.3">
      <c r="A248" t="s">
        <v>421</v>
      </c>
      <c r="B248">
        <v>13924</v>
      </c>
      <c r="C248">
        <v>1</v>
      </c>
      <c r="D248" t="s">
        <v>466</v>
      </c>
      <c r="E248">
        <v>1985.08</v>
      </c>
      <c r="F248">
        <v>474</v>
      </c>
      <c r="G248">
        <v>20.98</v>
      </c>
      <c r="H248">
        <v>69.38</v>
      </c>
      <c r="I248">
        <v>16.87</v>
      </c>
      <c r="J248">
        <v>55.8</v>
      </c>
      <c r="K248">
        <v>72</v>
      </c>
      <c r="T248">
        <v>2</v>
      </c>
      <c r="U248">
        <v>1</v>
      </c>
      <c r="V248" t="s">
        <v>128</v>
      </c>
      <c r="W248">
        <v>69</v>
      </c>
      <c r="X248">
        <v>12</v>
      </c>
      <c r="Y248">
        <v>9</v>
      </c>
      <c r="Z248" t="s">
        <v>467</v>
      </c>
      <c r="AA248" t="s">
        <v>468</v>
      </c>
      <c r="AB248" t="s">
        <v>89</v>
      </c>
      <c r="AC248" t="s">
        <v>90</v>
      </c>
      <c r="AD248" t="s">
        <v>91</v>
      </c>
      <c r="AE248" t="s">
        <v>425</v>
      </c>
      <c r="AG248" t="s">
        <v>469</v>
      </c>
      <c r="AH248">
        <v>0</v>
      </c>
      <c r="AI248">
        <v>170</v>
      </c>
      <c r="AJ248">
        <v>0</v>
      </c>
      <c r="AK248">
        <v>0</v>
      </c>
      <c r="AL248">
        <v>0</v>
      </c>
    </row>
    <row r="249" spans="1:38" x14ac:dyDescent="0.3">
      <c r="A249" t="s">
        <v>421</v>
      </c>
      <c r="B249">
        <v>13924</v>
      </c>
      <c r="C249">
        <v>2</v>
      </c>
      <c r="D249" t="s">
        <v>466</v>
      </c>
      <c r="E249">
        <v>1985.08</v>
      </c>
      <c r="F249">
        <v>474</v>
      </c>
      <c r="G249">
        <v>25.05</v>
      </c>
      <c r="H249">
        <v>82.81</v>
      </c>
      <c r="I249">
        <v>20.14</v>
      </c>
      <c r="J249">
        <v>66.599999999999994</v>
      </c>
      <c r="K249">
        <v>66</v>
      </c>
      <c r="T249">
        <v>2</v>
      </c>
      <c r="U249">
        <v>1</v>
      </c>
      <c r="V249" t="s">
        <v>128</v>
      </c>
      <c r="W249">
        <v>82</v>
      </c>
      <c r="X249">
        <v>12</v>
      </c>
      <c r="Y249">
        <v>9</v>
      </c>
      <c r="Z249" t="s">
        <v>467</v>
      </c>
      <c r="AA249" t="s">
        <v>468</v>
      </c>
      <c r="AB249" t="s">
        <v>89</v>
      </c>
      <c r="AC249" t="s">
        <v>90</v>
      </c>
      <c r="AD249" t="s">
        <v>91</v>
      </c>
      <c r="AE249" t="s">
        <v>425</v>
      </c>
      <c r="AG249" t="s">
        <v>469</v>
      </c>
      <c r="AH249">
        <v>0</v>
      </c>
      <c r="AI249">
        <v>170</v>
      </c>
      <c r="AJ249">
        <v>0</v>
      </c>
      <c r="AK249">
        <v>0</v>
      </c>
      <c r="AL249">
        <v>0</v>
      </c>
    </row>
    <row r="250" spans="1:38" x14ac:dyDescent="0.3">
      <c r="A250" t="s">
        <v>421</v>
      </c>
      <c r="B250">
        <v>13924</v>
      </c>
      <c r="C250">
        <v>3</v>
      </c>
      <c r="D250" t="s">
        <v>466</v>
      </c>
      <c r="E250">
        <v>1985.08</v>
      </c>
      <c r="F250">
        <v>474</v>
      </c>
      <c r="G250">
        <v>31.36</v>
      </c>
      <c r="H250">
        <v>103.68</v>
      </c>
      <c r="I250">
        <v>25.63</v>
      </c>
      <c r="J250">
        <v>84.74</v>
      </c>
      <c r="K250">
        <v>240</v>
      </c>
      <c r="T250">
        <v>3</v>
      </c>
      <c r="U250">
        <v>1</v>
      </c>
      <c r="V250" t="s">
        <v>94</v>
      </c>
      <c r="W250">
        <v>103</v>
      </c>
      <c r="X250">
        <v>12</v>
      </c>
      <c r="Y250">
        <v>9</v>
      </c>
      <c r="Z250" t="s">
        <v>467</v>
      </c>
      <c r="AA250" t="s">
        <v>468</v>
      </c>
      <c r="AB250" t="s">
        <v>89</v>
      </c>
      <c r="AC250" t="s">
        <v>90</v>
      </c>
      <c r="AD250" t="s">
        <v>91</v>
      </c>
      <c r="AE250" t="s">
        <v>425</v>
      </c>
      <c r="AG250" t="s">
        <v>469</v>
      </c>
      <c r="AH250">
        <v>0</v>
      </c>
      <c r="AI250">
        <v>170</v>
      </c>
      <c r="AJ250">
        <v>0</v>
      </c>
      <c r="AK250">
        <v>0</v>
      </c>
      <c r="AL250">
        <v>0</v>
      </c>
    </row>
    <row r="251" spans="1:38" x14ac:dyDescent="0.3">
      <c r="A251" t="s">
        <v>421</v>
      </c>
      <c r="B251">
        <v>13924</v>
      </c>
      <c r="C251">
        <v>4</v>
      </c>
      <c r="D251" t="s">
        <v>466</v>
      </c>
      <c r="E251">
        <v>1985.08</v>
      </c>
      <c r="F251">
        <v>474</v>
      </c>
      <c r="G251">
        <v>44.04</v>
      </c>
      <c r="H251">
        <v>145.59</v>
      </c>
      <c r="I251">
        <v>37.31</v>
      </c>
      <c r="J251">
        <v>123.36</v>
      </c>
      <c r="K251">
        <v>96</v>
      </c>
      <c r="T251">
        <v>4</v>
      </c>
      <c r="U251">
        <v>2</v>
      </c>
      <c r="V251" t="s">
        <v>94</v>
      </c>
      <c r="W251">
        <v>145</v>
      </c>
      <c r="X251">
        <v>12</v>
      </c>
      <c r="Y251">
        <v>9</v>
      </c>
      <c r="Z251" t="s">
        <v>467</v>
      </c>
      <c r="AA251" t="s">
        <v>468</v>
      </c>
      <c r="AB251" t="s">
        <v>89</v>
      </c>
      <c r="AC251" t="s">
        <v>90</v>
      </c>
      <c r="AD251" t="s">
        <v>91</v>
      </c>
      <c r="AE251" t="s">
        <v>425</v>
      </c>
      <c r="AG251" t="s">
        <v>469</v>
      </c>
      <c r="AH251">
        <v>0</v>
      </c>
      <c r="AI251">
        <v>170</v>
      </c>
      <c r="AJ251">
        <v>0</v>
      </c>
      <c r="AK251">
        <v>0</v>
      </c>
      <c r="AL251">
        <v>0</v>
      </c>
    </row>
    <row r="252" spans="1:38" x14ac:dyDescent="0.3">
      <c r="A252" t="s">
        <v>421</v>
      </c>
      <c r="B252">
        <v>105771</v>
      </c>
      <c r="C252">
        <v>1</v>
      </c>
      <c r="D252" t="s">
        <v>470</v>
      </c>
      <c r="E252">
        <v>2003.03</v>
      </c>
      <c r="F252">
        <v>12</v>
      </c>
      <c r="G252">
        <v>12.75</v>
      </c>
      <c r="H252">
        <v>42.18</v>
      </c>
      <c r="I252">
        <v>11.07</v>
      </c>
      <c r="J252">
        <v>36.61</v>
      </c>
      <c r="K252">
        <v>1</v>
      </c>
      <c r="T252">
        <v>2</v>
      </c>
      <c r="U252">
        <v>1</v>
      </c>
      <c r="V252" t="s">
        <v>86</v>
      </c>
      <c r="W252">
        <v>42</v>
      </c>
      <c r="X252">
        <v>6</v>
      </c>
      <c r="Y252">
        <v>6</v>
      </c>
      <c r="Z252" t="s">
        <v>471</v>
      </c>
      <c r="AA252" t="s">
        <v>472</v>
      </c>
      <c r="AB252" t="s">
        <v>89</v>
      </c>
      <c r="AC252" t="s">
        <v>90</v>
      </c>
      <c r="AD252" t="s">
        <v>91</v>
      </c>
      <c r="AE252" t="s">
        <v>425</v>
      </c>
      <c r="AG252" t="s">
        <v>473</v>
      </c>
      <c r="AH252">
        <v>0</v>
      </c>
      <c r="AI252">
        <v>224</v>
      </c>
      <c r="AJ252">
        <v>41</v>
      </c>
      <c r="AK252">
        <v>12</v>
      </c>
      <c r="AL252">
        <v>1</v>
      </c>
    </row>
    <row r="253" spans="1:38" x14ac:dyDescent="0.3">
      <c r="A253" t="s">
        <v>421</v>
      </c>
      <c r="B253">
        <v>105771</v>
      </c>
      <c r="C253">
        <v>2</v>
      </c>
      <c r="D253" t="s">
        <v>470</v>
      </c>
      <c r="E253">
        <v>2003.03</v>
      </c>
      <c r="F253">
        <v>12</v>
      </c>
      <c r="G253">
        <v>14.86</v>
      </c>
      <c r="H253">
        <v>49.14</v>
      </c>
      <c r="I253">
        <v>12.89</v>
      </c>
      <c r="J253">
        <v>42.62</v>
      </c>
      <c r="K253">
        <v>1</v>
      </c>
      <c r="T253">
        <v>2</v>
      </c>
      <c r="U253">
        <v>1</v>
      </c>
      <c r="V253" t="s">
        <v>86</v>
      </c>
      <c r="W253">
        <v>49</v>
      </c>
      <c r="X253">
        <v>6</v>
      </c>
      <c r="Y253">
        <v>6</v>
      </c>
      <c r="Z253" t="s">
        <v>471</v>
      </c>
      <c r="AA253" t="s">
        <v>472</v>
      </c>
      <c r="AB253" t="s">
        <v>89</v>
      </c>
      <c r="AC253" t="s">
        <v>90</v>
      </c>
      <c r="AD253" t="s">
        <v>91</v>
      </c>
      <c r="AE253" t="s">
        <v>425</v>
      </c>
      <c r="AG253" t="s">
        <v>473</v>
      </c>
      <c r="AH253">
        <v>0</v>
      </c>
      <c r="AI253">
        <v>224</v>
      </c>
      <c r="AJ253">
        <v>41</v>
      </c>
      <c r="AK253">
        <v>12</v>
      </c>
      <c r="AL253">
        <v>1</v>
      </c>
    </row>
    <row r="254" spans="1:38" x14ac:dyDescent="0.3">
      <c r="A254" t="s">
        <v>421</v>
      </c>
      <c r="B254">
        <v>105771</v>
      </c>
      <c r="C254">
        <v>3</v>
      </c>
      <c r="D254" t="s">
        <v>470</v>
      </c>
      <c r="E254">
        <v>2003.03</v>
      </c>
      <c r="F254">
        <v>12</v>
      </c>
      <c r="G254">
        <v>22.46</v>
      </c>
      <c r="H254">
        <v>74.27</v>
      </c>
      <c r="I254">
        <v>19.489999999999998</v>
      </c>
      <c r="J254">
        <v>64.430000000000007</v>
      </c>
      <c r="K254">
        <v>1</v>
      </c>
      <c r="T254">
        <v>2</v>
      </c>
      <c r="U254">
        <v>1</v>
      </c>
      <c r="V254" t="s">
        <v>86</v>
      </c>
      <c r="W254">
        <v>74</v>
      </c>
      <c r="X254">
        <v>6</v>
      </c>
      <c r="Y254">
        <v>6</v>
      </c>
      <c r="Z254" t="s">
        <v>471</v>
      </c>
      <c r="AA254" t="s">
        <v>472</v>
      </c>
      <c r="AB254" t="s">
        <v>89</v>
      </c>
      <c r="AC254" t="s">
        <v>90</v>
      </c>
      <c r="AD254" t="s">
        <v>91</v>
      </c>
      <c r="AE254" t="s">
        <v>425</v>
      </c>
      <c r="AG254" t="s">
        <v>473</v>
      </c>
      <c r="AH254">
        <v>0</v>
      </c>
      <c r="AI254">
        <v>224</v>
      </c>
      <c r="AJ254">
        <v>41</v>
      </c>
      <c r="AK254">
        <v>12</v>
      </c>
      <c r="AL254">
        <v>1</v>
      </c>
    </row>
    <row r="255" spans="1:38" x14ac:dyDescent="0.3">
      <c r="A255" t="s">
        <v>421</v>
      </c>
      <c r="B255">
        <v>105771</v>
      </c>
      <c r="C255">
        <v>4</v>
      </c>
      <c r="D255" t="s">
        <v>470</v>
      </c>
      <c r="E255">
        <v>2003.03</v>
      </c>
      <c r="F255">
        <v>12</v>
      </c>
      <c r="G255">
        <v>23.16</v>
      </c>
      <c r="H255">
        <v>76.58</v>
      </c>
      <c r="I255">
        <v>20.100000000000001</v>
      </c>
      <c r="J255">
        <v>66.47</v>
      </c>
      <c r="K255">
        <v>1</v>
      </c>
      <c r="T255">
        <v>3</v>
      </c>
      <c r="U255">
        <v>1</v>
      </c>
      <c r="V255" t="s">
        <v>94</v>
      </c>
      <c r="W255">
        <v>76</v>
      </c>
      <c r="X255">
        <v>6</v>
      </c>
      <c r="Y255">
        <v>6</v>
      </c>
      <c r="Z255" t="s">
        <v>471</v>
      </c>
      <c r="AA255" t="s">
        <v>472</v>
      </c>
      <c r="AB255" t="s">
        <v>89</v>
      </c>
      <c r="AC255" t="s">
        <v>90</v>
      </c>
      <c r="AD255" t="s">
        <v>91</v>
      </c>
      <c r="AE255" t="s">
        <v>425</v>
      </c>
      <c r="AG255" t="s">
        <v>473</v>
      </c>
      <c r="AH255">
        <v>0</v>
      </c>
      <c r="AI255">
        <v>224</v>
      </c>
      <c r="AJ255">
        <v>41</v>
      </c>
      <c r="AK255">
        <v>12</v>
      </c>
      <c r="AL255">
        <v>1</v>
      </c>
    </row>
    <row r="256" spans="1:38" x14ac:dyDescent="0.3">
      <c r="A256" t="s">
        <v>421</v>
      </c>
      <c r="B256">
        <v>105771</v>
      </c>
      <c r="C256">
        <v>5</v>
      </c>
      <c r="D256" t="s">
        <v>470</v>
      </c>
      <c r="E256">
        <v>2003.03</v>
      </c>
      <c r="F256">
        <v>12</v>
      </c>
      <c r="G256">
        <v>29.24</v>
      </c>
      <c r="H256">
        <v>96.68</v>
      </c>
      <c r="I256">
        <v>25.38</v>
      </c>
      <c r="J256">
        <v>83.93</v>
      </c>
      <c r="K256">
        <v>3</v>
      </c>
      <c r="T256">
        <v>3</v>
      </c>
      <c r="U256">
        <v>1</v>
      </c>
      <c r="V256" t="s">
        <v>94</v>
      </c>
      <c r="W256">
        <v>96</v>
      </c>
      <c r="X256">
        <v>6</v>
      </c>
      <c r="Y256">
        <v>6</v>
      </c>
      <c r="Z256" t="s">
        <v>471</v>
      </c>
      <c r="AA256" t="s">
        <v>472</v>
      </c>
      <c r="AB256" t="s">
        <v>89</v>
      </c>
      <c r="AC256" t="s">
        <v>90</v>
      </c>
      <c r="AD256" t="s">
        <v>91</v>
      </c>
      <c r="AE256" t="s">
        <v>425</v>
      </c>
      <c r="AG256" t="s">
        <v>473</v>
      </c>
      <c r="AH256">
        <v>0</v>
      </c>
      <c r="AI256">
        <v>224</v>
      </c>
      <c r="AJ256">
        <v>41</v>
      </c>
      <c r="AK256">
        <v>12</v>
      </c>
      <c r="AL256">
        <v>1</v>
      </c>
    </row>
    <row r="257" spans="1:38" x14ac:dyDescent="0.3">
      <c r="A257" t="s">
        <v>421</v>
      </c>
      <c r="B257">
        <v>105771</v>
      </c>
      <c r="C257">
        <v>6</v>
      </c>
      <c r="D257" t="s">
        <v>470</v>
      </c>
      <c r="E257">
        <v>2003.03</v>
      </c>
      <c r="F257">
        <v>12</v>
      </c>
      <c r="G257">
        <v>29.5</v>
      </c>
      <c r="H257">
        <v>97.54</v>
      </c>
      <c r="I257">
        <v>25.6</v>
      </c>
      <c r="J257">
        <v>84.66</v>
      </c>
      <c r="K257">
        <v>3</v>
      </c>
      <c r="T257">
        <v>3</v>
      </c>
      <c r="U257">
        <v>1</v>
      </c>
      <c r="V257" t="s">
        <v>94</v>
      </c>
      <c r="W257" t="s">
        <v>474</v>
      </c>
      <c r="X257">
        <v>6</v>
      </c>
      <c r="Y257">
        <v>6</v>
      </c>
      <c r="Z257" t="s">
        <v>471</v>
      </c>
      <c r="AA257" t="s">
        <v>472</v>
      </c>
      <c r="AB257" t="s">
        <v>89</v>
      </c>
      <c r="AC257" t="s">
        <v>90</v>
      </c>
      <c r="AD257" t="s">
        <v>91</v>
      </c>
      <c r="AE257" t="s">
        <v>425</v>
      </c>
      <c r="AG257" t="s">
        <v>473</v>
      </c>
      <c r="AH257">
        <v>0</v>
      </c>
      <c r="AI257">
        <v>224</v>
      </c>
      <c r="AJ257">
        <v>41</v>
      </c>
      <c r="AK257">
        <v>12</v>
      </c>
      <c r="AL257">
        <v>1</v>
      </c>
    </row>
    <row r="258" spans="1:38" x14ac:dyDescent="0.3">
      <c r="A258" t="s">
        <v>421</v>
      </c>
      <c r="B258">
        <v>105771</v>
      </c>
      <c r="C258">
        <v>7</v>
      </c>
      <c r="D258" t="s">
        <v>470</v>
      </c>
      <c r="E258">
        <v>2003.03</v>
      </c>
      <c r="F258">
        <v>12</v>
      </c>
      <c r="G258">
        <v>29.59</v>
      </c>
      <c r="H258">
        <v>97.82</v>
      </c>
      <c r="I258">
        <v>25.68</v>
      </c>
      <c r="J258">
        <v>84.9</v>
      </c>
      <c r="K258">
        <v>2</v>
      </c>
      <c r="T258">
        <v>3</v>
      </c>
      <c r="U258">
        <v>1</v>
      </c>
      <c r="V258" t="s">
        <v>94</v>
      </c>
      <c r="W258" t="s">
        <v>110</v>
      </c>
      <c r="X258">
        <v>6</v>
      </c>
      <c r="Y258">
        <v>6</v>
      </c>
      <c r="Z258" t="s">
        <v>471</v>
      </c>
      <c r="AA258" t="s">
        <v>472</v>
      </c>
      <c r="AB258" t="s">
        <v>89</v>
      </c>
      <c r="AC258" t="s">
        <v>90</v>
      </c>
      <c r="AD258" t="s">
        <v>91</v>
      </c>
      <c r="AE258" t="s">
        <v>425</v>
      </c>
      <c r="AG258" t="s">
        <v>473</v>
      </c>
      <c r="AH258">
        <v>0</v>
      </c>
      <c r="AI258">
        <v>224</v>
      </c>
      <c r="AJ258">
        <v>41</v>
      </c>
      <c r="AK258">
        <v>12</v>
      </c>
      <c r="AL258">
        <v>1</v>
      </c>
    </row>
    <row r="259" spans="1:38" x14ac:dyDescent="0.3">
      <c r="A259" t="s">
        <v>421</v>
      </c>
      <c r="B259">
        <v>9908</v>
      </c>
      <c r="C259">
        <v>1</v>
      </c>
      <c r="D259" t="s">
        <v>475</v>
      </c>
      <c r="E259">
        <v>2000.01</v>
      </c>
      <c r="F259">
        <v>112</v>
      </c>
      <c r="G259">
        <v>25.96</v>
      </c>
      <c r="H259">
        <v>85.85</v>
      </c>
      <c r="I259">
        <v>18.07</v>
      </c>
      <c r="J259">
        <v>59.76</v>
      </c>
      <c r="K259">
        <v>49</v>
      </c>
      <c r="T259">
        <v>3</v>
      </c>
      <c r="U259">
        <v>1</v>
      </c>
      <c r="V259" t="s">
        <v>128</v>
      </c>
      <c r="W259">
        <v>85</v>
      </c>
      <c r="X259">
        <v>24</v>
      </c>
      <c r="Y259">
        <v>17</v>
      </c>
      <c r="Z259" t="s">
        <v>476</v>
      </c>
      <c r="AA259" t="s">
        <v>477</v>
      </c>
      <c r="AB259" t="s">
        <v>89</v>
      </c>
      <c r="AC259" t="s">
        <v>90</v>
      </c>
      <c r="AD259" t="s">
        <v>91</v>
      </c>
      <c r="AE259" t="s">
        <v>425</v>
      </c>
      <c r="AG259" t="s">
        <v>478</v>
      </c>
      <c r="AH259">
        <v>0</v>
      </c>
      <c r="AI259">
        <v>402</v>
      </c>
      <c r="AJ259">
        <v>43</v>
      </c>
      <c r="AK259">
        <v>158</v>
      </c>
      <c r="AL259">
        <v>1.41</v>
      </c>
    </row>
    <row r="260" spans="1:38" x14ac:dyDescent="0.3">
      <c r="A260" t="s">
        <v>421</v>
      </c>
      <c r="B260">
        <v>9908</v>
      </c>
      <c r="C260">
        <v>2</v>
      </c>
      <c r="D260" t="s">
        <v>475</v>
      </c>
      <c r="E260">
        <v>2000.01</v>
      </c>
      <c r="F260">
        <v>112</v>
      </c>
      <c r="G260">
        <v>36.659999999999997</v>
      </c>
      <c r="H260">
        <v>121.22</v>
      </c>
      <c r="I260">
        <v>25.52</v>
      </c>
      <c r="J260">
        <v>84.38</v>
      </c>
      <c r="K260">
        <v>63</v>
      </c>
      <c r="T260">
        <v>3</v>
      </c>
      <c r="U260">
        <v>2</v>
      </c>
      <c r="V260" t="s">
        <v>128</v>
      </c>
      <c r="W260">
        <v>121</v>
      </c>
      <c r="X260">
        <v>24</v>
      </c>
      <c r="Y260">
        <v>17</v>
      </c>
      <c r="Z260" t="s">
        <v>476</v>
      </c>
      <c r="AA260" t="s">
        <v>477</v>
      </c>
      <c r="AB260" t="s">
        <v>89</v>
      </c>
      <c r="AC260" t="s">
        <v>90</v>
      </c>
      <c r="AD260" t="s">
        <v>91</v>
      </c>
      <c r="AE260" t="s">
        <v>425</v>
      </c>
      <c r="AG260" t="s">
        <v>478</v>
      </c>
      <c r="AH260">
        <v>0</v>
      </c>
      <c r="AI260">
        <v>402</v>
      </c>
      <c r="AJ260">
        <v>43</v>
      </c>
      <c r="AK260">
        <v>158</v>
      </c>
      <c r="AL260">
        <v>1.41</v>
      </c>
    </row>
    <row r="261" spans="1:38" x14ac:dyDescent="0.3">
      <c r="A261" t="s">
        <v>421</v>
      </c>
      <c r="B261">
        <v>12997</v>
      </c>
      <c r="C261">
        <v>1</v>
      </c>
      <c r="D261" t="s">
        <v>479</v>
      </c>
      <c r="E261">
        <v>1982.09</v>
      </c>
      <c r="F261">
        <v>30</v>
      </c>
      <c r="G261">
        <v>19.14</v>
      </c>
      <c r="H261">
        <v>63.3</v>
      </c>
      <c r="I261">
        <v>15.66</v>
      </c>
      <c r="J261">
        <v>51.8</v>
      </c>
      <c r="K261">
        <v>30</v>
      </c>
      <c r="T261">
        <v>3</v>
      </c>
      <c r="U261">
        <v>1</v>
      </c>
      <c r="V261" t="s">
        <v>94</v>
      </c>
      <c r="W261">
        <v>63</v>
      </c>
      <c r="X261">
        <v>5</v>
      </c>
      <c r="Y261">
        <v>5</v>
      </c>
      <c r="Z261" t="s">
        <v>480</v>
      </c>
      <c r="AA261" t="s">
        <v>481</v>
      </c>
      <c r="AB261" t="s">
        <v>89</v>
      </c>
      <c r="AC261" t="s">
        <v>90</v>
      </c>
      <c r="AD261" t="s">
        <v>91</v>
      </c>
      <c r="AE261" t="s">
        <v>425</v>
      </c>
      <c r="AG261" t="s">
        <v>482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421</v>
      </c>
      <c r="B262">
        <v>26320</v>
      </c>
      <c r="C262">
        <v>1</v>
      </c>
      <c r="D262" t="s">
        <v>483</v>
      </c>
      <c r="E262">
        <v>2008.1</v>
      </c>
      <c r="F262">
        <v>486</v>
      </c>
      <c r="G262">
        <v>24.23</v>
      </c>
      <c r="H262">
        <v>80.12</v>
      </c>
      <c r="I262">
        <v>19.239999999999998</v>
      </c>
      <c r="J262">
        <v>63.62</v>
      </c>
      <c r="K262">
        <v>15</v>
      </c>
      <c r="T262">
        <v>3</v>
      </c>
      <c r="U262">
        <v>2</v>
      </c>
      <c r="V262" t="s">
        <v>94</v>
      </c>
      <c r="W262">
        <v>80</v>
      </c>
      <c r="X262">
        <v>15</v>
      </c>
      <c r="Y262">
        <v>12</v>
      </c>
      <c r="Z262" t="s">
        <v>484</v>
      </c>
      <c r="AA262" t="s">
        <v>485</v>
      </c>
      <c r="AB262" t="s">
        <v>89</v>
      </c>
      <c r="AC262" t="s">
        <v>90</v>
      </c>
      <c r="AD262" t="s">
        <v>91</v>
      </c>
      <c r="AE262" t="s">
        <v>425</v>
      </c>
      <c r="AG262" t="s">
        <v>486</v>
      </c>
      <c r="AH262">
        <v>0</v>
      </c>
      <c r="AI262">
        <v>227</v>
      </c>
      <c r="AJ262">
        <v>20</v>
      </c>
      <c r="AK262">
        <v>623</v>
      </c>
      <c r="AL262">
        <v>1.28</v>
      </c>
    </row>
    <row r="263" spans="1:38" x14ac:dyDescent="0.3">
      <c r="A263" t="s">
        <v>421</v>
      </c>
      <c r="B263">
        <v>26320</v>
      </c>
      <c r="C263">
        <v>2</v>
      </c>
      <c r="D263" t="s">
        <v>483</v>
      </c>
      <c r="E263">
        <v>2008.1</v>
      </c>
      <c r="F263">
        <v>486</v>
      </c>
      <c r="G263">
        <v>32.06</v>
      </c>
      <c r="H263">
        <v>105.99</v>
      </c>
      <c r="I263">
        <v>25.7</v>
      </c>
      <c r="J263">
        <v>84.98</v>
      </c>
      <c r="K263">
        <v>118</v>
      </c>
      <c r="T263">
        <v>3</v>
      </c>
      <c r="U263">
        <v>2</v>
      </c>
      <c r="V263" t="s">
        <v>94</v>
      </c>
      <c r="W263" t="s">
        <v>487</v>
      </c>
      <c r="X263">
        <v>15</v>
      </c>
      <c r="Y263">
        <v>12</v>
      </c>
      <c r="Z263" t="s">
        <v>484</v>
      </c>
      <c r="AA263" t="s">
        <v>485</v>
      </c>
      <c r="AB263" t="s">
        <v>89</v>
      </c>
      <c r="AC263" t="s">
        <v>90</v>
      </c>
      <c r="AD263" t="s">
        <v>91</v>
      </c>
      <c r="AE263" t="s">
        <v>425</v>
      </c>
      <c r="AG263" t="s">
        <v>486</v>
      </c>
      <c r="AH263">
        <v>0</v>
      </c>
      <c r="AI263">
        <v>227</v>
      </c>
      <c r="AJ263">
        <v>20</v>
      </c>
      <c r="AK263">
        <v>623</v>
      </c>
      <c r="AL263">
        <v>1.28</v>
      </c>
    </row>
    <row r="264" spans="1:38" x14ac:dyDescent="0.3">
      <c r="A264" t="s">
        <v>421</v>
      </c>
      <c r="B264">
        <v>26320</v>
      </c>
      <c r="C264">
        <v>3</v>
      </c>
      <c r="D264" t="s">
        <v>483</v>
      </c>
      <c r="E264">
        <v>2008.1</v>
      </c>
      <c r="F264">
        <v>486</v>
      </c>
      <c r="G264">
        <v>32.11</v>
      </c>
      <c r="H264">
        <v>106.17</v>
      </c>
      <c r="I264">
        <v>25.7</v>
      </c>
      <c r="J264">
        <v>84.98</v>
      </c>
      <c r="K264">
        <v>142</v>
      </c>
      <c r="T264">
        <v>3</v>
      </c>
      <c r="U264">
        <v>2</v>
      </c>
      <c r="V264" t="s">
        <v>94</v>
      </c>
      <c r="W264" t="s">
        <v>488</v>
      </c>
      <c r="X264">
        <v>15</v>
      </c>
      <c r="Y264">
        <v>12</v>
      </c>
      <c r="Z264" t="s">
        <v>484</v>
      </c>
      <c r="AA264" t="s">
        <v>485</v>
      </c>
      <c r="AB264" t="s">
        <v>89</v>
      </c>
      <c r="AC264" t="s">
        <v>90</v>
      </c>
      <c r="AD264" t="s">
        <v>91</v>
      </c>
      <c r="AE264" t="s">
        <v>425</v>
      </c>
      <c r="AG264" t="s">
        <v>486</v>
      </c>
      <c r="AH264">
        <v>0</v>
      </c>
      <c r="AI264">
        <v>227</v>
      </c>
      <c r="AJ264">
        <v>20</v>
      </c>
      <c r="AK264">
        <v>623</v>
      </c>
      <c r="AL264">
        <v>1.28</v>
      </c>
    </row>
    <row r="265" spans="1:38" x14ac:dyDescent="0.3">
      <c r="A265" t="s">
        <v>421</v>
      </c>
      <c r="B265">
        <v>26320</v>
      </c>
      <c r="C265">
        <v>4</v>
      </c>
      <c r="D265" t="s">
        <v>483</v>
      </c>
      <c r="E265">
        <v>2008.1</v>
      </c>
      <c r="F265">
        <v>486</v>
      </c>
      <c r="G265">
        <v>32.14</v>
      </c>
      <c r="H265">
        <v>106.26</v>
      </c>
      <c r="I265">
        <v>25.69</v>
      </c>
      <c r="J265">
        <v>84.95</v>
      </c>
      <c r="K265">
        <v>60</v>
      </c>
      <c r="T265">
        <v>3</v>
      </c>
      <c r="U265">
        <v>2</v>
      </c>
      <c r="V265" t="s">
        <v>94</v>
      </c>
      <c r="W265" t="s">
        <v>291</v>
      </c>
      <c r="X265">
        <v>15</v>
      </c>
      <c r="Y265">
        <v>12</v>
      </c>
      <c r="Z265" t="s">
        <v>484</v>
      </c>
      <c r="AA265" t="s">
        <v>485</v>
      </c>
      <c r="AB265" t="s">
        <v>89</v>
      </c>
      <c r="AC265" t="s">
        <v>90</v>
      </c>
      <c r="AD265" t="s">
        <v>91</v>
      </c>
      <c r="AE265" t="s">
        <v>425</v>
      </c>
      <c r="AG265" t="s">
        <v>486</v>
      </c>
      <c r="AH265">
        <v>0</v>
      </c>
      <c r="AI265">
        <v>227</v>
      </c>
      <c r="AJ265">
        <v>20</v>
      </c>
      <c r="AK265">
        <v>623</v>
      </c>
      <c r="AL265">
        <v>1.28</v>
      </c>
    </row>
    <row r="266" spans="1:38" x14ac:dyDescent="0.3">
      <c r="A266" t="s">
        <v>421</v>
      </c>
      <c r="B266">
        <v>26320</v>
      </c>
      <c r="C266">
        <v>5</v>
      </c>
      <c r="D266" t="s">
        <v>483</v>
      </c>
      <c r="E266">
        <v>2008.1</v>
      </c>
      <c r="F266">
        <v>486</v>
      </c>
      <c r="G266">
        <v>45.67</v>
      </c>
      <c r="H266">
        <v>150.99</v>
      </c>
      <c r="I266">
        <v>38.049999999999997</v>
      </c>
      <c r="J266">
        <v>125.79</v>
      </c>
      <c r="K266">
        <v>88</v>
      </c>
      <c r="T266">
        <v>3</v>
      </c>
      <c r="U266">
        <v>2</v>
      </c>
      <c r="V266" t="s">
        <v>94</v>
      </c>
      <c r="W266" t="s">
        <v>489</v>
      </c>
      <c r="X266">
        <v>15</v>
      </c>
      <c r="Y266">
        <v>12</v>
      </c>
      <c r="Z266" t="s">
        <v>484</v>
      </c>
      <c r="AA266" t="s">
        <v>485</v>
      </c>
      <c r="AB266" t="s">
        <v>89</v>
      </c>
      <c r="AC266" t="s">
        <v>90</v>
      </c>
      <c r="AD266" t="s">
        <v>91</v>
      </c>
      <c r="AE266" t="s">
        <v>425</v>
      </c>
      <c r="AG266" t="s">
        <v>486</v>
      </c>
      <c r="AH266">
        <v>0</v>
      </c>
      <c r="AI266">
        <v>227</v>
      </c>
      <c r="AJ266">
        <v>20</v>
      </c>
      <c r="AK266">
        <v>623</v>
      </c>
      <c r="AL266">
        <v>1.28</v>
      </c>
    </row>
    <row r="267" spans="1:38" x14ac:dyDescent="0.3">
      <c r="A267" t="s">
        <v>421</v>
      </c>
      <c r="B267">
        <v>26320</v>
      </c>
      <c r="C267">
        <v>6</v>
      </c>
      <c r="D267" t="s">
        <v>483</v>
      </c>
      <c r="E267">
        <v>2008.1</v>
      </c>
      <c r="F267">
        <v>486</v>
      </c>
      <c r="G267">
        <v>45.78</v>
      </c>
      <c r="H267">
        <v>151.36000000000001</v>
      </c>
      <c r="I267">
        <v>38.25</v>
      </c>
      <c r="J267">
        <v>126.47</v>
      </c>
      <c r="K267">
        <v>63</v>
      </c>
      <c r="T267">
        <v>4</v>
      </c>
      <c r="U267">
        <v>2</v>
      </c>
      <c r="V267" t="s">
        <v>94</v>
      </c>
      <c r="W267" t="s">
        <v>490</v>
      </c>
      <c r="X267">
        <v>15</v>
      </c>
      <c r="Y267">
        <v>12</v>
      </c>
      <c r="Z267" t="s">
        <v>484</v>
      </c>
      <c r="AA267" t="s">
        <v>485</v>
      </c>
      <c r="AB267" t="s">
        <v>89</v>
      </c>
      <c r="AC267" t="s">
        <v>90</v>
      </c>
      <c r="AD267" t="s">
        <v>91</v>
      </c>
      <c r="AE267" t="s">
        <v>425</v>
      </c>
      <c r="AG267" t="s">
        <v>486</v>
      </c>
      <c r="AH267">
        <v>0</v>
      </c>
      <c r="AI267">
        <v>227</v>
      </c>
      <c r="AJ267">
        <v>20</v>
      </c>
      <c r="AK267">
        <v>623</v>
      </c>
      <c r="AL267">
        <v>1.28</v>
      </c>
    </row>
    <row r="268" spans="1:38" x14ac:dyDescent="0.3">
      <c r="A268" t="s">
        <v>421</v>
      </c>
      <c r="B268">
        <v>104561</v>
      </c>
      <c r="C268">
        <v>1</v>
      </c>
      <c r="D268" t="s">
        <v>491</v>
      </c>
      <c r="E268">
        <v>1984.1</v>
      </c>
      <c r="F268">
        <v>54</v>
      </c>
      <c r="G268">
        <v>23.61</v>
      </c>
      <c r="H268">
        <v>78.06</v>
      </c>
      <c r="I268">
        <v>18.78</v>
      </c>
      <c r="J268">
        <v>62.1</v>
      </c>
      <c r="K268">
        <v>24</v>
      </c>
      <c r="T268">
        <v>3</v>
      </c>
      <c r="U268">
        <v>2</v>
      </c>
      <c r="V268" t="s">
        <v>86</v>
      </c>
      <c r="W268">
        <v>78</v>
      </c>
      <c r="X268">
        <v>6</v>
      </c>
      <c r="Y268">
        <v>6</v>
      </c>
      <c r="Z268" t="s">
        <v>492</v>
      </c>
      <c r="AA268" t="s">
        <v>493</v>
      </c>
      <c r="AB268" t="s">
        <v>89</v>
      </c>
      <c r="AC268" t="s">
        <v>90</v>
      </c>
      <c r="AD268" t="s">
        <v>91</v>
      </c>
      <c r="AE268" t="s">
        <v>425</v>
      </c>
      <c r="AG268" t="s">
        <v>494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 x14ac:dyDescent="0.3">
      <c r="A269" t="s">
        <v>421</v>
      </c>
      <c r="B269">
        <v>104561</v>
      </c>
      <c r="C269">
        <v>2</v>
      </c>
      <c r="D269" t="s">
        <v>491</v>
      </c>
      <c r="E269">
        <v>1984.1</v>
      </c>
      <c r="F269">
        <v>54</v>
      </c>
      <c r="G269">
        <v>24.91</v>
      </c>
      <c r="H269">
        <v>82.37</v>
      </c>
      <c r="I269">
        <v>19.899999999999999</v>
      </c>
      <c r="J269">
        <v>65.790000000000006</v>
      </c>
      <c r="K269">
        <v>12</v>
      </c>
      <c r="T269">
        <v>3</v>
      </c>
      <c r="U269">
        <v>2</v>
      </c>
      <c r="V269" t="s">
        <v>94</v>
      </c>
      <c r="W269">
        <v>82</v>
      </c>
      <c r="X269">
        <v>6</v>
      </c>
      <c r="Y269">
        <v>6</v>
      </c>
      <c r="Z269" t="s">
        <v>492</v>
      </c>
      <c r="AA269" t="s">
        <v>493</v>
      </c>
      <c r="AB269" t="s">
        <v>89</v>
      </c>
      <c r="AC269" t="s">
        <v>90</v>
      </c>
      <c r="AD269" t="s">
        <v>91</v>
      </c>
      <c r="AE269" t="s">
        <v>425</v>
      </c>
      <c r="AG269" t="s">
        <v>494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">
      <c r="A270" t="s">
        <v>421</v>
      </c>
      <c r="B270">
        <v>104561</v>
      </c>
      <c r="C270">
        <v>3</v>
      </c>
      <c r="D270" t="s">
        <v>491</v>
      </c>
      <c r="E270">
        <v>1984.1</v>
      </c>
      <c r="F270">
        <v>54</v>
      </c>
      <c r="G270">
        <v>26.71</v>
      </c>
      <c r="H270">
        <v>88.3</v>
      </c>
      <c r="I270">
        <v>20.03</v>
      </c>
      <c r="J270">
        <v>66.239999999999995</v>
      </c>
      <c r="K270">
        <v>6</v>
      </c>
      <c r="T270">
        <v>3</v>
      </c>
      <c r="U270">
        <v>2</v>
      </c>
      <c r="V270" t="s">
        <v>86</v>
      </c>
      <c r="W270">
        <v>88</v>
      </c>
      <c r="X270">
        <v>6</v>
      </c>
      <c r="Y270">
        <v>6</v>
      </c>
      <c r="Z270" t="s">
        <v>492</v>
      </c>
      <c r="AA270" t="s">
        <v>493</v>
      </c>
      <c r="AB270" t="s">
        <v>89</v>
      </c>
      <c r="AC270" t="s">
        <v>90</v>
      </c>
      <c r="AD270" t="s">
        <v>91</v>
      </c>
      <c r="AE270" t="s">
        <v>425</v>
      </c>
      <c r="AG270" t="s">
        <v>494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421</v>
      </c>
      <c r="B271">
        <v>104561</v>
      </c>
      <c r="C271">
        <v>4</v>
      </c>
      <c r="D271" t="s">
        <v>491</v>
      </c>
      <c r="E271">
        <v>1984.1</v>
      </c>
      <c r="F271">
        <v>54</v>
      </c>
      <c r="G271">
        <v>27.62</v>
      </c>
      <c r="H271">
        <v>91.32</v>
      </c>
      <c r="I271">
        <v>22.21</v>
      </c>
      <c r="J271">
        <v>73.44</v>
      </c>
      <c r="K271">
        <v>12</v>
      </c>
      <c r="T271">
        <v>3</v>
      </c>
      <c r="U271">
        <v>2</v>
      </c>
      <c r="V271" t="s">
        <v>86</v>
      </c>
      <c r="W271">
        <v>91</v>
      </c>
      <c r="X271">
        <v>6</v>
      </c>
      <c r="Y271">
        <v>6</v>
      </c>
      <c r="Z271" t="s">
        <v>492</v>
      </c>
      <c r="AA271" t="s">
        <v>493</v>
      </c>
      <c r="AB271" t="s">
        <v>89</v>
      </c>
      <c r="AC271" t="s">
        <v>90</v>
      </c>
      <c r="AD271" t="s">
        <v>91</v>
      </c>
      <c r="AE271" t="s">
        <v>425</v>
      </c>
      <c r="AG271" t="s">
        <v>494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421</v>
      </c>
      <c r="B272">
        <v>108176</v>
      </c>
      <c r="C272">
        <v>1</v>
      </c>
      <c r="D272" t="s">
        <v>495</v>
      </c>
      <c r="E272">
        <v>1983.11</v>
      </c>
      <c r="F272">
        <v>19</v>
      </c>
      <c r="G272">
        <v>21.97</v>
      </c>
      <c r="H272">
        <v>72.63</v>
      </c>
      <c r="I272">
        <v>16.48</v>
      </c>
      <c r="J272">
        <v>54.48</v>
      </c>
      <c r="K272">
        <v>19</v>
      </c>
      <c r="T272">
        <v>3</v>
      </c>
      <c r="U272">
        <v>1</v>
      </c>
      <c r="V272" t="s">
        <v>86</v>
      </c>
      <c r="W272">
        <v>72</v>
      </c>
      <c r="X272">
        <v>5</v>
      </c>
      <c r="Y272">
        <v>5</v>
      </c>
      <c r="Z272" t="s">
        <v>496</v>
      </c>
      <c r="AA272" t="s">
        <v>497</v>
      </c>
      <c r="AB272" t="s">
        <v>89</v>
      </c>
      <c r="AC272" t="s">
        <v>90</v>
      </c>
      <c r="AD272" t="s">
        <v>91</v>
      </c>
      <c r="AE272" t="s">
        <v>425</v>
      </c>
      <c r="AG272" t="s">
        <v>498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421</v>
      </c>
      <c r="B273">
        <v>12122</v>
      </c>
      <c r="C273">
        <v>1</v>
      </c>
      <c r="D273" t="s">
        <v>499</v>
      </c>
      <c r="E273">
        <v>1988.1</v>
      </c>
      <c r="F273">
        <v>48</v>
      </c>
      <c r="G273">
        <v>15.69</v>
      </c>
      <c r="H273">
        <v>51.9</v>
      </c>
      <c r="I273">
        <v>11.65</v>
      </c>
      <c r="J273">
        <v>38.520000000000003</v>
      </c>
      <c r="K273">
        <v>12</v>
      </c>
      <c r="T273">
        <v>2</v>
      </c>
      <c r="U273">
        <v>1</v>
      </c>
      <c r="V273" t="s">
        <v>94</v>
      </c>
      <c r="W273">
        <v>51</v>
      </c>
      <c r="X273">
        <v>6</v>
      </c>
      <c r="Y273">
        <v>6</v>
      </c>
      <c r="Z273" t="s">
        <v>500</v>
      </c>
      <c r="AA273" t="s">
        <v>501</v>
      </c>
      <c r="AB273" t="s">
        <v>89</v>
      </c>
      <c r="AC273" t="s">
        <v>90</v>
      </c>
      <c r="AD273" t="s">
        <v>91</v>
      </c>
      <c r="AE273" t="s">
        <v>425</v>
      </c>
      <c r="AG273" t="s">
        <v>502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421</v>
      </c>
      <c r="B274">
        <v>12122</v>
      </c>
      <c r="C274">
        <v>2</v>
      </c>
      <c r="D274" t="s">
        <v>499</v>
      </c>
      <c r="E274">
        <v>1988.1</v>
      </c>
      <c r="F274">
        <v>48</v>
      </c>
      <c r="G274">
        <v>16.73</v>
      </c>
      <c r="H274">
        <v>55.33</v>
      </c>
      <c r="I274">
        <v>12.52</v>
      </c>
      <c r="J274">
        <v>41.4</v>
      </c>
      <c r="K274">
        <v>12</v>
      </c>
      <c r="T274">
        <v>2</v>
      </c>
      <c r="U274">
        <v>1</v>
      </c>
      <c r="V274" t="s">
        <v>94</v>
      </c>
      <c r="W274">
        <v>55</v>
      </c>
      <c r="X274">
        <v>6</v>
      </c>
      <c r="Y274">
        <v>6</v>
      </c>
      <c r="Z274" t="s">
        <v>500</v>
      </c>
      <c r="AA274" t="s">
        <v>501</v>
      </c>
      <c r="AB274" t="s">
        <v>89</v>
      </c>
      <c r="AC274" t="s">
        <v>90</v>
      </c>
      <c r="AD274" t="s">
        <v>91</v>
      </c>
      <c r="AE274" t="s">
        <v>425</v>
      </c>
      <c r="AG274" t="s">
        <v>502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421</v>
      </c>
      <c r="B275">
        <v>12122</v>
      </c>
      <c r="C275">
        <v>3</v>
      </c>
      <c r="D275" t="s">
        <v>499</v>
      </c>
      <c r="E275">
        <v>1988.1</v>
      </c>
      <c r="F275">
        <v>48</v>
      </c>
      <c r="G275">
        <v>20.87</v>
      </c>
      <c r="H275">
        <v>69.02</v>
      </c>
      <c r="I275">
        <v>16</v>
      </c>
      <c r="J275">
        <v>52.92</v>
      </c>
      <c r="K275">
        <v>24</v>
      </c>
      <c r="T275">
        <v>3</v>
      </c>
      <c r="U275">
        <v>1</v>
      </c>
      <c r="V275" t="s">
        <v>94</v>
      </c>
      <c r="W275">
        <v>69</v>
      </c>
      <c r="X275">
        <v>6</v>
      </c>
      <c r="Y275">
        <v>6</v>
      </c>
      <c r="Z275" t="s">
        <v>500</v>
      </c>
      <c r="AA275" t="s">
        <v>501</v>
      </c>
      <c r="AB275" t="s">
        <v>89</v>
      </c>
      <c r="AC275" t="s">
        <v>90</v>
      </c>
      <c r="AD275" t="s">
        <v>91</v>
      </c>
      <c r="AE275" t="s">
        <v>425</v>
      </c>
      <c r="AG275" t="s">
        <v>502</v>
      </c>
      <c r="AH275">
        <v>0</v>
      </c>
      <c r="AI275">
        <v>0</v>
      </c>
      <c r="AJ275">
        <v>0</v>
      </c>
      <c r="AK275">
        <v>0</v>
      </c>
      <c r="AL275">
        <v>0</v>
      </c>
    </row>
    <row r="276" spans="1:38" x14ac:dyDescent="0.3">
      <c r="A276" t="s">
        <v>421</v>
      </c>
      <c r="B276">
        <v>1992</v>
      </c>
      <c r="C276">
        <v>1</v>
      </c>
      <c r="D276" t="s">
        <v>503</v>
      </c>
      <c r="E276">
        <v>1993.11</v>
      </c>
      <c r="F276">
        <v>3227</v>
      </c>
      <c r="G276">
        <v>11.73</v>
      </c>
      <c r="H276">
        <v>38.79</v>
      </c>
      <c r="I276">
        <v>8.5299999999999994</v>
      </c>
      <c r="J276">
        <v>28.21</v>
      </c>
      <c r="K276">
        <v>300</v>
      </c>
      <c r="T276">
        <v>1</v>
      </c>
      <c r="U276">
        <v>1</v>
      </c>
      <c r="V276" t="s">
        <v>128</v>
      </c>
      <c r="W276">
        <v>38</v>
      </c>
      <c r="X276">
        <v>20</v>
      </c>
      <c r="Y276">
        <v>5</v>
      </c>
      <c r="Z276" t="s">
        <v>504</v>
      </c>
      <c r="AA276" t="s">
        <v>505</v>
      </c>
      <c r="AB276" t="s">
        <v>89</v>
      </c>
      <c r="AC276" t="s">
        <v>90</v>
      </c>
      <c r="AD276" t="s">
        <v>91</v>
      </c>
      <c r="AE276" t="s">
        <v>425</v>
      </c>
      <c r="AG276" t="s">
        <v>506</v>
      </c>
      <c r="AH276">
        <v>0</v>
      </c>
      <c r="AI276">
        <v>167</v>
      </c>
      <c r="AJ276">
        <v>15</v>
      </c>
      <c r="AK276">
        <v>1815</v>
      </c>
      <c r="AL276">
        <v>0.56000000000000005</v>
      </c>
    </row>
    <row r="277" spans="1:38" x14ac:dyDescent="0.3">
      <c r="A277" t="s">
        <v>421</v>
      </c>
      <c r="B277">
        <v>1992</v>
      </c>
      <c r="C277">
        <v>2</v>
      </c>
      <c r="D277" t="s">
        <v>503</v>
      </c>
      <c r="E277">
        <v>1993.11</v>
      </c>
      <c r="F277">
        <v>3227</v>
      </c>
      <c r="G277">
        <v>14.55</v>
      </c>
      <c r="H277">
        <v>48.13</v>
      </c>
      <c r="I277">
        <v>10.61</v>
      </c>
      <c r="J277">
        <v>35.1</v>
      </c>
      <c r="K277">
        <v>1787</v>
      </c>
      <c r="T277">
        <v>2</v>
      </c>
      <c r="U277">
        <v>1</v>
      </c>
      <c r="V277" t="s">
        <v>128</v>
      </c>
      <c r="W277">
        <v>48</v>
      </c>
      <c r="X277">
        <v>20</v>
      </c>
      <c r="Y277">
        <v>5</v>
      </c>
      <c r="Z277" t="s">
        <v>504</v>
      </c>
      <c r="AA277" t="s">
        <v>505</v>
      </c>
      <c r="AB277" t="s">
        <v>89</v>
      </c>
      <c r="AC277" t="s">
        <v>90</v>
      </c>
      <c r="AD277" t="s">
        <v>91</v>
      </c>
      <c r="AE277" t="s">
        <v>425</v>
      </c>
      <c r="AG277" t="s">
        <v>506</v>
      </c>
      <c r="AH277">
        <v>0</v>
      </c>
      <c r="AI277">
        <v>167</v>
      </c>
      <c r="AJ277">
        <v>15</v>
      </c>
      <c r="AK277">
        <v>1815</v>
      </c>
      <c r="AL277">
        <v>0.56000000000000005</v>
      </c>
    </row>
    <row r="278" spans="1:38" x14ac:dyDescent="0.3">
      <c r="A278" t="s">
        <v>421</v>
      </c>
      <c r="B278">
        <v>1992</v>
      </c>
      <c r="C278">
        <v>3</v>
      </c>
      <c r="D278" t="s">
        <v>503</v>
      </c>
      <c r="E278">
        <v>1993.11</v>
      </c>
      <c r="F278">
        <v>3227</v>
      </c>
      <c r="G278">
        <v>17.72</v>
      </c>
      <c r="H278">
        <v>58.6</v>
      </c>
      <c r="I278">
        <v>12.88</v>
      </c>
      <c r="J278">
        <v>42.61</v>
      </c>
      <c r="K278">
        <v>600</v>
      </c>
      <c r="T278">
        <v>2</v>
      </c>
      <c r="U278">
        <v>1</v>
      </c>
      <c r="V278" t="s">
        <v>128</v>
      </c>
      <c r="W278">
        <v>58</v>
      </c>
      <c r="X278">
        <v>20</v>
      </c>
      <c r="Y278">
        <v>5</v>
      </c>
      <c r="Z278" t="s">
        <v>504</v>
      </c>
      <c r="AA278" t="s">
        <v>505</v>
      </c>
      <c r="AB278" t="s">
        <v>89</v>
      </c>
      <c r="AC278" t="s">
        <v>90</v>
      </c>
      <c r="AD278" t="s">
        <v>91</v>
      </c>
      <c r="AE278" t="s">
        <v>425</v>
      </c>
      <c r="AG278" t="s">
        <v>506</v>
      </c>
      <c r="AH278">
        <v>0</v>
      </c>
      <c r="AI278">
        <v>167</v>
      </c>
      <c r="AJ278">
        <v>15</v>
      </c>
      <c r="AK278">
        <v>1815</v>
      </c>
      <c r="AL278">
        <v>0.56000000000000005</v>
      </c>
    </row>
    <row r="279" spans="1:38" x14ac:dyDescent="0.3">
      <c r="A279" t="s">
        <v>421</v>
      </c>
      <c r="B279">
        <v>1992</v>
      </c>
      <c r="C279">
        <v>4</v>
      </c>
      <c r="D279" t="s">
        <v>503</v>
      </c>
      <c r="E279">
        <v>1993.11</v>
      </c>
      <c r="F279">
        <v>3227</v>
      </c>
      <c r="G279">
        <v>21.41</v>
      </c>
      <c r="H279">
        <v>70.8</v>
      </c>
      <c r="I279">
        <v>17.37</v>
      </c>
      <c r="J279">
        <v>57.44</v>
      </c>
      <c r="K279">
        <v>60</v>
      </c>
      <c r="T279">
        <v>3</v>
      </c>
      <c r="U279">
        <v>1</v>
      </c>
      <c r="V279" t="s">
        <v>94</v>
      </c>
      <c r="W279">
        <v>70</v>
      </c>
      <c r="X279">
        <v>20</v>
      </c>
      <c r="Y279">
        <v>5</v>
      </c>
      <c r="Z279" t="s">
        <v>504</v>
      </c>
      <c r="AA279" t="s">
        <v>505</v>
      </c>
      <c r="AB279" t="s">
        <v>89</v>
      </c>
      <c r="AC279" t="s">
        <v>90</v>
      </c>
      <c r="AD279" t="s">
        <v>91</v>
      </c>
      <c r="AE279" t="s">
        <v>425</v>
      </c>
      <c r="AG279" t="s">
        <v>506</v>
      </c>
      <c r="AH279">
        <v>0</v>
      </c>
      <c r="AI279">
        <v>167</v>
      </c>
      <c r="AJ279">
        <v>15</v>
      </c>
      <c r="AK279">
        <v>1815</v>
      </c>
      <c r="AL279">
        <v>0.56000000000000005</v>
      </c>
    </row>
    <row r="280" spans="1:38" x14ac:dyDescent="0.3">
      <c r="A280" t="s">
        <v>421</v>
      </c>
      <c r="B280">
        <v>1992</v>
      </c>
      <c r="C280">
        <v>5</v>
      </c>
      <c r="D280" t="s">
        <v>503</v>
      </c>
      <c r="E280">
        <v>1993.11</v>
      </c>
      <c r="F280">
        <v>3227</v>
      </c>
      <c r="G280">
        <v>21.58</v>
      </c>
      <c r="H280">
        <v>71.36</v>
      </c>
      <c r="I280">
        <v>15.02</v>
      </c>
      <c r="J280">
        <v>49.68</v>
      </c>
      <c r="K280">
        <v>480</v>
      </c>
      <c r="T280">
        <v>3</v>
      </c>
      <c r="U280">
        <v>1</v>
      </c>
      <c r="V280" t="s">
        <v>128</v>
      </c>
      <c r="W280">
        <v>71</v>
      </c>
      <c r="X280">
        <v>20</v>
      </c>
      <c r="Y280">
        <v>5</v>
      </c>
      <c r="Z280" t="s">
        <v>504</v>
      </c>
      <c r="AA280" t="s">
        <v>505</v>
      </c>
      <c r="AB280" t="s">
        <v>89</v>
      </c>
      <c r="AC280" t="s">
        <v>90</v>
      </c>
      <c r="AD280" t="s">
        <v>91</v>
      </c>
      <c r="AE280" t="s">
        <v>425</v>
      </c>
      <c r="AG280" t="s">
        <v>506</v>
      </c>
      <c r="AH280">
        <v>0</v>
      </c>
      <c r="AI280">
        <v>167</v>
      </c>
      <c r="AJ280">
        <v>15</v>
      </c>
      <c r="AK280">
        <v>1815</v>
      </c>
      <c r="AL280">
        <v>0.56000000000000005</v>
      </c>
    </row>
    <row r="281" spans="1:38" x14ac:dyDescent="0.3">
      <c r="A281" t="s">
        <v>421</v>
      </c>
      <c r="B281">
        <v>9382</v>
      </c>
      <c r="C281">
        <v>1</v>
      </c>
      <c r="D281" t="s">
        <v>507</v>
      </c>
      <c r="E281">
        <v>1995.12</v>
      </c>
      <c r="F281">
        <v>282</v>
      </c>
      <c r="G281">
        <v>24.45</v>
      </c>
      <c r="H281">
        <v>80.849999999999994</v>
      </c>
      <c r="I281">
        <v>18.09</v>
      </c>
      <c r="J281">
        <v>59.82</v>
      </c>
      <c r="K281">
        <v>144</v>
      </c>
      <c r="T281">
        <v>3</v>
      </c>
      <c r="U281">
        <v>1</v>
      </c>
      <c r="V281" t="s">
        <v>128</v>
      </c>
      <c r="W281">
        <v>80</v>
      </c>
      <c r="X281">
        <v>18</v>
      </c>
      <c r="Y281">
        <v>6</v>
      </c>
      <c r="Z281" t="s">
        <v>508</v>
      </c>
      <c r="AA281" t="s">
        <v>509</v>
      </c>
      <c r="AB281" t="s">
        <v>89</v>
      </c>
      <c r="AC281" t="s">
        <v>90</v>
      </c>
      <c r="AD281" t="s">
        <v>91</v>
      </c>
      <c r="AE281" t="s">
        <v>425</v>
      </c>
      <c r="AG281" t="s">
        <v>510</v>
      </c>
      <c r="AH281">
        <v>0</v>
      </c>
      <c r="AI281">
        <v>287</v>
      </c>
      <c r="AJ281">
        <v>21</v>
      </c>
      <c r="AK281">
        <v>175</v>
      </c>
      <c r="AL281">
        <v>0.62</v>
      </c>
    </row>
    <row r="282" spans="1:38" x14ac:dyDescent="0.3">
      <c r="A282" t="s">
        <v>421</v>
      </c>
      <c r="B282">
        <v>9382</v>
      </c>
      <c r="C282">
        <v>2</v>
      </c>
      <c r="D282" t="s">
        <v>507</v>
      </c>
      <c r="E282">
        <v>1995.12</v>
      </c>
      <c r="F282">
        <v>282</v>
      </c>
      <c r="G282">
        <v>34.68</v>
      </c>
      <c r="H282">
        <v>114.66</v>
      </c>
      <c r="I282">
        <v>25.66</v>
      </c>
      <c r="J282">
        <v>84.84</v>
      </c>
      <c r="K282">
        <v>138</v>
      </c>
      <c r="T282">
        <v>3</v>
      </c>
      <c r="U282">
        <v>2</v>
      </c>
      <c r="V282" t="s">
        <v>128</v>
      </c>
      <c r="W282">
        <v>114</v>
      </c>
      <c r="X282">
        <v>18</v>
      </c>
      <c r="Y282">
        <v>6</v>
      </c>
      <c r="Z282" t="s">
        <v>508</v>
      </c>
      <c r="AA282" t="s">
        <v>509</v>
      </c>
      <c r="AB282" t="s">
        <v>89</v>
      </c>
      <c r="AC282" t="s">
        <v>90</v>
      </c>
      <c r="AD282" t="s">
        <v>91</v>
      </c>
      <c r="AE282" t="s">
        <v>425</v>
      </c>
      <c r="AG282" t="s">
        <v>510</v>
      </c>
      <c r="AH282">
        <v>0</v>
      </c>
      <c r="AI282">
        <v>287</v>
      </c>
      <c r="AJ282">
        <v>21</v>
      </c>
      <c r="AK282">
        <v>175</v>
      </c>
      <c r="AL282">
        <v>0.62</v>
      </c>
    </row>
    <row r="283" spans="1:38" x14ac:dyDescent="0.3">
      <c r="A283" t="s">
        <v>421</v>
      </c>
      <c r="B283">
        <v>116798</v>
      </c>
      <c r="C283">
        <v>1</v>
      </c>
      <c r="D283" t="s">
        <v>511</v>
      </c>
      <c r="E283">
        <v>2016.12</v>
      </c>
      <c r="F283">
        <v>34</v>
      </c>
      <c r="G283">
        <v>24.44</v>
      </c>
      <c r="H283">
        <v>80.8</v>
      </c>
      <c r="I283">
        <v>21.09</v>
      </c>
      <c r="J283">
        <v>69.72</v>
      </c>
      <c r="K283">
        <v>34</v>
      </c>
      <c r="T283">
        <v>3</v>
      </c>
      <c r="U283">
        <v>2</v>
      </c>
      <c r="V283" t="s">
        <v>94</v>
      </c>
      <c r="W283">
        <v>80</v>
      </c>
      <c r="X283">
        <v>18</v>
      </c>
      <c r="Y283">
        <v>18</v>
      </c>
      <c r="Z283" t="s">
        <v>512</v>
      </c>
      <c r="AA283" t="s">
        <v>513</v>
      </c>
      <c r="AB283" t="s">
        <v>89</v>
      </c>
      <c r="AC283" t="s">
        <v>90</v>
      </c>
      <c r="AD283" t="s">
        <v>91</v>
      </c>
      <c r="AE283" t="s">
        <v>425</v>
      </c>
      <c r="AG283" t="s">
        <v>514</v>
      </c>
      <c r="AH283">
        <v>0</v>
      </c>
      <c r="AI283">
        <v>599</v>
      </c>
      <c r="AJ283">
        <v>40</v>
      </c>
      <c r="AK283">
        <v>34</v>
      </c>
      <c r="AL283">
        <v>1</v>
      </c>
    </row>
    <row r="284" spans="1:38" x14ac:dyDescent="0.3">
      <c r="A284" t="s">
        <v>421</v>
      </c>
      <c r="B284">
        <v>144023</v>
      </c>
      <c r="C284">
        <v>1</v>
      </c>
      <c r="D284" t="s">
        <v>515</v>
      </c>
      <c r="E284">
        <v>2024.06</v>
      </c>
      <c r="F284">
        <v>2739</v>
      </c>
      <c r="G284">
        <v>21.08</v>
      </c>
      <c r="H284">
        <v>69.7</v>
      </c>
      <c r="I284">
        <v>15</v>
      </c>
      <c r="J284">
        <v>49.59</v>
      </c>
      <c r="K284">
        <v>48</v>
      </c>
      <c r="T284">
        <v>3</v>
      </c>
      <c r="U284">
        <v>1</v>
      </c>
      <c r="V284" t="s">
        <v>94</v>
      </c>
      <c r="W284" t="s">
        <v>276</v>
      </c>
      <c r="X284">
        <v>29</v>
      </c>
      <c r="Y284">
        <v>19</v>
      </c>
      <c r="Z284" t="s">
        <v>516</v>
      </c>
      <c r="AA284" t="s">
        <v>517</v>
      </c>
      <c r="AB284" t="s">
        <v>89</v>
      </c>
      <c r="AC284" t="s">
        <v>90</v>
      </c>
      <c r="AD284" t="s">
        <v>91</v>
      </c>
      <c r="AE284" t="s">
        <v>425</v>
      </c>
      <c r="AG284" t="s">
        <v>438</v>
      </c>
      <c r="AH284">
        <v>339</v>
      </c>
      <c r="AI284">
        <v>0</v>
      </c>
      <c r="AJ284">
        <v>0</v>
      </c>
      <c r="AK284">
        <v>4089</v>
      </c>
      <c r="AL284">
        <v>1.49</v>
      </c>
    </row>
    <row r="285" spans="1:38" x14ac:dyDescent="0.3">
      <c r="A285" t="s">
        <v>421</v>
      </c>
      <c r="B285">
        <v>144023</v>
      </c>
      <c r="C285">
        <v>2</v>
      </c>
      <c r="D285" t="s">
        <v>515</v>
      </c>
      <c r="E285">
        <v>2024.06</v>
      </c>
      <c r="F285">
        <v>2739</v>
      </c>
      <c r="G285">
        <v>21.31</v>
      </c>
      <c r="H285">
        <v>70.45</v>
      </c>
      <c r="I285">
        <v>15</v>
      </c>
      <c r="J285">
        <v>49.59</v>
      </c>
      <c r="K285">
        <v>50</v>
      </c>
      <c r="T285">
        <v>3</v>
      </c>
      <c r="U285">
        <v>1</v>
      </c>
      <c r="V285" t="s">
        <v>94</v>
      </c>
      <c r="W285" t="s">
        <v>173</v>
      </c>
      <c r="X285">
        <v>29</v>
      </c>
      <c r="Y285">
        <v>19</v>
      </c>
      <c r="Z285" t="s">
        <v>516</v>
      </c>
      <c r="AA285" t="s">
        <v>517</v>
      </c>
      <c r="AB285" t="s">
        <v>89</v>
      </c>
      <c r="AC285" t="s">
        <v>90</v>
      </c>
      <c r="AD285" t="s">
        <v>91</v>
      </c>
      <c r="AE285" t="s">
        <v>425</v>
      </c>
      <c r="AG285" t="s">
        <v>438</v>
      </c>
      <c r="AH285">
        <v>339</v>
      </c>
      <c r="AI285">
        <v>0</v>
      </c>
      <c r="AJ285">
        <v>0</v>
      </c>
      <c r="AK285">
        <v>4089</v>
      </c>
      <c r="AL285">
        <v>1.49</v>
      </c>
    </row>
    <row r="286" spans="1:38" x14ac:dyDescent="0.3">
      <c r="A286" t="s">
        <v>421</v>
      </c>
      <c r="B286">
        <v>144023</v>
      </c>
      <c r="C286">
        <v>3</v>
      </c>
      <c r="D286" t="s">
        <v>515</v>
      </c>
      <c r="E286">
        <v>2024.06</v>
      </c>
      <c r="F286">
        <v>2739</v>
      </c>
      <c r="G286">
        <v>24.64</v>
      </c>
      <c r="H286">
        <v>81.47</v>
      </c>
      <c r="I286">
        <v>18.07</v>
      </c>
      <c r="J286">
        <v>59.76</v>
      </c>
      <c r="K286">
        <v>498</v>
      </c>
      <c r="T286">
        <v>3</v>
      </c>
      <c r="U286">
        <v>2</v>
      </c>
      <c r="V286" t="s">
        <v>94</v>
      </c>
      <c r="W286" t="s">
        <v>260</v>
      </c>
      <c r="X286">
        <v>29</v>
      </c>
      <c r="Y286">
        <v>19</v>
      </c>
      <c r="Z286" t="s">
        <v>516</v>
      </c>
      <c r="AA286" t="s">
        <v>517</v>
      </c>
      <c r="AB286" t="s">
        <v>89</v>
      </c>
      <c r="AC286" t="s">
        <v>90</v>
      </c>
      <c r="AD286" t="s">
        <v>91</v>
      </c>
      <c r="AE286" t="s">
        <v>425</v>
      </c>
      <c r="AG286" t="s">
        <v>438</v>
      </c>
      <c r="AH286">
        <v>339</v>
      </c>
      <c r="AI286">
        <v>0</v>
      </c>
      <c r="AJ286">
        <v>0</v>
      </c>
      <c r="AK286">
        <v>4089</v>
      </c>
      <c r="AL286">
        <v>1.49</v>
      </c>
    </row>
    <row r="287" spans="1:38" x14ac:dyDescent="0.3">
      <c r="A287" t="s">
        <v>421</v>
      </c>
      <c r="B287">
        <v>144023</v>
      </c>
      <c r="C287">
        <v>4</v>
      </c>
      <c r="D287" t="s">
        <v>515</v>
      </c>
      <c r="E287">
        <v>2024.06</v>
      </c>
      <c r="F287">
        <v>2739</v>
      </c>
      <c r="G287">
        <v>24.66</v>
      </c>
      <c r="H287">
        <v>81.540000000000006</v>
      </c>
      <c r="I287">
        <v>18.07</v>
      </c>
      <c r="J287">
        <v>59.76</v>
      </c>
      <c r="K287">
        <v>322</v>
      </c>
      <c r="T287">
        <v>3</v>
      </c>
      <c r="U287">
        <v>2</v>
      </c>
      <c r="V287" t="s">
        <v>94</v>
      </c>
      <c r="W287" t="s">
        <v>518</v>
      </c>
      <c r="X287">
        <v>29</v>
      </c>
      <c r="Y287">
        <v>19</v>
      </c>
      <c r="Z287" t="s">
        <v>516</v>
      </c>
      <c r="AA287" t="s">
        <v>517</v>
      </c>
      <c r="AB287" t="s">
        <v>89</v>
      </c>
      <c r="AC287" t="s">
        <v>90</v>
      </c>
      <c r="AD287" t="s">
        <v>91</v>
      </c>
      <c r="AE287" t="s">
        <v>425</v>
      </c>
      <c r="AG287" t="s">
        <v>438</v>
      </c>
      <c r="AH287">
        <v>339</v>
      </c>
      <c r="AI287">
        <v>0</v>
      </c>
      <c r="AJ287">
        <v>0</v>
      </c>
      <c r="AK287">
        <v>4089</v>
      </c>
      <c r="AL287">
        <v>1.49</v>
      </c>
    </row>
    <row r="288" spans="1:38" x14ac:dyDescent="0.3">
      <c r="A288" t="s">
        <v>421</v>
      </c>
      <c r="B288">
        <v>144023</v>
      </c>
      <c r="C288">
        <v>5</v>
      </c>
      <c r="D288" t="s">
        <v>515</v>
      </c>
      <c r="E288">
        <v>2024.06</v>
      </c>
      <c r="F288">
        <v>2739</v>
      </c>
      <c r="G288">
        <v>25.01</v>
      </c>
      <c r="H288">
        <v>82.68</v>
      </c>
      <c r="I288">
        <v>18.14</v>
      </c>
      <c r="J288">
        <v>59.97</v>
      </c>
      <c r="K288">
        <v>306</v>
      </c>
      <c r="T288">
        <v>3</v>
      </c>
      <c r="U288">
        <v>2</v>
      </c>
      <c r="V288" t="s">
        <v>94</v>
      </c>
      <c r="W288" t="s">
        <v>519</v>
      </c>
      <c r="X288">
        <v>29</v>
      </c>
      <c r="Y288">
        <v>19</v>
      </c>
      <c r="Z288" t="s">
        <v>516</v>
      </c>
      <c r="AA288" t="s">
        <v>517</v>
      </c>
      <c r="AB288" t="s">
        <v>89</v>
      </c>
      <c r="AC288" t="s">
        <v>90</v>
      </c>
      <c r="AD288" t="s">
        <v>91</v>
      </c>
      <c r="AE288" t="s">
        <v>425</v>
      </c>
      <c r="AG288" t="s">
        <v>438</v>
      </c>
      <c r="AH288">
        <v>339</v>
      </c>
      <c r="AI288">
        <v>0</v>
      </c>
      <c r="AJ288">
        <v>0</v>
      </c>
      <c r="AK288">
        <v>4089</v>
      </c>
      <c r="AL288">
        <v>1.49</v>
      </c>
    </row>
    <row r="289" spans="1:38" x14ac:dyDescent="0.3">
      <c r="A289" t="s">
        <v>421</v>
      </c>
      <c r="B289">
        <v>144023</v>
      </c>
      <c r="C289">
        <v>6</v>
      </c>
      <c r="D289" t="s">
        <v>515</v>
      </c>
      <c r="E289">
        <v>2024.06</v>
      </c>
      <c r="F289">
        <v>2739</v>
      </c>
      <c r="G289">
        <v>25.03</v>
      </c>
      <c r="H289">
        <v>82.75</v>
      </c>
      <c r="I289">
        <v>18.14</v>
      </c>
      <c r="J289">
        <v>59.97</v>
      </c>
      <c r="K289">
        <v>233</v>
      </c>
      <c r="T289">
        <v>3</v>
      </c>
      <c r="U289">
        <v>2</v>
      </c>
      <c r="V289" t="s">
        <v>94</v>
      </c>
      <c r="W289" s="78" t="s">
        <v>520</v>
      </c>
      <c r="X289">
        <v>29</v>
      </c>
      <c r="Y289">
        <v>19</v>
      </c>
      <c r="Z289" t="s">
        <v>516</v>
      </c>
      <c r="AA289" t="s">
        <v>517</v>
      </c>
      <c r="AB289" t="s">
        <v>89</v>
      </c>
      <c r="AC289" t="s">
        <v>90</v>
      </c>
      <c r="AD289" t="s">
        <v>91</v>
      </c>
      <c r="AE289" t="s">
        <v>425</v>
      </c>
      <c r="AG289" t="s">
        <v>438</v>
      </c>
      <c r="AH289">
        <v>339</v>
      </c>
      <c r="AI289">
        <v>0</v>
      </c>
      <c r="AJ289">
        <v>0</v>
      </c>
      <c r="AK289">
        <v>4089</v>
      </c>
      <c r="AL289">
        <v>1.49</v>
      </c>
    </row>
    <row r="290" spans="1:38" x14ac:dyDescent="0.3">
      <c r="A290" t="s">
        <v>421</v>
      </c>
      <c r="B290">
        <v>144023</v>
      </c>
      <c r="C290">
        <v>7</v>
      </c>
      <c r="D290" t="s">
        <v>515</v>
      </c>
      <c r="E290">
        <v>2024.06</v>
      </c>
      <c r="F290">
        <v>2739</v>
      </c>
      <c r="G290">
        <v>29.32</v>
      </c>
      <c r="H290">
        <v>96.95</v>
      </c>
      <c r="I290">
        <v>22.4</v>
      </c>
      <c r="J290">
        <v>74.069999999999993</v>
      </c>
      <c r="K290">
        <v>110</v>
      </c>
      <c r="T290">
        <v>3</v>
      </c>
      <c r="U290">
        <v>2</v>
      </c>
      <c r="V290" t="s">
        <v>94</v>
      </c>
      <c r="W290">
        <v>96</v>
      </c>
      <c r="X290">
        <v>29</v>
      </c>
      <c r="Y290">
        <v>19</v>
      </c>
      <c r="Z290" t="s">
        <v>516</v>
      </c>
      <c r="AA290" t="s">
        <v>517</v>
      </c>
      <c r="AB290" t="s">
        <v>89</v>
      </c>
      <c r="AC290" t="s">
        <v>90</v>
      </c>
      <c r="AD290" t="s">
        <v>91</v>
      </c>
      <c r="AE290" t="s">
        <v>425</v>
      </c>
      <c r="AG290" t="s">
        <v>438</v>
      </c>
      <c r="AH290">
        <v>339</v>
      </c>
      <c r="AI290">
        <v>0</v>
      </c>
      <c r="AJ290">
        <v>0</v>
      </c>
      <c r="AK290">
        <v>4089</v>
      </c>
      <c r="AL290">
        <v>1.49</v>
      </c>
    </row>
    <row r="291" spans="1:38" x14ac:dyDescent="0.3">
      <c r="A291" t="s">
        <v>421</v>
      </c>
      <c r="B291">
        <v>144023</v>
      </c>
      <c r="C291">
        <v>8</v>
      </c>
      <c r="D291" t="s">
        <v>515</v>
      </c>
      <c r="E291">
        <v>2024.06</v>
      </c>
      <c r="F291">
        <v>2739</v>
      </c>
      <c r="G291">
        <v>33.15</v>
      </c>
      <c r="H291">
        <v>109.59</v>
      </c>
      <c r="I291">
        <v>25.68</v>
      </c>
      <c r="J291">
        <v>84.92</v>
      </c>
      <c r="K291">
        <v>324</v>
      </c>
      <c r="T291">
        <v>4</v>
      </c>
      <c r="U291">
        <v>2</v>
      </c>
      <c r="V291" t="s">
        <v>94</v>
      </c>
      <c r="W291" t="s">
        <v>521</v>
      </c>
      <c r="X291">
        <v>29</v>
      </c>
      <c r="Y291">
        <v>19</v>
      </c>
      <c r="Z291" t="s">
        <v>516</v>
      </c>
      <c r="AA291" t="s">
        <v>517</v>
      </c>
      <c r="AB291" t="s">
        <v>89</v>
      </c>
      <c r="AC291" t="s">
        <v>90</v>
      </c>
      <c r="AD291" t="s">
        <v>91</v>
      </c>
      <c r="AE291" t="s">
        <v>425</v>
      </c>
      <c r="AG291" t="s">
        <v>438</v>
      </c>
      <c r="AH291">
        <v>339</v>
      </c>
      <c r="AI291">
        <v>0</v>
      </c>
      <c r="AJ291">
        <v>0</v>
      </c>
      <c r="AK291">
        <v>4089</v>
      </c>
      <c r="AL291">
        <v>1.49</v>
      </c>
    </row>
    <row r="292" spans="1:38" x14ac:dyDescent="0.3">
      <c r="A292" t="s">
        <v>421</v>
      </c>
      <c r="B292">
        <v>144023</v>
      </c>
      <c r="C292">
        <v>9</v>
      </c>
      <c r="D292" t="s">
        <v>515</v>
      </c>
      <c r="E292">
        <v>2024.06</v>
      </c>
      <c r="F292">
        <v>2739</v>
      </c>
      <c r="G292">
        <v>33.4</v>
      </c>
      <c r="H292">
        <v>110.44</v>
      </c>
      <c r="I292">
        <v>25.7</v>
      </c>
      <c r="J292">
        <v>84.97</v>
      </c>
      <c r="K292">
        <v>497</v>
      </c>
      <c r="T292">
        <v>3</v>
      </c>
      <c r="U292">
        <v>2</v>
      </c>
      <c r="V292" t="s">
        <v>94</v>
      </c>
      <c r="W292" t="s">
        <v>458</v>
      </c>
      <c r="X292">
        <v>29</v>
      </c>
      <c r="Y292">
        <v>19</v>
      </c>
      <c r="Z292" t="s">
        <v>516</v>
      </c>
      <c r="AA292" t="s">
        <v>517</v>
      </c>
      <c r="AB292" t="s">
        <v>89</v>
      </c>
      <c r="AC292" t="s">
        <v>90</v>
      </c>
      <c r="AD292" t="s">
        <v>91</v>
      </c>
      <c r="AE292" t="s">
        <v>425</v>
      </c>
      <c r="AG292" t="s">
        <v>438</v>
      </c>
      <c r="AH292">
        <v>339</v>
      </c>
      <c r="AI292">
        <v>0</v>
      </c>
      <c r="AJ292">
        <v>0</v>
      </c>
      <c r="AK292">
        <v>4089</v>
      </c>
      <c r="AL292">
        <v>1.49</v>
      </c>
    </row>
    <row r="293" spans="1:38" x14ac:dyDescent="0.3">
      <c r="A293" t="s">
        <v>421</v>
      </c>
      <c r="B293">
        <v>144023</v>
      </c>
      <c r="C293">
        <v>10</v>
      </c>
      <c r="D293" t="s">
        <v>515</v>
      </c>
      <c r="E293">
        <v>2024.06</v>
      </c>
      <c r="F293">
        <v>2739</v>
      </c>
      <c r="G293">
        <v>45.18</v>
      </c>
      <c r="H293">
        <v>149.36000000000001</v>
      </c>
      <c r="I293">
        <v>33.44</v>
      </c>
      <c r="J293">
        <v>110.57</v>
      </c>
      <c r="K293">
        <v>12</v>
      </c>
      <c r="T293">
        <v>3</v>
      </c>
      <c r="U293">
        <v>2</v>
      </c>
      <c r="V293" t="s">
        <v>94</v>
      </c>
      <c r="W293">
        <v>149</v>
      </c>
      <c r="X293">
        <v>29</v>
      </c>
      <c r="Y293">
        <v>19</v>
      </c>
      <c r="Z293" t="s">
        <v>516</v>
      </c>
      <c r="AA293" t="s">
        <v>517</v>
      </c>
      <c r="AB293" t="s">
        <v>89</v>
      </c>
      <c r="AC293" t="s">
        <v>90</v>
      </c>
      <c r="AD293" t="s">
        <v>91</v>
      </c>
      <c r="AE293" t="s">
        <v>425</v>
      </c>
      <c r="AG293" t="s">
        <v>438</v>
      </c>
      <c r="AH293">
        <v>339</v>
      </c>
      <c r="AI293">
        <v>0</v>
      </c>
      <c r="AJ293">
        <v>0</v>
      </c>
      <c r="AK293">
        <v>4089</v>
      </c>
      <c r="AL293">
        <v>1.49</v>
      </c>
    </row>
    <row r="294" spans="1:38" x14ac:dyDescent="0.3">
      <c r="A294" t="s">
        <v>421</v>
      </c>
      <c r="B294">
        <v>110631</v>
      </c>
      <c r="C294">
        <v>1</v>
      </c>
      <c r="D294" t="s">
        <v>522</v>
      </c>
      <c r="E294">
        <v>2017.01</v>
      </c>
      <c r="F294">
        <v>219</v>
      </c>
      <c r="G294">
        <v>30.26</v>
      </c>
      <c r="H294">
        <v>100.05</v>
      </c>
      <c r="I294">
        <v>22.46</v>
      </c>
      <c r="J294">
        <v>74.28</v>
      </c>
      <c r="K294">
        <v>21</v>
      </c>
      <c r="T294">
        <v>3</v>
      </c>
      <c r="U294">
        <v>2</v>
      </c>
      <c r="V294" t="s">
        <v>94</v>
      </c>
      <c r="W294">
        <v>100</v>
      </c>
      <c r="X294">
        <v>24</v>
      </c>
      <c r="Y294">
        <v>24</v>
      </c>
      <c r="Z294" t="s">
        <v>523</v>
      </c>
      <c r="AA294" t="s">
        <v>524</v>
      </c>
      <c r="AB294" t="s">
        <v>89</v>
      </c>
      <c r="AC294" t="s">
        <v>90</v>
      </c>
      <c r="AD294" t="s">
        <v>91</v>
      </c>
      <c r="AE294" t="s">
        <v>425</v>
      </c>
      <c r="AG294" t="s">
        <v>525</v>
      </c>
      <c r="AH294">
        <v>0</v>
      </c>
      <c r="AI294">
        <v>570</v>
      </c>
      <c r="AJ294">
        <v>66</v>
      </c>
      <c r="AK294">
        <v>300</v>
      </c>
      <c r="AL294">
        <v>1.37</v>
      </c>
    </row>
    <row r="295" spans="1:38" x14ac:dyDescent="0.3">
      <c r="A295" t="s">
        <v>421</v>
      </c>
      <c r="B295">
        <v>110631</v>
      </c>
      <c r="C295">
        <v>2</v>
      </c>
      <c r="D295" t="s">
        <v>522</v>
      </c>
      <c r="E295">
        <v>2017.01</v>
      </c>
      <c r="F295">
        <v>219</v>
      </c>
      <c r="G295">
        <v>34.5</v>
      </c>
      <c r="H295">
        <v>114.08</v>
      </c>
      <c r="I295">
        <v>25.69</v>
      </c>
      <c r="J295">
        <v>84.94</v>
      </c>
      <c r="K295">
        <v>44</v>
      </c>
      <c r="T295">
        <v>3</v>
      </c>
      <c r="U295">
        <v>2</v>
      </c>
      <c r="V295" t="s">
        <v>94</v>
      </c>
      <c r="W295" t="s">
        <v>526</v>
      </c>
      <c r="X295">
        <v>24</v>
      </c>
      <c r="Y295">
        <v>24</v>
      </c>
      <c r="Z295" t="s">
        <v>523</v>
      </c>
      <c r="AA295" t="s">
        <v>524</v>
      </c>
      <c r="AB295" t="s">
        <v>89</v>
      </c>
      <c r="AC295" t="s">
        <v>90</v>
      </c>
      <c r="AD295" t="s">
        <v>91</v>
      </c>
      <c r="AE295" t="s">
        <v>425</v>
      </c>
      <c r="AG295" t="s">
        <v>525</v>
      </c>
      <c r="AH295">
        <v>0</v>
      </c>
      <c r="AI295">
        <v>570</v>
      </c>
      <c r="AJ295">
        <v>66</v>
      </c>
      <c r="AK295">
        <v>300</v>
      </c>
      <c r="AL295">
        <v>1.37</v>
      </c>
    </row>
    <row r="296" spans="1:38" x14ac:dyDescent="0.3">
      <c r="A296" t="s">
        <v>421</v>
      </c>
      <c r="B296">
        <v>110631</v>
      </c>
      <c r="C296">
        <v>3</v>
      </c>
      <c r="D296" t="s">
        <v>522</v>
      </c>
      <c r="E296">
        <v>2017.01</v>
      </c>
      <c r="F296">
        <v>219</v>
      </c>
      <c r="G296">
        <v>34.56</v>
      </c>
      <c r="H296">
        <v>114.27</v>
      </c>
      <c r="I296">
        <v>25.69</v>
      </c>
      <c r="J296">
        <v>84.94</v>
      </c>
      <c r="K296">
        <v>22</v>
      </c>
      <c r="T296">
        <v>3</v>
      </c>
      <c r="U296">
        <v>2</v>
      </c>
      <c r="V296" t="s">
        <v>94</v>
      </c>
      <c r="W296" t="s">
        <v>527</v>
      </c>
      <c r="X296">
        <v>24</v>
      </c>
      <c r="Y296">
        <v>24</v>
      </c>
      <c r="Z296" t="s">
        <v>523</v>
      </c>
      <c r="AA296" t="s">
        <v>524</v>
      </c>
      <c r="AB296" t="s">
        <v>89</v>
      </c>
      <c r="AC296" t="s">
        <v>90</v>
      </c>
      <c r="AD296" t="s">
        <v>91</v>
      </c>
      <c r="AE296" t="s">
        <v>425</v>
      </c>
      <c r="AG296" t="s">
        <v>525</v>
      </c>
      <c r="AH296">
        <v>0</v>
      </c>
      <c r="AI296">
        <v>570</v>
      </c>
      <c r="AJ296">
        <v>66</v>
      </c>
      <c r="AK296">
        <v>300</v>
      </c>
      <c r="AL296">
        <v>1.37</v>
      </c>
    </row>
    <row r="297" spans="1:38" x14ac:dyDescent="0.3">
      <c r="A297" t="s">
        <v>421</v>
      </c>
      <c r="B297">
        <v>110631</v>
      </c>
      <c r="C297">
        <v>4</v>
      </c>
      <c r="D297" t="s">
        <v>522</v>
      </c>
      <c r="E297">
        <v>2017.01</v>
      </c>
      <c r="F297">
        <v>219</v>
      </c>
      <c r="G297">
        <v>34.85</v>
      </c>
      <c r="H297">
        <v>115.21</v>
      </c>
      <c r="I297">
        <v>25.63</v>
      </c>
      <c r="J297">
        <v>84.74</v>
      </c>
      <c r="K297">
        <v>66</v>
      </c>
      <c r="T297">
        <v>3</v>
      </c>
      <c r="U297">
        <v>2</v>
      </c>
      <c r="V297" t="s">
        <v>94</v>
      </c>
      <c r="W297" t="s">
        <v>528</v>
      </c>
      <c r="X297">
        <v>24</v>
      </c>
      <c r="Y297">
        <v>24</v>
      </c>
      <c r="Z297" t="s">
        <v>523</v>
      </c>
      <c r="AA297" t="s">
        <v>524</v>
      </c>
      <c r="AB297" t="s">
        <v>89</v>
      </c>
      <c r="AC297" t="s">
        <v>90</v>
      </c>
      <c r="AD297" t="s">
        <v>91</v>
      </c>
      <c r="AE297" t="s">
        <v>425</v>
      </c>
      <c r="AG297" t="s">
        <v>525</v>
      </c>
      <c r="AH297">
        <v>0</v>
      </c>
      <c r="AI297">
        <v>570</v>
      </c>
      <c r="AJ297">
        <v>66</v>
      </c>
      <c r="AK297">
        <v>300</v>
      </c>
      <c r="AL297">
        <v>1.37</v>
      </c>
    </row>
    <row r="298" spans="1:38" x14ac:dyDescent="0.3">
      <c r="A298" t="s">
        <v>421</v>
      </c>
      <c r="B298">
        <v>110631</v>
      </c>
      <c r="C298">
        <v>5</v>
      </c>
      <c r="D298" t="s">
        <v>522</v>
      </c>
      <c r="E298">
        <v>2017.01</v>
      </c>
      <c r="F298">
        <v>219</v>
      </c>
      <c r="G298">
        <v>34.82</v>
      </c>
      <c r="H298">
        <v>115.13</v>
      </c>
      <c r="I298">
        <v>25.7</v>
      </c>
      <c r="J298">
        <v>84.98</v>
      </c>
      <c r="K298">
        <v>44</v>
      </c>
      <c r="T298">
        <v>3</v>
      </c>
      <c r="U298">
        <v>2</v>
      </c>
      <c r="V298" t="s">
        <v>94</v>
      </c>
      <c r="W298" t="s">
        <v>529</v>
      </c>
      <c r="X298">
        <v>24</v>
      </c>
      <c r="Y298">
        <v>24</v>
      </c>
      <c r="Z298" t="s">
        <v>523</v>
      </c>
      <c r="AA298" t="s">
        <v>524</v>
      </c>
      <c r="AB298" t="s">
        <v>89</v>
      </c>
      <c r="AC298" t="s">
        <v>90</v>
      </c>
      <c r="AD298" t="s">
        <v>91</v>
      </c>
      <c r="AE298" t="s">
        <v>425</v>
      </c>
      <c r="AG298" t="s">
        <v>525</v>
      </c>
      <c r="AH298">
        <v>0</v>
      </c>
      <c r="AI298">
        <v>570</v>
      </c>
      <c r="AJ298">
        <v>66</v>
      </c>
      <c r="AK298">
        <v>300</v>
      </c>
      <c r="AL298">
        <v>1.37</v>
      </c>
    </row>
    <row r="299" spans="1:38" x14ac:dyDescent="0.3">
      <c r="A299" t="s">
        <v>421</v>
      </c>
      <c r="B299">
        <v>110631</v>
      </c>
      <c r="C299">
        <v>6</v>
      </c>
      <c r="D299" t="s">
        <v>522</v>
      </c>
      <c r="E299">
        <v>2017.01</v>
      </c>
      <c r="F299">
        <v>219</v>
      </c>
      <c r="G299">
        <v>34.85</v>
      </c>
      <c r="H299">
        <v>115.21</v>
      </c>
      <c r="I299">
        <v>25.63</v>
      </c>
      <c r="J299">
        <v>84.74</v>
      </c>
      <c r="K299">
        <v>22</v>
      </c>
      <c r="T299">
        <v>3</v>
      </c>
      <c r="U299">
        <v>2</v>
      </c>
      <c r="V299" t="s">
        <v>94</v>
      </c>
      <c r="W299" t="s">
        <v>530</v>
      </c>
      <c r="X299">
        <v>24</v>
      </c>
      <c r="Y299">
        <v>24</v>
      </c>
      <c r="Z299" t="s">
        <v>523</v>
      </c>
      <c r="AA299" t="s">
        <v>524</v>
      </c>
      <c r="AB299" t="s">
        <v>89</v>
      </c>
      <c r="AC299" t="s">
        <v>90</v>
      </c>
      <c r="AD299" t="s">
        <v>91</v>
      </c>
      <c r="AE299" t="s">
        <v>425</v>
      </c>
      <c r="AG299" t="s">
        <v>525</v>
      </c>
      <c r="AH299">
        <v>0</v>
      </c>
      <c r="AI299">
        <v>570</v>
      </c>
      <c r="AJ299">
        <v>66</v>
      </c>
      <c r="AK299">
        <v>300</v>
      </c>
      <c r="AL299">
        <v>1.37</v>
      </c>
    </row>
    <row r="300" spans="1:38" x14ac:dyDescent="0.3">
      <c r="A300" t="s">
        <v>421</v>
      </c>
      <c r="B300">
        <v>1467</v>
      </c>
      <c r="C300">
        <v>1</v>
      </c>
      <c r="D300" t="s">
        <v>531</v>
      </c>
      <c r="E300">
        <v>1992.05</v>
      </c>
      <c r="F300">
        <v>620</v>
      </c>
      <c r="G300">
        <v>21.05</v>
      </c>
      <c r="H300">
        <v>69.61</v>
      </c>
      <c r="I300">
        <v>16.829999999999998</v>
      </c>
      <c r="J300">
        <v>55.65</v>
      </c>
      <c r="K300">
        <v>68</v>
      </c>
      <c r="T300">
        <v>2</v>
      </c>
      <c r="U300">
        <v>1</v>
      </c>
      <c r="V300" t="s">
        <v>128</v>
      </c>
      <c r="W300">
        <v>69</v>
      </c>
      <c r="X300">
        <v>18</v>
      </c>
      <c r="Y300">
        <v>15</v>
      </c>
      <c r="Z300" t="s">
        <v>532</v>
      </c>
      <c r="AA300" t="s">
        <v>533</v>
      </c>
      <c r="AB300" t="s">
        <v>89</v>
      </c>
      <c r="AC300" t="s">
        <v>90</v>
      </c>
      <c r="AD300" t="s">
        <v>91</v>
      </c>
      <c r="AE300" t="s">
        <v>425</v>
      </c>
      <c r="AG300" t="s">
        <v>534</v>
      </c>
      <c r="AH300">
        <v>0</v>
      </c>
      <c r="AI300">
        <v>216</v>
      </c>
      <c r="AJ300">
        <v>0</v>
      </c>
      <c r="AK300">
        <v>410</v>
      </c>
      <c r="AL300">
        <v>0.66</v>
      </c>
    </row>
    <row r="301" spans="1:38" x14ac:dyDescent="0.3">
      <c r="A301" t="s">
        <v>421</v>
      </c>
      <c r="B301">
        <v>1467</v>
      </c>
      <c r="C301">
        <v>2</v>
      </c>
      <c r="D301" t="s">
        <v>531</v>
      </c>
      <c r="E301">
        <v>1992.05</v>
      </c>
      <c r="F301">
        <v>620</v>
      </c>
      <c r="G301">
        <v>22.47</v>
      </c>
      <c r="H301">
        <v>74.3</v>
      </c>
      <c r="I301">
        <v>17.96</v>
      </c>
      <c r="J301">
        <v>59.4</v>
      </c>
      <c r="K301">
        <v>68</v>
      </c>
      <c r="T301">
        <v>2</v>
      </c>
      <c r="U301">
        <v>1</v>
      </c>
      <c r="V301" t="s">
        <v>128</v>
      </c>
      <c r="W301">
        <v>74</v>
      </c>
      <c r="X301">
        <v>18</v>
      </c>
      <c r="Y301">
        <v>15</v>
      </c>
      <c r="Z301" t="s">
        <v>532</v>
      </c>
      <c r="AA301" t="s">
        <v>533</v>
      </c>
      <c r="AB301" t="s">
        <v>89</v>
      </c>
      <c r="AC301" t="s">
        <v>90</v>
      </c>
      <c r="AD301" t="s">
        <v>91</v>
      </c>
      <c r="AE301" t="s">
        <v>425</v>
      </c>
      <c r="AG301" t="s">
        <v>534</v>
      </c>
      <c r="AH301">
        <v>0</v>
      </c>
      <c r="AI301">
        <v>216</v>
      </c>
      <c r="AJ301">
        <v>0</v>
      </c>
      <c r="AK301">
        <v>410</v>
      </c>
      <c r="AL301">
        <v>0.66</v>
      </c>
    </row>
    <row r="302" spans="1:38" x14ac:dyDescent="0.3">
      <c r="A302" t="s">
        <v>421</v>
      </c>
      <c r="B302">
        <v>1467</v>
      </c>
      <c r="C302">
        <v>3</v>
      </c>
      <c r="D302" t="s">
        <v>531</v>
      </c>
      <c r="E302">
        <v>1992.05</v>
      </c>
      <c r="F302">
        <v>620</v>
      </c>
      <c r="G302">
        <v>28.77</v>
      </c>
      <c r="H302">
        <v>95.13</v>
      </c>
      <c r="I302">
        <v>23</v>
      </c>
      <c r="J302">
        <v>76.05</v>
      </c>
      <c r="K302">
        <v>136</v>
      </c>
      <c r="T302">
        <v>3</v>
      </c>
      <c r="U302">
        <v>1</v>
      </c>
      <c r="V302" t="s">
        <v>94</v>
      </c>
      <c r="W302">
        <v>95</v>
      </c>
      <c r="X302">
        <v>18</v>
      </c>
      <c r="Y302">
        <v>15</v>
      </c>
      <c r="Z302" t="s">
        <v>532</v>
      </c>
      <c r="AA302" t="s">
        <v>533</v>
      </c>
      <c r="AB302" t="s">
        <v>89</v>
      </c>
      <c r="AC302" t="s">
        <v>90</v>
      </c>
      <c r="AD302" t="s">
        <v>91</v>
      </c>
      <c r="AE302" t="s">
        <v>425</v>
      </c>
      <c r="AG302" t="s">
        <v>534</v>
      </c>
      <c r="AH302">
        <v>0</v>
      </c>
      <c r="AI302">
        <v>216</v>
      </c>
      <c r="AJ302">
        <v>0</v>
      </c>
      <c r="AK302">
        <v>410</v>
      </c>
      <c r="AL302">
        <v>0.66</v>
      </c>
    </row>
    <row r="303" spans="1:38" x14ac:dyDescent="0.3">
      <c r="A303" t="s">
        <v>421</v>
      </c>
      <c r="B303">
        <v>1467</v>
      </c>
      <c r="C303">
        <v>4</v>
      </c>
      <c r="D303" t="s">
        <v>531</v>
      </c>
      <c r="E303">
        <v>1992.05</v>
      </c>
      <c r="F303">
        <v>620</v>
      </c>
      <c r="G303">
        <v>32.119999999999997</v>
      </c>
      <c r="H303">
        <v>106.2</v>
      </c>
      <c r="I303">
        <v>25.68</v>
      </c>
      <c r="J303">
        <v>84.9</v>
      </c>
      <c r="K303">
        <v>348</v>
      </c>
      <c r="T303">
        <v>3</v>
      </c>
      <c r="U303">
        <v>2</v>
      </c>
      <c r="V303" t="s">
        <v>94</v>
      </c>
      <c r="W303">
        <v>106</v>
      </c>
      <c r="X303">
        <v>18</v>
      </c>
      <c r="Y303">
        <v>15</v>
      </c>
      <c r="Z303" t="s">
        <v>532</v>
      </c>
      <c r="AA303" t="s">
        <v>533</v>
      </c>
      <c r="AB303" t="s">
        <v>89</v>
      </c>
      <c r="AC303" t="s">
        <v>90</v>
      </c>
      <c r="AD303" t="s">
        <v>91</v>
      </c>
      <c r="AE303" t="s">
        <v>425</v>
      </c>
      <c r="AG303" t="s">
        <v>534</v>
      </c>
      <c r="AH303">
        <v>0</v>
      </c>
      <c r="AI303">
        <v>216</v>
      </c>
      <c r="AJ303">
        <v>0</v>
      </c>
      <c r="AK303">
        <v>410</v>
      </c>
      <c r="AL303">
        <v>0.66</v>
      </c>
    </row>
    <row r="304" spans="1:38" x14ac:dyDescent="0.3">
      <c r="A304" t="s">
        <v>421</v>
      </c>
      <c r="B304">
        <v>23569</v>
      </c>
      <c r="C304">
        <v>1</v>
      </c>
      <c r="D304" t="s">
        <v>535</v>
      </c>
      <c r="E304">
        <v>2002.12</v>
      </c>
      <c r="F304">
        <v>19</v>
      </c>
      <c r="G304">
        <v>31.25</v>
      </c>
      <c r="H304">
        <v>103.32</v>
      </c>
      <c r="I304">
        <v>20.68</v>
      </c>
      <c r="J304">
        <v>68.38</v>
      </c>
      <c r="K304">
        <v>5</v>
      </c>
      <c r="T304">
        <v>3</v>
      </c>
      <c r="U304">
        <v>2</v>
      </c>
      <c r="V304" t="s">
        <v>94</v>
      </c>
      <c r="W304">
        <v>103</v>
      </c>
      <c r="X304">
        <v>7</v>
      </c>
      <c r="Y304">
        <v>5</v>
      </c>
      <c r="Z304" t="s">
        <v>536</v>
      </c>
      <c r="AA304" t="s">
        <v>537</v>
      </c>
      <c r="AB304" t="s">
        <v>89</v>
      </c>
      <c r="AC304" t="s">
        <v>90</v>
      </c>
      <c r="AD304" t="s">
        <v>91</v>
      </c>
      <c r="AE304" t="s">
        <v>425</v>
      </c>
      <c r="AG304" t="s">
        <v>538</v>
      </c>
      <c r="AH304">
        <v>0</v>
      </c>
      <c r="AI304">
        <v>264</v>
      </c>
      <c r="AJ304">
        <v>44</v>
      </c>
      <c r="AK304">
        <v>18</v>
      </c>
      <c r="AL304">
        <v>0.95</v>
      </c>
    </row>
    <row r="305" spans="1:38" x14ac:dyDescent="0.3">
      <c r="A305" t="s">
        <v>421</v>
      </c>
      <c r="B305">
        <v>23569</v>
      </c>
      <c r="C305">
        <v>2</v>
      </c>
      <c r="D305" t="s">
        <v>535</v>
      </c>
      <c r="E305">
        <v>2002.12</v>
      </c>
      <c r="F305">
        <v>19</v>
      </c>
      <c r="G305">
        <v>33.89</v>
      </c>
      <c r="H305">
        <v>112.05</v>
      </c>
      <c r="I305">
        <v>22.43</v>
      </c>
      <c r="J305">
        <v>74.16</v>
      </c>
      <c r="K305">
        <v>6</v>
      </c>
      <c r="T305">
        <v>3</v>
      </c>
      <c r="U305">
        <v>2</v>
      </c>
      <c r="V305" t="s">
        <v>94</v>
      </c>
      <c r="W305" t="s">
        <v>261</v>
      </c>
      <c r="X305">
        <v>7</v>
      </c>
      <c r="Y305">
        <v>5</v>
      </c>
      <c r="Z305" t="s">
        <v>536</v>
      </c>
      <c r="AA305" t="s">
        <v>537</v>
      </c>
      <c r="AB305" t="s">
        <v>89</v>
      </c>
      <c r="AC305" t="s">
        <v>90</v>
      </c>
      <c r="AD305" t="s">
        <v>91</v>
      </c>
      <c r="AE305" t="s">
        <v>425</v>
      </c>
      <c r="AG305" t="s">
        <v>538</v>
      </c>
      <c r="AH305">
        <v>0</v>
      </c>
      <c r="AI305">
        <v>264</v>
      </c>
      <c r="AJ305">
        <v>44</v>
      </c>
      <c r="AK305">
        <v>18</v>
      </c>
      <c r="AL305">
        <v>0.95</v>
      </c>
    </row>
    <row r="306" spans="1:38" x14ac:dyDescent="0.3">
      <c r="A306" t="s">
        <v>421</v>
      </c>
      <c r="B306">
        <v>23569</v>
      </c>
      <c r="C306">
        <v>3</v>
      </c>
      <c r="D306" t="s">
        <v>535</v>
      </c>
      <c r="E306">
        <v>2002.12</v>
      </c>
      <c r="F306">
        <v>19</v>
      </c>
      <c r="G306">
        <v>34.43</v>
      </c>
      <c r="H306">
        <v>113.84</v>
      </c>
      <c r="I306">
        <v>22.79</v>
      </c>
      <c r="J306">
        <v>75.34</v>
      </c>
      <c r="K306">
        <v>6</v>
      </c>
      <c r="T306">
        <v>3</v>
      </c>
      <c r="U306">
        <v>2</v>
      </c>
      <c r="V306" t="s">
        <v>94</v>
      </c>
      <c r="W306" t="s">
        <v>262</v>
      </c>
      <c r="X306">
        <v>7</v>
      </c>
      <c r="Y306">
        <v>5</v>
      </c>
      <c r="Z306" t="s">
        <v>536</v>
      </c>
      <c r="AA306" t="s">
        <v>537</v>
      </c>
      <c r="AB306" t="s">
        <v>89</v>
      </c>
      <c r="AC306" t="s">
        <v>90</v>
      </c>
      <c r="AD306" t="s">
        <v>91</v>
      </c>
      <c r="AE306" t="s">
        <v>425</v>
      </c>
      <c r="AG306" t="s">
        <v>538</v>
      </c>
      <c r="AH306">
        <v>0</v>
      </c>
      <c r="AI306">
        <v>264</v>
      </c>
      <c r="AJ306">
        <v>44</v>
      </c>
      <c r="AK306">
        <v>18</v>
      </c>
      <c r="AL306">
        <v>0.95</v>
      </c>
    </row>
    <row r="307" spans="1:38" x14ac:dyDescent="0.3">
      <c r="A307" t="s">
        <v>421</v>
      </c>
      <c r="B307">
        <v>23569</v>
      </c>
      <c r="C307">
        <v>4</v>
      </c>
      <c r="D307" t="s">
        <v>535</v>
      </c>
      <c r="E307">
        <v>2002.12</v>
      </c>
      <c r="F307">
        <v>19</v>
      </c>
      <c r="G307">
        <v>34.39</v>
      </c>
      <c r="H307">
        <v>113.69</v>
      </c>
      <c r="I307">
        <v>22.76</v>
      </c>
      <c r="J307">
        <v>75.239999999999995</v>
      </c>
      <c r="K307">
        <v>1</v>
      </c>
      <c r="T307">
        <v>3</v>
      </c>
      <c r="U307">
        <v>2</v>
      </c>
      <c r="V307" t="s">
        <v>94</v>
      </c>
      <c r="W307" t="s">
        <v>263</v>
      </c>
      <c r="X307">
        <v>7</v>
      </c>
      <c r="Y307">
        <v>5</v>
      </c>
      <c r="Z307" t="s">
        <v>536</v>
      </c>
      <c r="AA307" t="s">
        <v>537</v>
      </c>
      <c r="AB307" t="s">
        <v>89</v>
      </c>
      <c r="AC307" t="s">
        <v>90</v>
      </c>
      <c r="AD307" t="s">
        <v>91</v>
      </c>
      <c r="AE307" t="s">
        <v>425</v>
      </c>
      <c r="AG307" t="s">
        <v>538</v>
      </c>
      <c r="AH307">
        <v>0</v>
      </c>
      <c r="AI307">
        <v>264</v>
      </c>
      <c r="AJ307">
        <v>44</v>
      </c>
      <c r="AK307">
        <v>18</v>
      </c>
      <c r="AL307">
        <v>0.95</v>
      </c>
    </row>
    <row r="308" spans="1:38" x14ac:dyDescent="0.3">
      <c r="A308" t="s">
        <v>421</v>
      </c>
      <c r="B308">
        <v>23569</v>
      </c>
      <c r="C308">
        <v>5</v>
      </c>
      <c r="D308" t="s">
        <v>535</v>
      </c>
      <c r="E308">
        <v>2002.12</v>
      </c>
      <c r="F308">
        <v>19</v>
      </c>
      <c r="G308">
        <v>34.68</v>
      </c>
      <c r="H308">
        <v>114.66</v>
      </c>
      <c r="I308">
        <v>22.95</v>
      </c>
      <c r="J308">
        <v>75.88</v>
      </c>
      <c r="K308">
        <v>1</v>
      </c>
      <c r="T308">
        <v>3</v>
      </c>
      <c r="U308">
        <v>2</v>
      </c>
      <c r="V308" t="s">
        <v>94</v>
      </c>
      <c r="W308">
        <v>114</v>
      </c>
      <c r="X308">
        <v>7</v>
      </c>
      <c r="Y308">
        <v>5</v>
      </c>
      <c r="Z308" t="s">
        <v>536</v>
      </c>
      <c r="AA308" t="s">
        <v>537</v>
      </c>
      <c r="AB308" t="s">
        <v>89</v>
      </c>
      <c r="AC308" t="s">
        <v>90</v>
      </c>
      <c r="AD308" t="s">
        <v>91</v>
      </c>
      <c r="AE308" t="s">
        <v>425</v>
      </c>
      <c r="AG308" t="s">
        <v>538</v>
      </c>
      <c r="AH308">
        <v>0</v>
      </c>
      <c r="AI308">
        <v>264</v>
      </c>
      <c r="AJ308">
        <v>44</v>
      </c>
      <c r="AK308">
        <v>18</v>
      </c>
      <c r="AL308">
        <v>0.95</v>
      </c>
    </row>
    <row r="309" spans="1:38" x14ac:dyDescent="0.3">
      <c r="A309" t="s">
        <v>421</v>
      </c>
      <c r="B309">
        <v>24918</v>
      </c>
      <c r="C309">
        <v>1</v>
      </c>
      <c r="D309" t="s">
        <v>539</v>
      </c>
      <c r="E309">
        <v>1988.11</v>
      </c>
      <c r="F309">
        <v>20</v>
      </c>
      <c r="G309">
        <v>20.12</v>
      </c>
      <c r="H309">
        <v>66.52</v>
      </c>
      <c r="I309">
        <v>15.02</v>
      </c>
      <c r="J309">
        <v>49.68</v>
      </c>
      <c r="K309">
        <v>20</v>
      </c>
      <c r="T309">
        <v>3</v>
      </c>
      <c r="U309">
        <v>2</v>
      </c>
      <c r="V309" t="s">
        <v>94</v>
      </c>
      <c r="W309">
        <v>66</v>
      </c>
      <c r="X309">
        <v>5</v>
      </c>
      <c r="Y309">
        <v>5</v>
      </c>
      <c r="Z309" t="s">
        <v>540</v>
      </c>
      <c r="AA309" t="s">
        <v>541</v>
      </c>
      <c r="AB309" t="s">
        <v>89</v>
      </c>
      <c r="AC309" t="s">
        <v>90</v>
      </c>
      <c r="AD309" t="s">
        <v>91</v>
      </c>
      <c r="AE309" t="s">
        <v>425</v>
      </c>
      <c r="AG309" t="s">
        <v>542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">
      <c r="A310" t="s">
        <v>421</v>
      </c>
      <c r="B310">
        <v>22957</v>
      </c>
      <c r="C310">
        <v>1</v>
      </c>
      <c r="D310" t="s">
        <v>543</v>
      </c>
      <c r="E310">
        <v>2007.07</v>
      </c>
      <c r="F310">
        <v>492</v>
      </c>
      <c r="G310">
        <v>19.28</v>
      </c>
      <c r="H310">
        <v>63.74</v>
      </c>
      <c r="I310">
        <v>14.15</v>
      </c>
      <c r="J310">
        <v>46.78</v>
      </c>
      <c r="K310">
        <v>57</v>
      </c>
      <c r="T310">
        <v>2</v>
      </c>
      <c r="U310">
        <v>1</v>
      </c>
      <c r="V310" t="s">
        <v>128</v>
      </c>
      <c r="W310" t="s">
        <v>544</v>
      </c>
      <c r="X310">
        <v>20</v>
      </c>
      <c r="Y310">
        <v>12</v>
      </c>
      <c r="Z310" t="s">
        <v>545</v>
      </c>
      <c r="AA310" t="s">
        <v>546</v>
      </c>
      <c r="AB310" t="s">
        <v>89</v>
      </c>
      <c r="AC310" t="s">
        <v>90</v>
      </c>
      <c r="AD310" t="s">
        <v>91</v>
      </c>
      <c r="AE310" t="s">
        <v>425</v>
      </c>
      <c r="AG310" t="s">
        <v>547</v>
      </c>
      <c r="AH310">
        <v>0</v>
      </c>
      <c r="AI310">
        <v>259</v>
      </c>
      <c r="AJ310">
        <v>18</v>
      </c>
      <c r="AK310">
        <v>505</v>
      </c>
      <c r="AL310">
        <v>1.03</v>
      </c>
    </row>
    <row r="311" spans="1:38" x14ac:dyDescent="0.3">
      <c r="A311" t="s">
        <v>421</v>
      </c>
      <c r="B311">
        <v>22957</v>
      </c>
      <c r="C311">
        <v>2</v>
      </c>
      <c r="D311" t="s">
        <v>543</v>
      </c>
      <c r="E311">
        <v>2007.07</v>
      </c>
      <c r="F311">
        <v>492</v>
      </c>
      <c r="G311">
        <v>19.329999999999998</v>
      </c>
      <c r="H311">
        <v>63.93</v>
      </c>
      <c r="I311">
        <v>14.19</v>
      </c>
      <c r="J311">
        <v>46.92</v>
      </c>
      <c r="K311">
        <v>19</v>
      </c>
      <c r="T311">
        <v>2</v>
      </c>
      <c r="U311">
        <v>1</v>
      </c>
      <c r="V311" t="s">
        <v>128</v>
      </c>
      <c r="W311" t="s">
        <v>548</v>
      </c>
      <c r="X311">
        <v>20</v>
      </c>
      <c r="Y311">
        <v>12</v>
      </c>
      <c r="Z311" t="s">
        <v>545</v>
      </c>
      <c r="AA311" t="s">
        <v>546</v>
      </c>
      <c r="AB311" t="s">
        <v>89</v>
      </c>
      <c r="AC311" t="s">
        <v>90</v>
      </c>
      <c r="AD311" t="s">
        <v>91</v>
      </c>
      <c r="AE311" t="s">
        <v>425</v>
      </c>
      <c r="AG311" t="s">
        <v>547</v>
      </c>
      <c r="AH311">
        <v>0</v>
      </c>
      <c r="AI311">
        <v>259</v>
      </c>
      <c r="AJ311">
        <v>18</v>
      </c>
      <c r="AK311">
        <v>505</v>
      </c>
      <c r="AL311">
        <v>1.03</v>
      </c>
    </row>
    <row r="312" spans="1:38" x14ac:dyDescent="0.3">
      <c r="A312" t="s">
        <v>421</v>
      </c>
      <c r="B312">
        <v>22957</v>
      </c>
      <c r="C312">
        <v>3</v>
      </c>
      <c r="D312" t="s">
        <v>543</v>
      </c>
      <c r="E312">
        <v>2007.07</v>
      </c>
      <c r="F312">
        <v>492</v>
      </c>
      <c r="G312">
        <v>24.71</v>
      </c>
      <c r="H312">
        <v>81.69</v>
      </c>
      <c r="I312">
        <v>18.13</v>
      </c>
      <c r="J312">
        <v>59.95</v>
      </c>
      <c r="K312">
        <v>147</v>
      </c>
      <c r="T312">
        <v>3</v>
      </c>
      <c r="U312">
        <v>2</v>
      </c>
      <c r="V312" t="s">
        <v>94</v>
      </c>
      <c r="W312" t="s">
        <v>465</v>
      </c>
      <c r="X312">
        <v>20</v>
      </c>
      <c r="Y312">
        <v>12</v>
      </c>
      <c r="Z312" t="s">
        <v>545</v>
      </c>
      <c r="AA312" t="s">
        <v>546</v>
      </c>
      <c r="AB312" t="s">
        <v>89</v>
      </c>
      <c r="AC312" t="s">
        <v>90</v>
      </c>
      <c r="AD312" t="s">
        <v>91</v>
      </c>
      <c r="AE312" t="s">
        <v>425</v>
      </c>
      <c r="AG312" t="s">
        <v>547</v>
      </c>
      <c r="AH312">
        <v>0</v>
      </c>
      <c r="AI312">
        <v>259</v>
      </c>
      <c r="AJ312">
        <v>18</v>
      </c>
      <c r="AK312">
        <v>505</v>
      </c>
      <c r="AL312">
        <v>1.03</v>
      </c>
    </row>
    <row r="313" spans="1:38" x14ac:dyDescent="0.3">
      <c r="A313" t="s">
        <v>421</v>
      </c>
      <c r="B313">
        <v>22957</v>
      </c>
      <c r="C313">
        <v>4</v>
      </c>
      <c r="D313" t="s">
        <v>543</v>
      </c>
      <c r="E313">
        <v>2007.07</v>
      </c>
      <c r="F313">
        <v>492</v>
      </c>
      <c r="G313">
        <v>24.61</v>
      </c>
      <c r="H313">
        <v>81.36</v>
      </c>
      <c r="I313">
        <v>18.059999999999999</v>
      </c>
      <c r="J313">
        <v>59.71</v>
      </c>
      <c r="K313">
        <v>93</v>
      </c>
      <c r="T313">
        <v>3</v>
      </c>
      <c r="U313">
        <v>2</v>
      </c>
      <c r="V313" t="s">
        <v>94</v>
      </c>
      <c r="W313" t="s">
        <v>260</v>
      </c>
      <c r="X313">
        <v>20</v>
      </c>
      <c r="Y313">
        <v>12</v>
      </c>
      <c r="Z313" t="s">
        <v>545</v>
      </c>
      <c r="AA313" t="s">
        <v>546</v>
      </c>
      <c r="AB313" t="s">
        <v>89</v>
      </c>
      <c r="AC313" t="s">
        <v>90</v>
      </c>
      <c r="AD313" t="s">
        <v>91</v>
      </c>
      <c r="AE313" t="s">
        <v>425</v>
      </c>
      <c r="AG313" t="s">
        <v>547</v>
      </c>
      <c r="AH313">
        <v>0</v>
      </c>
      <c r="AI313">
        <v>259</v>
      </c>
      <c r="AJ313">
        <v>18</v>
      </c>
      <c r="AK313">
        <v>505</v>
      </c>
      <c r="AL313">
        <v>1.03</v>
      </c>
    </row>
    <row r="314" spans="1:38" x14ac:dyDescent="0.3">
      <c r="A314" t="s">
        <v>421</v>
      </c>
      <c r="B314">
        <v>22957</v>
      </c>
      <c r="C314">
        <v>5</v>
      </c>
      <c r="D314" t="s">
        <v>543</v>
      </c>
      <c r="E314">
        <v>2007.07</v>
      </c>
      <c r="F314">
        <v>492</v>
      </c>
      <c r="G314">
        <v>24.69</v>
      </c>
      <c r="H314">
        <v>81.62</v>
      </c>
      <c r="I314">
        <v>18.11</v>
      </c>
      <c r="J314">
        <v>59.9</v>
      </c>
      <c r="K314">
        <v>16</v>
      </c>
      <c r="T314">
        <v>3</v>
      </c>
      <c r="U314">
        <v>2</v>
      </c>
      <c r="V314" t="s">
        <v>94</v>
      </c>
      <c r="W314" t="s">
        <v>464</v>
      </c>
      <c r="X314">
        <v>20</v>
      </c>
      <c r="Y314">
        <v>12</v>
      </c>
      <c r="Z314" t="s">
        <v>545</v>
      </c>
      <c r="AA314" t="s">
        <v>546</v>
      </c>
      <c r="AB314" t="s">
        <v>89</v>
      </c>
      <c r="AC314" t="s">
        <v>90</v>
      </c>
      <c r="AD314" t="s">
        <v>91</v>
      </c>
      <c r="AE314" t="s">
        <v>425</v>
      </c>
      <c r="AG314" t="s">
        <v>547</v>
      </c>
      <c r="AH314">
        <v>0</v>
      </c>
      <c r="AI314">
        <v>259</v>
      </c>
      <c r="AJ314">
        <v>18</v>
      </c>
      <c r="AK314">
        <v>505</v>
      </c>
      <c r="AL314">
        <v>1.03</v>
      </c>
    </row>
    <row r="315" spans="1:38" x14ac:dyDescent="0.3">
      <c r="A315" t="s">
        <v>421</v>
      </c>
      <c r="B315">
        <v>22957</v>
      </c>
      <c r="C315">
        <v>6</v>
      </c>
      <c r="D315" t="s">
        <v>543</v>
      </c>
      <c r="E315">
        <v>2007.07</v>
      </c>
      <c r="F315">
        <v>492</v>
      </c>
      <c r="G315">
        <v>35.03</v>
      </c>
      <c r="H315">
        <v>115.81</v>
      </c>
      <c r="I315">
        <v>25.7</v>
      </c>
      <c r="J315">
        <v>84.99</v>
      </c>
      <c r="K315">
        <v>79</v>
      </c>
      <c r="T315">
        <v>3</v>
      </c>
      <c r="U315">
        <v>2</v>
      </c>
      <c r="V315" t="s">
        <v>94</v>
      </c>
      <c r="W315" t="s">
        <v>528</v>
      </c>
      <c r="X315">
        <v>20</v>
      </c>
      <c r="Y315">
        <v>12</v>
      </c>
      <c r="Z315" t="s">
        <v>545</v>
      </c>
      <c r="AA315" t="s">
        <v>546</v>
      </c>
      <c r="AB315" t="s">
        <v>89</v>
      </c>
      <c r="AC315" t="s">
        <v>90</v>
      </c>
      <c r="AD315" t="s">
        <v>91</v>
      </c>
      <c r="AE315" t="s">
        <v>425</v>
      </c>
      <c r="AG315" t="s">
        <v>547</v>
      </c>
      <c r="AH315">
        <v>0</v>
      </c>
      <c r="AI315">
        <v>259</v>
      </c>
      <c r="AJ315">
        <v>18</v>
      </c>
      <c r="AK315">
        <v>505</v>
      </c>
      <c r="AL315">
        <v>1.03</v>
      </c>
    </row>
    <row r="316" spans="1:38" x14ac:dyDescent="0.3">
      <c r="A316" t="s">
        <v>421</v>
      </c>
      <c r="B316">
        <v>22957</v>
      </c>
      <c r="C316">
        <v>7</v>
      </c>
      <c r="D316" t="s">
        <v>543</v>
      </c>
      <c r="E316">
        <v>2007.07</v>
      </c>
      <c r="F316">
        <v>492</v>
      </c>
      <c r="G316">
        <v>34.869999999999997</v>
      </c>
      <c r="H316">
        <v>115.3</v>
      </c>
      <c r="I316">
        <v>25.59</v>
      </c>
      <c r="J316">
        <v>84.61</v>
      </c>
      <c r="K316">
        <v>24</v>
      </c>
      <c r="T316">
        <v>3</v>
      </c>
      <c r="U316">
        <v>2</v>
      </c>
      <c r="V316" t="s">
        <v>94</v>
      </c>
      <c r="W316" t="s">
        <v>549</v>
      </c>
      <c r="X316">
        <v>20</v>
      </c>
      <c r="Y316">
        <v>12</v>
      </c>
      <c r="Z316" t="s">
        <v>545</v>
      </c>
      <c r="AA316" t="s">
        <v>546</v>
      </c>
      <c r="AB316" t="s">
        <v>89</v>
      </c>
      <c r="AC316" t="s">
        <v>90</v>
      </c>
      <c r="AD316" t="s">
        <v>91</v>
      </c>
      <c r="AE316" t="s">
        <v>425</v>
      </c>
      <c r="AG316" t="s">
        <v>547</v>
      </c>
      <c r="AH316">
        <v>0</v>
      </c>
      <c r="AI316">
        <v>259</v>
      </c>
      <c r="AJ316">
        <v>18</v>
      </c>
      <c r="AK316">
        <v>505</v>
      </c>
      <c r="AL316">
        <v>1.03</v>
      </c>
    </row>
    <row r="317" spans="1:38" x14ac:dyDescent="0.3">
      <c r="A317" t="s">
        <v>421</v>
      </c>
      <c r="B317">
        <v>22957</v>
      </c>
      <c r="C317">
        <v>8</v>
      </c>
      <c r="D317" t="s">
        <v>543</v>
      </c>
      <c r="E317">
        <v>2007.07</v>
      </c>
      <c r="F317">
        <v>492</v>
      </c>
      <c r="G317">
        <v>35</v>
      </c>
      <c r="H317">
        <v>115.72</v>
      </c>
      <c r="I317">
        <v>25.68</v>
      </c>
      <c r="J317">
        <v>84.92</v>
      </c>
      <c r="K317">
        <v>18</v>
      </c>
      <c r="T317">
        <v>3</v>
      </c>
      <c r="U317">
        <v>2</v>
      </c>
      <c r="V317" t="s">
        <v>94</v>
      </c>
      <c r="W317" t="s">
        <v>550</v>
      </c>
      <c r="X317">
        <v>20</v>
      </c>
      <c r="Y317">
        <v>12</v>
      </c>
      <c r="Z317" t="s">
        <v>545</v>
      </c>
      <c r="AA317" t="s">
        <v>546</v>
      </c>
      <c r="AB317" t="s">
        <v>89</v>
      </c>
      <c r="AC317" t="s">
        <v>90</v>
      </c>
      <c r="AD317" t="s">
        <v>91</v>
      </c>
      <c r="AE317" t="s">
        <v>425</v>
      </c>
      <c r="AG317" t="s">
        <v>547</v>
      </c>
      <c r="AH317">
        <v>0</v>
      </c>
      <c r="AI317">
        <v>259</v>
      </c>
      <c r="AJ317">
        <v>18</v>
      </c>
      <c r="AK317">
        <v>505</v>
      </c>
      <c r="AL317">
        <v>1.03</v>
      </c>
    </row>
    <row r="318" spans="1:38" x14ac:dyDescent="0.3">
      <c r="A318" t="s">
        <v>421</v>
      </c>
      <c r="B318">
        <v>22957</v>
      </c>
      <c r="C318">
        <v>9</v>
      </c>
      <c r="D318" t="s">
        <v>543</v>
      </c>
      <c r="E318">
        <v>2007.07</v>
      </c>
      <c r="F318">
        <v>492</v>
      </c>
      <c r="G318">
        <v>44.81</v>
      </c>
      <c r="H318">
        <v>148.15</v>
      </c>
      <c r="I318">
        <v>32.880000000000003</v>
      </c>
      <c r="J318">
        <v>108.72</v>
      </c>
      <c r="K318">
        <v>39</v>
      </c>
      <c r="T318">
        <v>4</v>
      </c>
      <c r="U318">
        <v>2</v>
      </c>
      <c r="V318" t="s">
        <v>94</v>
      </c>
      <c r="W318">
        <v>148</v>
      </c>
      <c r="X318">
        <v>20</v>
      </c>
      <c r="Y318">
        <v>12</v>
      </c>
      <c r="Z318" t="s">
        <v>545</v>
      </c>
      <c r="AA318" t="s">
        <v>546</v>
      </c>
      <c r="AB318" t="s">
        <v>89</v>
      </c>
      <c r="AC318" t="s">
        <v>90</v>
      </c>
      <c r="AD318" t="s">
        <v>91</v>
      </c>
      <c r="AE318" t="s">
        <v>425</v>
      </c>
      <c r="AG318" t="s">
        <v>547</v>
      </c>
      <c r="AH318">
        <v>0</v>
      </c>
      <c r="AI318">
        <v>259</v>
      </c>
      <c r="AJ318">
        <v>18</v>
      </c>
      <c r="AK318">
        <v>505</v>
      </c>
      <c r="AL318">
        <v>1.03</v>
      </c>
    </row>
    <row r="319" spans="1:38" x14ac:dyDescent="0.3">
      <c r="A319" t="s">
        <v>421</v>
      </c>
      <c r="B319">
        <v>11114</v>
      </c>
      <c r="C319">
        <v>1</v>
      </c>
      <c r="D319" t="s">
        <v>551</v>
      </c>
      <c r="E319">
        <v>1982.06</v>
      </c>
      <c r="F319">
        <v>40</v>
      </c>
      <c r="G319">
        <v>22</v>
      </c>
      <c r="H319">
        <v>72.73</v>
      </c>
      <c r="I319">
        <v>14.99</v>
      </c>
      <c r="J319">
        <v>49.58</v>
      </c>
      <c r="K319">
        <v>40</v>
      </c>
      <c r="T319">
        <v>2</v>
      </c>
      <c r="U319">
        <v>1</v>
      </c>
      <c r="V319" t="s">
        <v>94</v>
      </c>
      <c r="W319">
        <v>72</v>
      </c>
      <c r="X319">
        <v>4</v>
      </c>
      <c r="Y319">
        <v>4</v>
      </c>
      <c r="Z319" t="s">
        <v>552</v>
      </c>
      <c r="AA319" t="s">
        <v>553</v>
      </c>
      <c r="AB319" t="s">
        <v>89</v>
      </c>
      <c r="AC319" t="s">
        <v>90</v>
      </c>
      <c r="AD319" t="s">
        <v>91</v>
      </c>
      <c r="AE319" t="s">
        <v>425</v>
      </c>
      <c r="AG319" t="s">
        <v>554</v>
      </c>
      <c r="AH319">
        <v>0</v>
      </c>
      <c r="AI319">
        <v>0</v>
      </c>
      <c r="AJ319">
        <v>0</v>
      </c>
      <c r="AK319">
        <v>0</v>
      </c>
      <c r="AL319">
        <v>0</v>
      </c>
    </row>
    <row r="320" spans="1:38" x14ac:dyDescent="0.3">
      <c r="A320" t="s">
        <v>421</v>
      </c>
      <c r="B320">
        <v>122827</v>
      </c>
      <c r="C320">
        <v>1</v>
      </c>
      <c r="D320" t="s">
        <v>555</v>
      </c>
      <c r="E320">
        <v>2018.06</v>
      </c>
      <c r="F320">
        <v>27</v>
      </c>
      <c r="G320">
        <v>20.3</v>
      </c>
      <c r="H320">
        <v>67.13</v>
      </c>
      <c r="I320">
        <v>14.87</v>
      </c>
      <c r="J320">
        <v>49.16</v>
      </c>
      <c r="K320">
        <v>2</v>
      </c>
      <c r="T320">
        <v>3</v>
      </c>
      <c r="U320">
        <v>1</v>
      </c>
      <c r="V320" t="s">
        <v>94</v>
      </c>
      <c r="W320">
        <v>67</v>
      </c>
      <c r="X320">
        <v>19</v>
      </c>
      <c r="Y320">
        <v>16</v>
      </c>
      <c r="Z320" t="s">
        <v>556</v>
      </c>
      <c r="AA320" t="s">
        <v>557</v>
      </c>
      <c r="AB320" t="s">
        <v>89</v>
      </c>
      <c r="AC320" t="s">
        <v>90</v>
      </c>
      <c r="AD320" t="s">
        <v>91</v>
      </c>
      <c r="AE320" t="s">
        <v>425</v>
      </c>
      <c r="AG320" t="s">
        <v>558</v>
      </c>
      <c r="AH320">
        <v>0</v>
      </c>
      <c r="AI320">
        <v>699</v>
      </c>
      <c r="AJ320">
        <v>48</v>
      </c>
      <c r="AK320">
        <v>27</v>
      </c>
      <c r="AL320">
        <v>1</v>
      </c>
    </row>
    <row r="321" spans="1:38" x14ac:dyDescent="0.3">
      <c r="A321" t="s">
        <v>421</v>
      </c>
      <c r="B321">
        <v>122827</v>
      </c>
      <c r="C321">
        <v>2</v>
      </c>
      <c r="D321" t="s">
        <v>555</v>
      </c>
      <c r="E321">
        <v>2018.06</v>
      </c>
      <c r="F321">
        <v>27</v>
      </c>
      <c r="G321">
        <v>23.26</v>
      </c>
      <c r="H321">
        <v>76.91</v>
      </c>
      <c r="I321">
        <v>16.989999999999998</v>
      </c>
      <c r="J321">
        <v>56.17</v>
      </c>
      <c r="K321">
        <v>6</v>
      </c>
      <c r="T321">
        <v>3</v>
      </c>
      <c r="U321">
        <v>1</v>
      </c>
      <c r="V321" t="s">
        <v>94</v>
      </c>
      <c r="W321">
        <v>76</v>
      </c>
      <c r="X321">
        <v>19</v>
      </c>
      <c r="Y321">
        <v>16</v>
      </c>
      <c r="Z321" t="s">
        <v>556</v>
      </c>
      <c r="AA321" t="s">
        <v>557</v>
      </c>
      <c r="AB321" t="s">
        <v>89</v>
      </c>
      <c r="AC321" t="s">
        <v>90</v>
      </c>
      <c r="AD321" t="s">
        <v>91</v>
      </c>
      <c r="AE321" t="s">
        <v>425</v>
      </c>
      <c r="AG321" t="s">
        <v>558</v>
      </c>
      <c r="AH321">
        <v>0</v>
      </c>
      <c r="AI321">
        <v>699</v>
      </c>
      <c r="AJ321">
        <v>48</v>
      </c>
      <c r="AK321">
        <v>27</v>
      </c>
      <c r="AL321">
        <v>1</v>
      </c>
    </row>
    <row r="322" spans="1:38" x14ac:dyDescent="0.3">
      <c r="A322" t="s">
        <v>421</v>
      </c>
      <c r="B322">
        <v>122827</v>
      </c>
      <c r="C322">
        <v>3</v>
      </c>
      <c r="D322" t="s">
        <v>555</v>
      </c>
      <c r="E322">
        <v>2018.06</v>
      </c>
      <c r="F322">
        <v>27</v>
      </c>
      <c r="G322">
        <v>24.83</v>
      </c>
      <c r="H322">
        <v>82.09</v>
      </c>
      <c r="I322">
        <v>18.28</v>
      </c>
      <c r="J322">
        <v>60.44</v>
      </c>
      <c r="K322">
        <v>6</v>
      </c>
      <c r="T322">
        <v>3</v>
      </c>
      <c r="U322">
        <v>2</v>
      </c>
      <c r="V322" t="s">
        <v>94</v>
      </c>
      <c r="W322">
        <v>82</v>
      </c>
      <c r="X322">
        <v>19</v>
      </c>
      <c r="Y322">
        <v>16</v>
      </c>
      <c r="Z322" t="s">
        <v>556</v>
      </c>
      <c r="AA322" t="s">
        <v>557</v>
      </c>
      <c r="AB322" t="s">
        <v>89</v>
      </c>
      <c r="AC322" t="s">
        <v>90</v>
      </c>
      <c r="AD322" t="s">
        <v>91</v>
      </c>
      <c r="AE322" t="s">
        <v>425</v>
      </c>
      <c r="AG322" t="s">
        <v>558</v>
      </c>
      <c r="AH322">
        <v>0</v>
      </c>
      <c r="AI322">
        <v>699</v>
      </c>
      <c r="AJ322">
        <v>48</v>
      </c>
      <c r="AK322">
        <v>27</v>
      </c>
      <c r="AL322">
        <v>1</v>
      </c>
    </row>
    <row r="323" spans="1:38" x14ac:dyDescent="0.3">
      <c r="A323" t="s">
        <v>421</v>
      </c>
      <c r="B323">
        <v>122827</v>
      </c>
      <c r="C323">
        <v>4</v>
      </c>
      <c r="D323" t="s">
        <v>555</v>
      </c>
      <c r="E323">
        <v>2018.06</v>
      </c>
      <c r="F323">
        <v>27</v>
      </c>
      <c r="G323">
        <v>27.69</v>
      </c>
      <c r="H323">
        <v>91.56</v>
      </c>
      <c r="I323">
        <v>20.34</v>
      </c>
      <c r="J323">
        <v>67.25</v>
      </c>
      <c r="K323">
        <v>12</v>
      </c>
      <c r="T323">
        <v>3</v>
      </c>
      <c r="U323">
        <v>2</v>
      </c>
      <c r="V323" t="s">
        <v>94</v>
      </c>
      <c r="W323">
        <v>91</v>
      </c>
      <c r="X323">
        <v>19</v>
      </c>
      <c r="Y323">
        <v>16</v>
      </c>
      <c r="Z323" t="s">
        <v>556</v>
      </c>
      <c r="AA323" t="s">
        <v>557</v>
      </c>
      <c r="AB323" t="s">
        <v>89</v>
      </c>
      <c r="AC323" t="s">
        <v>90</v>
      </c>
      <c r="AD323" t="s">
        <v>91</v>
      </c>
      <c r="AE323" t="s">
        <v>425</v>
      </c>
      <c r="AG323" t="s">
        <v>558</v>
      </c>
      <c r="AH323">
        <v>0</v>
      </c>
      <c r="AI323">
        <v>699</v>
      </c>
      <c r="AJ323">
        <v>48</v>
      </c>
      <c r="AK323">
        <v>27</v>
      </c>
      <c r="AL323">
        <v>1</v>
      </c>
    </row>
    <row r="324" spans="1:38" x14ac:dyDescent="0.3">
      <c r="A324" t="s">
        <v>421</v>
      </c>
      <c r="B324">
        <v>122827</v>
      </c>
      <c r="C324">
        <v>5</v>
      </c>
      <c r="D324" t="s">
        <v>555</v>
      </c>
      <c r="E324">
        <v>2018.06</v>
      </c>
      <c r="F324">
        <v>27</v>
      </c>
      <c r="G324">
        <v>32.979999999999997</v>
      </c>
      <c r="H324">
        <v>109.03</v>
      </c>
      <c r="I324">
        <v>23.96</v>
      </c>
      <c r="J324">
        <v>79.23</v>
      </c>
      <c r="K324">
        <v>1</v>
      </c>
      <c r="T324">
        <v>3</v>
      </c>
      <c r="U324">
        <v>2</v>
      </c>
      <c r="V324" t="s">
        <v>94</v>
      </c>
      <c r="W324">
        <v>109</v>
      </c>
      <c r="X324">
        <v>19</v>
      </c>
      <c r="Y324">
        <v>16</v>
      </c>
      <c r="Z324" t="s">
        <v>556</v>
      </c>
      <c r="AA324" t="s">
        <v>557</v>
      </c>
      <c r="AB324" t="s">
        <v>89</v>
      </c>
      <c r="AC324" t="s">
        <v>90</v>
      </c>
      <c r="AD324" t="s">
        <v>91</v>
      </c>
      <c r="AE324" t="s">
        <v>425</v>
      </c>
      <c r="AG324" t="s">
        <v>558</v>
      </c>
      <c r="AH324">
        <v>0</v>
      </c>
      <c r="AI324">
        <v>699</v>
      </c>
      <c r="AJ324">
        <v>48</v>
      </c>
      <c r="AK324">
        <v>27</v>
      </c>
      <c r="AL324">
        <v>1</v>
      </c>
    </row>
    <row r="325" spans="1:38" x14ac:dyDescent="0.3">
      <c r="A325" t="s">
        <v>421</v>
      </c>
      <c r="B325">
        <v>144725</v>
      </c>
      <c r="C325">
        <v>1</v>
      </c>
      <c r="D325" t="s">
        <v>559</v>
      </c>
      <c r="E325">
        <v>2022.07</v>
      </c>
      <c r="F325">
        <v>143</v>
      </c>
      <c r="G325">
        <v>8.7100000000000009</v>
      </c>
      <c r="H325">
        <v>28.82</v>
      </c>
      <c r="I325">
        <v>5.21</v>
      </c>
      <c r="J325">
        <v>17.239999999999998</v>
      </c>
      <c r="K325">
        <v>13</v>
      </c>
      <c r="T325">
        <v>1</v>
      </c>
      <c r="U325">
        <v>1</v>
      </c>
      <c r="V325" t="s">
        <v>94</v>
      </c>
      <c r="W325" t="s">
        <v>560</v>
      </c>
      <c r="X325">
        <v>15</v>
      </c>
      <c r="Y325">
        <v>15</v>
      </c>
      <c r="Z325" t="s">
        <v>561</v>
      </c>
      <c r="AA325" t="s">
        <v>562</v>
      </c>
      <c r="AB325" t="s">
        <v>89</v>
      </c>
      <c r="AC325" t="s">
        <v>90</v>
      </c>
      <c r="AD325" t="s">
        <v>91</v>
      </c>
      <c r="AE325" t="s">
        <v>425</v>
      </c>
      <c r="AG325" t="s">
        <v>563</v>
      </c>
      <c r="AH325">
        <v>143</v>
      </c>
      <c r="AI325">
        <v>299</v>
      </c>
      <c r="AJ325">
        <v>52</v>
      </c>
      <c r="AK325">
        <v>109</v>
      </c>
      <c r="AL325">
        <v>0.76</v>
      </c>
    </row>
    <row r="326" spans="1:38" x14ac:dyDescent="0.3">
      <c r="A326" t="s">
        <v>421</v>
      </c>
      <c r="B326">
        <v>144725</v>
      </c>
      <c r="C326">
        <v>2</v>
      </c>
      <c r="D326" t="s">
        <v>559</v>
      </c>
      <c r="E326">
        <v>2022.07</v>
      </c>
      <c r="F326">
        <v>143</v>
      </c>
      <c r="G326">
        <v>9.39</v>
      </c>
      <c r="H326">
        <v>31.05</v>
      </c>
      <c r="I326">
        <v>5.83</v>
      </c>
      <c r="J326">
        <v>19.28</v>
      </c>
      <c r="K326">
        <v>26</v>
      </c>
      <c r="T326">
        <v>1</v>
      </c>
      <c r="U326">
        <v>1</v>
      </c>
      <c r="V326" t="s">
        <v>94</v>
      </c>
      <c r="W326" t="s">
        <v>564</v>
      </c>
      <c r="X326">
        <v>15</v>
      </c>
      <c r="Y326">
        <v>15</v>
      </c>
      <c r="Z326" t="s">
        <v>561</v>
      </c>
      <c r="AA326" t="s">
        <v>562</v>
      </c>
      <c r="AB326" t="s">
        <v>89</v>
      </c>
      <c r="AC326" t="s">
        <v>90</v>
      </c>
      <c r="AD326" t="s">
        <v>91</v>
      </c>
      <c r="AE326" t="s">
        <v>425</v>
      </c>
      <c r="AG326" t="s">
        <v>563</v>
      </c>
      <c r="AH326">
        <v>143</v>
      </c>
      <c r="AI326">
        <v>299</v>
      </c>
      <c r="AJ326">
        <v>52</v>
      </c>
      <c r="AK326">
        <v>109</v>
      </c>
      <c r="AL326">
        <v>0.76</v>
      </c>
    </row>
    <row r="327" spans="1:38" x14ac:dyDescent="0.3">
      <c r="A327" t="s">
        <v>421</v>
      </c>
      <c r="B327">
        <v>144725</v>
      </c>
      <c r="C327">
        <v>3</v>
      </c>
      <c r="D327" t="s">
        <v>559</v>
      </c>
      <c r="E327">
        <v>2022.07</v>
      </c>
      <c r="F327">
        <v>143</v>
      </c>
      <c r="G327">
        <v>11.75</v>
      </c>
      <c r="H327">
        <v>38.86</v>
      </c>
      <c r="I327">
        <v>7.29</v>
      </c>
      <c r="J327">
        <v>24.13</v>
      </c>
      <c r="K327">
        <v>104</v>
      </c>
      <c r="T327">
        <v>1</v>
      </c>
      <c r="U327">
        <v>1</v>
      </c>
      <c r="V327" t="s">
        <v>94</v>
      </c>
      <c r="W327" t="s">
        <v>565</v>
      </c>
      <c r="X327">
        <v>15</v>
      </c>
      <c r="Y327">
        <v>15</v>
      </c>
      <c r="Z327" t="s">
        <v>561</v>
      </c>
      <c r="AA327" t="s">
        <v>562</v>
      </c>
      <c r="AB327" t="s">
        <v>89</v>
      </c>
      <c r="AC327" t="s">
        <v>90</v>
      </c>
      <c r="AD327" t="s">
        <v>91</v>
      </c>
      <c r="AE327" t="s">
        <v>425</v>
      </c>
      <c r="AG327" t="s">
        <v>563</v>
      </c>
      <c r="AH327">
        <v>143</v>
      </c>
      <c r="AI327">
        <v>299</v>
      </c>
      <c r="AJ327">
        <v>52</v>
      </c>
      <c r="AK327">
        <v>109</v>
      </c>
      <c r="AL327">
        <v>0.76</v>
      </c>
    </row>
    <row r="328" spans="1:38" x14ac:dyDescent="0.3">
      <c r="A328" t="s">
        <v>421</v>
      </c>
      <c r="B328">
        <v>13571</v>
      </c>
      <c r="C328">
        <v>1</v>
      </c>
      <c r="D328" t="s">
        <v>566</v>
      </c>
      <c r="E328">
        <v>2005.11</v>
      </c>
      <c r="F328">
        <v>551</v>
      </c>
      <c r="G328">
        <v>25.58</v>
      </c>
      <c r="H328">
        <v>84.57</v>
      </c>
      <c r="I328">
        <v>18.14</v>
      </c>
      <c r="J328">
        <v>59.97</v>
      </c>
      <c r="K328">
        <v>197</v>
      </c>
      <c r="T328">
        <v>3</v>
      </c>
      <c r="U328">
        <v>2</v>
      </c>
      <c r="V328" t="s">
        <v>94</v>
      </c>
      <c r="W328">
        <v>84</v>
      </c>
      <c r="X328">
        <v>23</v>
      </c>
      <c r="Y328">
        <v>13</v>
      </c>
      <c r="Z328" t="s">
        <v>567</v>
      </c>
      <c r="AA328" t="s">
        <v>568</v>
      </c>
      <c r="AB328" t="s">
        <v>89</v>
      </c>
      <c r="AC328" t="s">
        <v>90</v>
      </c>
      <c r="AD328" t="s">
        <v>91</v>
      </c>
      <c r="AE328" t="s">
        <v>425</v>
      </c>
      <c r="AG328" t="s">
        <v>569</v>
      </c>
      <c r="AH328">
        <v>0</v>
      </c>
      <c r="AI328">
        <v>329</v>
      </c>
      <c r="AJ328">
        <v>23</v>
      </c>
      <c r="AK328">
        <v>542</v>
      </c>
      <c r="AL328">
        <v>0.98</v>
      </c>
    </row>
    <row r="329" spans="1:38" x14ac:dyDescent="0.3">
      <c r="A329" t="s">
        <v>421</v>
      </c>
      <c r="B329">
        <v>13571</v>
      </c>
      <c r="C329">
        <v>2</v>
      </c>
      <c r="D329" t="s">
        <v>566</v>
      </c>
      <c r="E329">
        <v>2005.11</v>
      </c>
      <c r="F329">
        <v>551</v>
      </c>
      <c r="G329">
        <v>31.52</v>
      </c>
      <c r="H329">
        <v>104.22</v>
      </c>
      <c r="I329">
        <v>24.86</v>
      </c>
      <c r="J329">
        <v>82.2</v>
      </c>
      <c r="K329">
        <v>314</v>
      </c>
      <c r="T329">
        <v>3</v>
      </c>
      <c r="U329">
        <v>2</v>
      </c>
      <c r="V329" t="s">
        <v>94</v>
      </c>
      <c r="W329">
        <v>104</v>
      </c>
      <c r="X329">
        <v>23</v>
      </c>
      <c r="Y329">
        <v>13</v>
      </c>
      <c r="Z329" t="s">
        <v>567</v>
      </c>
      <c r="AA329" t="s">
        <v>568</v>
      </c>
      <c r="AB329" t="s">
        <v>89</v>
      </c>
      <c r="AC329" t="s">
        <v>90</v>
      </c>
      <c r="AD329" t="s">
        <v>91</v>
      </c>
      <c r="AE329" t="s">
        <v>425</v>
      </c>
      <c r="AG329" t="s">
        <v>569</v>
      </c>
      <c r="AH329">
        <v>0</v>
      </c>
      <c r="AI329">
        <v>329</v>
      </c>
      <c r="AJ329">
        <v>23</v>
      </c>
      <c r="AK329">
        <v>542</v>
      </c>
      <c r="AL329">
        <v>0.98</v>
      </c>
    </row>
    <row r="330" spans="1:38" x14ac:dyDescent="0.3">
      <c r="A330" t="s">
        <v>421</v>
      </c>
      <c r="B330">
        <v>13571</v>
      </c>
      <c r="C330">
        <v>3</v>
      </c>
      <c r="D330" t="s">
        <v>566</v>
      </c>
      <c r="E330">
        <v>2005.11</v>
      </c>
      <c r="F330">
        <v>551</v>
      </c>
      <c r="G330">
        <v>43.26</v>
      </c>
      <c r="H330">
        <v>143.01</v>
      </c>
      <c r="I330">
        <v>34.75</v>
      </c>
      <c r="J330">
        <v>114.89</v>
      </c>
      <c r="K330">
        <v>40</v>
      </c>
      <c r="T330">
        <v>4</v>
      </c>
      <c r="U330">
        <v>2</v>
      </c>
      <c r="V330" t="s">
        <v>94</v>
      </c>
      <c r="W330">
        <v>143</v>
      </c>
      <c r="X330">
        <v>23</v>
      </c>
      <c r="Y330">
        <v>13</v>
      </c>
      <c r="Z330" t="s">
        <v>567</v>
      </c>
      <c r="AA330" t="s">
        <v>568</v>
      </c>
      <c r="AB330" t="s">
        <v>89</v>
      </c>
      <c r="AC330" t="s">
        <v>90</v>
      </c>
      <c r="AD330" t="s">
        <v>91</v>
      </c>
      <c r="AE330" t="s">
        <v>425</v>
      </c>
      <c r="AG330" t="s">
        <v>569</v>
      </c>
      <c r="AH330">
        <v>0</v>
      </c>
      <c r="AI330">
        <v>329</v>
      </c>
      <c r="AJ330">
        <v>23</v>
      </c>
      <c r="AK330">
        <v>542</v>
      </c>
      <c r="AL330">
        <v>0.98</v>
      </c>
    </row>
    <row r="331" spans="1:38" x14ac:dyDescent="0.3">
      <c r="A331" t="s">
        <v>421</v>
      </c>
      <c r="B331">
        <v>124780</v>
      </c>
      <c r="C331">
        <v>1</v>
      </c>
      <c r="D331" t="s">
        <v>570</v>
      </c>
      <c r="E331">
        <v>2022.01</v>
      </c>
      <c r="F331">
        <v>2737</v>
      </c>
      <c r="G331">
        <v>17.87</v>
      </c>
      <c r="H331">
        <v>59.1</v>
      </c>
      <c r="I331">
        <v>12.07</v>
      </c>
      <c r="J331">
        <v>39.93</v>
      </c>
      <c r="K331">
        <v>169</v>
      </c>
      <c r="T331">
        <v>2</v>
      </c>
      <c r="U331">
        <v>1</v>
      </c>
      <c r="V331" t="s">
        <v>128</v>
      </c>
      <c r="W331">
        <v>59</v>
      </c>
      <c r="X331">
        <v>29</v>
      </c>
      <c r="Y331">
        <v>18</v>
      </c>
      <c r="Z331" t="s">
        <v>571</v>
      </c>
      <c r="AA331" t="s">
        <v>572</v>
      </c>
      <c r="AB331" t="s">
        <v>89</v>
      </c>
      <c r="AC331" t="s">
        <v>90</v>
      </c>
      <c r="AD331" t="s">
        <v>91</v>
      </c>
      <c r="AE331" t="s">
        <v>425</v>
      </c>
      <c r="AG331" t="s">
        <v>573</v>
      </c>
      <c r="AH331">
        <v>175</v>
      </c>
      <c r="AI331">
        <v>250</v>
      </c>
      <c r="AJ331">
        <v>16</v>
      </c>
      <c r="AK331">
        <v>3422</v>
      </c>
      <c r="AL331">
        <v>1.25</v>
      </c>
    </row>
    <row r="332" spans="1:38" x14ac:dyDescent="0.3">
      <c r="A332" t="s">
        <v>421</v>
      </c>
      <c r="B332">
        <v>124780</v>
      </c>
      <c r="C332">
        <v>2</v>
      </c>
      <c r="D332" t="s">
        <v>570</v>
      </c>
      <c r="E332">
        <v>2022.01</v>
      </c>
      <c r="F332">
        <v>2737</v>
      </c>
      <c r="G332">
        <v>20.75</v>
      </c>
      <c r="H332">
        <v>68.62</v>
      </c>
      <c r="I332">
        <v>13.78</v>
      </c>
      <c r="J332">
        <v>45.58</v>
      </c>
      <c r="K332">
        <v>113</v>
      </c>
      <c r="T332">
        <v>2</v>
      </c>
      <c r="U332">
        <v>1</v>
      </c>
      <c r="V332" t="s">
        <v>128</v>
      </c>
      <c r="W332">
        <v>68</v>
      </c>
      <c r="X332">
        <v>29</v>
      </c>
      <c r="Y332">
        <v>18</v>
      </c>
      <c r="Z332" t="s">
        <v>571</v>
      </c>
      <c r="AA332" t="s">
        <v>572</v>
      </c>
      <c r="AB332" t="s">
        <v>89</v>
      </c>
      <c r="AC332" t="s">
        <v>90</v>
      </c>
      <c r="AD332" t="s">
        <v>91</v>
      </c>
      <c r="AE332" t="s">
        <v>425</v>
      </c>
      <c r="AG332" t="s">
        <v>573</v>
      </c>
      <c r="AH332">
        <v>175</v>
      </c>
      <c r="AI332">
        <v>250</v>
      </c>
      <c r="AJ332">
        <v>16</v>
      </c>
      <c r="AK332">
        <v>3422</v>
      </c>
      <c r="AL332">
        <v>1.25</v>
      </c>
    </row>
    <row r="333" spans="1:38" x14ac:dyDescent="0.3">
      <c r="A333" t="s">
        <v>421</v>
      </c>
      <c r="B333">
        <v>124780</v>
      </c>
      <c r="C333">
        <v>3</v>
      </c>
      <c r="D333" t="s">
        <v>570</v>
      </c>
      <c r="E333">
        <v>2022.01</v>
      </c>
      <c r="F333">
        <v>2737</v>
      </c>
      <c r="G333">
        <v>21.01</v>
      </c>
      <c r="H333">
        <v>69.48</v>
      </c>
      <c r="I333">
        <v>15.11</v>
      </c>
      <c r="J333">
        <v>49.98</v>
      </c>
      <c r="K333">
        <v>150</v>
      </c>
      <c r="T333">
        <v>2</v>
      </c>
      <c r="U333">
        <v>1</v>
      </c>
      <c r="V333" t="s">
        <v>94</v>
      </c>
      <c r="W333" t="s">
        <v>440</v>
      </c>
      <c r="X333">
        <v>29</v>
      </c>
      <c r="Y333">
        <v>18</v>
      </c>
      <c r="Z333" t="s">
        <v>571</v>
      </c>
      <c r="AA333" t="s">
        <v>572</v>
      </c>
      <c r="AB333" t="s">
        <v>89</v>
      </c>
      <c r="AC333" t="s">
        <v>90</v>
      </c>
      <c r="AD333" t="s">
        <v>91</v>
      </c>
      <c r="AE333" t="s">
        <v>425</v>
      </c>
      <c r="AG333" t="s">
        <v>573</v>
      </c>
      <c r="AH333">
        <v>175</v>
      </c>
      <c r="AI333">
        <v>250</v>
      </c>
      <c r="AJ333">
        <v>16</v>
      </c>
      <c r="AK333">
        <v>3422</v>
      </c>
      <c r="AL333">
        <v>1.25</v>
      </c>
    </row>
    <row r="334" spans="1:38" x14ac:dyDescent="0.3">
      <c r="A334" t="s">
        <v>421</v>
      </c>
      <c r="B334">
        <v>124780</v>
      </c>
      <c r="C334">
        <v>4</v>
      </c>
      <c r="D334" t="s">
        <v>570</v>
      </c>
      <c r="E334">
        <v>2022.01</v>
      </c>
      <c r="F334">
        <v>2737</v>
      </c>
      <c r="G334">
        <v>20.99</v>
      </c>
      <c r="H334">
        <v>69.42</v>
      </c>
      <c r="I334">
        <v>15.11</v>
      </c>
      <c r="J334">
        <v>49.96</v>
      </c>
      <c r="K334">
        <v>101</v>
      </c>
      <c r="T334">
        <v>2</v>
      </c>
      <c r="U334">
        <v>1</v>
      </c>
      <c r="V334" t="s">
        <v>94</v>
      </c>
      <c r="W334" t="s">
        <v>276</v>
      </c>
      <c r="X334">
        <v>29</v>
      </c>
      <c r="Y334">
        <v>18</v>
      </c>
      <c r="Z334" t="s">
        <v>571</v>
      </c>
      <c r="AA334" t="s">
        <v>572</v>
      </c>
      <c r="AB334" t="s">
        <v>89</v>
      </c>
      <c r="AC334" t="s">
        <v>90</v>
      </c>
      <c r="AD334" t="s">
        <v>91</v>
      </c>
      <c r="AE334" t="s">
        <v>425</v>
      </c>
      <c r="AG334" t="s">
        <v>573</v>
      </c>
      <c r="AH334">
        <v>175</v>
      </c>
      <c r="AI334">
        <v>250</v>
      </c>
      <c r="AJ334">
        <v>16</v>
      </c>
      <c r="AK334">
        <v>3422</v>
      </c>
      <c r="AL334">
        <v>1.25</v>
      </c>
    </row>
    <row r="335" spans="1:38" x14ac:dyDescent="0.3">
      <c r="A335" t="s">
        <v>421</v>
      </c>
      <c r="B335">
        <v>124780</v>
      </c>
      <c r="C335">
        <v>5</v>
      </c>
      <c r="D335" t="s">
        <v>570</v>
      </c>
      <c r="E335">
        <v>2022.01</v>
      </c>
      <c r="F335">
        <v>2737</v>
      </c>
      <c r="G335">
        <v>21.16</v>
      </c>
      <c r="H335">
        <v>69.97</v>
      </c>
      <c r="I335">
        <v>15.05</v>
      </c>
      <c r="J335">
        <v>49.76</v>
      </c>
      <c r="K335">
        <v>49</v>
      </c>
      <c r="T335">
        <v>2</v>
      </c>
      <c r="U335">
        <v>1</v>
      </c>
      <c r="V335" t="s">
        <v>94</v>
      </c>
      <c r="W335" t="s">
        <v>574</v>
      </c>
      <c r="X335">
        <v>29</v>
      </c>
      <c r="Y335">
        <v>18</v>
      </c>
      <c r="Z335" t="s">
        <v>571</v>
      </c>
      <c r="AA335" t="s">
        <v>572</v>
      </c>
      <c r="AB335" t="s">
        <v>89</v>
      </c>
      <c r="AC335" t="s">
        <v>90</v>
      </c>
      <c r="AD335" t="s">
        <v>91</v>
      </c>
      <c r="AE335" t="s">
        <v>425</v>
      </c>
      <c r="AG335" t="s">
        <v>573</v>
      </c>
      <c r="AH335">
        <v>175</v>
      </c>
      <c r="AI335">
        <v>250</v>
      </c>
      <c r="AJ335">
        <v>16</v>
      </c>
      <c r="AK335">
        <v>3422</v>
      </c>
      <c r="AL335">
        <v>1.25</v>
      </c>
    </row>
    <row r="336" spans="1:38" x14ac:dyDescent="0.3">
      <c r="A336" t="s">
        <v>421</v>
      </c>
      <c r="B336">
        <v>124780</v>
      </c>
      <c r="C336">
        <v>6</v>
      </c>
      <c r="D336" t="s">
        <v>570</v>
      </c>
      <c r="E336">
        <v>2022.01</v>
      </c>
      <c r="F336">
        <v>2737</v>
      </c>
      <c r="G336">
        <v>25.33</v>
      </c>
      <c r="H336">
        <v>83.75</v>
      </c>
      <c r="I336">
        <v>18.14</v>
      </c>
      <c r="J336">
        <v>59.98</v>
      </c>
      <c r="K336">
        <v>671</v>
      </c>
      <c r="T336">
        <v>3</v>
      </c>
      <c r="U336">
        <v>2</v>
      </c>
      <c r="V336" t="s">
        <v>94</v>
      </c>
      <c r="W336" t="s">
        <v>575</v>
      </c>
      <c r="X336">
        <v>29</v>
      </c>
      <c r="Y336">
        <v>18</v>
      </c>
      <c r="Z336" t="s">
        <v>571</v>
      </c>
      <c r="AA336" t="s">
        <v>572</v>
      </c>
      <c r="AB336" t="s">
        <v>89</v>
      </c>
      <c r="AC336" t="s">
        <v>90</v>
      </c>
      <c r="AD336" t="s">
        <v>91</v>
      </c>
      <c r="AE336" t="s">
        <v>425</v>
      </c>
      <c r="AG336" t="s">
        <v>573</v>
      </c>
      <c r="AH336">
        <v>175</v>
      </c>
      <c r="AI336">
        <v>250</v>
      </c>
      <c r="AJ336">
        <v>16</v>
      </c>
      <c r="AK336">
        <v>3422</v>
      </c>
      <c r="AL336">
        <v>1.25</v>
      </c>
    </row>
    <row r="337" spans="1:38" x14ac:dyDescent="0.3">
      <c r="A337" t="s">
        <v>421</v>
      </c>
      <c r="B337">
        <v>124780</v>
      </c>
      <c r="C337">
        <v>7</v>
      </c>
      <c r="D337" t="s">
        <v>570</v>
      </c>
      <c r="E337">
        <v>2022.01</v>
      </c>
      <c r="F337">
        <v>2737</v>
      </c>
      <c r="G337">
        <v>25.4</v>
      </c>
      <c r="H337">
        <v>83.98</v>
      </c>
      <c r="I337">
        <v>18.14</v>
      </c>
      <c r="J337">
        <v>59.99</v>
      </c>
      <c r="K337">
        <v>45</v>
      </c>
      <c r="T337">
        <v>3</v>
      </c>
      <c r="U337">
        <v>2</v>
      </c>
      <c r="V337" t="s">
        <v>94</v>
      </c>
      <c r="W337" t="s">
        <v>576</v>
      </c>
      <c r="X337">
        <v>29</v>
      </c>
      <c r="Y337">
        <v>18</v>
      </c>
      <c r="Z337" t="s">
        <v>571</v>
      </c>
      <c r="AA337" t="s">
        <v>572</v>
      </c>
      <c r="AB337" t="s">
        <v>89</v>
      </c>
      <c r="AC337" t="s">
        <v>90</v>
      </c>
      <c r="AD337" t="s">
        <v>91</v>
      </c>
      <c r="AE337" t="s">
        <v>425</v>
      </c>
      <c r="AG337" t="s">
        <v>573</v>
      </c>
      <c r="AH337">
        <v>175</v>
      </c>
      <c r="AI337">
        <v>250</v>
      </c>
      <c r="AJ337">
        <v>16</v>
      </c>
      <c r="AK337">
        <v>3422</v>
      </c>
      <c r="AL337">
        <v>1.25</v>
      </c>
    </row>
    <row r="338" spans="1:38" x14ac:dyDescent="0.3">
      <c r="A338" t="s">
        <v>421</v>
      </c>
      <c r="B338">
        <v>124780</v>
      </c>
      <c r="C338">
        <v>8</v>
      </c>
      <c r="D338" t="s">
        <v>570</v>
      </c>
      <c r="E338">
        <v>2022.01</v>
      </c>
      <c r="F338">
        <v>2737</v>
      </c>
      <c r="G338">
        <v>25.48</v>
      </c>
      <c r="H338">
        <v>84.24</v>
      </c>
      <c r="I338">
        <v>18.13</v>
      </c>
      <c r="J338">
        <v>59.96</v>
      </c>
      <c r="K338">
        <v>158</v>
      </c>
      <c r="T338">
        <v>3</v>
      </c>
      <c r="U338">
        <v>2</v>
      </c>
      <c r="V338" t="s">
        <v>94</v>
      </c>
      <c r="W338" t="s">
        <v>108</v>
      </c>
      <c r="X338">
        <v>29</v>
      </c>
      <c r="Y338">
        <v>18</v>
      </c>
      <c r="Z338" t="s">
        <v>571</v>
      </c>
      <c r="AA338" t="s">
        <v>572</v>
      </c>
      <c r="AB338" t="s">
        <v>89</v>
      </c>
      <c r="AC338" t="s">
        <v>90</v>
      </c>
      <c r="AD338" t="s">
        <v>91</v>
      </c>
      <c r="AE338" t="s">
        <v>425</v>
      </c>
      <c r="AG338" t="s">
        <v>573</v>
      </c>
      <c r="AH338">
        <v>175</v>
      </c>
      <c r="AI338">
        <v>250</v>
      </c>
      <c r="AJ338">
        <v>16</v>
      </c>
      <c r="AK338">
        <v>3422</v>
      </c>
      <c r="AL338">
        <v>1.25</v>
      </c>
    </row>
    <row r="339" spans="1:38" x14ac:dyDescent="0.3">
      <c r="A339" t="s">
        <v>421</v>
      </c>
      <c r="B339">
        <v>124780</v>
      </c>
      <c r="C339">
        <v>9</v>
      </c>
      <c r="D339" t="s">
        <v>570</v>
      </c>
      <c r="E339">
        <v>2022.01</v>
      </c>
      <c r="F339">
        <v>2737</v>
      </c>
      <c r="G339">
        <v>30.18</v>
      </c>
      <c r="H339">
        <v>99.8</v>
      </c>
      <c r="I339">
        <v>22.97</v>
      </c>
      <c r="J339">
        <v>75.94</v>
      </c>
      <c r="K339">
        <v>110</v>
      </c>
      <c r="T339">
        <v>3</v>
      </c>
      <c r="U339">
        <v>2</v>
      </c>
      <c r="V339" t="s">
        <v>94</v>
      </c>
      <c r="W339" t="s">
        <v>577</v>
      </c>
      <c r="X339">
        <v>29</v>
      </c>
      <c r="Y339">
        <v>18</v>
      </c>
      <c r="Z339" t="s">
        <v>571</v>
      </c>
      <c r="AA339" t="s">
        <v>572</v>
      </c>
      <c r="AB339" t="s">
        <v>89</v>
      </c>
      <c r="AC339" t="s">
        <v>90</v>
      </c>
      <c r="AD339" t="s">
        <v>91</v>
      </c>
      <c r="AE339" t="s">
        <v>425</v>
      </c>
      <c r="AG339" t="s">
        <v>573</v>
      </c>
      <c r="AH339">
        <v>175</v>
      </c>
      <c r="AI339">
        <v>250</v>
      </c>
      <c r="AJ339">
        <v>16</v>
      </c>
      <c r="AK339">
        <v>3422</v>
      </c>
      <c r="AL339">
        <v>1.25</v>
      </c>
    </row>
    <row r="340" spans="1:38" x14ac:dyDescent="0.3">
      <c r="A340" t="s">
        <v>421</v>
      </c>
      <c r="B340">
        <v>124780</v>
      </c>
      <c r="C340">
        <v>10</v>
      </c>
      <c r="D340" t="s">
        <v>570</v>
      </c>
      <c r="E340">
        <v>2022.01</v>
      </c>
      <c r="F340">
        <v>2737</v>
      </c>
      <c r="G340">
        <v>30.23</v>
      </c>
      <c r="H340">
        <v>99.96</v>
      </c>
      <c r="I340">
        <v>22.97</v>
      </c>
      <c r="J340">
        <v>75.95</v>
      </c>
      <c r="K340">
        <v>110</v>
      </c>
      <c r="T340">
        <v>3</v>
      </c>
      <c r="U340">
        <v>2</v>
      </c>
      <c r="V340" t="s">
        <v>94</v>
      </c>
      <c r="W340" t="s">
        <v>578</v>
      </c>
      <c r="X340">
        <v>29</v>
      </c>
      <c r="Y340">
        <v>18</v>
      </c>
      <c r="Z340" t="s">
        <v>571</v>
      </c>
      <c r="AA340" t="s">
        <v>572</v>
      </c>
      <c r="AB340" t="s">
        <v>89</v>
      </c>
      <c r="AC340" t="s">
        <v>90</v>
      </c>
      <c r="AD340" t="s">
        <v>91</v>
      </c>
      <c r="AE340" t="s">
        <v>425</v>
      </c>
      <c r="AG340" t="s">
        <v>573</v>
      </c>
      <c r="AH340">
        <v>175</v>
      </c>
      <c r="AI340">
        <v>250</v>
      </c>
      <c r="AJ340">
        <v>16</v>
      </c>
      <c r="AK340">
        <v>3422</v>
      </c>
      <c r="AL340">
        <v>1.25</v>
      </c>
    </row>
    <row r="341" spans="1:38" x14ac:dyDescent="0.3">
      <c r="A341" t="s">
        <v>421</v>
      </c>
      <c r="B341">
        <v>124780</v>
      </c>
      <c r="C341">
        <v>11</v>
      </c>
      <c r="D341" t="s">
        <v>570</v>
      </c>
      <c r="E341">
        <v>2022.01</v>
      </c>
      <c r="F341">
        <v>2737</v>
      </c>
      <c r="G341">
        <v>30.29</v>
      </c>
      <c r="H341">
        <v>100.15</v>
      </c>
      <c r="I341">
        <v>22.98</v>
      </c>
      <c r="J341">
        <v>75.989999999999995</v>
      </c>
      <c r="K341">
        <v>165</v>
      </c>
      <c r="T341">
        <v>3</v>
      </c>
      <c r="U341">
        <v>2</v>
      </c>
      <c r="V341" t="s">
        <v>94</v>
      </c>
      <c r="W341" t="s">
        <v>579</v>
      </c>
      <c r="X341">
        <v>29</v>
      </c>
      <c r="Y341">
        <v>18</v>
      </c>
      <c r="Z341" t="s">
        <v>571</v>
      </c>
      <c r="AA341" t="s">
        <v>572</v>
      </c>
      <c r="AB341" t="s">
        <v>89</v>
      </c>
      <c r="AC341" t="s">
        <v>90</v>
      </c>
      <c r="AD341" t="s">
        <v>91</v>
      </c>
      <c r="AE341" t="s">
        <v>425</v>
      </c>
      <c r="AG341" t="s">
        <v>573</v>
      </c>
      <c r="AH341">
        <v>175</v>
      </c>
      <c r="AI341">
        <v>250</v>
      </c>
      <c r="AJ341">
        <v>16</v>
      </c>
      <c r="AK341">
        <v>3422</v>
      </c>
      <c r="AL341">
        <v>1.25</v>
      </c>
    </row>
    <row r="342" spans="1:38" x14ac:dyDescent="0.3">
      <c r="A342" t="s">
        <v>421</v>
      </c>
      <c r="B342">
        <v>124780</v>
      </c>
      <c r="C342">
        <v>12</v>
      </c>
      <c r="D342" t="s">
        <v>570</v>
      </c>
      <c r="E342">
        <v>2022.01</v>
      </c>
      <c r="F342">
        <v>2737</v>
      </c>
      <c r="G342">
        <v>34.049999999999997</v>
      </c>
      <c r="H342">
        <v>112.59</v>
      </c>
      <c r="I342">
        <v>25.7</v>
      </c>
      <c r="J342">
        <v>84.98</v>
      </c>
      <c r="K342">
        <v>430</v>
      </c>
      <c r="T342">
        <v>4</v>
      </c>
      <c r="U342">
        <v>2</v>
      </c>
      <c r="V342" t="s">
        <v>94</v>
      </c>
      <c r="W342" t="s">
        <v>261</v>
      </c>
      <c r="X342">
        <v>29</v>
      </c>
      <c r="Y342">
        <v>18</v>
      </c>
      <c r="Z342" t="s">
        <v>571</v>
      </c>
      <c r="AA342" t="s">
        <v>572</v>
      </c>
      <c r="AB342" t="s">
        <v>89</v>
      </c>
      <c r="AC342" t="s">
        <v>90</v>
      </c>
      <c r="AD342" t="s">
        <v>91</v>
      </c>
      <c r="AE342" t="s">
        <v>425</v>
      </c>
      <c r="AG342" t="s">
        <v>573</v>
      </c>
      <c r="AH342">
        <v>175</v>
      </c>
      <c r="AI342">
        <v>250</v>
      </c>
      <c r="AJ342">
        <v>16</v>
      </c>
      <c r="AK342">
        <v>3422</v>
      </c>
      <c r="AL342">
        <v>1.25</v>
      </c>
    </row>
    <row r="343" spans="1:38" x14ac:dyDescent="0.3">
      <c r="A343" t="s">
        <v>421</v>
      </c>
      <c r="B343">
        <v>124780</v>
      </c>
      <c r="C343">
        <v>13</v>
      </c>
      <c r="D343" t="s">
        <v>570</v>
      </c>
      <c r="E343">
        <v>2022.01</v>
      </c>
      <c r="F343">
        <v>2737</v>
      </c>
      <c r="G343">
        <v>34.1</v>
      </c>
      <c r="H343">
        <v>112.73</v>
      </c>
      <c r="I343">
        <v>25.7</v>
      </c>
      <c r="J343">
        <v>84.98</v>
      </c>
      <c r="K343">
        <v>189</v>
      </c>
      <c r="T343">
        <v>3</v>
      </c>
      <c r="U343">
        <v>2</v>
      </c>
      <c r="V343" t="s">
        <v>94</v>
      </c>
      <c r="W343" t="s">
        <v>580</v>
      </c>
      <c r="X343">
        <v>29</v>
      </c>
      <c r="Y343">
        <v>18</v>
      </c>
      <c r="Z343" t="s">
        <v>571</v>
      </c>
      <c r="AA343" t="s">
        <v>572</v>
      </c>
      <c r="AB343" t="s">
        <v>89</v>
      </c>
      <c r="AC343" t="s">
        <v>90</v>
      </c>
      <c r="AD343" t="s">
        <v>91</v>
      </c>
      <c r="AE343" t="s">
        <v>425</v>
      </c>
      <c r="AG343" t="s">
        <v>573</v>
      </c>
      <c r="AH343">
        <v>175</v>
      </c>
      <c r="AI343">
        <v>250</v>
      </c>
      <c r="AJ343">
        <v>16</v>
      </c>
      <c r="AK343">
        <v>3422</v>
      </c>
      <c r="AL343">
        <v>1.25</v>
      </c>
    </row>
    <row r="344" spans="1:38" x14ac:dyDescent="0.3">
      <c r="A344" t="s">
        <v>421</v>
      </c>
      <c r="B344">
        <v>124780</v>
      </c>
      <c r="C344">
        <v>14</v>
      </c>
      <c r="D344" t="s">
        <v>570</v>
      </c>
      <c r="E344">
        <v>2022.01</v>
      </c>
      <c r="F344">
        <v>2737</v>
      </c>
      <c r="G344">
        <v>39.67</v>
      </c>
      <c r="H344">
        <v>131.15</v>
      </c>
      <c r="I344">
        <v>31.12</v>
      </c>
      <c r="J344">
        <v>102.89</v>
      </c>
      <c r="K344">
        <v>102</v>
      </c>
      <c r="T344">
        <v>4</v>
      </c>
      <c r="U344">
        <v>2</v>
      </c>
      <c r="V344" t="s">
        <v>94</v>
      </c>
      <c r="W344">
        <v>131</v>
      </c>
      <c r="X344">
        <v>29</v>
      </c>
      <c r="Y344">
        <v>18</v>
      </c>
      <c r="Z344" t="s">
        <v>571</v>
      </c>
      <c r="AA344" t="s">
        <v>572</v>
      </c>
      <c r="AB344" t="s">
        <v>89</v>
      </c>
      <c r="AC344" t="s">
        <v>90</v>
      </c>
      <c r="AD344" t="s">
        <v>91</v>
      </c>
      <c r="AE344" t="s">
        <v>425</v>
      </c>
      <c r="AG344" t="s">
        <v>573</v>
      </c>
      <c r="AH344">
        <v>175</v>
      </c>
      <c r="AI344">
        <v>250</v>
      </c>
      <c r="AJ344">
        <v>16</v>
      </c>
      <c r="AK344">
        <v>3422</v>
      </c>
      <c r="AL344">
        <v>1.25</v>
      </c>
    </row>
    <row r="345" spans="1:38" x14ac:dyDescent="0.3">
      <c r="A345" t="s">
        <v>421</v>
      </c>
      <c r="B345">
        <v>1995</v>
      </c>
      <c r="C345">
        <v>1</v>
      </c>
      <c r="D345" t="s">
        <v>581</v>
      </c>
      <c r="E345">
        <v>1985.11</v>
      </c>
      <c r="F345">
        <v>540</v>
      </c>
      <c r="G345">
        <v>31.08</v>
      </c>
      <c r="H345">
        <v>102.76</v>
      </c>
      <c r="I345">
        <v>25.7</v>
      </c>
      <c r="J345">
        <v>84.99</v>
      </c>
      <c r="K345">
        <v>240</v>
      </c>
      <c r="T345">
        <v>3</v>
      </c>
      <c r="U345">
        <v>1</v>
      </c>
      <c r="V345" t="s">
        <v>94</v>
      </c>
      <c r="W345">
        <v>102</v>
      </c>
      <c r="X345">
        <v>15</v>
      </c>
      <c r="Y345">
        <v>15</v>
      </c>
      <c r="Z345" t="s">
        <v>582</v>
      </c>
      <c r="AA345" t="s">
        <v>583</v>
      </c>
      <c r="AB345" t="s">
        <v>89</v>
      </c>
      <c r="AC345" t="s">
        <v>90</v>
      </c>
      <c r="AD345" t="s">
        <v>91</v>
      </c>
      <c r="AE345" t="s">
        <v>425</v>
      </c>
      <c r="AG345" t="s">
        <v>584</v>
      </c>
      <c r="AH345">
        <v>0</v>
      </c>
      <c r="AI345">
        <v>192</v>
      </c>
      <c r="AJ345">
        <v>0</v>
      </c>
      <c r="AK345">
        <v>0</v>
      </c>
      <c r="AL345">
        <v>0</v>
      </c>
    </row>
    <row r="346" spans="1:38" x14ac:dyDescent="0.3">
      <c r="A346" t="s">
        <v>421</v>
      </c>
      <c r="B346">
        <v>1995</v>
      </c>
      <c r="C346">
        <v>2</v>
      </c>
      <c r="D346" t="s">
        <v>581</v>
      </c>
      <c r="E346">
        <v>1985.11</v>
      </c>
      <c r="F346">
        <v>540</v>
      </c>
      <c r="G346">
        <v>30.96</v>
      </c>
      <c r="H346">
        <v>102.37</v>
      </c>
      <c r="I346">
        <v>25.66</v>
      </c>
      <c r="J346">
        <v>84.85</v>
      </c>
      <c r="K346">
        <v>120</v>
      </c>
      <c r="T346">
        <v>3</v>
      </c>
      <c r="U346">
        <v>1</v>
      </c>
      <c r="V346" t="s">
        <v>94</v>
      </c>
      <c r="W346" t="s">
        <v>585</v>
      </c>
      <c r="X346">
        <v>15</v>
      </c>
      <c r="Y346">
        <v>15</v>
      </c>
      <c r="Z346" t="s">
        <v>582</v>
      </c>
      <c r="AA346" t="s">
        <v>583</v>
      </c>
      <c r="AB346" t="s">
        <v>89</v>
      </c>
      <c r="AC346" t="s">
        <v>90</v>
      </c>
      <c r="AD346" t="s">
        <v>91</v>
      </c>
      <c r="AE346" t="s">
        <v>425</v>
      </c>
      <c r="AG346" t="s">
        <v>584</v>
      </c>
      <c r="AH346">
        <v>0</v>
      </c>
      <c r="AI346">
        <v>192</v>
      </c>
      <c r="AJ346">
        <v>0</v>
      </c>
      <c r="AK346">
        <v>0</v>
      </c>
      <c r="AL346">
        <v>0</v>
      </c>
    </row>
    <row r="347" spans="1:38" x14ac:dyDescent="0.3">
      <c r="A347" t="s">
        <v>421</v>
      </c>
      <c r="B347">
        <v>1995</v>
      </c>
      <c r="C347">
        <v>3</v>
      </c>
      <c r="D347" t="s">
        <v>581</v>
      </c>
      <c r="E347">
        <v>1985.11</v>
      </c>
      <c r="F347">
        <v>540</v>
      </c>
      <c r="G347">
        <v>44.98</v>
      </c>
      <c r="H347">
        <v>148.72</v>
      </c>
      <c r="I347">
        <v>38.99</v>
      </c>
      <c r="J347">
        <v>128.9</v>
      </c>
      <c r="K347">
        <v>150</v>
      </c>
      <c r="T347">
        <v>4</v>
      </c>
      <c r="U347">
        <v>2</v>
      </c>
      <c r="V347" t="s">
        <v>94</v>
      </c>
      <c r="W347">
        <v>148</v>
      </c>
      <c r="X347">
        <v>15</v>
      </c>
      <c r="Y347">
        <v>15</v>
      </c>
      <c r="Z347" t="s">
        <v>582</v>
      </c>
      <c r="AA347" t="s">
        <v>583</v>
      </c>
      <c r="AB347" t="s">
        <v>89</v>
      </c>
      <c r="AC347" t="s">
        <v>90</v>
      </c>
      <c r="AD347" t="s">
        <v>91</v>
      </c>
      <c r="AE347" t="s">
        <v>425</v>
      </c>
      <c r="AG347" t="s">
        <v>584</v>
      </c>
      <c r="AH347">
        <v>0</v>
      </c>
      <c r="AI347">
        <v>192</v>
      </c>
      <c r="AJ347">
        <v>0</v>
      </c>
      <c r="AK347">
        <v>0</v>
      </c>
      <c r="AL347">
        <v>0</v>
      </c>
    </row>
    <row r="348" spans="1:38" x14ac:dyDescent="0.3">
      <c r="A348" t="s">
        <v>421</v>
      </c>
      <c r="B348">
        <v>1995</v>
      </c>
      <c r="C348">
        <v>4</v>
      </c>
      <c r="D348" t="s">
        <v>581</v>
      </c>
      <c r="E348">
        <v>1985.11</v>
      </c>
      <c r="F348">
        <v>540</v>
      </c>
      <c r="G348">
        <v>56.95</v>
      </c>
      <c r="H348">
        <v>188.27</v>
      </c>
      <c r="I348">
        <v>49.68</v>
      </c>
      <c r="J348">
        <v>164.24</v>
      </c>
      <c r="K348">
        <v>30</v>
      </c>
      <c r="T348">
        <v>5</v>
      </c>
      <c r="U348">
        <v>2</v>
      </c>
      <c r="V348" t="s">
        <v>94</v>
      </c>
      <c r="W348">
        <v>188</v>
      </c>
      <c r="X348">
        <v>15</v>
      </c>
      <c r="Y348">
        <v>15</v>
      </c>
      <c r="Z348" t="s">
        <v>582</v>
      </c>
      <c r="AA348" t="s">
        <v>583</v>
      </c>
      <c r="AB348" t="s">
        <v>89</v>
      </c>
      <c r="AC348" t="s">
        <v>90</v>
      </c>
      <c r="AD348" t="s">
        <v>91</v>
      </c>
      <c r="AE348" t="s">
        <v>425</v>
      </c>
      <c r="AG348" t="s">
        <v>584</v>
      </c>
      <c r="AH348">
        <v>0</v>
      </c>
      <c r="AI348">
        <v>192</v>
      </c>
      <c r="AJ348">
        <v>0</v>
      </c>
      <c r="AK348">
        <v>0</v>
      </c>
      <c r="AL348">
        <v>0</v>
      </c>
    </row>
    <row r="349" spans="1:38" x14ac:dyDescent="0.3">
      <c r="A349" t="s">
        <v>421</v>
      </c>
      <c r="B349">
        <v>13922</v>
      </c>
      <c r="C349">
        <v>1</v>
      </c>
      <c r="D349" t="s">
        <v>586</v>
      </c>
      <c r="E349">
        <v>1981.09</v>
      </c>
      <c r="F349">
        <v>912</v>
      </c>
      <c r="G349">
        <v>18.38</v>
      </c>
      <c r="H349">
        <v>60.79</v>
      </c>
      <c r="I349">
        <v>17.170000000000002</v>
      </c>
      <c r="J349">
        <v>56.79</v>
      </c>
      <c r="K349">
        <v>54</v>
      </c>
      <c r="T349">
        <v>2</v>
      </c>
      <c r="U349">
        <v>1</v>
      </c>
      <c r="V349" t="s">
        <v>128</v>
      </c>
      <c r="W349" t="s">
        <v>587</v>
      </c>
      <c r="X349">
        <v>12</v>
      </c>
      <c r="Y349">
        <v>12</v>
      </c>
      <c r="Z349" t="s">
        <v>588</v>
      </c>
      <c r="AA349" t="s">
        <v>589</v>
      </c>
      <c r="AB349" t="s">
        <v>89</v>
      </c>
      <c r="AC349" t="s">
        <v>90</v>
      </c>
      <c r="AD349" t="s">
        <v>91</v>
      </c>
      <c r="AE349" t="s">
        <v>425</v>
      </c>
      <c r="AG349" t="s">
        <v>584</v>
      </c>
      <c r="AH349">
        <v>0</v>
      </c>
      <c r="AI349">
        <v>203</v>
      </c>
      <c r="AJ349">
        <v>0</v>
      </c>
      <c r="AK349">
        <v>540</v>
      </c>
      <c r="AL349">
        <v>0.59</v>
      </c>
    </row>
    <row r="350" spans="1:38" x14ac:dyDescent="0.3">
      <c r="A350" t="s">
        <v>421</v>
      </c>
      <c r="B350">
        <v>13922</v>
      </c>
      <c r="C350">
        <v>2</v>
      </c>
      <c r="D350" t="s">
        <v>586</v>
      </c>
      <c r="E350">
        <v>1981.09</v>
      </c>
      <c r="F350">
        <v>912</v>
      </c>
      <c r="G350">
        <v>18.38</v>
      </c>
      <c r="H350">
        <v>60.79</v>
      </c>
      <c r="I350">
        <v>17.170000000000002</v>
      </c>
      <c r="J350">
        <v>56.79</v>
      </c>
      <c r="K350">
        <v>1</v>
      </c>
      <c r="T350">
        <v>3</v>
      </c>
      <c r="U350">
        <v>1</v>
      </c>
      <c r="V350" t="s">
        <v>128</v>
      </c>
      <c r="W350" t="s">
        <v>590</v>
      </c>
      <c r="X350">
        <v>12</v>
      </c>
      <c r="Y350">
        <v>12</v>
      </c>
      <c r="Z350" t="s">
        <v>588</v>
      </c>
      <c r="AA350" t="s">
        <v>589</v>
      </c>
      <c r="AB350" t="s">
        <v>89</v>
      </c>
      <c r="AC350" t="s">
        <v>90</v>
      </c>
      <c r="AD350" t="s">
        <v>91</v>
      </c>
      <c r="AE350" t="s">
        <v>425</v>
      </c>
      <c r="AG350" t="s">
        <v>584</v>
      </c>
      <c r="AH350">
        <v>0</v>
      </c>
      <c r="AI350">
        <v>203</v>
      </c>
      <c r="AJ350">
        <v>0</v>
      </c>
      <c r="AK350">
        <v>540</v>
      </c>
      <c r="AL350">
        <v>0.59</v>
      </c>
    </row>
    <row r="351" spans="1:38" x14ac:dyDescent="0.3">
      <c r="A351" t="s">
        <v>421</v>
      </c>
      <c r="B351">
        <v>13922</v>
      </c>
      <c r="C351">
        <v>3</v>
      </c>
      <c r="D351" t="s">
        <v>586</v>
      </c>
      <c r="E351">
        <v>1981.09</v>
      </c>
      <c r="F351">
        <v>912</v>
      </c>
      <c r="G351">
        <v>18.670000000000002</v>
      </c>
      <c r="H351">
        <v>61.75</v>
      </c>
      <c r="I351">
        <v>17.46</v>
      </c>
      <c r="J351">
        <v>57.75</v>
      </c>
      <c r="K351">
        <v>76</v>
      </c>
      <c r="T351">
        <v>2</v>
      </c>
      <c r="U351">
        <v>1</v>
      </c>
      <c r="V351" t="s">
        <v>128</v>
      </c>
      <c r="W351" t="s">
        <v>591</v>
      </c>
      <c r="X351">
        <v>12</v>
      </c>
      <c r="Y351">
        <v>12</v>
      </c>
      <c r="Z351" t="s">
        <v>588</v>
      </c>
      <c r="AA351" t="s">
        <v>589</v>
      </c>
      <c r="AB351" t="s">
        <v>89</v>
      </c>
      <c r="AC351" t="s">
        <v>90</v>
      </c>
      <c r="AD351" t="s">
        <v>91</v>
      </c>
      <c r="AE351" t="s">
        <v>425</v>
      </c>
      <c r="AG351" t="s">
        <v>584</v>
      </c>
      <c r="AH351">
        <v>0</v>
      </c>
      <c r="AI351">
        <v>203</v>
      </c>
      <c r="AJ351">
        <v>0</v>
      </c>
      <c r="AK351">
        <v>540</v>
      </c>
      <c r="AL351">
        <v>0.59</v>
      </c>
    </row>
    <row r="352" spans="1:38" x14ac:dyDescent="0.3">
      <c r="A352" t="s">
        <v>421</v>
      </c>
      <c r="B352">
        <v>13922</v>
      </c>
      <c r="C352">
        <v>4</v>
      </c>
      <c r="D352" t="s">
        <v>586</v>
      </c>
      <c r="E352">
        <v>1981.09</v>
      </c>
      <c r="F352">
        <v>912</v>
      </c>
      <c r="G352">
        <v>18.71</v>
      </c>
      <c r="H352">
        <v>61.88</v>
      </c>
      <c r="I352">
        <v>17.5</v>
      </c>
      <c r="J352">
        <v>57.88</v>
      </c>
      <c r="K352">
        <v>7</v>
      </c>
      <c r="T352">
        <v>2</v>
      </c>
      <c r="U352">
        <v>1</v>
      </c>
      <c r="V352" t="s">
        <v>128</v>
      </c>
      <c r="W352" t="s">
        <v>592</v>
      </c>
      <c r="X352">
        <v>12</v>
      </c>
      <c r="Y352">
        <v>12</v>
      </c>
      <c r="Z352" t="s">
        <v>588</v>
      </c>
      <c r="AA352" t="s">
        <v>589</v>
      </c>
      <c r="AB352" t="s">
        <v>89</v>
      </c>
      <c r="AC352" t="s">
        <v>90</v>
      </c>
      <c r="AD352" t="s">
        <v>91</v>
      </c>
      <c r="AE352" t="s">
        <v>425</v>
      </c>
      <c r="AG352" t="s">
        <v>584</v>
      </c>
      <c r="AH352">
        <v>0</v>
      </c>
      <c r="AI352">
        <v>203</v>
      </c>
      <c r="AJ352">
        <v>0</v>
      </c>
      <c r="AK352">
        <v>540</v>
      </c>
      <c r="AL352">
        <v>0.59</v>
      </c>
    </row>
    <row r="353" spans="1:38" x14ac:dyDescent="0.3">
      <c r="A353" t="s">
        <v>421</v>
      </c>
      <c r="B353">
        <v>13922</v>
      </c>
      <c r="C353">
        <v>5</v>
      </c>
      <c r="D353" t="s">
        <v>586</v>
      </c>
      <c r="E353">
        <v>1981.09</v>
      </c>
      <c r="F353">
        <v>912</v>
      </c>
      <c r="G353">
        <v>18.670000000000002</v>
      </c>
      <c r="H353">
        <v>61.72</v>
      </c>
      <c r="I353">
        <v>17.46</v>
      </c>
      <c r="J353">
        <v>57.72</v>
      </c>
      <c r="K353">
        <v>5</v>
      </c>
      <c r="T353">
        <v>2</v>
      </c>
      <c r="U353">
        <v>1</v>
      </c>
      <c r="V353" t="s">
        <v>128</v>
      </c>
      <c r="W353" t="s">
        <v>593</v>
      </c>
      <c r="X353">
        <v>12</v>
      </c>
      <c r="Y353">
        <v>12</v>
      </c>
      <c r="Z353" t="s">
        <v>588</v>
      </c>
      <c r="AA353" t="s">
        <v>589</v>
      </c>
      <c r="AB353" t="s">
        <v>89</v>
      </c>
      <c r="AC353" t="s">
        <v>90</v>
      </c>
      <c r="AD353" t="s">
        <v>91</v>
      </c>
      <c r="AE353" t="s">
        <v>425</v>
      </c>
      <c r="AG353" t="s">
        <v>584</v>
      </c>
      <c r="AH353">
        <v>0</v>
      </c>
      <c r="AI353">
        <v>203</v>
      </c>
      <c r="AJ353">
        <v>0</v>
      </c>
      <c r="AK353">
        <v>540</v>
      </c>
      <c r="AL353">
        <v>0.59</v>
      </c>
    </row>
    <row r="354" spans="1:38" x14ac:dyDescent="0.3">
      <c r="A354" t="s">
        <v>421</v>
      </c>
      <c r="B354">
        <v>13922</v>
      </c>
      <c r="C354">
        <v>6</v>
      </c>
      <c r="D354" t="s">
        <v>586</v>
      </c>
      <c r="E354">
        <v>1981.09</v>
      </c>
      <c r="F354">
        <v>912</v>
      </c>
      <c r="G354">
        <v>18.670000000000002</v>
      </c>
      <c r="H354">
        <v>61.75</v>
      </c>
      <c r="I354">
        <v>13.41</v>
      </c>
      <c r="J354">
        <v>44.36</v>
      </c>
      <c r="K354">
        <v>1</v>
      </c>
      <c r="T354">
        <v>2</v>
      </c>
      <c r="U354">
        <v>1</v>
      </c>
      <c r="V354" t="s">
        <v>128</v>
      </c>
      <c r="W354" t="s">
        <v>594</v>
      </c>
      <c r="X354">
        <v>12</v>
      </c>
      <c r="Y354">
        <v>12</v>
      </c>
      <c r="Z354" t="s">
        <v>588</v>
      </c>
      <c r="AA354" t="s">
        <v>589</v>
      </c>
      <c r="AB354" t="s">
        <v>89</v>
      </c>
      <c r="AC354" t="s">
        <v>90</v>
      </c>
      <c r="AD354" t="s">
        <v>91</v>
      </c>
      <c r="AE354" t="s">
        <v>425</v>
      </c>
      <c r="AG354" t="s">
        <v>584</v>
      </c>
      <c r="AH354">
        <v>0</v>
      </c>
      <c r="AI354">
        <v>203</v>
      </c>
      <c r="AJ354">
        <v>0</v>
      </c>
      <c r="AK354">
        <v>540</v>
      </c>
      <c r="AL354">
        <v>0.59</v>
      </c>
    </row>
    <row r="355" spans="1:38" x14ac:dyDescent="0.3">
      <c r="A355" t="s">
        <v>421</v>
      </c>
      <c r="B355">
        <v>13922</v>
      </c>
      <c r="C355">
        <v>7</v>
      </c>
      <c r="D355" t="s">
        <v>586</v>
      </c>
      <c r="E355">
        <v>1981.09</v>
      </c>
      <c r="F355">
        <v>912</v>
      </c>
      <c r="G355">
        <v>18.82</v>
      </c>
      <c r="H355">
        <v>62.22</v>
      </c>
      <c r="I355">
        <v>17.579999999999998</v>
      </c>
      <c r="J355">
        <v>58.12</v>
      </c>
      <c r="K355">
        <v>66</v>
      </c>
      <c r="T355">
        <v>2</v>
      </c>
      <c r="U355">
        <v>1</v>
      </c>
      <c r="V355" t="s">
        <v>128</v>
      </c>
      <c r="W355" t="s">
        <v>595</v>
      </c>
      <c r="X355">
        <v>12</v>
      </c>
      <c r="Y355">
        <v>12</v>
      </c>
      <c r="Z355" t="s">
        <v>588</v>
      </c>
      <c r="AA355" t="s">
        <v>589</v>
      </c>
      <c r="AB355" t="s">
        <v>89</v>
      </c>
      <c r="AC355" t="s">
        <v>90</v>
      </c>
      <c r="AD355" t="s">
        <v>91</v>
      </c>
      <c r="AE355" t="s">
        <v>425</v>
      </c>
      <c r="AG355" t="s">
        <v>584</v>
      </c>
      <c r="AH355">
        <v>0</v>
      </c>
      <c r="AI355">
        <v>203</v>
      </c>
      <c r="AJ355">
        <v>0</v>
      </c>
      <c r="AK355">
        <v>540</v>
      </c>
      <c r="AL355">
        <v>0.59</v>
      </c>
    </row>
    <row r="356" spans="1:38" x14ac:dyDescent="0.3">
      <c r="A356" t="s">
        <v>421</v>
      </c>
      <c r="B356">
        <v>13922</v>
      </c>
      <c r="C356">
        <v>8</v>
      </c>
      <c r="D356" t="s">
        <v>586</v>
      </c>
      <c r="E356">
        <v>1981.09</v>
      </c>
      <c r="F356">
        <v>912</v>
      </c>
      <c r="G356">
        <v>19.13</v>
      </c>
      <c r="H356">
        <v>63.27</v>
      </c>
      <c r="I356">
        <v>17.89</v>
      </c>
      <c r="J356">
        <v>59.17</v>
      </c>
      <c r="K356">
        <v>99</v>
      </c>
      <c r="T356">
        <v>2</v>
      </c>
      <c r="U356">
        <v>1</v>
      </c>
      <c r="V356" t="s">
        <v>128</v>
      </c>
      <c r="W356" t="s">
        <v>548</v>
      </c>
      <c r="X356">
        <v>12</v>
      </c>
      <c r="Y356">
        <v>12</v>
      </c>
      <c r="Z356" t="s">
        <v>588</v>
      </c>
      <c r="AA356" t="s">
        <v>589</v>
      </c>
      <c r="AB356" t="s">
        <v>89</v>
      </c>
      <c r="AC356" t="s">
        <v>90</v>
      </c>
      <c r="AD356" t="s">
        <v>91</v>
      </c>
      <c r="AE356" t="s">
        <v>425</v>
      </c>
      <c r="AG356" t="s">
        <v>584</v>
      </c>
      <c r="AH356">
        <v>0</v>
      </c>
      <c r="AI356">
        <v>203</v>
      </c>
      <c r="AJ356">
        <v>0</v>
      </c>
      <c r="AK356">
        <v>540</v>
      </c>
      <c r="AL356">
        <v>0.59</v>
      </c>
    </row>
    <row r="357" spans="1:38" x14ac:dyDescent="0.3">
      <c r="A357" t="s">
        <v>421</v>
      </c>
      <c r="B357">
        <v>13922</v>
      </c>
      <c r="C357">
        <v>9</v>
      </c>
      <c r="D357" t="s">
        <v>586</v>
      </c>
      <c r="E357">
        <v>1981.09</v>
      </c>
      <c r="F357">
        <v>912</v>
      </c>
      <c r="G357">
        <v>19.16</v>
      </c>
      <c r="H357">
        <v>63.34</v>
      </c>
      <c r="I357">
        <v>17.920000000000002</v>
      </c>
      <c r="J357">
        <v>59.24</v>
      </c>
      <c r="K357">
        <v>9</v>
      </c>
      <c r="T357">
        <v>2</v>
      </c>
      <c r="U357">
        <v>1</v>
      </c>
      <c r="V357" t="s">
        <v>128</v>
      </c>
      <c r="W357" t="s">
        <v>596</v>
      </c>
      <c r="X357">
        <v>12</v>
      </c>
      <c r="Y357">
        <v>12</v>
      </c>
      <c r="Z357" t="s">
        <v>588</v>
      </c>
      <c r="AA357" t="s">
        <v>589</v>
      </c>
      <c r="AB357" t="s">
        <v>89</v>
      </c>
      <c r="AC357" t="s">
        <v>90</v>
      </c>
      <c r="AD357" t="s">
        <v>91</v>
      </c>
      <c r="AE357" t="s">
        <v>425</v>
      </c>
      <c r="AG357" t="s">
        <v>584</v>
      </c>
      <c r="AH357">
        <v>0</v>
      </c>
      <c r="AI357">
        <v>203</v>
      </c>
      <c r="AJ357">
        <v>0</v>
      </c>
      <c r="AK357">
        <v>540</v>
      </c>
      <c r="AL357">
        <v>0.59</v>
      </c>
    </row>
    <row r="358" spans="1:38" x14ac:dyDescent="0.3">
      <c r="A358" t="s">
        <v>421</v>
      </c>
      <c r="B358">
        <v>13922</v>
      </c>
      <c r="C358">
        <v>10</v>
      </c>
      <c r="D358" t="s">
        <v>586</v>
      </c>
      <c r="E358">
        <v>1981.09</v>
      </c>
      <c r="F358">
        <v>912</v>
      </c>
      <c r="G358">
        <v>19.09</v>
      </c>
      <c r="H358">
        <v>63.11</v>
      </c>
      <c r="I358">
        <v>17.850000000000001</v>
      </c>
      <c r="J358">
        <v>59.01</v>
      </c>
      <c r="K358">
        <v>6</v>
      </c>
      <c r="T358">
        <v>2</v>
      </c>
      <c r="U358">
        <v>1</v>
      </c>
      <c r="V358" t="s">
        <v>128</v>
      </c>
      <c r="W358" t="s">
        <v>597</v>
      </c>
      <c r="X358">
        <v>12</v>
      </c>
      <c r="Y358">
        <v>12</v>
      </c>
      <c r="Z358" t="s">
        <v>588</v>
      </c>
      <c r="AA358" t="s">
        <v>589</v>
      </c>
      <c r="AB358" t="s">
        <v>89</v>
      </c>
      <c r="AC358" t="s">
        <v>90</v>
      </c>
      <c r="AD358" t="s">
        <v>91</v>
      </c>
      <c r="AE358" t="s">
        <v>425</v>
      </c>
      <c r="AG358" t="s">
        <v>584</v>
      </c>
      <c r="AH358">
        <v>0</v>
      </c>
      <c r="AI358">
        <v>203</v>
      </c>
      <c r="AJ358">
        <v>0</v>
      </c>
      <c r="AK358">
        <v>540</v>
      </c>
      <c r="AL358">
        <v>0.59</v>
      </c>
    </row>
    <row r="359" spans="1:38" x14ac:dyDescent="0.3">
      <c r="A359" t="s">
        <v>421</v>
      </c>
      <c r="B359">
        <v>13922</v>
      </c>
      <c r="C359">
        <v>11</v>
      </c>
      <c r="D359" t="s">
        <v>586</v>
      </c>
      <c r="E359">
        <v>1981.09</v>
      </c>
      <c r="F359">
        <v>912</v>
      </c>
      <c r="G359">
        <v>20.22</v>
      </c>
      <c r="H359">
        <v>66.87</v>
      </c>
      <c r="I359">
        <v>18.940000000000001</v>
      </c>
      <c r="J359">
        <v>62.64</v>
      </c>
      <c r="K359">
        <v>2</v>
      </c>
      <c r="T359">
        <v>2</v>
      </c>
      <c r="U359">
        <v>1</v>
      </c>
      <c r="V359" t="s">
        <v>94</v>
      </c>
      <c r="W359" t="s">
        <v>598</v>
      </c>
      <c r="X359">
        <v>12</v>
      </c>
      <c r="Y359">
        <v>12</v>
      </c>
      <c r="Z359" t="s">
        <v>588</v>
      </c>
      <c r="AA359" t="s">
        <v>589</v>
      </c>
      <c r="AB359" t="s">
        <v>89</v>
      </c>
      <c r="AC359" t="s">
        <v>90</v>
      </c>
      <c r="AD359" t="s">
        <v>91</v>
      </c>
      <c r="AE359" t="s">
        <v>425</v>
      </c>
      <c r="AG359" t="s">
        <v>584</v>
      </c>
      <c r="AH359">
        <v>0</v>
      </c>
      <c r="AI359">
        <v>203</v>
      </c>
      <c r="AJ359">
        <v>0</v>
      </c>
      <c r="AK359">
        <v>540</v>
      </c>
      <c r="AL359">
        <v>0.59</v>
      </c>
    </row>
    <row r="360" spans="1:38" x14ac:dyDescent="0.3">
      <c r="A360" t="s">
        <v>421</v>
      </c>
      <c r="B360">
        <v>13922</v>
      </c>
      <c r="C360">
        <v>12</v>
      </c>
      <c r="D360" t="s">
        <v>586</v>
      </c>
      <c r="E360">
        <v>1981.09</v>
      </c>
      <c r="F360">
        <v>912</v>
      </c>
      <c r="G360">
        <v>20.07</v>
      </c>
      <c r="H360">
        <v>66.349999999999994</v>
      </c>
      <c r="I360">
        <v>18.760000000000002</v>
      </c>
      <c r="J360">
        <v>62.02</v>
      </c>
      <c r="K360">
        <v>1</v>
      </c>
      <c r="T360">
        <v>2</v>
      </c>
      <c r="U360">
        <v>1</v>
      </c>
      <c r="V360" t="s">
        <v>128</v>
      </c>
      <c r="W360" t="s">
        <v>599</v>
      </c>
      <c r="X360">
        <v>12</v>
      </c>
      <c r="Y360">
        <v>12</v>
      </c>
      <c r="Z360" t="s">
        <v>588</v>
      </c>
      <c r="AA360" t="s">
        <v>589</v>
      </c>
      <c r="AB360" t="s">
        <v>89</v>
      </c>
      <c r="AC360" t="s">
        <v>90</v>
      </c>
      <c r="AD360" t="s">
        <v>91</v>
      </c>
      <c r="AE360" t="s">
        <v>425</v>
      </c>
      <c r="AG360" t="s">
        <v>584</v>
      </c>
      <c r="AH360">
        <v>0</v>
      </c>
      <c r="AI360">
        <v>203</v>
      </c>
      <c r="AJ360">
        <v>0</v>
      </c>
      <c r="AK360">
        <v>540</v>
      </c>
      <c r="AL360">
        <v>0.59</v>
      </c>
    </row>
    <row r="361" spans="1:38" x14ac:dyDescent="0.3">
      <c r="A361" t="s">
        <v>421</v>
      </c>
      <c r="B361">
        <v>13922</v>
      </c>
      <c r="C361">
        <v>13</v>
      </c>
      <c r="D361" t="s">
        <v>586</v>
      </c>
      <c r="E361">
        <v>1981.09</v>
      </c>
      <c r="F361">
        <v>912</v>
      </c>
      <c r="G361">
        <v>20.07</v>
      </c>
      <c r="H361">
        <v>66.349999999999994</v>
      </c>
      <c r="I361">
        <v>18.760000000000002</v>
      </c>
      <c r="J361">
        <v>62.02</v>
      </c>
      <c r="K361">
        <v>1</v>
      </c>
      <c r="T361">
        <v>2</v>
      </c>
      <c r="U361">
        <v>1</v>
      </c>
      <c r="V361" t="s">
        <v>128</v>
      </c>
      <c r="W361" t="s">
        <v>600</v>
      </c>
      <c r="X361">
        <v>12</v>
      </c>
      <c r="Y361">
        <v>12</v>
      </c>
      <c r="Z361" t="s">
        <v>588</v>
      </c>
      <c r="AA361" t="s">
        <v>589</v>
      </c>
      <c r="AB361" t="s">
        <v>89</v>
      </c>
      <c r="AC361" t="s">
        <v>90</v>
      </c>
      <c r="AD361" t="s">
        <v>91</v>
      </c>
      <c r="AE361" t="s">
        <v>425</v>
      </c>
      <c r="AG361" t="s">
        <v>584</v>
      </c>
      <c r="AH361">
        <v>0</v>
      </c>
      <c r="AI361">
        <v>203</v>
      </c>
      <c r="AJ361">
        <v>0</v>
      </c>
      <c r="AK361">
        <v>540</v>
      </c>
      <c r="AL361">
        <v>0.59</v>
      </c>
    </row>
    <row r="362" spans="1:38" x14ac:dyDescent="0.3">
      <c r="A362" t="s">
        <v>421</v>
      </c>
      <c r="B362">
        <v>13922</v>
      </c>
      <c r="C362">
        <v>14</v>
      </c>
      <c r="D362" t="s">
        <v>586</v>
      </c>
      <c r="E362">
        <v>1981.09</v>
      </c>
      <c r="F362">
        <v>912</v>
      </c>
      <c r="G362">
        <v>22.46</v>
      </c>
      <c r="H362">
        <v>74.25</v>
      </c>
      <c r="I362">
        <v>21.02</v>
      </c>
      <c r="J362">
        <v>69.52</v>
      </c>
      <c r="K362">
        <v>109</v>
      </c>
      <c r="T362">
        <v>2</v>
      </c>
      <c r="U362">
        <v>1</v>
      </c>
      <c r="V362" t="s">
        <v>128</v>
      </c>
      <c r="W362" t="s">
        <v>281</v>
      </c>
      <c r="X362">
        <v>12</v>
      </c>
      <c r="Y362">
        <v>12</v>
      </c>
      <c r="Z362" t="s">
        <v>588</v>
      </c>
      <c r="AA362" t="s">
        <v>589</v>
      </c>
      <c r="AB362" t="s">
        <v>89</v>
      </c>
      <c r="AC362" t="s">
        <v>90</v>
      </c>
      <c r="AD362" t="s">
        <v>91</v>
      </c>
      <c r="AE362" t="s">
        <v>425</v>
      </c>
      <c r="AG362" t="s">
        <v>584</v>
      </c>
      <c r="AH362">
        <v>0</v>
      </c>
      <c r="AI362">
        <v>203</v>
      </c>
      <c r="AJ362">
        <v>0</v>
      </c>
      <c r="AK362">
        <v>540</v>
      </c>
      <c r="AL362">
        <v>0.59</v>
      </c>
    </row>
    <row r="363" spans="1:38" x14ac:dyDescent="0.3">
      <c r="A363" t="s">
        <v>421</v>
      </c>
      <c r="B363">
        <v>13922</v>
      </c>
      <c r="C363">
        <v>15</v>
      </c>
      <c r="D363" t="s">
        <v>586</v>
      </c>
      <c r="E363">
        <v>1981.09</v>
      </c>
      <c r="F363">
        <v>912</v>
      </c>
      <c r="G363">
        <v>22.63</v>
      </c>
      <c r="H363">
        <v>74.84</v>
      </c>
      <c r="I363">
        <v>21.19</v>
      </c>
      <c r="J363">
        <v>70.08</v>
      </c>
      <c r="K363">
        <v>97</v>
      </c>
      <c r="T363">
        <v>2</v>
      </c>
      <c r="U363">
        <v>1</v>
      </c>
      <c r="V363" t="s">
        <v>128</v>
      </c>
      <c r="W363" t="s">
        <v>136</v>
      </c>
      <c r="X363">
        <v>12</v>
      </c>
      <c r="Y363">
        <v>12</v>
      </c>
      <c r="Z363" t="s">
        <v>588</v>
      </c>
      <c r="AA363" t="s">
        <v>589</v>
      </c>
      <c r="AB363" t="s">
        <v>89</v>
      </c>
      <c r="AC363" t="s">
        <v>90</v>
      </c>
      <c r="AD363" t="s">
        <v>91</v>
      </c>
      <c r="AE363" t="s">
        <v>425</v>
      </c>
      <c r="AG363" t="s">
        <v>584</v>
      </c>
      <c r="AH363">
        <v>0</v>
      </c>
      <c r="AI363">
        <v>203</v>
      </c>
      <c r="AJ363">
        <v>0</v>
      </c>
      <c r="AK363">
        <v>540</v>
      </c>
      <c r="AL363">
        <v>0.59</v>
      </c>
    </row>
    <row r="364" spans="1:38" x14ac:dyDescent="0.3">
      <c r="A364" t="s">
        <v>421</v>
      </c>
      <c r="B364">
        <v>13922</v>
      </c>
      <c r="C364">
        <v>16</v>
      </c>
      <c r="D364" t="s">
        <v>586</v>
      </c>
      <c r="E364">
        <v>1981.09</v>
      </c>
      <c r="F364">
        <v>912</v>
      </c>
      <c r="G364">
        <v>22.63</v>
      </c>
      <c r="H364">
        <v>74.84</v>
      </c>
      <c r="I364">
        <v>15.86</v>
      </c>
      <c r="J364">
        <v>52.44</v>
      </c>
      <c r="K364">
        <v>1</v>
      </c>
      <c r="T364">
        <v>2</v>
      </c>
      <c r="U364">
        <v>1</v>
      </c>
      <c r="V364" t="s">
        <v>128</v>
      </c>
      <c r="W364" t="s">
        <v>281</v>
      </c>
      <c r="X364">
        <v>12</v>
      </c>
      <c r="Y364">
        <v>12</v>
      </c>
      <c r="Z364" t="s">
        <v>588</v>
      </c>
      <c r="AA364" t="s">
        <v>589</v>
      </c>
      <c r="AB364" t="s">
        <v>89</v>
      </c>
      <c r="AC364" t="s">
        <v>90</v>
      </c>
      <c r="AD364" t="s">
        <v>91</v>
      </c>
      <c r="AE364" t="s">
        <v>425</v>
      </c>
      <c r="AG364" t="s">
        <v>584</v>
      </c>
      <c r="AH364">
        <v>0</v>
      </c>
      <c r="AI364">
        <v>203</v>
      </c>
      <c r="AJ364">
        <v>0</v>
      </c>
      <c r="AK364">
        <v>540</v>
      </c>
      <c r="AL364">
        <v>0.59</v>
      </c>
    </row>
    <row r="365" spans="1:38" x14ac:dyDescent="0.3">
      <c r="A365" t="s">
        <v>421</v>
      </c>
      <c r="B365">
        <v>13922</v>
      </c>
      <c r="C365">
        <v>17</v>
      </c>
      <c r="D365" t="s">
        <v>586</v>
      </c>
      <c r="E365">
        <v>1981.09</v>
      </c>
      <c r="F365">
        <v>912</v>
      </c>
      <c r="G365">
        <v>22.63</v>
      </c>
      <c r="H365">
        <v>74.84</v>
      </c>
      <c r="I365">
        <v>21.19</v>
      </c>
      <c r="J365">
        <v>70.08</v>
      </c>
      <c r="K365">
        <v>1</v>
      </c>
      <c r="T365">
        <v>2</v>
      </c>
      <c r="U365">
        <v>1</v>
      </c>
      <c r="V365" t="s">
        <v>128</v>
      </c>
      <c r="W365" t="s">
        <v>601</v>
      </c>
      <c r="X365">
        <v>12</v>
      </c>
      <c r="Y365">
        <v>12</v>
      </c>
      <c r="Z365" t="s">
        <v>588</v>
      </c>
      <c r="AA365" t="s">
        <v>589</v>
      </c>
      <c r="AB365" t="s">
        <v>89</v>
      </c>
      <c r="AC365" t="s">
        <v>90</v>
      </c>
      <c r="AD365" t="s">
        <v>91</v>
      </c>
      <c r="AE365" t="s">
        <v>425</v>
      </c>
      <c r="AG365" t="s">
        <v>584</v>
      </c>
      <c r="AH365">
        <v>0</v>
      </c>
      <c r="AI365">
        <v>203</v>
      </c>
      <c r="AJ365">
        <v>0</v>
      </c>
      <c r="AK365">
        <v>540</v>
      </c>
      <c r="AL365">
        <v>0.59</v>
      </c>
    </row>
    <row r="366" spans="1:38" x14ac:dyDescent="0.3">
      <c r="A366" t="s">
        <v>421</v>
      </c>
      <c r="B366">
        <v>13922</v>
      </c>
      <c r="C366">
        <v>18</v>
      </c>
      <c r="D366" t="s">
        <v>586</v>
      </c>
      <c r="E366">
        <v>1981.09</v>
      </c>
      <c r="F366">
        <v>912</v>
      </c>
      <c r="G366">
        <v>22.46</v>
      </c>
      <c r="H366">
        <v>74.25</v>
      </c>
      <c r="I366">
        <v>15.86</v>
      </c>
      <c r="J366">
        <v>52.44</v>
      </c>
      <c r="K366">
        <v>1</v>
      </c>
      <c r="T366">
        <v>2</v>
      </c>
      <c r="U366">
        <v>1</v>
      </c>
      <c r="V366" t="s">
        <v>128</v>
      </c>
      <c r="W366" t="s">
        <v>601</v>
      </c>
      <c r="X366">
        <v>12</v>
      </c>
      <c r="Y366">
        <v>12</v>
      </c>
      <c r="Z366" t="s">
        <v>588</v>
      </c>
      <c r="AA366" t="s">
        <v>589</v>
      </c>
      <c r="AB366" t="s">
        <v>89</v>
      </c>
      <c r="AC366" t="s">
        <v>90</v>
      </c>
      <c r="AD366" t="s">
        <v>91</v>
      </c>
      <c r="AE366" t="s">
        <v>425</v>
      </c>
      <c r="AG366" t="s">
        <v>584</v>
      </c>
      <c r="AH366">
        <v>0</v>
      </c>
      <c r="AI366">
        <v>203</v>
      </c>
      <c r="AJ366">
        <v>0</v>
      </c>
      <c r="AK366">
        <v>540</v>
      </c>
      <c r="AL366">
        <v>0.59</v>
      </c>
    </row>
    <row r="367" spans="1:38" x14ac:dyDescent="0.3">
      <c r="A367" t="s">
        <v>421</v>
      </c>
      <c r="B367">
        <v>13922</v>
      </c>
      <c r="C367">
        <v>19</v>
      </c>
      <c r="D367" t="s">
        <v>586</v>
      </c>
      <c r="E367">
        <v>1981.09</v>
      </c>
      <c r="F367">
        <v>912</v>
      </c>
      <c r="G367">
        <v>22.92</v>
      </c>
      <c r="H367">
        <v>75.8</v>
      </c>
      <c r="I367">
        <v>21.49</v>
      </c>
      <c r="J367">
        <v>71.069999999999993</v>
      </c>
      <c r="K367">
        <v>8</v>
      </c>
      <c r="T367">
        <v>3</v>
      </c>
      <c r="U367">
        <v>1</v>
      </c>
      <c r="V367" t="s">
        <v>128</v>
      </c>
      <c r="W367" t="s">
        <v>602</v>
      </c>
      <c r="X367">
        <v>12</v>
      </c>
      <c r="Y367">
        <v>12</v>
      </c>
      <c r="Z367" t="s">
        <v>588</v>
      </c>
      <c r="AA367" t="s">
        <v>589</v>
      </c>
      <c r="AB367" t="s">
        <v>89</v>
      </c>
      <c r="AC367" t="s">
        <v>90</v>
      </c>
      <c r="AD367" t="s">
        <v>91</v>
      </c>
      <c r="AE367" t="s">
        <v>425</v>
      </c>
      <c r="AG367" t="s">
        <v>584</v>
      </c>
      <c r="AH367">
        <v>0</v>
      </c>
      <c r="AI367">
        <v>203</v>
      </c>
      <c r="AJ367">
        <v>0</v>
      </c>
      <c r="AK367">
        <v>540</v>
      </c>
      <c r="AL367">
        <v>0.59</v>
      </c>
    </row>
    <row r="368" spans="1:38" x14ac:dyDescent="0.3">
      <c r="A368" t="s">
        <v>421</v>
      </c>
      <c r="B368">
        <v>13922</v>
      </c>
      <c r="C368">
        <v>20</v>
      </c>
      <c r="D368" t="s">
        <v>586</v>
      </c>
      <c r="E368">
        <v>1981.09</v>
      </c>
      <c r="F368">
        <v>912</v>
      </c>
      <c r="G368">
        <v>23.14</v>
      </c>
      <c r="H368">
        <v>76.5</v>
      </c>
      <c r="I368">
        <v>21.7</v>
      </c>
      <c r="J368">
        <v>71.739999999999995</v>
      </c>
      <c r="K368">
        <v>7</v>
      </c>
      <c r="T368">
        <v>2</v>
      </c>
      <c r="U368">
        <v>1</v>
      </c>
      <c r="V368" t="s">
        <v>128</v>
      </c>
      <c r="W368" t="s">
        <v>603</v>
      </c>
      <c r="X368">
        <v>12</v>
      </c>
      <c r="Y368">
        <v>12</v>
      </c>
      <c r="Z368" t="s">
        <v>588</v>
      </c>
      <c r="AA368" t="s">
        <v>589</v>
      </c>
      <c r="AB368" t="s">
        <v>89</v>
      </c>
      <c r="AC368" t="s">
        <v>90</v>
      </c>
      <c r="AD368" t="s">
        <v>91</v>
      </c>
      <c r="AE368" t="s">
        <v>425</v>
      </c>
      <c r="AG368" t="s">
        <v>584</v>
      </c>
      <c r="AH368">
        <v>0</v>
      </c>
      <c r="AI368">
        <v>203</v>
      </c>
      <c r="AJ368">
        <v>0</v>
      </c>
      <c r="AK368">
        <v>540</v>
      </c>
      <c r="AL368">
        <v>0.59</v>
      </c>
    </row>
    <row r="369" spans="1:38" x14ac:dyDescent="0.3">
      <c r="A369" t="s">
        <v>421</v>
      </c>
      <c r="B369">
        <v>13922</v>
      </c>
      <c r="C369">
        <v>21</v>
      </c>
      <c r="D369" t="s">
        <v>586</v>
      </c>
      <c r="E369">
        <v>1981.09</v>
      </c>
      <c r="F369">
        <v>912</v>
      </c>
      <c r="G369">
        <v>24.87</v>
      </c>
      <c r="H369">
        <v>82.24</v>
      </c>
      <c r="I369">
        <v>22.85</v>
      </c>
      <c r="J369">
        <v>75.540000000000006</v>
      </c>
      <c r="K369">
        <v>1</v>
      </c>
      <c r="T369">
        <v>3</v>
      </c>
      <c r="U369">
        <v>2</v>
      </c>
      <c r="V369" t="s">
        <v>128</v>
      </c>
      <c r="W369">
        <v>82</v>
      </c>
      <c r="X369">
        <v>12</v>
      </c>
      <c r="Y369">
        <v>12</v>
      </c>
      <c r="Z369" t="s">
        <v>588</v>
      </c>
      <c r="AA369" t="s">
        <v>589</v>
      </c>
      <c r="AB369" t="s">
        <v>89</v>
      </c>
      <c r="AC369" t="s">
        <v>90</v>
      </c>
      <c r="AD369" t="s">
        <v>91</v>
      </c>
      <c r="AE369" t="s">
        <v>425</v>
      </c>
      <c r="AG369" t="s">
        <v>584</v>
      </c>
      <c r="AH369">
        <v>0</v>
      </c>
      <c r="AI369">
        <v>203</v>
      </c>
      <c r="AJ369">
        <v>0</v>
      </c>
      <c r="AK369">
        <v>540</v>
      </c>
      <c r="AL369">
        <v>0.59</v>
      </c>
    </row>
    <row r="370" spans="1:38" x14ac:dyDescent="0.3">
      <c r="A370" t="s">
        <v>421</v>
      </c>
      <c r="B370">
        <v>13922</v>
      </c>
      <c r="C370">
        <v>22</v>
      </c>
      <c r="D370" t="s">
        <v>586</v>
      </c>
      <c r="E370">
        <v>1981.09</v>
      </c>
      <c r="F370">
        <v>912</v>
      </c>
      <c r="G370">
        <v>26.81</v>
      </c>
      <c r="H370">
        <v>88.64</v>
      </c>
      <c r="I370">
        <v>21.8</v>
      </c>
      <c r="J370">
        <v>72.069999999999993</v>
      </c>
      <c r="K370">
        <v>55</v>
      </c>
      <c r="T370">
        <v>3</v>
      </c>
      <c r="U370">
        <v>2</v>
      </c>
      <c r="V370" t="s">
        <v>128</v>
      </c>
      <c r="W370" t="s">
        <v>604</v>
      </c>
      <c r="X370">
        <v>12</v>
      </c>
      <c r="Y370">
        <v>12</v>
      </c>
      <c r="Z370" t="s">
        <v>588</v>
      </c>
      <c r="AA370" t="s">
        <v>589</v>
      </c>
      <c r="AB370" t="s">
        <v>89</v>
      </c>
      <c r="AC370" t="s">
        <v>90</v>
      </c>
      <c r="AD370" t="s">
        <v>91</v>
      </c>
      <c r="AE370" t="s">
        <v>425</v>
      </c>
      <c r="AG370" t="s">
        <v>584</v>
      </c>
      <c r="AH370">
        <v>0</v>
      </c>
      <c r="AI370">
        <v>203</v>
      </c>
      <c r="AJ370">
        <v>0</v>
      </c>
      <c r="AK370">
        <v>540</v>
      </c>
      <c r="AL370">
        <v>0.59</v>
      </c>
    </row>
    <row r="371" spans="1:38" x14ac:dyDescent="0.3">
      <c r="A371" t="s">
        <v>421</v>
      </c>
      <c r="B371">
        <v>13922</v>
      </c>
      <c r="C371">
        <v>23</v>
      </c>
      <c r="D371" t="s">
        <v>586</v>
      </c>
      <c r="E371">
        <v>1981.09</v>
      </c>
      <c r="F371">
        <v>912</v>
      </c>
      <c r="G371">
        <v>26.81</v>
      </c>
      <c r="H371">
        <v>88.64</v>
      </c>
      <c r="I371">
        <v>24.87</v>
      </c>
      <c r="J371">
        <v>82.24</v>
      </c>
      <c r="K371">
        <v>16</v>
      </c>
      <c r="T371">
        <v>3</v>
      </c>
      <c r="U371">
        <v>2</v>
      </c>
      <c r="V371" t="s">
        <v>128</v>
      </c>
      <c r="W371" t="s">
        <v>605</v>
      </c>
      <c r="X371">
        <v>12</v>
      </c>
      <c r="Y371">
        <v>12</v>
      </c>
      <c r="Z371" t="s">
        <v>588</v>
      </c>
      <c r="AA371" t="s">
        <v>589</v>
      </c>
      <c r="AB371" t="s">
        <v>89</v>
      </c>
      <c r="AC371" t="s">
        <v>90</v>
      </c>
      <c r="AD371" t="s">
        <v>91</v>
      </c>
      <c r="AE371" t="s">
        <v>425</v>
      </c>
      <c r="AG371" t="s">
        <v>584</v>
      </c>
      <c r="AH371">
        <v>0</v>
      </c>
      <c r="AI371">
        <v>203</v>
      </c>
      <c r="AJ371">
        <v>0</v>
      </c>
      <c r="AK371">
        <v>540</v>
      </c>
      <c r="AL371">
        <v>0.59</v>
      </c>
    </row>
    <row r="372" spans="1:38" x14ac:dyDescent="0.3">
      <c r="A372" t="s">
        <v>421</v>
      </c>
      <c r="B372">
        <v>13922</v>
      </c>
      <c r="C372">
        <v>24</v>
      </c>
      <c r="D372" t="s">
        <v>586</v>
      </c>
      <c r="E372">
        <v>1981.09</v>
      </c>
      <c r="F372">
        <v>912</v>
      </c>
      <c r="G372">
        <v>26.81</v>
      </c>
      <c r="H372">
        <v>88.64</v>
      </c>
      <c r="I372">
        <v>21.8</v>
      </c>
      <c r="J372">
        <v>72.069999999999993</v>
      </c>
      <c r="K372">
        <v>1</v>
      </c>
      <c r="T372">
        <v>3</v>
      </c>
      <c r="U372">
        <v>2</v>
      </c>
      <c r="V372" t="s">
        <v>128</v>
      </c>
      <c r="W372" t="s">
        <v>606</v>
      </c>
      <c r="X372">
        <v>12</v>
      </c>
      <c r="Y372">
        <v>12</v>
      </c>
      <c r="Z372" t="s">
        <v>588</v>
      </c>
      <c r="AA372" t="s">
        <v>589</v>
      </c>
      <c r="AB372" t="s">
        <v>89</v>
      </c>
      <c r="AC372" t="s">
        <v>90</v>
      </c>
      <c r="AD372" t="s">
        <v>91</v>
      </c>
      <c r="AE372" t="s">
        <v>425</v>
      </c>
      <c r="AG372" t="s">
        <v>584</v>
      </c>
      <c r="AH372">
        <v>0</v>
      </c>
      <c r="AI372">
        <v>203</v>
      </c>
      <c r="AJ372">
        <v>0</v>
      </c>
      <c r="AK372">
        <v>540</v>
      </c>
      <c r="AL372">
        <v>0.59</v>
      </c>
    </row>
    <row r="373" spans="1:38" x14ac:dyDescent="0.3">
      <c r="A373" t="s">
        <v>421</v>
      </c>
      <c r="B373">
        <v>13922</v>
      </c>
      <c r="C373">
        <v>25</v>
      </c>
      <c r="D373" t="s">
        <v>586</v>
      </c>
      <c r="E373">
        <v>1981.09</v>
      </c>
      <c r="F373">
        <v>912</v>
      </c>
      <c r="G373">
        <v>28.1</v>
      </c>
      <c r="H373">
        <v>92.91</v>
      </c>
      <c r="I373">
        <v>22.85</v>
      </c>
      <c r="J373">
        <v>75.540000000000006</v>
      </c>
      <c r="K373">
        <v>61</v>
      </c>
      <c r="T373">
        <v>3</v>
      </c>
      <c r="U373">
        <v>2</v>
      </c>
      <c r="V373" t="s">
        <v>128</v>
      </c>
      <c r="W373" t="s">
        <v>607</v>
      </c>
      <c r="X373">
        <v>12</v>
      </c>
      <c r="Y373">
        <v>12</v>
      </c>
      <c r="Z373" t="s">
        <v>588</v>
      </c>
      <c r="AA373" t="s">
        <v>589</v>
      </c>
      <c r="AB373" t="s">
        <v>89</v>
      </c>
      <c r="AC373" t="s">
        <v>90</v>
      </c>
      <c r="AD373" t="s">
        <v>91</v>
      </c>
      <c r="AE373" t="s">
        <v>425</v>
      </c>
      <c r="AG373" t="s">
        <v>584</v>
      </c>
      <c r="AH373">
        <v>0</v>
      </c>
      <c r="AI373">
        <v>203</v>
      </c>
      <c r="AJ373">
        <v>0</v>
      </c>
      <c r="AK373">
        <v>540</v>
      </c>
      <c r="AL373">
        <v>0.59</v>
      </c>
    </row>
    <row r="374" spans="1:38" x14ac:dyDescent="0.3">
      <c r="A374" t="s">
        <v>421</v>
      </c>
      <c r="B374">
        <v>13922</v>
      </c>
      <c r="C374">
        <v>26</v>
      </c>
      <c r="D374" t="s">
        <v>586</v>
      </c>
      <c r="E374">
        <v>1981.09</v>
      </c>
      <c r="F374">
        <v>912</v>
      </c>
      <c r="G374">
        <v>28.1</v>
      </c>
      <c r="H374">
        <v>92.91</v>
      </c>
      <c r="I374">
        <v>26.07</v>
      </c>
      <c r="J374">
        <v>86.2</v>
      </c>
      <c r="K374">
        <v>7</v>
      </c>
      <c r="T374">
        <v>3</v>
      </c>
      <c r="U374">
        <v>2</v>
      </c>
      <c r="V374" t="s">
        <v>128</v>
      </c>
      <c r="W374" t="s">
        <v>608</v>
      </c>
      <c r="X374">
        <v>12</v>
      </c>
      <c r="Y374">
        <v>12</v>
      </c>
      <c r="Z374" t="s">
        <v>588</v>
      </c>
      <c r="AA374" t="s">
        <v>589</v>
      </c>
      <c r="AB374" t="s">
        <v>89</v>
      </c>
      <c r="AC374" t="s">
        <v>90</v>
      </c>
      <c r="AD374" t="s">
        <v>91</v>
      </c>
      <c r="AE374" t="s">
        <v>425</v>
      </c>
      <c r="AG374" t="s">
        <v>584</v>
      </c>
      <c r="AH374">
        <v>0</v>
      </c>
      <c r="AI374">
        <v>203</v>
      </c>
      <c r="AJ374">
        <v>0</v>
      </c>
      <c r="AK374">
        <v>540</v>
      </c>
      <c r="AL374">
        <v>0.59</v>
      </c>
    </row>
    <row r="375" spans="1:38" x14ac:dyDescent="0.3">
      <c r="A375" t="s">
        <v>421</v>
      </c>
      <c r="B375">
        <v>13922</v>
      </c>
      <c r="C375">
        <v>27</v>
      </c>
      <c r="D375" t="s">
        <v>586</v>
      </c>
      <c r="E375">
        <v>1981.09</v>
      </c>
      <c r="F375">
        <v>912</v>
      </c>
      <c r="G375">
        <v>28.12</v>
      </c>
      <c r="H375">
        <v>92.96</v>
      </c>
      <c r="I375">
        <v>22.85</v>
      </c>
      <c r="J375">
        <v>75.540000000000006</v>
      </c>
      <c r="K375">
        <v>1</v>
      </c>
      <c r="T375">
        <v>3</v>
      </c>
      <c r="U375">
        <v>2</v>
      </c>
      <c r="V375" t="s">
        <v>128</v>
      </c>
      <c r="W375" t="s">
        <v>147</v>
      </c>
      <c r="X375">
        <v>12</v>
      </c>
      <c r="Y375">
        <v>12</v>
      </c>
      <c r="Z375" t="s">
        <v>588</v>
      </c>
      <c r="AA375" t="s">
        <v>589</v>
      </c>
      <c r="AB375" t="s">
        <v>89</v>
      </c>
      <c r="AC375" t="s">
        <v>90</v>
      </c>
      <c r="AD375" t="s">
        <v>91</v>
      </c>
      <c r="AE375" t="s">
        <v>425</v>
      </c>
      <c r="AG375" t="s">
        <v>584</v>
      </c>
      <c r="AH375">
        <v>0</v>
      </c>
      <c r="AI375">
        <v>203</v>
      </c>
      <c r="AJ375">
        <v>0</v>
      </c>
      <c r="AK375">
        <v>540</v>
      </c>
      <c r="AL375">
        <v>0.59</v>
      </c>
    </row>
    <row r="376" spans="1:38" x14ac:dyDescent="0.3">
      <c r="A376" t="s">
        <v>421</v>
      </c>
      <c r="B376">
        <v>13922</v>
      </c>
      <c r="C376">
        <v>28</v>
      </c>
      <c r="D376" t="s">
        <v>586</v>
      </c>
      <c r="E376">
        <v>1981.09</v>
      </c>
      <c r="F376">
        <v>912</v>
      </c>
      <c r="G376">
        <v>27.95</v>
      </c>
      <c r="H376">
        <v>92.41</v>
      </c>
      <c r="I376">
        <v>22.85</v>
      </c>
      <c r="J376">
        <v>75.540000000000006</v>
      </c>
      <c r="K376">
        <v>1</v>
      </c>
      <c r="T376">
        <v>3</v>
      </c>
      <c r="U376">
        <v>2</v>
      </c>
      <c r="V376" t="s">
        <v>128</v>
      </c>
      <c r="W376" t="s">
        <v>609</v>
      </c>
      <c r="X376">
        <v>12</v>
      </c>
      <c r="Y376">
        <v>12</v>
      </c>
      <c r="Z376" t="s">
        <v>588</v>
      </c>
      <c r="AA376" t="s">
        <v>589</v>
      </c>
      <c r="AB376" t="s">
        <v>89</v>
      </c>
      <c r="AC376" t="s">
        <v>90</v>
      </c>
      <c r="AD376" t="s">
        <v>91</v>
      </c>
      <c r="AE376" t="s">
        <v>425</v>
      </c>
      <c r="AG376" t="s">
        <v>584</v>
      </c>
      <c r="AH376">
        <v>0</v>
      </c>
      <c r="AI376">
        <v>203</v>
      </c>
      <c r="AJ376">
        <v>0</v>
      </c>
      <c r="AK376">
        <v>540</v>
      </c>
      <c r="AL376">
        <v>0.59</v>
      </c>
    </row>
    <row r="377" spans="1:38" x14ac:dyDescent="0.3">
      <c r="A377" t="s">
        <v>421</v>
      </c>
      <c r="B377">
        <v>13922</v>
      </c>
      <c r="C377">
        <v>29</v>
      </c>
      <c r="D377" t="s">
        <v>586</v>
      </c>
      <c r="E377">
        <v>1981.09</v>
      </c>
      <c r="F377">
        <v>912</v>
      </c>
      <c r="G377">
        <v>28.1</v>
      </c>
      <c r="H377">
        <v>92.91</v>
      </c>
      <c r="I377">
        <v>22.85</v>
      </c>
      <c r="J377">
        <v>75.540000000000006</v>
      </c>
      <c r="K377">
        <v>1</v>
      </c>
      <c r="T377">
        <v>3</v>
      </c>
      <c r="U377">
        <v>2</v>
      </c>
      <c r="V377" t="s">
        <v>128</v>
      </c>
      <c r="W377" t="s">
        <v>610</v>
      </c>
      <c r="X377">
        <v>12</v>
      </c>
      <c r="Y377">
        <v>12</v>
      </c>
      <c r="Z377" t="s">
        <v>588</v>
      </c>
      <c r="AA377" t="s">
        <v>589</v>
      </c>
      <c r="AB377" t="s">
        <v>89</v>
      </c>
      <c r="AC377" t="s">
        <v>90</v>
      </c>
      <c r="AD377" t="s">
        <v>91</v>
      </c>
      <c r="AE377" t="s">
        <v>425</v>
      </c>
      <c r="AG377" t="s">
        <v>584</v>
      </c>
      <c r="AH377">
        <v>0</v>
      </c>
      <c r="AI377">
        <v>203</v>
      </c>
      <c r="AJ377">
        <v>0</v>
      </c>
      <c r="AK377">
        <v>540</v>
      </c>
      <c r="AL377">
        <v>0.59</v>
      </c>
    </row>
    <row r="378" spans="1:38" x14ac:dyDescent="0.3">
      <c r="A378" t="s">
        <v>421</v>
      </c>
      <c r="B378">
        <v>13922</v>
      </c>
      <c r="C378">
        <v>30</v>
      </c>
      <c r="D378" t="s">
        <v>586</v>
      </c>
      <c r="E378">
        <v>1981.09</v>
      </c>
      <c r="F378">
        <v>912</v>
      </c>
      <c r="G378">
        <v>28.2</v>
      </c>
      <c r="H378">
        <v>93.25</v>
      </c>
      <c r="I378">
        <v>26.39</v>
      </c>
      <c r="J378">
        <v>87.27</v>
      </c>
      <c r="K378">
        <v>20</v>
      </c>
      <c r="T378">
        <v>3</v>
      </c>
      <c r="U378">
        <v>2</v>
      </c>
      <c r="V378" t="s">
        <v>128</v>
      </c>
      <c r="W378" t="s">
        <v>611</v>
      </c>
      <c r="X378">
        <v>12</v>
      </c>
      <c r="Y378">
        <v>12</v>
      </c>
      <c r="Z378" t="s">
        <v>588</v>
      </c>
      <c r="AA378" t="s">
        <v>589</v>
      </c>
      <c r="AB378" t="s">
        <v>89</v>
      </c>
      <c r="AC378" t="s">
        <v>90</v>
      </c>
      <c r="AD378" t="s">
        <v>91</v>
      </c>
      <c r="AE378" t="s">
        <v>425</v>
      </c>
      <c r="AG378" t="s">
        <v>584</v>
      </c>
      <c r="AH378">
        <v>0</v>
      </c>
      <c r="AI378">
        <v>203</v>
      </c>
      <c r="AJ378">
        <v>0</v>
      </c>
      <c r="AK378">
        <v>540</v>
      </c>
      <c r="AL378">
        <v>0.59</v>
      </c>
    </row>
    <row r="379" spans="1:38" x14ac:dyDescent="0.3">
      <c r="A379" t="s">
        <v>421</v>
      </c>
      <c r="B379">
        <v>13922</v>
      </c>
      <c r="C379">
        <v>31</v>
      </c>
      <c r="D379" t="s">
        <v>586</v>
      </c>
      <c r="E379">
        <v>1981.09</v>
      </c>
      <c r="F379">
        <v>912</v>
      </c>
      <c r="G379">
        <v>28.37</v>
      </c>
      <c r="H379">
        <v>93.79</v>
      </c>
      <c r="I379">
        <v>26.55</v>
      </c>
      <c r="J379">
        <v>87.77</v>
      </c>
      <c r="K379">
        <v>15</v>
      </c>
      <c r="T379">
        <v>3</v>
      </c>
      <c r="U379">
        <v>2</v>
      </c>
      <c r="V379" t="s">
        <v>128</v>
      </c>
      <c r="W379" t="s">
        <v>612</v>
      </c>
      <c r="X379">
        <v>12</v>
      </c>
      <c r="Y379">
        <v>12</v>
      </c>
      <c r="Z379" t="s">
        <v>588</v>
      </c>
      <c r="AA379" t="s">
        <v>589</v>
      </c>
      <c r="AB379" t="s">
        <v>89</v>
      </c>
      <c r="AC379" t="s">
        <v>90</v>
      </c>
      <c r="AD379" t="s">
        <v>91</v>
      </c>
      <c r="AE379" t="s">
        <v>425</v>
      </c>
      <c r="AG379" t="s">
        <v>584</v>
      </c>
      <c r="AH379">
        <v>0</v>
      </c>
      <c r="AI379">
        <v>203</v>
      </c>
      <c r="AJ379">
        <v>0</v>
      </c>
      <c r="AK379">
        <v>540</v>
      </c>
      <c r="AL379">
        <v>0.59</v>
      </c>
    </row>
    <row r="380" spans="1:38" x14ac:dyDescent="0.3">
      <c r="A380" t="s">
        <v>421</v>
      </c>
      <c r="B380">
        <v>13922</v>
      </c>
      <c r="C380">
        <v>32</v>
      </c>
      <c r="D380" t="s">
        <v>586</v>
      </c>
      <c r="E380">
        <v>1981.09</v>
      </c>
      <c r="F380">
        <v>912</v>
      </c>
      <c r="G380">
        <v>28.37</v>
      </c>
      <c r="H380">
        <v>93.79</v>
      </c>
      <c r="I380">
        <v>19.87</v>
      </c>
      <c r="J380">
        <v>65.7</v>
      </c>
      <c r="K380">
        <v>7</v>
      </c>
      <c r="T380">
        <v>3</v>
      </c>
      <c r="U380">
        <v>2</v>
      </c>
      <c r="V380" t="s">
        <v>94</v>
      </c>
      <c r="W380" t="s">
        <v>613</v>
      </c>
      <c r="X380">
        <v>12</v>
      </c>
      <c r="Y380">
        <v>12</v>
      </c>
      <c r="Z380" t="s">
        <v>588</v>
      </c>
      <c r="AA380" t="s">
        <v>589</v>
      </c>
      <c r="AB380" t="s">
        <v>89</v>
      </c>
      <c r="AC380" t="s">
        <v>90</v>
      </c>
      <c r="AD380" t="s">
        <v>91</v>
      </c>
      <c r="AE380" t="s">
        <v>425</v>
      </c>
      <c r="AG380" t="s">
        <v>584</v>
      </c>
      <c r="AH380">
        <v>0</v>
      </c>
      <c r="AI380">
        <v>203</v>
      </c>
      <c r="AJ380">
        <v>0</v>
      </c>
      <c r="AK380">
        <v>540</v>
      </c>
      <c r="AL380">
        <v>0.59</v>
      </c>
    </row>
    <row r="381" spans="1:38" x14ac:dyDescent="0.3">
      <c r="A381" t="s">
        <v>421</v>
      </c>
      <c r="B381">
        <v>13922</v>
      </c>
      <c r="C381">
        <v>33</v>
      </c>
      <c r="D381" t="s">
        <v>586</v>
      </c>
      <c r="E381">
        <v>1981.09</v>
      </c>
      <c r="F381">
        <v>912</v>
      </c>
      <c r="G381">
        <v>28.2</v>
      </c>
      <c r="H381">
        <v>93.25</v>
      </c>
      <c r="I381">
        <v>19.87</v>
      </c>
      <c r="J381">
        <v>65.7</v>
      </c>
      <c r="K381">
        <v>2</v>
      </c>
      <c r="T381">
        <v>2</v>
      </c>
      <c r="U381">
        <v>1</v>
      </c>
      <c r="V381" t="s">
        <v>94</v>
      </c>
      <c r="W381" t="s">
        <v>614</v>
      </c>
      <c r="X381">
        <v>12</v>
      </c>
      <c r="Y381">
        <v>12</v>
      </c>
      <c r="Z381" t="s">
        <v>588</v>
      </c>
      <c r="AA381" t="s">
        <v>589</v>
      </c>
      <c r="AB381" t="s">
        <v>89</v>
      </c>
      <c r="AC381" t="s">
        <v>90</v>
      </c>
      <c r="AD381" t="s">
        <v>91</v>
      </c>
      <c r="AE381" t="s">
        <v>425</v>
      </c>
      <c r="AG381" t="s">
        <v>584</v>
      </c>
      <c r="AH381">
        <v>0</v>
      </c>
      <c r="AI381">
        <v>203</v>
      </c>
      <c r="AJ381">
        <v>0</v>
      </c>
      <c r="AK381">
        <v>540</v>
      </c>
      <c r="AL381">
        <v>0.59</v>
      </c>
    </row>
    <row r="382" spans="1:38" x14ac:dyDescent="0.3">
      <c r="A382" t="s">
        <v>421</v>
      </c>
      <c r="B382">
        <v>13922</v>
      </c>
      <c r="C382">
        <v>34</v>
      </c>
      <c r="D382" t="s">
        <v>586</v>
      </c>
      <c r="E382">
        <v>1981.09</v>
      </c>
      <c r="F382">
        <v>912</v>
      </c>
      <c r="G382">
        <v>28.17</v>
      </c>
      <c r="H382">
        <v>93.13</v>
      </c>
      <c r="I382">
        <v>25.69</v>
      </c>
      <c r="J382">
        <v>84.93</v>
      </c>
      <c r="K382">
        <v>2</v>
      </c>
      <c r="T382">
        <v>3</v>
      </c>
      <c r="U382">
        <v>2</v>
      </c>
      <c r="V382" t="s">
        <v>128</v>
      </c>
      <c r="W382" t="s">
        <v>615</v>
      </c>
      <c r="X382">
        <v>12</v>
      </c>
      <c r="Y382">
        <v>12</v>
      </c>
      <c r="Z382" t="s">
        <v>588</v>
      </c>
      <c r="AA382" t="s">
        <v>589</v>
      </c>
      <c r="AB382" t="s">
        <v>89</v>
      </c>
      <c r="AC382" t="s">
        <v>90</v>
      </c>
      <c r="AD382" t="s">
        <v>91</v>
      </c>
      <c r="AE382" t="s">
        <v>425</v>
      </c>
      <c r="AG382" t="s">
        <v>584</v>
      </c>
      <c r="AH382">
        <v>0</v>
      </c>
      <c r="AI382">
        <v>203</v>
      </c>
      <c r="AJ382">
        <v>0</v>
      </c>
      <c r="AK382">
        <v>540</v>
      </c>
      <c r="AL382">
        <v>0.59</v>
      </c>
    </row>
    <row r="383" spans="1:38" x14ac:dyDescent="0.3">
      <c r="A383" t="s">
        <v>421</v>
      </c>
      <c r="B383">
        <v>13922</v>
      </c>
      <c r="C383">
        <v>35</v>
      </c>
      <c r="D383" t="s">
        <v>586</v>
      </c>
      <c r="E383">
        <v>1981.09</v>
      </c>
      <c r="F383">
        <v>912</v>
      </c>
      <c r="G383">
        <v>28.17</v>
      </c>
      <c r="H383">
        <v>93.14</v>
      </c>
      <c r="I383">
        <v>25.69</v>
      </c>
      <c r="J383">
        <v>84.93</v>
      </c>
      <c r="K383">
        <v>1</v>
      </c>
      <c r="T383">
        <v>3</v>
      </c>
      <c r="U383">
        <v>2</v>
      </c>
      <c r="V383" t="s">
        <v>128</v>
      </c>
      <c r="W383" t="s">
        <v>616</v>
      </c>
      <c r="X383">
        <v>12</v>
      </c>
      <c r="Y383">
        <v>12</v>
      </c>
      <c r="Z383" t="s">
        <v>588</v>
      </c>
      <c r="AA383" t="s">
        <v>589</v>
      </c>
      <c r="AB383" t="s">
        <v>89</v>
      </c>
      <c r="AC383" t="s">
        <v>90</v>
      </c>
      <c r="AD383" t="s">
        <v>91</v>
      </c>
      <c r="AE383" t="s">
        <v>425</v>
      </c>
      <c r="AG383" t="s">
        <v>584</v>
      </c>
      <c r="AH383">
        <v>0</v>
      </c>
      <c r="AI383">
        <v>203</v>
      </c>
      <c r="AJ383">
        <v>0</v>
      </c>
      <c r="AK383">
        <v>540</v>
      </c>
      <c r="AL383">
        <v>0.59</v>
      </c>
    </row>
    <row r="384" spans="1:38" x14ac:dyDescent="0.3">
      <c r="A384" t="s">
        <v>421</v>
      </c>
      <c r="B384">
        <v>13922</v>
      </c>
      <c r="C384">
        <v>36</v>
      </c>
      <c r="D384" t="s">
        <v>586</v>
      </c>
      <c r="E384">
        <v>1981.09</v>
      </c>
      <c r="F384">
        <v>912</v>
      </c>
      <c r="G384">
        <v>28.74</v>
      </c>
      <c r="H384">
        <v>95.04</v>
      </c>
      <c r="I384">
        <v>26.94</v>
      </c>
      <c r="J384">
        <v>89.06</v>
      </c>
      <c r="K384">
        <v>2</v>
      </c>
      <c r="T384">
        <v>3</v>
      </c>
      <c r="U384">
        <v>2</v>
      </c>
      <c r="V384" t="s">
        <v>94</v>
      </c>
      <c r="W384" t="s">
        <v>617</v>
      </c>
      <c r="X384">
        <v>12</v>
      </c>
      <c r="Y384">
        <v>12</v>
      </c>
      <c r="Z384" t="s">
        <v>588</v>
      </c>
      <c r="AA384" t="s">
        <v>589</v>
      </c>
      <c r="AB384" t="s">
        <v>89</v>
      </c>
      <c r="AC384" t="s">
        <v>90</v>
      </c>
      <c r="AD384" t="s">
        <v>91</v>
      </c>
      <c r="AE384" t="s">
        <v>425</v>
      </c>
      <c r="AG384" t="s">
        <v>584</v>
      </c>
      <c r="AH384">
        <v>0</v>
      </c>
      <c r="AI384">
        <v>203</v>
      </c>
      <c r="AJ384">
        <v>0</v>
      </c>
      <c r="AK384">
        <v>540</v>
      </c>
      <c r="AL384">
        <v>0.59</v>
      </c>
    </row>
    <row r="385" spans="1:38" x14ac:dyDescent="0.3">
      <c r="A385" t="s">
        <v>421</v>
      </c>
      <c r="B385">
        <v>13922</v>
      </c>
      <c r="C385">
        <v>37</v>
      </c>
      <c r="D385" t="s">
        <v>586</v>
      </c>
      <c r="E385">
        <v>1981.09</v>
      </c>
      <c r="F385">
        <v>912</v>
      </c>
      <c r="G385">
        <v>29.02</v>
      </c>
      <c r="H385">
        <v>95.94</v>
      </c>
      <c r="I385">
        <v>19.87</v>
      </c>
      <c r="J385">
        <v>65.7</v>
      </c>
      <c r="K385">
        <v>1</v>
      </c>
      <c r="T385">
        <v>3</v>
      </c>
      <c r="U385">
        <v>1</v>
      </c>
      <c r="V385" t="s">
        <v>128</v>
      </c>
      <c r="W385" t="s">
        <v>618</v>
      </c>
      <c r="X385">
        <v>12</v>
      </c>
      <c r="Y385">
        <v>12</v>
      </c>
      <c r="Z385" t="s">
        <v>588</v>
      </c>
      <c r="AA385" t="s">
        <v>589</v>
      </c>
      <c r="AB385" t="s">
        <v>89</v>
      </c>
      <c r="AC385" t="s">
        <v>90</v>
      </c>
      <c r="AD385" t="s">
        <v>91</v>
      </c>
      <c r="AE385" t="s">
        <v>425</v>
      </c>
      <c r="AG385" t="s">
        <v>584</v>
      </c>
      <c r="AH385">
        <v>0</v>
      </c>
      <c r="AI385">
        <v>203</v>
      </c>
      <c r="AJ385">
        <v>0</v>
      </c>
      <c r="AK385">
        <v>540</v>
      </c>
      <c r="AL385">
        <v>0.59</v>
      </c>
    </row>
    <row r="386" spans="1:38" x14ac:dyDescent="0.3">
      <c r="A386" t="s">
        <v>421</v>
      </c>
      <c r="B386">
        <v>13922</v>
      </c>
      <c r="C386">
        <v>38</v>
      </c>
      <c r="D386" t="s">
        <v>586</v>
      </c>
      <c r="E386">
        <v>1981.09</v>
      </c>
      <c r="F386">
        <v>912</v>
      </c>
      <c r="G386">
        <v>29.02</v>
      </c>
      <c r="H386">
        <v>95.94</v>
      </c>
      <c r="I386">
        <v>27.2</v>
      </c>
      <c r="J386">
        <v>89.92</v>
      </c>
      <c r="K386">
        <v>1</v>
      </c>
      <c r="T386">
        <v>3</v>
      </c>
      <c r="U386">
        <v>2</v>
      </c>
      <c r="V386" t="s">
        <v>128</v>
      </c>
      <c r="W386" t="s">
        <v>619</v>
      </c>
      <c r="X386">
        <v>12</v>
      </c>
      <c r="Y386">
        <v>12</v>
      </c>
      <c r="Z386" t="s">
        <v>588</v>
      </c>
      <c r="AA386" t="s">
        <v>589</v>
      </c>
      <c r="AB386" t="s">
        <v>89</v>
      </c>
      <c r="AC386" t="s">
        <v>90</v>
      </c>
      <c r="AD386" t="s">
        <v>91</v>
      </c>
      <c r="AE386" t="s">
        <v>425</v>
      </c>
      <c r="AG386" t="s">
        <v>584</v>
      </c>
      <c r="AH386">
        <v>0</v>
      </c>
      <c r="AI386">
        <v>203</v>
      </c>
      <c r="AJ386">
        <v>0</v>
      </c>
      <c r="AK386">
        <v>540</v>
      </c>
      <c r="AL386">
        <v>0.59</v>
      </c>
    </row>
    <row r="387" spans="1:38" x14ac:dyDescent="0.3">
      <c r="A387" t="s">
        <v>421</v>
      </c>
      <c r="B387">
        <v>13922</v>
      </c>
      <c r="C387">
        <v>39</v>
      </c>
      <c r="D387" t="s">
        <v>586</v>
      </c>
      <c r="E387">
        <v>1981.09</v>
      </c>
      <c r="F387">
        <v>912</v>
      </c>
      <c r="G387">
        <v>31.84</v>
      </c>
      <c r="H387">
        <v>105.26</v>
      </c>
      <c r="I387">
        <v>25.69</v>
      </c>
      <c r="J387">
        <v>84.93</v>
      </c>
      <c r="K387">
        <v>109</v>
      </c>
      <c r="T387">
        <v>3</v>
      </c>
      <c r="U387">
        <v>2</v>
      </c>
      <c r="V387" t="s">
        <v>128</v>
      </c>
      <c r="W387" t="s">
        <v>487</v>
      </c>
      <c r="X387">
        <v>12</v>
      </c>
      <c r="Y387">
        <v>12</v>
      </c>
      <c r="Z387" t="s">
        <v>588</v>
      </c>
      <c r="AA387" t="s">
        <v>589</v>
      </c>
      <c r="AB387" t="s">
        <v>89</v>
      </c>
      <c r="AC387" t="s">
        <v>90</v>
      </c>
      <c r="AD387" t="s">
        <v>91</v>
      </c>
      <c r="AE387" t="s">
        <v>425</v>
      </c>
      <c r="AG387" t="s">
        <v>584</v>
      </c>
      <c r="AH387">
        <v>0</v>
      </c>
      <c r="AI387">
        <v>203</v>
      </c>
      <c r="AJ387">
        <v>0</v>
      </c>
      <c r="AK387">
        <v>540</v>
      </c>
      <c r="AL387">
        <v>0.59</v>
      </c>
    </row>
    <row r="388" spans="1:38" x14ac:dyDescent="0.3">
      <c r="A388" t="s">
        <v>421</v>
      </c>
      <c r="B388">
        <v>13922</v>
      </c>
      <c r="C388">
        <v>40</v>
      </c>
      <c r="D388" t="s">
        <v>586</v>
      </c>
      <c r="E388">
        <v>1981.09</v>
      </c>
      <c r="F388">
        <v>912</v>
      </c>
      <c r="G388">
        <v>31.84</v>
      </c>
      <c r="H388">
        <v>105.26</v>
      </c>
      <c r="I388">
        <v>29.35</v>
      </c>
      <c r="J388">
        <v>97.05</v>
      </c>
      <c r="K388">
        <v>7</v>
      </c>
      <c r="T388">
        <v>3</v>
      </c>
      <c r="U388">
        <v>2</v>
      </c>
      <c r="V388" t="s">
        <v>128</v>
      </c>
      <c r="W388" t="s">
        <v>620</v>
      </c>
      <c r="X388">
        <v>12</v>
      </c>
      <c r="Y388">
        <v>12</v>
      </c>
      <c r="Z388" t="s">
        <v>588</v>
      </c>
      <c r="AA388" t="s">
        <v>589</v>
      </c>
      <c r="AB388" t="s">
        <v>89</v>
      </c>
      <c r="AC388" t="s">
        <v>90</v>
      </c>
      <c r="AD388" t="s">
        <v>91</v>
      </c>
      <c r="AE388" t="s">
        <v>425</v>
      </c>
      <c r="AG388" t="s">
        <v>584</v>
      </c>
      <c r="AH388">
        <v>0</v>
      </c>
      <c r="AI388">
        <v>203</v>
      </c>
      <c r="AJ388">
        <v>0</v>
      </c>
      <c r="AK388">
        <v>540</v>
      </c>
      <c r="AL388">
        <v>0.59</v>
      </c>
    </row>
    <row r="389" spans="1:38" x14ac:dyDescent="0.3">
      <c r="A389" t="s">
        <v>421</v>
      </c>
      <c r="B389">
        <v>13922</v>
      </c>
      <c r="C389">
        <v>41</v>
      </c>
      <c r="D389" t="s">
        <v>586</v>
      </c>
      <c r="E389">
        <v>1981.09</v>
      </c>
      <c r="F389">
        <v>912</v>
      </c>
      <c r="G389">
        <v>31.84</v>
      </c>
      <c r="H389">
        <v>105.26</v>
      </c>
      <c r="I389">
        <v>25.69</v>
      </c>
      <c r="J389">
        <v>84.93</v>
      </c>
      <c r="K389">
        <v>1</v>
      </c>
      <c r="T389">
        <v>3</v>
      </c>
      <c r="U389">
        <v>2</v>
      </c>
      <c r="V389" t="s">
        <v>94</v>
      </c>
      <c r="W389" t="s">
        <v>621</v>
      </c>
      <c r="X389">
        <v>12</v>
      </c>
      <c r="Y389">
        <v>12</v>
      </c>
      <c r="Z389" t="s">
        <v>588</v>
      </c>
      <c r="AA389" t="s">
        <v>589</v>
      </c>
      <c r="AB389" t="s">
        <v>89</v>
      </c>
      <c r="AC389" t="s">
        <v>90</v>
      </c>
      <c r="AD389" t="s">
        <v>91</v>
      </c>
      <c r="AE389" t="s">
        <v>425</v>
      </c>
      <c r="AG389" t="s">
        <v>584</v>
      </c>
      <c r="AH389">
        <v>0</v>
      </c>
      <c r="AI389">
        <v>203</v>
      </c>
      <c r="AJ389">
        <v>0</v>
      </c>
      <c r="AK389">
        <v>540</v>
      </c>
      <c r="AL389">
        <v>0.59</v>
      </c>
    </row>
    <row r="390" spans="1:38" x14ac:dyDescent="0.3">
      <c r="A390" t="s">
        <v>421</v>
      </c>
      <c r="B390">
        <v>13922</v>
      </c>
      <c r="C390">
        <v>42</v>
      </c>
      <c r="D390" t="s">
        <v>586</v>
      </c>
      <c r="E390">
        <v>1981.09</v>
      </c>
      <c r="F390">
        <v>912</v>
      </c>
      <c r="G390">
        <v>42.18</v>
      </c>
      <c r="H390">
        <v>139.44999999999999</v>
      </c>
      <c r="I390">
        <v>35.39</v>
      </c>
      <c r="J390">
        <v>117</v>
      </c>
      <c r="K390">
        <v>23</v>
      </c>
      <c r="T390">
        <v>3</v>
      </c>
      <c r="U390">
        <v>2</v>
      </c>
      <c r="V390" t="s">
        <v>128</v>
      </c>
      <c r="W390" t="s">
        <v>622</v>
      </c>
      <c r="X390">
        <v>12</v>
      </c>
      <c r="Y390">
        <v>12</v>
      </c>
      <c r="Z390" t="s">
        <v>588</v>
      </c>
      <c r="AA390" t="s">
        <v>589</v>
      </c>
      <c r="AB390" t="s">
        <v>89</v>
      </c>
      <c r="AC390" t="s">
        <v>90</v>
      </c>
      <c r="AD390" t="s">
        <v>91</v>
      </c>
      <c r="AE390" t="s">
        <v>425</v>
      </c>
      <c r="AG390" t="s">
        <v>584</v>
      </c>
      <c r="AH390">
        <v>0</v>
      </c>
      <c r="AI390">
        <v>203</v>
      </c>
      <c r="AJ390">
        <v>0</v>
      </c>
      <c r="AK390">
        <v>540</v>
      </c>
      <c r="AL390">
        <v>0.59</v>
      </c>
    </row>
    <row r="391" spans="1:38" x14ac:dyDescent="0.3">
      <c r="A391" t="s">
        <v>421</v>
      </c>
      <c r="B391">
        <v>13922</v>
      </c>
      <c r="C391">
        <v>43</v>
      </c>
      <c r="D391" t="s">
        <v>586</v>
      </c>
      <c r="E391">
        <v>1981.09</v>
      </c>
      <c r="F391">
        <v>912</v>
      </c>
      <c r="G391">
        <v>42.18</v>
      </c>
      <c r="H391">
        <v>139.44999999999999</v>
      </c>
      <c r="I391">
        <v>35.39</v>
      </c>
      <c r="J391">
        <v>117</v>
      </c>
      <c r="K391">
        <v>19</v>
      </c>
      <c r="T391">
        <v>3</v>
      </c>
      <c r="U391">
        <v>2</v>
      </c>
      <c r="V391" t="s">
        <v>128</v>
      </c>
      <c r="W391" t="s">
        <v>623</v>
      </c>
      <c r="X391">
        <v>12</v>
      </c>
      <c r="Y391">
        <v>12</v>
      </c>
      <c r="Z391" t="s">
        <v>588</v>
      </c>
      <c r="AA391" t="s">
        <v>589</v>
      </c>
      <c r="AB391" t="s">
        <v>89</v>
      </c>
      <c r="AC391" t="s">
        <v>90</v>
      </c>
      <c r="AD391" t="s">
        <v>91</v>
      </c>
      <c r="AE391" t="s">
        <v>425</v>
      </c>
      <c r="AG391" t="s">
        <v>584</v>
      </c>
      <c r="AH391">
        <v>0</v>
      </c>
      <c r="AI391">
        <v>203</v>
      </c>
      <c r="AJ391">
        <v>0</v>
      </c>
      <c r="AK391">
        <v>540</v>
      </c>
      <c r="AL391">
        <v>0.59</v>
      </c>
    </row>
    <row r="392" spans="1:38" x14ac:dyDescent="0.3">
      <c r="A392" t="s">
        <v>421</v>
      </c>
      <c r="B392">
        <v>13922</v>
      </c>
      <c r="C392">
        <v>44</v>
      </c>
      <c r="D392" t="s">
        <v>586</v>
      </c>
      <c r="E392">
        <v>1981.09</v>
      </c>
      <c r="F392">
        <v>912</v>
      </c>
      <c r="G392">
        <v>42.18</v>
      </c>
      <c r="H392">
        <v>139.44999999999999</v>
      </c>
      <c r="I392">
        <v>35.39</v>
      </c>
      <c r="J392">
        <v>117</v>
      </c>
      <c r="K392">
        <v>4</v>
      </c>
      <c r="T392">
        <v>3</v>
      </c>
      <c r="U392">
        <v>2</v>
      </c>
      <c r="V392" t="s">
        <v>128</v>
      </c>
      <c r="W392" t="s">
        <v>624</v>
      </c>
      <c r="X392">
        <v>12</v>
      </c>
      <c r="Y392">
        <v>12</v>
      </c>
      <c r="Z392" t="s">
        <v>588</v>
      </c>
      <c r="AA392" t="s">
        <v>589</v>
      </c>
      <c r="AB392" t="s">
        <v>89</v>
      </c>
      <c r="AC392" t="s">
        <v>90</v>
      </c>
      <c r="AD392" t="s">
        <v>91</v>
      </c>
      <c r="AE392" t="s">
        <v>425</v>
      </c>
      <c r="AG392" t="s">
        <v>584</v>
      </c>
      <c r="AH392">
        <v>0</v>
      </c>
      <c r="AI392">
        <v>203</v>
      </c>
      <c r="AJ392">
        <v>0</v>
      </c>
      <c r="AK392">
        <v>540</v>
      </c>
      <c r="AL392">
        <v>0.59</v>
      </c>
    </row>
    <row r="393" spans="1:38" x14ac:dyDescent="0.3">
      <c r="A393" t="s">
        <v>421</v>
      </c>
      <c r="B393">
        <v>13922</v>
      </c>
      <c r="C393">
        <v>45</v>
      </c>
      <c r="D393" t="s">
        <v>586</v>
      </c>
      <c r="E393">
        <v>1981.09</v>
      </c>
      <c r="F393">
        <v>912</v>
      </c>
      <c r="G393">
        <v>42.18</v>
      </c>
      <c r="H393">
        <v>139.44999999999999</v>
      </c>
      <c r="I393">
        <v>35.39</v>
      </c>
      <c r="J393">
        <v>117</v>
      </c>
      <c r="K393">
        <v>1</v>
      </c>
      <c r="T393">
        <v>3</v>
      </c>
      <c r="U393">
        <v>2</v>
      </c>
      <c r="V393" t="s">
        <v>128</v>
      </c>
      <c r="W393" t="s">
        <v>625</v>
      </c>
      <c r="X393">
        <v>12</v>
      </c>
      <c r="Y393">
        <v>12</v>
      </c>
      <c r="Z393" t="s">
        <v>588</v>
      </c>
      <c r="AA393" t="s">
        <v>589</v>
      </c>
      <c r="AB393" t="s">
        <v>89</v>
      </c>
      <c r="AC393" t="s">
        <v>90</v>
      </c>
      <c r="AD393" t="s">
        <v>91</v>
      </c>
      <c r="AE393" t="s">
        <v>425</v>
      </c>
      <c r="AG393" t="s">
        <v>584</v>
      </c>
      <c r="AH393">
        <v>0</v>
      </c>
      <c r="AI393">
        <v>203</v>
      </c>
      <c r="AJ393">
        <v>0</v>
      </c>
      <c r="AK393">
        <v>540</v>
      </c>
      <c r="AL393">
        <v>0.59</v>
      </c>
    </row>
    <row r="394" spans="1:38" x14ac:dyDescent="0.3">
      <c r="A394" t="s">
        <v>421</v>
      </c>
      <c r="B394">
        <v>13922</v>
      </c>
      <c r="C394">
        <v>46</v>
      </c>
      <c r="D394" t="s">
        <v>586</v>
      </c>
      <c r="E394">
        <v>1981.09</v>
      </c>
      <c r="F394">
        <v>912</v>
      </c>
      <c r="G394">
        <v>42.18</v>
      </c>
      <c r="H394">
        <v>139.47</v>
      </c>
      <c r="I394">
        <v>35.39</v>
      </c>
      <c r="J394">
        <v>117</v>
      </c>
      <c r="K394">
        <v>1</v>
      </c>
      <c r="T394">
        <v>3</v>
      </c>
      <c r="U394">
        <v>2</v>
      </c>
      <c r="V394" t="s">
        <v>128</v>
      </c>
      <c r="W394" t="s">
        <v>626</v>
      </c>
      <c r="X394">
        <v>12</v>
      </c>
      <c r="Y394">
        <v>12</v>
      </c>
      <c r="Z394" t="s">
        <v>588</v>
      </c>
      <c r="AA394" t="s">
        <v>589</v>
      </c>
      <c r="AB394" t="s">
        <v>89</v>
      </c>
      <c r="AC394" t="s">
        <v>90</v>
      </c>
      <c r="AD394" t="s">
        <v>91</v>
      </c>
      <c r="AE394" t="s">
        <v>425</v>
      </c>
      <c r="AG394" t="s">
        <v>584</v>
      </c>
      <c r="AH394">
        <v>0</v>
      </c>
      <c r="AI394">
        <v>203</v>
      </c>
      <c r="AJ394">
        <v>0</v>
      </c>
      <c r="AK394">
        <v>540</v>
      </c>
      <c r="AL394">
        <v>0.59</v>
      </c>
    </row>
    <row r="395" spans="1:38" x14ac:dyDescent="0.3">
      <c r="A395" t="s">
        <v>421</v>
      </c>
      <c r="B395">
        <v>126060</v>
      </c>
      <c r="C395">
        <v>1</v>
      </c>
      <c r="D395" t="s">
        <v>627</v>
      </c>
      <c r="E395">
        <v>2021.11</v>
      </c>
      <c r="F395">
        <v>1199</v>
      </c>
      <c r="G395">
        <v>25.87</v>
      </c>
      <c r="H395">
        <v>85.55</v>
      </c>
      <c r="I395">
        <v>18.13</v>
      </c>
      <c r="J395">
        <v>59.96</v>
      </c>
      <c r="K395">
        <v>361</v>
      </c>
      <c r="T395">
        <v>3</v>
      </c>
      <c r="U395">
        <v>2</v>
      </c>
      <c r="V395" t="s">
        <v>94</v>
      </c>
      <c r="W395" t="s">
        <v>628</v>
      </c>
      <c r="X395">
        <v>37</v>
      </c>
      <c r="Y395">
        <v>11</v>
      </c>
      <c r="Z395" t="s">
        <v>629</v>
      </c>
      <c r="AA395" t="s">
        <v>630</v>
      </c>
      <c r="AB395" t="s">
        <v>89</v>
      </c>
      <c r="AC395" t="s">
        <v>90</v>
      </c>
      <c r="AD395" t="s">
        <v>91</v>
      </c>
      <c r="AE395" t="s">
        <v>425</v>
      </c>
      <c r="AG395" t="s">
        <v>631</v>
      </c>
      <c r="AH395">
        <v>0</v>
      </c>
      <c r="AI395">
        <v>303</v>
      </c>
      <c r="AJ395">
        <v>17</v>
      </c>
      <c r="AK395">
        <v>1584</v>
      </c>
      <c r="AL395">
        <v>1.32</v>
      </c>
    </row>
    <row r="396" spans="1:38" x14ac:dyDescent="0.3">
      <c r="A396" t="s">
        <v>421</v>
      </c>
      <c r="B396">
        <v>126060</v>
      </c>
      <c r="C396">
        <v>2</v>
      </c>
      <c r="D396" t="s">
        <v>627</v>
      </c>
      <c r="E396">
        <v>2021.11</v>
      </c>
      <c r="F396">
        <v>1199</v>
      </c>
      <c r="G396">
        <v>26.18</v>
      </c>
      <c r="H396">
        <v>86.56</v>
      </c>
      <c r="I396">
        <v>18.12</v>
      </c>
      <c r="J396">
        <v>59.93</v>
      </c>
      <c r="K396">
        <v>87</v>
      </c>
      <c r="T396">
        <v>3</v>
      </c>
      <c r="U396">
        <v>2</v>
      </c>
      <c r="V396" t="s">
        <v>94</v>
      </c>
      <c r="W396" t="s">
        <v>632</v>
      </c>
      <c r="X396">
        <v>37</v>
      </c>
      <c r="Y396">
        <v>11</v>
      </c>
      <c r="Z396" t="s">
        <v>629</v>
      </c>
      <c r="AA396" t="s">
        <v>630</v>
      </c>
      <c r="AB396" t="s">
        <v>89</v>
      </c>
      <c r="AC396" t="s">
        <v>90</v>
      </c>
      <c r="AD396" t="s">
        <v>91</v>
      </c>
      <c r="AE396" t="s">
        <v>425</v>
      </c>
      <c r="AG396" t="s">
        <v>631</v>
      </c>
      <c r="AH396">
        <v>0</v>
      </c>
      <c r="AI396">
        <v>303</v>
      </c>
      <c r="AJ396">
        <v>17</v>
      </c>
      <c r="AK396">
        <v>1584</v>
      </c>
      <c r="AL396">
        <v>1.32</v>
      </c>
    </row>
    <row r="397" spans="1:38" x14ac:dyDescent="0.3">
      <c r="A397" t="s">
        <v>421</v>
      </c>
      <c r="B397">
        <v>126060</v>
      </c>
      <c r="C397">
        <v>3</v>
      </c>
      <c r="D397" t="s">
        <v>627</v>
      </c>
      <c r="E397">
        <v>2021.11</v>
      </c>
      <c r="F397">
        <v>1199</v>
      </c>
      <c r="G397">
        <v>26.09</v>
      </c>
      <c r="H397">
        <v>86.26</v>
      </c>
      <c r="I397">
        <v>18.13</v>
      </c>
      <c r="J397">
        <v>59.96</v>
      </c>
      <c r="K397">
        <v>36</v>
      </c>
      <c r="T397">
        <v>3</v>
      </c>
      <c r="U397">
        <v>2</v>
      </c>
      <c r="V397" t="s">
        <v>94</v>
      </c>
      <c r="W397" t="s">
        <v>633</v>
      </c>
      <c r="X397">
        <v>37</v>
      </c>
      <c r="Y397">
        <v>11</v>
      </c>
      <c r="Z397" t="s">
        <v>629</v>
      </c>
      <c r="AA397" t="s">
        <v>630</v>
      </c>
      <c r="AB397" t="s">
        <v>89</v>
      </c>
      <c r="AC397" t="s">
        <v>90</v>
      </c>
      <c r="AD397" t="s">
        <v>91</v>
      </c>
      <c r="AE397" t="s">
        <v>425</v>
      </c>
      <c r="AG397" t="s">
        <v>631</v>
      </c>
      <c r="AH397">
        <v>0</v>
      </c>
      <c r="AI397">
        <v>303</v>
      </c>
      <c r="AJ397">
        <v>17</v>
      </c>
      <c r="AK397">
        <v>1584</v>
      </c>
      <c r="AL397">
        <v>1.32</v>
      </c>
    </row>
    <row r="398" spans="1:38" x14ac:dyDescent="0.3">
      <c r="A398" t="s">
        <v>421</v>
      </c>
      <c r="B398">
        <v>126060</v>
      </c>
      <c r="C398">
        <v>4</v>
      </c>
      <c r="D398" t="s">
        <v>627</v>
      </c>
      <c r="E398">
        <v>2021.11</v>
      </c>
      <c r="F398">
        <v>1199</v>
      </c>
      <c r="G398">
        <v>28.47</v>
      </c>
      <c r="H398">
        <v>94.12</v>
      </c>
      <c r="I398">
        <v>20.86</v>
      </c>
      <c r="J398">
        <v>68.989999999999995</v>
      </c>
      <c r="K398">
        <v>64</v>
      </c>
      <c r="T398">
        <v>3</v>
      </c>
      <c r="U398">
        <v>2</v>
      </c>
      <c r="V398" t="s">
        <v>94</v>
      </c>
      <c r="W398">
        <v>94</v>
      </c>
      <c r="X398">
        <v>37</v>
      </c>
      <c r="Y398">
        <v>11</v>
      </c>
      <c r="Z398" t="s">
        <v>629</v>
      </c>
      <c r="AA398" t="s">
        <v>630</v>
      </c>
      <c r="AB398" t="s">
        <v>89</v>
      </c>
      <c r="AC398" t="s">
        <v>90</v>
      </c>
      <c r="AD398" t="s">
        <v>91</v>
      </c>
      <c r="AE398" t="s">
        <v>425</v>
      </c>
      <c r="AG398" t="s">
        <v>631</v>
      </c>
      <c r="AH398">
        <v>0</v>
      </c>
      <c r="AI398">
        <v>303</v>
      </c>
      <c r="AJ398">
        <v>17</v>
      </c>
      <c r="AK398">
        <v>1584</v>
      </c>
      <c r="AL398">
        <v>1.32</v>
      </c>
    </row>
    <row r="399" spans="1:38" x14ac:dyDescent="0.3">
      <c r="A399" t="s">
        <v>421</v>
      </c>
      <c r="B399">
        <v>126060</v>
      </c>
      <c r="C399">
        <v>5</v>
      </c>
      <c r="D399" t="s">
        <v>627</v>
      </c>
      <c r="E399">
        <v>2021.11</v>
      </c>
      <c r="F399">
        <v>1199</v>
      </c>
      <c r="G399">
        <v>34.840000000000003</v>
      </c>
      <c r="H399">
        <v>115.2</v>
      </c>
      <c r="I399">
        <v>25.69</v>
      </c>
      <c r="J399">
        <v>84.93</v>
      </c>
      <c r="K399">
        <v>283</v>
      </c>
      <c r="T399">
        <v>3</v>
      </c>
      <c r="U399">
        <v>2</v>
      </c>
      <c r="V399" t="s">
        <v>94</v>
      </c>
      <c r="W399" t="s">
        <v>549</v>
      </c>
      <c r="X399">
        <v>37</v>
      </c>
      <c r="Y399">
        <v>11</v>
      </c>
      <c r="Z399" t="s">
        <v>629</v>
      </c>
      <c r="AA399" t="s">
        <v>630</v>
      </c>
      <c r="AB399" t="s">
        <v>89</v>
      </c>
      <c r="AC399" t="s">
        <v>90</v>
      </c>
      <c r="AD399" t="s">
        <v>91</v>
      </c>
      <c r="AE399" t="s">
        <v>425</v>
      </c>
      <c r="AG399" t="s">
        <v>631</v>
      </c>
      <c r="AH399">
        <v>0</v>
      </c>
      <c r="AI399">
        <v>303</v>
      </c>
      <c r="AJ399">
        <v>17</v>
      </c>
      <c r="AK399">
        <v>1584</v>
      </c>
      <c r="AL399">
        <v>1.32</v>
      </c>
    </row>
    <row r="400" spans="1:38" x14ac:dyDescent="0.3">
      <c r="A400" t="s">
        <v>421</v>
      </c>
      <c r="B400">
        <v>126060</v>
      </c>
      <c r="C400">
        <v>6</v>
      </c>
      <c r="D400" t="s">
        <v>627</v>
      </c>
      <c r="E400">
        <v>2021.11</v>
      </c>
      <c r="F400">
        <v>1199</v>
      </c>
      <c r="G400">
        <v>35.04</v>
      </c>
      <c r="H400">
        <v>115.86</v>
      </c>
      <c r="I400">
        <v>25.69</v>
      </c>
      <c r="J400">
        <v>84.95</v>
      </c>
      <c r="K400">
        <v>147</v>
      </c>
      <c r="T400">
        <v>3</v>
      </c>
      <c r="U400">
        <v>2</v>
      </c>
      <c r="V400" t="s">
        <v>94</v>
      </c>
      <c r="W400" t="s">
        <v>634</v>
      </c>
      <c r="X400">
        <v>37</v>
      </c>
      <c r="Y400">
        <v>11</v>
      </c>
      <c r="Z400" t="s">
        <v>629</v>
      </c>
      <c r="AA400" t="s">
        <v>630</v>
      </c>
      <c r="AB400" t="s">
        <v>89</v>
      </c>
      <c r="AC400" t="s">
        <v>90</v>
      </c>
      <c r="AD400" t="s">
        <v>91</v>
      </c>
      <c r="AE400" t="s">
        <v>425</v>
      </c>
      <c r="AG400" t="s">
        <v>631</v>
      </c>
      <c r="AH400">
        <v>0</v>
      </c>
      <c r="AI400">
        <v>303</v>
      </c>
      <c r="AJ400">
        <v>17</v>
      </c>
      <c r="AK400">
        <v>1584</v>
      </c>
      <c r="AL400">
        <v>1.32</v>
      </c>
    </row>
    <row r="401" spans="1:38" x14ac:dyDescent="0.3">
      <c r="A401" t="s">
        <v>421</v>
      </c>
      <c r="B401">
        <v>126060</v>
      </c>
      <c r="C401">
        <v>7</v>
      </c>
      <c r="D401" t="s">
        <v>627</v>
      </c>
      <c r="E401">
        <v>2021.11</v>
      </c>
      <c r="F401">
        <v>1199</v>
      </c>
      <c r="G401">
        <v>34.99</v>
      </c>
      <c r="H401">
        <v>115.67</v>
      </c>
      <c r="I401">
        <v>25.69</v>
      </c>
      <c r="J401">
        <v>84.94</v>
      </c>
      <c r="K401">
        <v>73</v>
      </c>
      <c r="T401">
        <v>3</v>
      </c>
      <c r="U401">
        <v>2</v>
      </c>
      <c r="V401" t="s">
        <v>94</v>
      </c>
      <c r="W401" t="s">
        <v>635</v>
      </c>
      <c r="X401">
        <v>37</v>
      </c>
      <c r="Y401">
        <v>11</v>
      </c>
      <c r="Z401" t="s">
        <v>629</v>
      </c>
      <c r="AA401" t="s">
        <v>630</v>
      </c>
      <c r="AB401" t="s">
        <v>89</v>
      </c>
      <c r="AC401" t="s">
        <v>90</v>
      </c>
      <c r="AD401" t="s">
        <v>91</v>
      </c>
      <c r="AE401" t="s">
        <v>425</v>
      </c>
      <c r="AG401" t="s">
        <v>631</v>
      </c>
      <c r="AH401">
        <v>0</v>
      </c>
      <c r="AI401">
        <v>303</v>
      </c>
      <c r="AJ401">
        <v>17</v>
      </c>
      <c r="AK401">
        <v>1584</v>
      </c>
      <c r="AL401">
        <v>1.32</v>
      </c>
    </row>
    <row r="402" spans="1:38" x14ac:dyDescent="0.3">
      <c r="A402" t="s">
        <v>421</v>
      </c>
      <c r="B402">
        <v>126060</v>
      </c>
      <c r="C402">
        <v>8</v>
      </c>
      <c r="D402" t="s">
        <v>627</v>
      </c>
      <c r="E402">
        <v>2021.11</v>
      </c>
      <c r="F402">
        <v>1199</v>
      </c>
      <c r="G402">
        <v>38.93</v>
      </c>
      <c r="H402">
        <v>128.72</v>
      </c>
      <c r="I402">
        <v>29.63</v>
      </c>
      <c r="J402">
        <v>97.96</v>
      </c>
      <c r="K402">
        <v>37</v>
      </c>
      <c r="T402">
        <v>4</v>
      </c>
      <c r="U402">
        <v>2</v>
      </c>
      <c r="V402" t="s">
        <v>94</v>
      </c>
      <c r="W402" t="s">
        <v>636</v>
      </c>
      <c r="X402">
        <v>37</v>
      </c>
      <c r="Y402">
        <v>11</v>
      </c>
      <c r="Z402" t="s">
        <v>629</v>
      </c>
      <c r="AA402" t="s">
        <v>630</v>
      </c>
      <c r="AB402" t="s">
        <v>89</v>
      </c>
      <c r="AC402" t="s">
        <v>90</v>
      </c>
      <c r="AD402" t="s">
        <v>91</v>
      </c>
      <c r="AE402" t="s">
        <v>425</v>
      </c>
      <c r="AG402" t="s">
        <v>631</v>
      </c>
      <c r="AH402">
        <v>0</v>
      </c>
      <c r="AI402">
        <v>303</v>
      </c>
      <c r="AJ402">
        <v>17</v>
      </c>
      <c r="AK402">
        <v>1584</v>
      </c>
      <c r="AL402">
        <v>1.32</v>
      </c>
    </row>
    <row r="403" spans="1:38" x14ac:dyDescent="0.3">
      <c r="A403" t="s">
        <v>421</v>
      </c>
      <c r="B403">
        <v>126060</v>
      </c>
      <c r="C403">
        <v>9</v>
      </c>
      <c r="D403" t="s">
        <v>627</v>
      </c>
      <c r="E403">
        <v>2021.11</v>
      </c>
      <c r="F403">
        <v>1199</v>
      </c>
      <c r="G403">
        <v>39</v>
      </c>
      <c r="H403">
        <v>128.93</v>
      </c>
      <c r="I403">
        <v>29.61</v>
      </c>
      <c r="J403">
        <v>97.9</v>
      </c>
      <c r="K403">
        <v>37</v>
      </c>
      <c r="T403">
        <v>3</v>
      </c>
      <c r="U403">
        <v>2</v>
      </c>
      <c r="V403" t="s">
        <v>94</v>
      </c>
      <c r="W403" t="s">
        <v>637</v>
      </c>
      <c r="X403">
        <v>37</v>
      </c>
      <c r="Y403">
        <v>11</v>
      </c>
      <c r="Z403" t="s">
        <v>629</v>
      </c>
      <c r="AA403" t="s">
        <v>630</v>
      </c>
      <c r="AB403" t="s">
        <v>89</v>
      </c>
      <c r="AC403" t="s">
        <v>90</v>
      </c>
      <c r="AD403" t="s">
        <v>91</v>
      </c>
      <c r="AE403" t="s">
        <v>425</v>
      </c>
      <c r="AG403" t="s">
        <v>631</v>
      </c>
      <c r="AH403">
        <v>0</v>
      </c>
      <c r="AI403">
        <v>303</v>
      </c>
      <c r="AJ403">
        <v>17</v>
      </c>
      <c r="AK403">
        <v>1584</v>
      </c>
      <c r="AL403">
        <v>1.32</v>
      </c>
    </row>
    <row r="404" spans="1:38" x14ac:dyDescent="0.3">
      <c r="A404" t="s">
        <v>421</v>
      </c>
      <c r="B404">
        <v>126060</v>
      </c>
      <c r="C404">
        <v>10</v>
      </c>
      <c r="D404" t="s">
        <v>627</v>
      </c>
      <c r="E404">
        <v>2021.11</v>
      </c>
      <c r="F404">
        <v>1199</v>
      </c>
      <c r="G404">
        <v>41.75</v>
      </c>
      <c r="H404">
        <v>138.02000000000001</v>
      </c>
      <c r="I404">
        <v>32.04</v>
      </c>
      <c r="J404">
        <v>105.92</v>
      </c>
      <c r="K404">
        <v>37</v>
      </c>
      <c r="T404">
        <v>4</v>
      </c>
      <c r="U404">
        <v>2</v>
      </c>
      <c r="V404" t="s">
        <v>94</v>
      </c>
      <c r="W404" t="s">
        <v>638</v>
      </c>
      <c r="X404">
        <v>37</v>
      </c>
      <c r="Y404">
        <v>11</v>
      </c>
      <c r="Z404" t="s">
        <v>629</v>
      </c>
      <c r="AA404" t="s">
        <v>630</v>
      </c>
      <c r="AB404" t="s">
        <v>89</v>
      </c>
      <c r="AC404" t="s">
        <v>90</v>
      </c>
      <c r="AD404" t="s">
        <v>91</v>
      </c>
      <c r="AE404" t="s">
        <v>425</v>
      </c>
      <c r="AG404" t="s">
        <v>631</v>
      </c>
      <c r="AH404">
        <v>0</v>
      </c>
      <c r="AI404">
        <v>303</v>
      </c>
      <c r="AJ404">
        <v>17</v>
      </c>
      <c r="AK404">
        <v>1584</v>
      </c>
      <c r="AL404">
        <v>1.32</v>
      </c>
    </row>
    <row r="405" spans="1:38" x14ac:dyDescent="0.3">
      <c r="A405" t="s">
        <v>421</v>
      </c>
      <c r="B405">
        <v>126060</v>
      </c>
      <c r="C405">
        <v>11</v>
      </c>
      <c r="D405" t="s">
        <v>627</v>
      </c>
      <c r="E405">
        <v>2021.11</v>
      </c>
      <c r="F405">
        <v>1199</v>
      </c>
      <c r="G405">
        <v>41.79</v>
      </c>
      <c r="H405">
        <v>138.18</v>
      </c>
      <c r="I405">
        <v>32.049999999999997</v>
      </c>
      <c r="J405">
        <v>105.96</v>
      </c>
      <c r="K405">
        <v>37</v>
      </c>
      <c r="T405">
        <v>4</v>
      </c>
      <c r="U405">
        <v>2</v>
      </c>
      <c r="V405" t="s">
        <v>94</v>
      </c>
      <c r="W405" t="s">
        <v>639</v>
      </c>
      <c r="X405">
        <v>37</v>
      </c>
      <c r="Y405">
        <v>11</v>
      </c>
      <c r="Z405" t="s">
        <v>629</v>
      </c>
      <c r="AA405" t="s">
        <v>630</v>
      </c>
      <c r="AB405" t="s">
        <v>89</v>
      </c>
      <c r="AC405" t="s">
        <v>90</v>
      </c>
      <c r="AD405" t="s">
        <v>91</v>
      </c>
      <c r="AE405" t="s">
        <v>425</v>
      </c>
      <c r="AG405" t="s">
        <v>631</v>
      </c>
      <c r="AH405">
        <v>0</v>
      </c>
      <c r="AI405">
        <v>303</v>
      </c>
      <c r="AJ405">
        <v>17</v>
      </c>
      <c r="AK405">
        <v>1584</v>
      </c>
      <c r="AL405">
        <v>1.32</v>
      </c>
    </row>
    <row r="406" spans="1:38" x14ac:dyDescent="0.3">
      <c r="A406" t="s">
        <v>421</v>
      </c>
      <c r="B406">
        <v>25725</v>
      </c>
      <c r="C406">
        <v>1</v>
      </c>
      <c r="D406" t="s">
        <v>640</v>
      </c>
      <c r="E406">
        <v>2009.11</v>
      </c>
      <c r="F406">
        <v>774</v>
      </c>
      <c r="G406">
        <v>25.16</v>
      </c>
      <c r="H406">
        <v>83.19</v>
      </c>
      <c r="I406">
        <v>18.14</v>
      </c>
      <c r="J406">
        <v>59.99</v>
      </c>
      <c r="K406">
        <v>175</v>
      </c>
      <c r="T406">
        <v>3</v>
      </c>
      <c r="U406">
        <v>2</v>
      </c>
      <c r="V406" t="s">
        <v>94</v>
      </c>
      <c r="W406">
        <v>83</v>
      </c>
      <c r="X406">
        <v>28</v>
      </c>
      <c r="Y406">
        <v>14</v>
      </c>
      <c r="Z406" t="s">
        <v>641</v>
      </c>
      <c r="AA406" t="s">
        <v>642</v>
      </c>
      <c r="AB406" t="s">
        <v>89</v>
      </c>
      <c r="AC406" t="s">
        <v>90</v>
      </c>
      <c r="AD406" t="s">
        <v>91</v>
      </c>
      <c r="AE406" t="s">
        <v>425</v>
      </c>
      <c r="AG406" t="s">
        <v>643</v>
      </c>
      <c r="AH406">
        <v>0</v>
      </c>
      <c r="AI406">
        <v>372</v>
      </c>
      <c r="AJ406">
        <v>19</v>
      </c>
      <c r="AK406">
        <v>902</v>
      </c>
      <c r="AL406">
        <v>1.17</v>
      </c>
    </row>
    <row r="407" spans="1:38" x14ac:dyDescent="0.3">
      <c r="A407" t="s">
        <v>421</v>
      </c>
      <c r="B407">
        <v>25725</v>
      </c>
      <c r="C407">
        <v>2</v>
      </c>
      <c r="D407" t="s">
        <v>640</v>
      </c>
      <c r="E407">
        <v>2009.11</v>
      </c>
      <c r="F407">
        <v>774</v>
      </c>
      <c r="G407">
        <v>33.049999999999997</v>
      </c>
      <c r="H407">
        <v>109.26</v>
      </c>
      <c r="I407">
        <v>25.7</v>
      </c>
      <c r="J407">
        <v>84.97</v>
      </c>
      <c r="K407">
        <v>379</v>
      </c>
      <c r="T407">
        <v>3</v>
      </c>
      <c r="U407">
        <v>2</v>
      </c>
      <c r="V407" t="s">
        <v>94</v>
      </c>
      <c r="W407">
        <v>109</v>
      </c>
      <c r="X407">
        <v>28</v>
      </c>
      <c r="Y407">
        <v>14</v>
      </c>
      <c r="Z407" t="s">
        <v>641</v>
      </c>
      <c r="AA407" t="s">
        <v>642</v>
      </c>
      <c r="AB407" t="s">
        <v>89</v>
      </c>
      <c r="AC407" t="s">
        <v>90</v>
      </c>
      <c r="AD407" t="s">
        <v>91</v>
      </c>
      <c r="AE407" t="s">
        <v>425</v>
      </c>
      <c r="AG407" t="s">
        <v>643</v>
      </c>
      <c r="AH407">
        <v>0</v>
      </c>
      <c r="AI407">
        <v>372</v>
      </c>
      <c r="AJ407">
        <v>19</v>
      </c>
      <c r="AK407">
        <v>902</v>
      </c>
      <c r="AL407">
        <v>1.17</v>
      </c>
    </row>
    <row r="408" spans="1:38" x14ac:dyDescent="0.3">
      <c r="A408" t="s">
        <v>421</v>
      </c>
      <c r="B408">
        <v>25725</v>
      </c>
      <c r="C408">
        <v>3</v>
      </c>
      <c r="D408" t="s">
        <v>640</v>
      </c>
      <c r="E408">
        <v>2009.11</v>
      </c>
      <c r="F408">
        <v>774</v>
      </c>
      <c r="G408">
        <v>42.83</v>
      </c>
      <c r="H408">
        <v>141.6</v>
      </c>
      <c r="I408">
        <v>33.71</v>
      </c>
      <c r="J408">
        <v>111.47</v>
      </c>
      <c r="K408">
        <v>170</v>
      </c>
      <c r="T408">
        <v>4</v>
      </c>
      <c r="U408">
        <v>2</v>
      </c>
      <c r="V408" t="s">
        <v>94</v>
      </c>
      <c r="W408">
        <v>141</v>
      </c>
      <c r="X408">
        <v>28</v>
      </c>
      <c r="Y408">
        <v>14</v>
      </c>
      <c r="Z408" t="s">
        <v>641</v>
      </c>
      <c r="AA408" t="s">
        <v>642</v>
      </c>
      <c r="AB408" t="s">
        <v>89</v>
      </c>
      <c r="AC408" t="s">
        <v>90</v>
      </c>
      <c r="AD408" t="s">
        <v>91</v>
      </c>
      <c r="AE408" t="s">
        <v>425</v>
      </c>
      <c r="AG408" t="s">
        <v>643</v>
      </c>
      <c r="AH408">
        <v>0</v>
      </c>
      <c r="AI408">
        <v>372</v>
      </c>
      <c r="AJ408">
        <v>19</v>
      </c>
      <c r="AK408">
        <v>902</v>
      </c>
      <c r="AL408">
        <v>1.17</v>
      </c>
    </row>
    <row r="409" spans="1:38" x14ac:dyDescent="0.3">
      <c r="A409" t="s">
        <v>421</v>
      </c>
      <c r="B409">
        <v>25725</v>
      </c>
      <c r="C409">
        <v>4</v>
      </c>
      <c r="D409" t="s">
        <v>640</v>
      </c>
      <c r="E409">
        <v>2009.11</v>
      </c>
      <c r="F409">
        <v>774</v>
      </c>
      <c r="G409">
        <v>49.21</v>
      </c>
      <c r="H409">
        <v>162.69</v>
      </c>
      <c r="I409">
        <v>39.94</v>
      </c>
      <c r="J409">
        <v>132.06</v>
      </c>
      <c r="K409">
        <v>50</v>
      </c>
      <c r="T409">
        <v>5</v>
      </c>
      <c r="U409">
        <v>2</v>
      </c>
      <c r="V409" t="s">
        <v>94</v>
      </c>
      <c r="W409">
        <v>162</v>
      </c>
      <c r="X409">
        <v>28</v>
      </c>
      <c r="Y409">
        <v>14</v>
      </c>
      <c r="Z409" t="s">
        <v>641</v>
      </c>
      <c r="AA409" t="s">
        <v>642</v>
      </c>
      <c r="AB409" t="s">
        <v>89</v>
      </c>
      <c r="AC409" t="s">
        <v>90</v>
      </c>
      <c r="AD409" t="s">
        <v>91</v>
      </c>
      <c r="AE409" t="s">
        <v>425</v>
      </c>
      <c r="AG409" t="s">
        <v>643</v>
      </c>
      <c r="AH409">
        <v>0</v>
      </c>
      <c r="AI409">
        <v>372</v>
      </c>
      <c r="AJ409">
        <v>19</v>
      </c>
      <c r="AK409">
        <v>902</v>
      </c>
      <c r="AL409">
        <v>1.17</v>
      </c>
    </row>
    <row r="410" spans="1:38" x14ac:dyDescent="0.3">
      <c r="A410" t="s">
        <v>421</v>
      </c>
      <c r="B410">
        <v>126337</v>
      </c>
      <c r="C410">
        <v>1</v>
      </c>
      <c r="D410" t="s">
        <v>644</v>
      </c>
      <c r="E410">
        <v>2021.11</v>
      </c>
      <c r="F410">
        <v>304</v>
      </c>
      <c r="G410">
        <v>19.22</v>
      </c>
      <c r="H410">
        <v>63.57</v>
      </c>
      <c r="I410">
        <v>14.32</v>
      </c>
      <c r="J410">
        <v>47.35</v>
      </c>
      <c r="K410">
        <v>30</v>
      </c>
      <c r="T410">
        <v>2</v>
      </c>
      <c r="U410">
        <v>1</v>
      </c>
      <c r="V410" t="s">
        <v>94</v>
      </c>
      <c r="W410">
        <v>63</v>
      </c>
      <c r="X410">
        <v>29</v>
      </c>
      <c r="Y410">
        <v>6</v>
      </c>
      <c r="Z410" t="s">
        <v>645</v>
      </c>
      <c r="AA410" t="s">
        <v>646</v>
      </c>
      <c r="AB410" t="s">
        <v>89</v>
      </c>
      <c r="AC410" t="s">
        <v>90</v>
      </c>
      <c r="AD410" t="s">
        <v>91</v>
      </c>
      <c r="AE410" t="s">
        <v>425</v>
      </c>
      <c r="AG410" t="s">
        <v>647</v>
      </c>
      <c r="AH410">
        <v>0</v>
      </c>
      <c r="AI410">
        <v>0</v>
      </c>
      <c r="AJ410">
        <v>0</v>
      </c>
      <c r="AK410">
        <v>322</v>
      </c>
      <c r="AL410">
        <v>1.06</v>
      </c>
    </row>
    <row r="411" spans="1:38" x14ac:dyDescent="0.3">
      <c r="A411" t="s">
        <v>421</v>
      </c>
      <c r="B411">
        <v>126337</v>
      </c>
      <c r="C411">
        <v>2</v>
      </c>
      <c r="D411" t="s">
        <v>644</v>
      </c>
      <c r="E411">
        <v>2021.11</v>
      </c>
      <c r="F411">
        <v>304</v>
      </c>
      <c r="G411">
        <v>22.15</v>
      </c>
      <c r="H411">
        <v>73.23</v>
      </c>
      <c r="I411">
        <v>15.69</v>
      </c>
      <c r="J411">
        <v>51.9</v>
      </c>
      <c r="K411">
        <v>162</v>
      </c>
      <c r="T411">
        <v>2</v>
      </c>
      <c r="U411">
        <v>2</v>
      </c>
      <c r="V411" t="s">
        <v>94</v>
      </c>
      <c r="W411" t="s">
        <v>322</v>
      </c>
      <c r="X411">
        <v>29</v>
      </c>
      <c r="Y411">
        <v>6</v>
      </c>
      <c r="Z411" t="s">
        <v>645</v>
      </c>
      <c r="AA411" t="s">
        <v>646</v>
      </c>
      <c r="AB411" t="s">
        <v>89</v>
      </c>
      <c r="AC411" t="s">
        <v>90</v>
      </c>
      <c r="AD411" t="s">
        <v>91</v>
      </c>
      <c r="AE411" t="s">
        <v>425</v>
      </c>
      <c r="AG411" t="s">
        <v>647</v>
      </c>
      <c r="AH411">
        <v>0</v>
      </c>
      <c r="AI411">
        <v>0</v>
      </c>
      <c r="AJ411">
        <v>0</v>
      </c>
      <c r="AK411">
        <v>322</v>
      </c>
      <c r="AL411">
        <v>1.06</v>
      </c>
    </row>
    <row r="412" spans="1:38" x14ac:dyDescent="0.3">
      <c r="A412" t="s">
        <v>421</v>
      </c>
      <c r="B412">
        <v>126337</v>
      </c>
      <c r="C412">
        <v>3</v>
      </c>
      <c r="D412" t="s">
        <v>644</v>
      </c>
      <c r="E412">
        <v>2021.11</v>
      </c>
      <c r="F412">
        <v>304</v>
      </c>
      <c r="G412">
        <v>22.13</v>
      </c>
      <c r="H412">
        <v>73.19</v>
      </c>
      <c r="I412">
        <v>15.53</v>
      </c>
      <c r="J412">
        <v>51.35</v>
      </c>
      <c r="K412">
        <v>19</v>
      </c>
      <c r="T412">
        <v>2</v>
      </c>
      <c r="U412">
        <v>2</v>
      </c>
      <c r="V412" t="s">
        <v>94</v>
      </c>
      <c r="W412" t="s">
        <v>100</v>
      </c>
      <c r="X412">
        <v>29</v>
      </c>
      <c r="Y412">
        <v>6</v>
      </c>
      <c r="Z412" t="s">
        <v>645</v>
      </c>
      <c r="AA412" t="s">
        <v>646</v>
      </c>
      <c r="AB412" t="s">
        <v>89</v>
      </c>
      <c r="AC412" t="s">
        <v>90</v>
      </c>
      <c r="AD412" t="s">
        <v>91</v>
      </c>
      <c r="AE412" t="s">
        <v>425</v>
      </c>
      <c r="AG412" t="s">
        <v>647</v>
      </c>
      <c r="AH412">
        <v>0</v>
      </c>
      <c r="AI412">
        <v>0</v>
      </c>
      <c r="AJ412">
        <v>0</v>
      </c>
      <c r="AK412">
        <v>322</v>
      </c>
      <c r="AL412">
        <v>1.06</v>
      </c>
    </row>
    <row r="413" spans="1:38" x14ac:dyDescent="0.3">
      <c r="A413" t="s">
        <v>421</v>
      </c>
      <c r="B413">
        <v>126337</v>
      </c>
      <c r="C413">
        <v>4</v>
      </c>
      <c r="D413" t="s">
        <v>644</v>
      </c>
      <c r="E413">
        <v>2021.11</v>
      </c>
      <c r="F413">
        <v>304</v>
      </c>
      <c r="G413">
        <v>25.09</v>
      </c>
      <c r="H413">
        <v>82.96</v>
      </c>
      <c r="I413">
        <v>18.13</v>
      </c>
      <c r="J413">
        <v>59.95</v>
      </c>
      <c r="K413">
        <v>76</v>
      </c>
      <c r="T413">
        <v>3</v>
      </c>
      <c r="U413">
        <v>2</v>
      </c>
      <c r="V413" t="s">
        <v>94</v>
      </c>
      <c r="W413" t="s">
        <v>519</v>
      </c>
      <c r="X413">
        <v>29</v>
      </c>
      <c r="Y413">
        <v>6</v>
      </c>
      <c r="Z413" t="s">
        <v>645</v>
      </c>
      <c r="AA413" t="s">
        <v>646</v>
      </c>
      <c r="AB413" t="s">
        <v>89</v>
      </c>
      <c r="AC413" t="s">
        <v>90</v>
      </c>
      <c r="AD413" t="s">
        <v>91</v>
      </c>
      <c r="AE413" t="s">
        <v>425</v>
      </c>
      <c r="AG413" t="s">
        <v>647</v>
      </c>
      <c r="AH413">
        <v>0</v>
      </c>
      <c r="AI413">
        <v>0</v>
      </c>
      <c r="AJ413">
        <v>0</v>
      </c>
      <c r="AK413">
        <v>322</v>
      </c>
      <c r="AL413">
        <v>1.06</v>
      </c>
    </row>
    <row r="414" spans="1:38" x14ac:dyDescent="0.3">
      <c r="A414" t="s">
        <v>421</v>
      </c>
      <c r="B414">
        <v>126337</v>
      </c>
      <c r="C414">
        <v>5</v>
      </c>
      <c r="D414" t="s">
        <v>644</v>
      </c>
      <c r="E414">
        <v>2021.11</v>
      </c>
      <c r="F414">
        <v>304</v>
      </c>
      <c r="G414">
        <v>25.41</v>
      </c>
      <c r="H414">
        <v>84.03</v>
      </c>
      <c r="I414">
        <v>17.96</v>
      </c>
      <c r="J414">
        <v>59.4</v>
      </c>
      <c r="K414">
        <v>17</v>
      </c>
      <c r="T414">
        <v>3</v>
      </c>
      <c r="U414">
        <v>2</v>
      </c>
      <c r="V414" t="s">
        <v>94</v>
      </c>
      <c r="W414" t="s">
        <v>108</v>
      </c>
      <c r="X414">
        <v>29</v>
      </c>
      <c r="Y414">
        <v>6</v>
      </c>
      <c r="Z414" t="s">
        <v>645</v>
      </c>
      <c r="AA414" t="s">
        <v>646</v>
      </c>
      <c r="AB414" t="s">
        <v>89</v>
      </c>
      <c r="AC414" t="s">
        <v>90</v>
      </c>
      <c r="AD414" t="s">
        <v>91</v>
      </c>
      <c r="AE414" t="s">
        <v>425</v>
      </c>
      <c r="AG414" t="s">
        <v>647</v>
      </c>
      <c r="AH414">
        <v>0</v>
      </c>
      <c r="AI414">
        <v>0</v>
      </c>
      <c r="AJ414">
        <v>0</v>
      </c>
      <c r="AK414">
        <v>322</v>
      </c>
      <c r="AL414">
        <v>1.06</v>
      </c>
    </row>
    <row r="415" spans="1:38" x14ac:dyDescent="0.3">
      <c r="A415" t="s">
        <v>421</v>
      </c>
      <c r="B415">
        <v>3076</v>
      </c>
      <c r="C415">
        <v>1</v>
      </c>
      <c r="D415" t="s">
        <v>648</v>
      </c>
      <c r="E415">
        <v>1992.11</v>
      </c>
      <c r="F415">
        <v>1800</v>
      </c>
      <c r="G415">
        <v>23.2</v>
      </c>
      <c r="H415">
        <v>76.7</v>
      </c>
      <c r="I415">
        <v>17.96</v>
      </c>
      <c r="J415">
        <v>59.4</v>
      </c>
      <c r="K415">
        <v>360</v>
      </c>
      <c r="T415">
        <v>3</v>
      </c>
      <c r="U415">
        <v>1</v>
      </c>
      <c r="V415" t="s">
        <v>128</v>
      </c>
      <c r="W415">
        <v>76</v>
      </c>
      <c r="X415">
        <v>26</v>
      </c>
      <c r="Y415">
        <v>10</v>
      </c>
      <c r="Z415" t="s">
        <v>649</v>
      </c>
      <c r="AA415" t="s">
        <v>650</v>
      </c>
      <c r="AB415" t="s">
        <v>89</v>
      </c>
      <c r="AC415" t="s">
        <v>90</v>
      </c>
      <c r="AD415" t="s">
        <v>91</v>
      </c>
      <c r="AE415" t="s">
        <v>425</v>
      </c>
      <c r="AG415" t="s">
        <v>651</v>
      </c>
      <c r="AH415">
        <v>0</v>
      </c>
      <c r="AI415">
        <v>209</v>
      </c>
      <c r="AJ415">
        <v>17</v>
      </c>
      <c r="AK415">
        <v>1300</v>
      </c>
      <c r="AL415">
        <v>0.72</v>
      </c>
    </row>
    <row r="416" spans="1:38" x14ac:dyDescent="0.3">
      <c r="A416" t="s">
        <v>421</v>
      </c>
      <c r="B416">
        <v>3076</v>
      </c>
      <c r="C416">
        <v>2</v>
      </c>
      <c r="D416" t="s">
        <v>648</v>
      </c>
      <c r="E416">
        <v>1992.11</v>
      </c>
      <c r="F416">
        <v>1800</v>
      </c>
      <c r="G416">
        <v>26.66</v>
      </c>
      <c r="H416">
        <v>88.15</v>
      </c>
      <c r="I416">
        <v>21.52</v>
      </c>
      <c r="J416">
        <v>71.17</v>
      </c>
      <c r="K416">
        <v>180</v>
      </c>
      <c r="T416">
        <v>3</v>
      </c>
      <c r="U416">
        <v>1</v>
      </c>
      <c r="V416" t="s">
        <v>94</v>
      </c>
      <c r="W416">
        <v>88</v>
      </c>
      <c r="X416">
        <v>26</v>
      </c>
      <c r="Y416">
        <v>10</v>
      </c>
      <c r="Z416" t="s">
        <v>649</v>
      </c>
      <c r="AA416" t="s">
        <v>650</v>
      </c>
      <c r="AB416" t="s">
        <v>89</v>
      </c>
      <c r="AC416" t="s">
        <v>90</v>
      </c>
      <c r="AD416" t="s">
        <v>91</v>
      </c>
      <c r="AE416" t="s">
        <v>425</v>
      </c>
      <c r="AG416" t="s">
        <v>651</v>
      </c>
      <c r="AH416">
        <v>0</v>
      </c>
      <c r="AI416">
        <v>209</v>
      </c>
      <c r="AJ416">
        <v>17</v>
      </c>
      <c r="AK416">
        <v>1300</v>
      </c>
      <c r="AL416">
        <v>0.72</v>
      </c>
    </row>
    <row r="417" spans="1:38" x14ac:dyDescent="0.3">
      <c r="A417" t="s">
        <v>421</v>
      </c>
      <c r="B417">
        <v>3076</v>
      </c>
      <c r="C417">
        <v>3</v>
      </c>
      <c r="D417" t="s">
        <v>648</v>
      </c>
      <c r="E417">
        <v>1992.11</v>
      </c>
      <c r="F417">
        <v>1800</v>
      </c>
      <c r="G417">
        <v>31.95</v>
      </c>
      <c r="H417">
        <v>105.65</v>
      </c>
      <c r="I417">
        <v>25.69</v>
      </c>
      <c r="J417">
        <v>84.94</v>
      </c>
      <c r="K417">
        <v>948</v>
      </c>
      <c r="T417">
        <v>3</v>
      </c>
      <c r="U417">
        <v>2</v>
      </c>
      <c r="V417" t="s">
        <v>94</v>
      </c>
      <c r="W417" t="s">
        <v>620</v>
      </c>
      <c r="X417">
        <v>26</v>
      </c>
      <c r="Y417">
        <v>10</v>
      </c>
      <c r="Z417" t="s">
        <v>649</v>
      </c>
      <c r="AA417" t="s">
        <v>650</v>
      </c>
      <c r="AB417" t="s">
        <v>89</v>
      </c>
      <c r="AC417" t="s">
        <v>90</v>
      </c>
      <c r="AD417" t="s">
        <v>91</v>
      </c>
      <c r="AE417" t="s">
        <v>425</v>
      </c>
      <c r="AG417" t="s">
        <v>651</v>
      </c>
      <c r="AH417">
        <v>0</v>
      </c>
      <c r="AI417">
        <v>209</v>
      </c>
      <c r="AJ417">
        <v>17</v>
      </c>
      <c r="AK417">
        <v>1300</v>
      </c>
      <c r="AL417">
        <v>0.72</v>
      </c>
    </row>
    <row r="418" spans="1:38" x14ac:dyDescent="0.3">
      <c r="A418" t="s">
        <v>421</v>
      </c>
      <c r="B418">
        <v>3076</v>
      </c>
      <c r="C418">
        <v>4</v>
      </c>
      <c r="D418" t="s">
        <v>648</v>
      </c>
      <c r="E418">
        <v>1992.11</v>
      </c>
      <c r="F418">
        <v>1800</v>
      </c>
      <c r="G418">
        <v>31.94</v>
      </c>
      <c r="H418">
        <v>105.59</v>
      </c>
      <c r="I418">
        <v>25.68</v>
      </c>
      <c r="J418">
        <v>84.9</v>
      </c>
      <c r="K418">
        <v>156</v>
      </c>
      <c r="T418">
        <v>3</v>
      </c>
      <c r="U418">
        <v>2</v>
      </c>
      <c r="V418" t="s">
        <v>94</v>
      </c>
      <c r="W418" t="s">
        <v>487</v>
      </c>
      <c r="X418">
        <v>26</v>
      </c>
      <c r="Y418">
        <v>10</v>
      </c>
      <c r="Z418" t="s">
        <v>649</v>
      </c>
      <c r="AA418" t="s">
        <v>650</v>
      </c>
      <c r="AB418" t="s">
        <v>89</v>
      </c>
      <c r="AC418" t="s">
        <v>90</v>
      </c>
      <c r="AD418" t="s">
        <v>91</v>
      </c>
      <c r="AE418" t="s">
        <v>425</v>
      </c>
      <c r="AG418" t="s">
        <v>651</v>
      </c>
      <c r="AH418">
        <v>0</v>
      </c>
      <c r="AI418">
        <v>209</v>
      </c>
      <c r="AJ418">
        <v>17</v>
      </c>
      <c r="AK418">
        <v>1300</v>
      </c>
      <c r="AL418">
        <v>0.72</v>
      </c>
    </row>
    <row r="419" spans="1:38" x14ac:dyDescent="0.3">
      <c r="A419" t="s">
        <v>421</v>
      </c>
      <c r="B419">
        <v>3076</v>
      </c>
      <c r="C419">
        <v>5</v>
      </c>
      <c r="D419" t="s">
        <v>648</v>
      </c>
      <c r="E419">
        <v>1992.11</v>
      </c>
      <c r="F419">
        <v>1800</v>
      </c>
      <c r="G419">
        <v>31.87</v>
      </c>
      <c r="H419">
        <v>105.37</v>
      </c>
      <c r="I419">
        <v>25.62</v>
      </c>
      <c r="J419">
        <v>84.72</v>
      </c>
      <c r="K419">
        <v>156</v>
      </c>
      <c r="T419">
        <v>3</v>
      </c>
      <c r="U419">
        <v>2</v>
      </c>
      <c r="V419" t="s">
        <v>94</v>
      </c>
      <c r="W419" t="s">
        <v>621</v>
      </c>
      <c r="X419">
        <v>26</v>
      </c>
      <c r="Y419">
        <v>10</v>
      </c>
      <c r="Z419" t="s">
        <v>649</v>
      </c>
      <c r="AA419" t="s">
        <v>650</v>
      </c>
      <c r="AB419" t="s">
        <v>89</v>
      </c>
      <c r="AC419" t="s">
        <v>90</v>
      </c>
      <c r="AD419" t="s">
        <v>91</v>
      </c>
      <c r="AE419" t="s">
        <v>425</v>
      </c>
      <c r="AG419" t="s">
        <v>651</v>
      </c>
      <c r="AH419">
        <v>0</v>
      </c>
      <c r="AI419">
        <v>209</v>
      </c>
      <c r="AJ419">
        <v>17</v>
      </c>
      <c r="AK419">
        <v>1300</v>
      </c>
      <c r="AL419">
        <v>0.72</v>
      </c>
    </row>
    <row r="420" spans="1:38" x14ac:dyDescent="0.3">
      <c r="A420" t="s">
        <v>421</v>
      </c>
      <c r="B420">
        <v>3080</v>
      </c>
      <c r="C420">
        <v>1</v>
      </c>
      <c r="D420" t="s">
        <v>652</v>
      </c>
      <c r="E420">
        <v>2003.03</v>
      </c>
      <c r="F420">
        <v>2044</v>
      </c>
      <c r="G420">
        <v>18.14</v>
      </c>
      <c r="H420">
        <v>59.99</v>
      </c>
      <c r="I420">
        <v>12</v>
      </c>
      <c r="J420">
        <v>39.69</v>
      </c>
      <c r="K420">
        <v>211</v>
      </c>
      <c r="T420">
        <v>2</v>
      </c>
      <c r="U420">
        <v>1</v>
      </c>
      <c r="V420" t="s">
        <v>128</v>
      </c>
      <c r="W420">
        <v>59</v>
      </c>
      <c r="X420">
        <v>25</v>
      </c>
      <c r="Y420">
        <v>12</v>
      </c>
      <c r="Z420" t="s">
        <v>653</v>
      </c>
      <c r="AA420" t="s">
        <v>654</v>
      </c>
      <c r="AB420" t="s">
        <v>89</v>
      </c>
      <c r="AC420" t="s">
        <v>90</v>
      </c>
      <c r="AD420" t="s">
        <v>91</v>
      </c>
      <c r="AE420" t="s">
        <v>425</v>
      </c>
      <c r="AG420" t="s">
        <v>655</v>
      </c>
      <c r="AH420">
        <v>0</v>
      </c>
      <c r="AI420">
        <v>225</v>
      </c>
      <c r="AJ420">
        <v>16</v>
      </c>
      <c r="AK420">
        <v>2061</v>
      </c>
      <c r="AL420">
        <v>1.01</v>
      </c>
    </row>
    <row r="421" spans="1:38" x14ac:dyDescent="0.3">
      <c r="A421" t="s">
        <v>421</v>
      </c>
      <c r="B421">
        <v>3080</v>
      </c>
      <c r="C421">
        <v>2</v>
      </c>
      <c r="D421" t="s">
        <v>652</v>
      </c>
      <c r="E421">
        <v>2003.03</v>
      </c>
      <c r="F421">
        <v>2044</v>
      </c>
      <c r="G421">
        <v>22.62</v>
      </c>
      <c r="H421">
        <v>74.790000000000006</v>
      </c>
      <c r="I421">
        <v>14.96</v>
      </c>
      <c r="J421">
        <v>49.48</v>
      </c>
      <c r="K421">
        <v>458</v>
      </c>
      <c r="T421">
        <v>2</v>
      </c>
      <c r="U421">
        <v>1</v>
      </c>
      <c r="V421" t="s">
        <v>128</v>
      </c>
      <c r="W421" t="s">
        <v>281</v>
      </c>
      <c r="X421">
        <v>25</v>
      </c>
      <c r="Y421">
        <v>12</v>
      </c>
      <c r="Z421" t="s">
        <v>653</v>
      </c>
      <c r="AA421" t="s">
        <v>654</v>
      </c>
      <c r="AB421" t="s">
        <v>89</v>
      </c>
      <c r="AC421" t="s">
        <v>90</v>
      </c>
      <c r="AD421" t="s">
        <v>91</v>
      </c>
      <c r="AE421" t="s">
        <v>425</v>
      </c>
      <c r="AG421" t="s">
        <v>655</v>
      </c>
      <c r="AH421">
        <v>0</v>
      </c>
      <c r="AI421">
        <v>225</v>
      </c>
      <c r="AJ421">
        <v>16</v>
      </c>
      <c r="AK421">
        <v>2061</v>
      </c>
      <c r="AL421">
        <v>1.01</v>
      </c>
    </row>
    <row r="422" spans="1:38" x14ac:dyDescent="0.3">
      <c r="A422" t="s">
        <v>421</v>
      </c>
      <c r="B422">
        <v>3080</v>
      </c>
      <c r="C422">
        <v>3</v>
      </c>
      <c r="D422" t="s">
        <v>652</v>
      </c>
      <c r="E422">
        <v>2003.03</v>
      </c>
      <c r="F422">
        <v>2044</v>
      </c>
      <c r="G422">
        <v>22.65</v>
      </c>
      <c r="H422">
        <v>74.88</v>
      </c>
      <c r="I422">
        <v>14.98</v>
      </c>
      <c r="J422">
        <v>49.54</v>
      </c>
      <c r="K422">
        <v>25</v>
      </c>
      <c r="T422">
        <v>2</v>
      </c>
      <c r="U422">
        <v>1</v>
      </c>
      <c r="V422" t="s">
        <v>94</v>
      </c>
      <c r="W422" t="s">
        <v>136</v>
      </c>
      <c r="X422">
        <v>25</v>
      </c>
      <c r="Y422">
        <v>12</v>
      </c>
      <c r="Z422" t="s">
        <v>653</v>
      </c>
      <c r="AA422" t="s">
        <v>654</v>
      </c>
      <c r="AB422" t="s">
        <v>89</v>
      </c>
      <c r="AC422" t="s">
        <v>90</v>
      </c>
      <c r="AD422" t="s">
        <v>91</v>
      </c>
      <c r="AE422" t="s">
        <v>425</v>
      </c>
      <c r="AG422" t="s">
        <v>655</v>
      </c>
      <c r="AH422">
        <v>0</v>
      </c>
      <c r="AI422">
        <v>225</v>
      </c>
      <c r="AJ422">
        <v>16</v>
      </c>
      <c r="AK422">
        <v>2061</v>
      </c>
      <c r="AL422">
        <v>1.01</v>
      </c>
    </row>
    <row r="423" spans="1:38" x14ac:dyDescent="0.3">
      <c r="A423" t="s">
        <v>421</v>
      </c>
      <c r="B423">
        <v>3080</v>
      </c>
      <c r="C423">
        <v>4</v>
      </c>
      <c r="D423" t="s">
        <v>652</v>
      </c>
      <c r="E423">
        <v>2003.03</v>
      </c>
      <c r="F423">
        <v>2044</v>
      </c>
      <c r="G423">
        <v>23.67</v>
      </c>
      <c r="H423">
        <v>78.260000000000005</v>
      </c>
      <c r="I423">
        <v>18.12</v>
      </c>
      <c r="J423">
        <v>59.93</v>
      </c>
      <c r="K423">
        <v>182</v>
      </c>
      <c r="T423">
        <v>3</v>
      </c>
      <c r="U423">
        <v>1</v>
      </c>
      <c r="V423" t="s">
        <v>94</v>
      </c>
      <c r="W423" t="s">
        <v>343</v>
      </c>
      <c r="X423">
        <v>25</v>
      </c>
      <c r="Y423">
        <v>12</v>
      </c>
      <c r="Z423" t="s">
        <v>653</v>
      </c>
      <c r="AA423" t="s">
        <v>654</v>
      </c>
      <c r="AB423" t="s">
        <v>89</v>
      </c>
      <c r="AC423" t="s">
        <v>90</v>
      </c>
      <c r="AD423" t="s">
        <v>91</v>
      </c>
      <c r="AE423" t="s">
        <v>425</v>
      </c>
      <c r="AG423" t="s">
        <v>655</v>
      </c>
      <c r="AH423">
        <v>0</v>
      </c>
      <c r="AI423">
        <v>225</v>
      </c>
      <c r="AJ423">
        <v>16</v>
      </c>
      <c r="AK423">
        <v>2061</v>
      </c>
      <c r="AL423">
        <v>1.01</v>
      </c>
    </row>
    <row r="424" spans="1:38" x14ac:dyDescent="0.3">
      <c r="A424" t="s">
        <v>421</v>
      </c>
      <c r="B424">
        <v>3080</v>
      </c>
      <c r="C424">
        <v>5</v>
      </c>
      <c r="D424" t="s">
        <v>652</v>
      </c>
      <c r="E424">
        <v>2003.03</v>
      </c>
      <c r="F424">
        <v>2044</v>
      </c>
      <c r="G424">
        <v>23.67</v>
      </c>
      <c r="H424">
        <v>78.260000000000005</v>
      </c>
      <c r="I424">
        <v>18.12</v>
      </c>
      <c r="J424">
        <v>59.93</v>
      </c>
      <c r="K424">
        <v>112</v>
      </c>
      <c r="T424">
        <v>3</v>
      </c>
      <c r="U424">
        <v>1</v>
      </c>
      <c r="V424" t="s">
        <v>94</v>
      </c>
      <c r="W424" t="s">
        <v>344</v>
      </c>
      <c r="X424">
        <v>25</v>
      </c>
      <c r="Y424">
        <v>12</v>
      </c>
      <c r="Z424" t="s">
        <v>653</v>
      </c>
      <c r="AA424" t="s">
        <v>654</v>
      </c>
      <c r="AB424" t="s">
        <v>89</v>
      </c>
      <c r="AC424" t="s">
        <v>90</v>
      </c>
      <c r="AD424" t="s">
        <v>91</v>
      </c>
      <c r="AE424" t="s">
        <v>425</v>
      </c>
      <c r="AG424" t="s">
        <v>655</v>
      </c>
      <c r="AH424">
        <v>0</v>
      </c>
      <c r="AI424">
        <v>225</v>
      </c>
      <c r="AJ424">
        <v>16</v>
      </c>
      <c r="AK424">
        <v>2061</v>
      </c>
      <c r="AL424">
        <v>1.01</v>
      </c>
    </row>
    <row r="425" spans="1:38" x14ac:dyDescent="0.3">
      <c r="A425" t="s">
        <v>421</v>
      </c>
      <c r="B425">
        <v>3080</v>
      </c>
      <c r="C425">
        <v>6</v>
      </c>
      <c r="D425" t="s">
        <v>652</v>
      </c>
      <c r="E425">
        <v>2003.03</v>
      </c>
      <c r="F425">
        <v>2044</v>
      </c>
      <c r="G425">
        <v>23.67</v>
      </c>
      <c r="H425">
        <v>78.260000000000005</v>
      </c>
      <c r="I425">
        <v>18.12</v>
      </c>
      <c r="J425">
        <v>59.93</v>
      </c>
      <c r="K425">
        <v>76</v>
      </c>
      <c r="T425">
        <v>3</v>
      </c>
      <c r="U425">
        <v>1</v>
      </c>
      <c r="V425" t="s">
        <v>94</v>
      </c>
      <c r="W425" t="s">
        <v>107</v>
      </c>
      <c r="X425">
        <v>25</v>
      </c>
      <c r="Y425">
        <v>12</v>
      </c>
      <c r="Z425" t="s">
        <v>653</v>
      </c>
      <c r="AA425" t="s">
        <v>654</v>
      </c>
      <c r="AB425" t="s">
        <v>89</v>
      </c>
      <c r="AC425" t="s">
        <v>90</v>
      </c>
      <c r="AD425" t="s">
        <v>91</v>
      </c>
      <c r="AE425" t="s">
        <v>425</v>
      </c>
      <c r="AG425" t="s">
        <v>655</v>
      </c>
      <c r="AH425">
        <v>0</v>
      </c>
      <c r="AI425">
        <v>225</v>
      </c>
      <c r="AJ425">
        <v>16</v>
      </c>
      <c r="AK425">
        <v>2061</v>
      </c>
      <c r="AL425">
        <v>1.01</v>
      </c>
    </row>
    <row r="426" spans="1:38" x14ac:dyDescent="0.3">
      <c r="A426" t="s">
        <v>421</v>
      </c>
      <c r="B426">
        <v>3080</v>
      </c>
      <c r="C426">
        <v>7</v>
      </c>
      <c r="D426" t="s">
        <v>652</v>
      </c>
      <c r="E426">
        <v>2003.03</v>
      </c>
      <c r="F426">
        <v>2044</v>
      </c>
      <c r="G426">
        <v>23.68</v>
      </c>
      <c r="H426">
        <v>78.31</v>
      </c>
      <c r="I426">
        <v>18.14</v>
      </c>
      <c r="J426">
        <v>59.97</v>
      </c>
      <c r="K426">
        <v>66</v>
      </c>
      <c r="T426">
        <v>3</v>
      </c>
      <c r="U426">
        <v>1</v>
      </c>
      <c r="V426" t="s">
        <v>94</v>
      </c>
      <c r="W426" t="s">
        <v>656</v>
      </c>
      <c r="X426">
        <v>25</v>
      </c>
      <c r="Y426">
        <v>12</v>
      </c>
      <c r="Z426" t="s">
        <v>653</v>
      </c>
      <c r="AA426" t="s">
        <v>654</v>
      </c>
      <c r="AB426" t="s">
        <v>89</v>
      </c>
      <c r="AC426" t="s">
        <v>90</v>
      </c>
      <c r="AD426" t="s">
        <v>91</v>
      </c>
      <c r="AE426" t="s">
        <v>425</v>
      </c>
      <c r="AG426" t="s">
        <v>655</v>
      </c>
      <c r="AH426">
        <v>0</v>
      </c>
      <c r="AI426">
        <v>225</v>
      </c>
      <c r="AJ426">
        <v>16</v>
      </c>
      <c r="AK426">
        <v>2061</v>
      </c>
      <c r="AL426">
        <v>1.01</v>
      </c>
    </row>
    <row r="427" spans="1:38" x14ac:dyDescent="0.3">
      <c r="A427" t="s">
        <v>421</v>
      </c>
      <c r="B427">
        <v>3080</v>
      </c>
      <c r="C427">
        <v>8</v>
      </c>
      <c r="D427" t="s">
        <v>652</v>
      </c>
      <c r="E427">
        <v>2003.03</v>
      </c>
      <c r="F427">
        <v>2044</v>
      </c>
      <c r="G427">
        <v>23.67</v>
      </c>
      <c r="H427">
        <v>78.28</v>
      </c>
      <c r="I427">
        <v>18.13</v>
      </c>
      <c r="J427">
        <v>59.94</v>
      </c>
      <c r="K427">
        <v>66</v>
      </c>
      <c r="T427">
        <v>3</v>
      </c>
      <c r="U427">
        <v>1</v>
      </c>
      <c r="V427" t="s">
        <v>94</v>
      </c>
      <c r="W427" t="s">
        <v>657</v>
      </c>
      <c r="X427">
        <v>25</v>
      </c>
      <c r="Y427">
        <v>12</v>
      </c>
      <c r="Z427" t="s">
        <v>653</v>
      </c>
      <c r="AA427" t="s">
        <v>654</v>
      </c>
      <c r="AB427" t="s">
        <v>89</v>
      </c>
      <c r="AC427" t="s">
        <v>90</v>
      </c>
      <c r="AD427" t="s">
        <v>91</v>
      </c>
      <c r="AE427" t="s">
        <v>425</v>
      </c>
      <c r="AG427" t="s">
        <v>655</v>
      </c>
      <c r="AH427">
        <v>0</v>
      </c>
      <c r="AI427">
        <v>225</v>
      </c>
      <c r="AJ427">
        <v>16</v>
      </c>
      <c r="AK427">
        <v>2061</v>
      </c>
      <c r="AL427">
        <v>1.01</v>
      </c>
    </row>
    <row r="428" spans="1:38" x14ac:dyDescent="0.3">
      <c r="A428" t="s">
        <v>421</v>
      </c>
      <c r="B428">
        <v>3080</v>
      </c>
      <c r="C428">
        <v>9</v>
      </c>
      <c r="D428" t="s">
        <v>652</v>
      </c>
      <c r="E428">
        <v>2003.03</v>
      </c>
      <c r="F428">
        <v>2044</v>
      </c>
      <c r="G428">
        <v>23.67</v>
      </c>
      <c r="H428">
        <v>78.260000000000005</v>
      </c>
      <c r="I428">
        <v>18.12</v>
      </c>
      <c r="J428">
        <v>59.93</v>
      </c>
      <c r="K428">
        <v>66</v>
      </c>
      <c r="T428">
        <v>3</v>
      </c>
      <c r="U428">
        <v>1</v>
      </c>
      <c r="V428" t="s">
        <v>94</v>
      </c>
      <c r="W428" t="s">
        <v>658</v>
      </c>
      <c r="X428">
        <v>25</v>
      </c>
      <c r="Y428">
        <v>12</v>
      </c>
      <c r="Z428" t="s">
        <v>653</v>
      </c>
      <c r="AA428" t="s">
        <v>654</v>
      </c>
      <c r="AB428" t="s">
        <v>89</v>
      </c>
      <c r="AC428" t="s">
        <v>90</v>
      </c>
      <c r="AD428" t="s">
        <v>91</v>
      </c>
      <c r="AE428" t="s">
        <v>425</v>
      </c>
      <c r="AG428" t="s">
        <v>655</v>
      </c>
      <c r="AH428">
        <v>0</v>
      </c>
      <c r="AI428">
        <v>225</v>
      </c>
      <c r="AJ428">
        <v>16</v>
      </c>
      <c r="AK428">
        <v>2061</v>
      </c>
      <c r="AL428">
        <v>1.01</v>
      </c>
    </row>
    <row r="429" spans="1:38" x14ac:dyDescent="0.3">
      <c r="A429" t="s">
        <v>421</v>
      </c>
      <c r="B429">
        <v>3080</v>
      </c>
      <c r="C429">
        <v>10</v>
      </c>
      <c r="D429" t="s">
        <v>652</v>
      </c>
      <c r="E429">
        <v>2003.03</v>
      </c>
      <c r="F429">
        <v>2044</v>
      </c>
      <c r="G429">
        <v>23.67</v>
      </c>
      <c r="H429">
        <v>78.260000000000005</v>
      </c>
      <c r="I429">
        <v>18.12</v>
      </c>
      <c r="J429">
        <v>59.93</v>
      </c>
      <c r="K429">
        <v>36</v>
      </c>
      <c r="T429">
        <v>3</v>
      </c>
      <c r="U429">
        <v>1</v>
      </c>
      <c r="V429" t="s">
        <v>94</v>
      </c>
      <c r="W429" t="s">
        <v>659</v>
      </c>
      <c r="X429">
        <v>25</v>
      </c>
      <c r="Y429">
        <v>12</v>
      </c>
      <c r="Z429" t="s">
        <v>653</v>
      </c>
      <c r="AA429" t="s">
        <v>654</v>
      </c>
      <c r="AB429" t="s">
        <v>89</v>
      </c>
      <c r="AC429" t="s">
        <v>90</v>
      </c>
      <c r="AD429" t="s">
        <v>91</v>
      </c>
      <c r="AE429" t="s">
        <v>425</v>
      </c>
      <c r="AG429" t="s">
        <v>655</v>
      </c>
      <c r="AH429">
        <v>0</v>
      </c>
      <c r="AI429">
        <v>225</v>
      </c>
      <c r="AJ429">
        <v>16</v>
      </c>
      <c r="AK429">
        <v>2061</v>
      </c>
      <c r="AL429">
        <v>1.01</v>
      </c>
    </row>
    <row r="430" spans="1:38" x14ac:dyDescent="0.3">
      <c r="A430" t="s">
        <v>421</v>
      </c>
      <c r="B430">
        <v>3080</v>
      </c>
      <c r="C430">
        <v>11</v>
      </c>
      <c r="D430" t="s">
        <v>652</v>
      </c>
      <c r="E430">
        <v>2003.03</v>
      </c>
      <c r="F430">
        <v>2044</v>
      </c>
      <c r="G430">
        <v>33.479999999999997</v>
      </c>
      <c r="H430">
        <v>110.68</v>
      </c>
      <c r="I430">
        <v>25.63</v>
      </c>
      <c r="J430">
        <v>84.75</v>
      </c>
      <c r="K430">
        <v>116</v>
      </c>
      <c r="T430">
        <v>3</v>
      </c>
      <c r="U430">
        <v>2</v>
      </c>
      <c r="V430" t="s">
        <v>94</v>
      </c>
      <c r="W430" t="s">
        <v>660</v>
      </c>
      <c r="X430">
        <v>25</v>
      </c>
      <c r="Y430">
        <v>12</v>
      </c>
      <c r="Z430" t="s">
        <v>653</v>
      </c>
      <c r="AA430" t="s">
        <v>654</v>
      </c>
      <c r="AB430" t="s">
        <v>89</v>
      </c>
      <c r="AC430" t="s">
        <v>90</v>
      </c>
      <c r="AD430" t="s">
        <v>91</v>
      </c>
      <c r="AE430" t="s">
        <v>425</v>
      </c>
      <c r="AG430" t="s">
        <v>655</v>
      </c>
      <c r="AH430">
        <v>0</v>
      </c>
      <c r="AI430">
        <v>225</v>
      </c>
      <c r="AJ430">
        <v>16</v>
      </c>
      <c r="AK430">
        <v>2061</v>
      </c>
      <c r="AL430">
        <v>1.01</v>
      </c>
    </row>
    <row r="431" spans="1:38" x14ac:dyDescent="0.3">
      <c r="A431" t="s">
        <v>421</v>
      </c>
      <c r="B431">
        <v>3080</v>
      </c>
      <c r="C431">
        <v>12</v>
      </c>
      <c r="D431" t="s">
        <v>652</v>
      </c>
      <c r="E431">
        <v>2003.03</v>
      </c>
      <c r="F431">
        <v>2044</v>
      </c>
      <c r="G431">
        <v>33.56</v>
      </c>
      <c r="H431">
        <v>110.95</v>
      </c>
      <c r="I431">
        <v>25.7</v>
      </c>
      <c r="J431">
        <v>84.96</v>
      </c>
      <c r="K431">
        <v>100</v>
      </c>
      <c r="T431">
        <v>3</v>
      </c>
      <c r="U431">
        <v>2</v>
      </c>
      <c r="V431" t="s">
        <v>94</v>
      </c>
      <c r="W431" t="s">
        <v>661</v>
      </c>
      <c r="X431">
        <v>25</v>
      </c>
      <c r="Y431">
        <v>12</v>
      </c>
      <c r="Z431" t="s">
        <v>653</v>
      </c>
      <c r="AA431" t="s">
        <v>654</v>
      </c>
      <c r="AB431" t="s">
        <v>89</v>
      </c>
      <c r="AC431" t="s">
        <v>90</v>
      </c>
      <c r="AD431" t="s">
        <v>91</v>
      </c>
      <c r="AE431" t="s">
        <v>425</v>
      </c>
      <c r="AG431" t="s">
        <v>655</v>
      </c>
      <c r="AH431">
        <v>0</v>
      </c>
      <c r="AI431">
        <v>225</v>
      </c>
      <c r="AJ431">
        <v>16</v>
      </c>
      <c r="AK431">
        <v>2061</v>
      </c>
      <c r="AL431">
        <v>1.01</v>
      </c>
    </row>
    <row r="432" spans="1:38" x14ac:dyDescent="0.3">
      <c r="A432" t="s">
        <v>421</v>
      </c>
      <c r="B432">
        <v>3080</v>
      </c>
      <c r="C432">
        <v>13</v>
      </c>
      <c r="D432" t="s">
        <v>652</v>
      </c>
      <c r="E432">
        <v>2003.03</v>
      </c>
      <c r="F432">
        <v>2044</v>
      </c>
      <c r="G432">
        <v>33.479999999999997</v>
      </c>
      <c r="H432">
        <v>110.68</v>
      </c>
      <c r="I432">
        <v>25.63</v>
      </c>
      <c r="J432">
        <v>84.75</v>
      </c>
      <c r="K432">
        <v>98</v>
      </c>
      <c r="T432">
        <v>3</v>
      </c>
      <c r="U432">
        <v>2</v>
      </c>
      <c r="V432" t="s">
        <v>94</v>
      </c>
      <c r="W432" t="s">
        <v>662</v>
      </c>
      <c r="X432">
        <v>25</v>
      </c>
      <c r="Y432">
        <v>12</v>
      </c>
      <c r="Z432" t="s">
        <v>653</v>
      </c>
      <c r="AA432" t="s">
        <v>654</v>
      </c>
      <c r="AB432" t="s">
        <v>89</v>
      </c>
      <c r="AC432" t="s">
        <v>90</v>
      </c>
      <c r="AD432" t="s">
        <v>91</v>
      </c>
      <c r="AE432" t="s">
        <v>425</v>
      </c>
      <c r="AG432" t="s">
        <v>655</v>
      </c>
      <c r="AH432">
        <v>0</v>
      </c>
      <c r="AI432">
        <v>225</v>
      </c>
      <c r="AJ432">
        <v>16</v>
      </c>
      <c r="AK432">
        <v>2061</v>
      </c>
      <c r="AL432">
        <v>1.01</v>
      </c>
    </row>
    <row r="433" spans="1:38" x14ac:dyDescent="0.3">
      <c r="A433" t="s">
        <v>421</v>
      </c>
      <c r="B433">
        <v>3080</v>
      </c>
      <c r="C433">
        <v>14</v>
      </c>
      <c r="D433" t="s">
        <v>652</v>
      </c>
      <c r="E433">
        <v>2003.03</v>
      </c>
      <c r="F433">
        <v>2044</v>
      </c>
      <c r="G433">
        <v>33.479999999999997</v>
      </c>
      <c r="H433">
        <v>110.68</v>
      </c>
      <c r="I433">
        <v>25.63</v>
      </c>
      <c r="J433">
        <v>84.75</v>
      </c>
      <c r="K433">
        <v>96</v>
      </c>
      <c r="T433">
        <v>3</v>
      </c>
      <c r="U433">
        <v>2</v>
      </c>
      <c r="V433" t="s">
        <v>94</v>
      </c>
      <c r="W433" t="s">
        <v>457</v>
      </c>
      <c r="X433">
        <v>25</v>
      </c>
      <c r="Y433">
        <v>12</v>
      </c>
      <c r="Z433" t="s">
        <v>653</v>
      </c>
      <c r="AA433" t="s">
        <v>654</v>
      </c>
      <c r="AB433" t="s">
        <v>89</v>
      </c>
      <c r="AC433" t="s">
        <v>90</v>
      </c>
      <c r="AD433" t="s">
        <v>91</v>
      </c>
      <c r="AE433" t="s">
        <v>425</v>
      </c>
      <c r="AG433" t="s">
        <v>655</v>
      </c>
      <c r="AH433">
        <v>0</v>
      </c>
      <c r="AI433">
        <v>225</v>
      </c>
      <c r="AJ433">
        <v>16</v>
      </c>
      <c r="AK433">
        <v>2061</v>
      </c>
      <c r="AL433">
        <v>1.01</v>
      </c>
    </row>
    <row r="434" spans="1:38" x14ac:dyDescent="0.3">
      <c r="A434" t="s">
        <v>421</v>
      </c>
      <c r="B434">
        <v>3080</v>
      </c>
      <c r="C434">
        <v>15</v>
      </c>
      <c r="D434" t="s">
        <v>652</v>
      </c>
      <c r="E434">
        <v>2003.03</v>
      </c>
      <c r="F434">
        <v>2044</v>
      </c>
      <c r="G434">
        <v>33.56</v>
      </c>
      <c r="H434">
        <v>110.95</v>
      </c>
      <c r="I434">
        <v>25.7</v>
      </c>
      <c r="J434">
        <v>84.96</v>
      </c>
      <c r="K434">
        <v>75</v>
      </c>
      <c r="T434">
        <v>3</v>
      </c>
      <c r="U434">
        <v>2</v>
      </c>
      <c r="V434" t="s">
        <v>94</v>
      </c>
      <c r="W434" t="s">
        <v>663</v>
      </c>
      <c r="X434">
        <v>25</v>
      </c>
      <c r="Y434">
        <v>12</v>
      </c>
      <c r="Z434" t="s">
        <v>653</v>
      </c>
      <c r="AA434" t="s">
        <v>654</v>
      </c>
      <c r="AB434" t="s">
        <v>89</v>
      </c>
      <c r="AC434" t="s">
        <v>90</v>
      </c>
      <c r="AD434" t="s">
        <v>91</v>
      </c>
      <c r="AE434" t="s">
        <v>425</v>
      </c>
      <c r="AG434" t="s">
        <v>655</v>
      </c>
      <c r="AH434">
        <v>0</v>
      </c>
      <c r="AI434">
        <v>225</v>
      </c>
      <c r="AJ434">
        <v>16</v>
      </c>
      <c r="AK434">
        <v>2061</v>
      </c>
      <c r="AL434">
        <v>1.01</v>
      </c>
    </row>
    <row r="435" spans="1:38" x14ac:dyDescent="0.3">
      <c r="A435" t="s">
        <v>421</v>
      </c>
      <c r="B435">
        <v>3080</v>
      </c>
      <c r="C435">
        <v>16</v>
      </c>
      <c r="D435" t="s">
        <v>652</v>
      </c>
      <c r="E435">
        <v>2003.03</v>
      </c>
      <c r="F435">
        <v>2044</v>
      </c>
      <c r="G435">
        <v>33.479999999999997</v>
      </c>
      <c r="H435">
        <v>110.68</v>
      </c>
      <c r="I435">
        <v>25.63</v>
      </c>
      <c r="J435">
        <v>84.75</v>
      </c>
      <c r="K435">
        <v>44</v>
      </c>
      <c r="T435">
        <v>3</v>
      </c>
      <c r="U435">
        <v>2</v>
      </c>
      <c r="V435" t="s">
        <v>94</v>
      </c>
      <c r="W435" t="s">
        <v>459</v>
      </c>
      <c r="X435">
        <v>25</v>
      </c>
      <c r="Y435">
        <v>12</v>
      </c>
      <c r="Z435" t="s">
        <v>653</v>
      </c>
      <c r="AA435" t="s">
        <v>654</v>
      </c>
      <c r="AB435" t="s">
        <v>89</v>
      </c>
      <c r="AC435" t="s">
        <v>90</v>
      </c>
      <c r="AD435" t="s">
        <v>91</v>
      </c>
      <c r="AE435" t="s">
        <v>425</v>
      </c>
      <c r="AG435" t="s">
        <v>655</v>
      </c>
      <c r="AH435">
        <v>0</v>
      </c>
      <c r="AI435">
        <v>225</v>
      </c>
      <c r="AJ435">
        <v>16</v>
      </c>
      <c r="AK435">
        <v>2061</v>
      </c>
      <c r="AL435">
        <v>1.01</v>
      </c>
    </row>
    <row r="436" spans="1:38" x14ac:dyDescent="0.3">
      <c r="A436" t="s">
        <v>421</v>
      </c>
      <c r="B436">
        <v>3080</v>
      </c>
      <c r="C436">
        <v>17</v>
      </c>
      <c r="D436" t="s">
        <v>652</v>
      </c>
      <c r="E436">
        <v>2003.03</v>
      </c>
      <c r="F436">
        <v>2044</v>
      </c>
      <c r="G436">
        <v>33.479999999999997</v>
      </c>
      <c r="H436">
        <v>110.68</v>
      </c>
      <c r="I436">
        <v>25.63</v>
      </c>
      <c r="J436">
        <v>84.75</v>
      </c>
      <c r="K436">
        <v>42</v>
      </c>
      <c r="T436">
        <v>3</v>
      </c>
      <c r="U436">
        <v>2</v>
      </c>
      <c r="V436" t="s">
        <v>94</v>
      </c>
      <c r="W436" t="s">
        <v>458</v>
      </c>
      <c r="X436">
        <v>25</v>
      </c>
      <c r="Y436">
        <v>12</v>
      </c>
      <c r="Z436" t="s">
        <v>653</v>
      </c>
      <c r="AA436" t="s">
        <v>654</v>
      </c>
      <c r="AB436" t="s">
        <v>89</v>
      </c>
      <c r="AC436" t="s">
        <v>90</v>
      </c>
      <c r="AD436" t="s">
        <v>91</v>
      </c>
      <c r="AE436" t="s">
        <v>425</v>
      </c>
      <c r="AG436" t="s">
        <v>655</v>
      </c>
      <c r="AH436">
        <v>0</v>
      </c>
      <c r="AI436">
        <v>225</v>
      </c>
      <c r="AJ436">
        <v>16</v>
      </c>
      <c r="AK436">
        <v>2061</v>
      </c>
      <c r="AL436">
        <v>1.01</v>
      </c>
    </row>
    <row r="437" spans="1:38" x14ac:dyDescent="0.3">
      <c r="A437" t="s">
        <v>421</v>
      </c>
      <c r="B437">
        <v>3080</v>
      </c>
      <c r="C437">
        <v>18</v>
      </c>
      <c r="D437" t="s">
        <v>652</v>
      </c>
      <c r="E437">
        <v>2003.03</v>
      </c>
      <c r="F437">
        <v>2044</v>
      </c>
      <c r="G437">
        <v>33.57</v>
      </c>
      <c r="H437">
        <v>110.98</v>
      </c>
      <c r="I437">
        <v>25.7</v>
      </c>
      <c r="J437">
        <v>84.98</v>
      </c>
      <c r="K437">
        <v>25</v>
      </c>
      <c r="T437">
        <v>3</v>
      </c>
      <c r="U437">
        <v>2</v>
      </c>
      <c r="V437" t="s">
        <v>94</v>
      </c>
      <c r="W437" t="s">
        <v>117</v>
      </c>
      <c r="X437">
        <v>25</v>
      </c>
      <c r="Y437">
        <v>12</v>
      </c>
      <c r="Z437" t="s">
        <v>653</v>
      </c>
      <c r="AA437" t="s">
        <v>654</v>
      </c>
      <c r="AB437" t="s">
        <v>89</v>
      </c>
      <c r="AC437" t="s">
        <v>90</v>
      </c>
      <c r="AD437" t="s">
        <v>91</v>
      </c>
      <c r="AE437" t="s">
        <v>425</v>
      </c>
      <c r="AG437" t="s">
        <v>655</v>
      </c>
      <c r="AH437">
        <v>0</v>
      </c>
      <c r="AI437">
        <v>225</v>
      </c>
      <c r="AJ437">
        <v>16</v>
      </c>
      <c r="AK437">
        <v>2061</v>
      </c>
      <c r="AL437">
        <v>1.01</v>
      </c>
    </row>
    <row r="438" spans="1:38" x14ac:dyDescent="0.3">
      <c r="A438" t="s">
        <v>421</v>
      </c>
      <c r="B438">
        <v>3080</v>
      </c>
      <c r="C438">
        <v>19</v>
      </c>
      <c r="D438" t="s">
        <v>652</v>
      </c>
      <c r="E438">
        <v>2003.03</v>
      </c>
      <c r="F438">
        <v>2044</v>
      </c>
      <c r="G438">
        <v>45.41</v>
      </c>
      <c r="H438">
        <v>150.13</v>
      </c>
      <c r="I438">
        <v>34.770000000000003</v>
      </c>
      <c r="J438">
        <v>114.96</v>
      </c>
      <c r="K438">
        <v>100</v>
      </c>
      <c r="T438">
        <v>4</v>
      </c>
      <c r="U438">
        <v>2</v>
      </c>
      <c r="V438" t="s">
        <v>94</v>
      </c>
      <c r="W438" t="s">
        <v>489</v>
      </c>
      <c r="X438">
        <v>25</v>
      </c>
      <c r="Y438">
        <v>12</v>
      </c>
      <c r="Z438" t="s">
        <v>653</v>
      </c>
      <c r="AA438" t="s">
        <v>654</v>
      </c>
      <c r="AB438" t="s">
        <v>89</v>
      </c>
      <c r="AC438" t="s">
        <v>90</v>
      </c>
      <c r="AD438" t="s">
        <v>91</v>
      </c>
      <c r="AE438" t="s">
        <v>425</v>
      </c>
      <c r="AG438" t="s">
        <v>655</v>
      </c>
      <c r="AH438">
        <v>0</v>
      </c>
      <c r="AI438">
        <v>225</v>
      </c>
      <c r="AJ438">
        <v>16</v>
      </c>
      <c r="AK438">
        <v>2061</v>
      </c>
      <c r="AL438">
        <v>1.01</v>
      </c>
    </row>
    <row r="439" spans="1:38" x14ac:dyDescent="0.3">
      <c r="A439" t="s">
        <v>421</v>
      </c>
      <c r="B439">
        <v>3080</v>
      </c>
      <c r="C439">
        <v>20</v>
      </c>
      <c r="D439" t="s">
        <v>652</v>
      </c>
      <c r="E439">
        <v>2003.03</v>
      </c>
      <c r="F439">
        <v>2044</v>
      </c>
      <c r="G439">
        <v>45.41</v>
      </c>
      <c r="H439">
        <v>150.13</v>
      </c>
      <c r="I439">
        <v>34.770000000000003</v>
      </c>
      <c r="J439">
        <v>114.96</v>
      </c>
      <c r="K439">
        <v>50</v>
      </c>
      <c r="T439">
        <v>4</v>
      </c>
      <c r="U439">
        <v>2</v>
      </c>
      <c r="V439" t="s">
        <v>94</v>
      </c>
      <c r="W439" t="s">
        <v>664</v>
      </c>
      <c r="X439">
        <v>25</v>
      </c>
      <c r="Y439">
        <v>12</v>
      </c>
      <c r="Z439" t="s">
        <v>653</v>
      </c>
      <c r="AA439" t="s">
        <v>654</v>
      </c>
      <c r="AB439" t="s">
        <v>89</v>
      </c>
      <c r="AC439" t="s">
        <v>90</v>
      </c>
      <c r="AD439" t="s">
        <v>91</v>
      </c>
      <c r="AE439" t="s">
        <v>425</v>
      </c>
      <c r="AG439" t="s">
        <v>655</v>
      </c>
      <c r="AH439">
        <v>0</v>
      </c>
      <c r="AI439">
        <v>225</v>
      </c>
      <c r="AJ439">
        <v>16</v>
      </c>
      <c r="AK439">
        <v>2061</v>
      </c>
      <c r="AL439">
        <v>1.01</v>
      </c>
    </row>
    <row r="440" spans="1:38" x14ac:dyDescent="0.3">
      <c r="A440" t="s">
        <v>421</v>
      </c>
      <c r="B440">
        <v>25744</v>
      </c>
      <c r="C440">
        <v>1</v>
      </c>
      <c r="D440" t="s">
        <v>665</v>
      </c>
      <c r="E440">
        <v>1988.04</v>
      </c>
      <c r="F440">
        <v>40</v>
      </c>
      <c r="G440">
        <v>16.66</v>
      </c>
      <c r="H440">
        <v>55.08</v>
      </c>
      <c r="I440">
        <v>12.19</v>
      </c>
      <c r="J440">
        <v>40.32</v>
      </c>
      <c r="K440">
        <v>5</v>
      </c>
      <c r="T440">
        <v>2</v>
      </c>
      <c r="U440">
        <v>1</v>
      </c>
      <c r="V440" t="s">
        <v>94</v>
      </c>
      <c r="W440">
        <v>55</v>
      </c>
      <c r="X440">
        <v>5</v>
      </c>
      <c r="Y440">
        <v>5</v>
      </c>
      <c r="Z440" t="s">
        <v>666</v>
      </c>
      <c r="AA440" t="s">
        <v>667</v>
      </c>
      <c r="AB440" t="s">
        <v>89</v>
      </c>
      <c r="AC440" t="s">
        <v>90</v>
      </c>
      <c r="AD440" t="s">
        <v>91</v>
      </c>
      <c r="AE440" t="s">
        <v>425</v>
      </c>
      <c r="AG440" t="s">
        <v>668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421</v>
      </c>
      <c r="B441">
        <v>25744</v>
      </c>
      <c r="C441">
        <v>2</v>
      </c>
      <c r="D441" t="s">
        <v>665</v>
      </c>
      <c r="E441">
        <v>1988.04</v>
      </c>
      <c r="F441">
        <v>40</v>
      </c>
      <c r="G441">
        <v>17.59</v>
      </c>
      <c r="H441">
        <v>58.16</v>
      </c>
      <c r="I441">
        <v>12.95</v>
      </c>
      <c r="J441">
        <v>42.84</v>
      </c>
      <c r="K441">
        <v>10</v>
      </c>
      <c r="T441">
        <v>2</v>
      </c>
      <c r="U441">
        <v>1</v>
      </c>
      <c r="V441" t="s">
        <v>94</v>
      </c>
      <c r="W441">
        <v>58</v>
      </c>
      <c r="X441">
        <v>5</v>
      </c>
      <c r="Y441">
        <v>5</v>
      </c>
      <c r="Z441" t="s">
        <v>666</v>
      </c>
      <c r="AA441" t="s">
        <v>667</v>
      </c>
      <c r="AB441" t="s">
        <v>89</v>
      </c>
      <c r="AC441" t="s">
        <v>90</v>
      </c>
      <c r="AD441" t="s">
        <v>91</v>
      </c>
      <c r="AE441" t="s">
        <v>425</v>
      </c>
      <c r="AG441" t="s">
        <v>668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421</v>
      </c>
      <c r="B442">
        <v>25744</v>
      </c>
      <c r="C442">
        <v>3</v>
      </c>
      <c r="D442" t="s">
        <v>665</v>
      </c>
      <c r="E442">
        <v>1988.04</v>
      </c>
      <c r="F442">
        <v>40</v>
      </c>
      <c r="G442">
        <v>20.02</v>
      </c>
      <c r="H442">
        <v>66.2</v>
      </c>
      <c r="I442">
        <v>14.94</v>
      </c>
      <c r="J442">
        <v>49.41</v>
      </c>
      <c r="K442">
        <v>5</v>
      </c>
      <c r="T442">
        <v>2</v>
      </c>
      <c r="U442">
        <v>1</v>
      </c>
      <c r="V442" t="s">
        <v>94</v>
      </c>
      <c r="W442">
        <v>66</v>
      </c>
      <c r="X442">
        <v>5</v>
      </c>
      <c r="Y442">
        <v>5</v>
      </c>
      <c r="Z442" t="s">
        <v>666</v>
      </c>
      <c r="AA442" t="s">
        <v>667</v>
      </c>
      <c r="AB442" t="s">
        <v>89</v>
      </c>
      <c r="AC442" t="s">
        <v>90</v>
      </c>
      <c r="AD442" t="s">
        <v>91</v>
      </c>
      <c r="AE442" t="s">
        <v>425</v>
      </c>
      <c r="AG442" t="s">
        <v>668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421</v>
      </c>
      <c r="B443">
        <v>25744</v>
      </c>
      <c r="C443">
        <v>4</v>
      </c>
      <c r="D443" t="s">
        <v>665</v>
      </c>
      <c r="E443">
        <v>1988.04</v>
      </c>
      <c r="F443">
        <v>40</v>
      </c>
      <c r="G443">
        <v>20.52</v>
      </c>
      <c r="H443">
        <v>67.849999999999994</v>
      </c>
      <c r="I443">
        <v>15.35</v>
      </c>
      <c r="J443">
        <v>50.76</v>
      </c>
      <c r="K443">
        <v>10</v>
      </c>
      <c r="T443">
        <v>2</v>
      </c>
      <c r="U443">
        <v>1</v>
      </c>
      <c r="V443" t="s">
        <v>94</v>
      </c>
      <c r="W443">
        <v>67</v>
      </c>
      <c r="X443">
        <v>5</v>
      </c>
      <c r="Y443">
        <v>5</v>
      </c>
      <c r="Z443" t="s">
        <v>666</v>
      </c>
      <c r="AA443" t="s">
        <v>667</v>
      </c>
      <c r="AB443" t="s">
        <v>89</v>
      </c>
      <c r="AC443" t="s">
        <v>90</v>
      </c>
      <c r="AD443" t="s">
        <v>91</v>
      </c>
      <c r="AE443" t="s">
        <v>425</v>
      </c>
      <c r="AG443" t="s">
        <v>668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421</v>
      </c>
      <c r="B444">
        <v>25744</v>
      </c>
      <c r="C444">
        <v>5</v>
      </c>
      <c r="D444" t="s">
        <v>665</v>
      </c>
      <c r="E444">
        <v>1988.04</v>
      </c>
      <c r="F444">
        <v>40</v>
      </c>
      <c r="G444">
        <v>21.98</v>
      </c>
      <c r="H444">
        <v>72.69</v>
      </c>
      <c r="I444">
        <v>16.55</v>
      </c>
      <c r="J444">
        <v>54.72</v>
      </c>
      <c r="K444">
        <v>5</v>
      </c>
      <c r="T444">
        <v>2</v>
      </c>
      <c r="U444">
        <v>1</v>
      </c>
      <c r="V444" t="s">
        <v>94</v>
      </c>
      <c r="W444">
        <v>72</v>
      </c>
      <c r="X444">
        <v>5</v>
      </c>
      <c r="Y444">
        <v>5</v>
      </c>
      <c r="Z444" t="s">
        <v>666</v>
      </c>
      <c r="AA444" t="s">
        <v>667</v>
      </c>
      <c r="AB444" t="s">
        <v>89</v>
      </c>
      <c r="AC444" t="s">
        <v>90</v>
      </c>
      <c r="AD444" t="s">
        <v>91</v>
      </c>
      <c r="AE444" t="s">
        <v>425</v>
      </c>
      <c r="AG444" t="s">
        <v>668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421</v>
      </c>
      <c r="B445">
        <v>25744</v>
      </c>
      <c r="C445">
        <v>6</v>
      </c>
      <c r="D445" t="s">
        <v>665</v>
      </c>
      <c r="E445">
        <v>1988.04</v>
      </c>
      <c r="F445">
        <v>40</v>
      </c>
      <c r="G445">
        <v>25.71</v>
      </c>
      <c r="H445">
        <v>85.02</v>
      </c>
      <c r="I445">
        <v>19.600000000000001</v>
      </c>
      <c r="J445">
        <v>64.8</v>
      </c>
      <c r="K445">
        <v>5</v>
      </c>
      <c r="T445">
        <v>3</v>
      </c>
      <c r="U445">
        <v>2</v>
      </c>
      <c r="V445" t="s">
        <v>94</v>
      </c>
      <c r="W445">
        <v>85</v>
      </c>
      <c r="X445">
        <v>5</v>
      </c>
      <c r="Y445">
        <v>5</v>
      </c>
      <c r="Z445" t="s">
        <v>666</v>
      </c>
      <c r="AA445" t="s">
        <v>667</v>
      </c>
      <c r="AB445" t="s">
        <v>89</v>
      </c>
      <c r="AC445" t="s">
        <v>90</v>
      </c>
      <c r="AD445" t="s">
        <v>91</v>
      </c>
      <c r="AE445" t="s">
        <v>425</v>
      </c>
      <c r="AG445" t="s">
        <v>668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421</v>
      </c>
      <c r="B446">
        <v>1993</v>
      </c>
      <c r="C446">
        <v>1</v>
      </c>
      <c r="D446" t="s">
        <v>669</v>
      </c>
      <c r="E446">
        <v>1993.1</v>
      </c>
      <c r="F446">
        <v>796</v>
      </c>
      <c r="G446">
        <v>25.72</v>
      </c>
      <c r="H446">
        <v>85.03</v>
      </c>
      <c r="I446">
        <v>17.98</v>
      </c>
      <c r="J446">
        <v>59.44</v>
      </c>
      <c r="K446">
        <v>264</v>
      </c>
      <c r="T446">
        <v>3</v>
      </c>
      <c r="U446">
        <v>1</v>
      </c>
      <c r="V446" t="s">
        <v>128</v>
      </c>
      <c r="W446">
        <v>85</v>
      </c>
      <c r="X446">
        <v>22</v>
      </c>
      <c r="Y446">
        <v>10</v>
      </c>
      <c r="Z446" t="s">
        <v>670</v>
      </c>
      <c r="AA446" t="s">
        <v>671</v>
      </c>
      <c r="AB446" t="s">
        <v>89</v>
      </c>
      <c r="AC446" t="s">
        <v>90</v>
      </c>
      <c r="AD446" t="s">
        <v>91</v>
      </c>
      <c r="AE446" t="s">
        <v>425</v>
      </c>
      <c r="AG446" t="s">
        <v>672</v>
      </c>
      <c r="AH446">
        <v>0</v>
      </c>
      <c r="AI446">
        <v>212</v>
      </c>
      <c r="AJ446">
        <v>16</v>
      </c>
      <c r="AK446">
        <v>626</v>
      </c>
      <c r="AL446">
        <v>0.79</v>
      </c>
    </row>
    <row r="447" spans="1:38" x14ac:dyDescent="0.3">
      <c r="A447" t="s">
        <v>421</v>
      </c>
      <c r="B447">
        <v>1993</v>
      </c>
      <c r="C447">
        <v>2</v>
      </c>
      <c r="D447" t="s">
        <v>669</v>
      </c>
      <c r="E447">
        <v>1993.1</v>
      </c>
      <c r="F447">
        <v>796</v>
      </c>
      <c r="G447">
        <v>31.42</v>
      </c>
      <c r="H447">
        <v>103.89</v>
      </c>
      <c r="I447">
        <v>25.6</v>
      </c>
      <c r="J447">
        <v>84.63</v>
      </c>
      <c r="K447">
        <v>532</v>
      </c>
      <c r="T447">
        <v>3</v>
      </c>
      <c r="U447">
        <v>2</v>
      </c>
      <c r="V447" t="s">
        <v>94</v>
      </c>
      <c r="W447">
        <v>103</v>
      </c>
      <c r="X447">
        <v>22</v>
      </c>
      <c r="Y447">
        <v>10</v>
      </c>
      <c r="Z447" t="s">
        <v>670</v>
      </c>
      <c r="AA447" t="s">
        <v>671</v>
      </c>
      <c r="AB447" t="s">
        <v>89</v>
      </c>
      <c r="AC447" t="s">
        <v>90</v>
      </c>
      <c r="AD447" t="s">
        <v>91</v>
      </c>
      <c r="AE447" t="s">
        <v>425</v>
      </c>
      <c r="AG447" t="s">
        <v>672</v>
      </c>
      <c r="AH447">
        <v>0</v>
      </c>
      <c r="AI447">
        <v>212</v>
      </c>
      <c r="AJ447">
        <v>16</v>
      </c>
      <c r="AK447">
        <v>626</v>
      </c>
      <c r="AL447">
        <v>0.79</v>
      </c>
    </row>
    <row r="448" spans="1:38" x14ac:dyDescent="0.3">
      <c r="A448" t="s">
        <v>421</v>
      </c>
      <c r="B448">
        <v>101966</v>
      </c>
      <c r="C448">
        <v>1</v>
      </c>
      <c r="D448" t="s">
        <v>673</v>
      </c>
      <c r="E448">
        <v>1981.08</v>
      </c>
      <c r="F448">
        <v>45</v>
      </c>
      <c r="G448">
        <v>21.86</v>
      </c>
      <c r="H448">
        <v>72.290000000000006</v>
      </c>
      <c r="I448">
        <v>21.86</v>
      </c>
      <c r="J448">
        <v>72.290000000000006</v>
      </c>
      <c r="K448">
        <v>40</v>
      </c>
      <c r="T448">
        <v>2</v>
      </c>
      <c r="U448">
        <v>1</v>
      </c>
      <c r="V448" t="s">
        <v>94</v>
      </c>
      <c r="W448">
        <v>72</v>
      </c>
      <c r="X448">
        <v>5</v>
      </c>
      <c r="Y448">
        <v>5</v>
      </c>
      <c r="Z448" t="s">
        <v>674</v>
      </c>
      <c r="AA448" t="s">
        <v>675</v>
      </c>
      <c r="AB448" t="s">
        <v>89</v>
      </c>
      <c r="AC448" t="s">
        <v>90</v>
      </c>
      <c r="AD448" t="s">
        <v>91</v>
      </c>
      <c r="AE448" t="s">
        <v>425</v>
      </c>
      <c r="AG448" t="s">
        <v>676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">
      <c r="A449" t="s">
        <v>421</v>
      </c>
      <c r="B449">
        <v>101966</v>
      </c>
      <c r="C449">
        <v>2</v>
      </c>
      <c r="D449" t="s">
        <v>673</v>
      </c>
      <c r="E449">
        <v>1981.08</v>
      </c>
      <c r="F449">
        <v>45</v>
      </c>
      <c r="G449">
        <v>26.16</v>
      </c>
      <c r="H449">
        <v>86.51</v>
      </c>
      <c r="I449">
        <v>26.16</v>
      </c>
      <c r="J449">
        <v>86.51</v>
      </c>
      <c r="K449">
        <v>5</v>
      </c>
      <c r="T449">
        <v>2</v>
      </c>
      <c r="U449">
        <v>1</v>
      </c>
      <c r="V449" t="s">
        <v>94</v>
      </c>
      <c r="W449">
        <v>86</v>
      </c>
      <c r="X449">
        <v>5</v>
      </c>
      <c r="Y449">
        <v>5</v>
      </c>
      <c r="Z449" t="s">
        <v>674</v>
      </c>
      <c r="AA449" t="s">
        <v>675</v>
      </c>
      <c r="AB449" t="s">
        <v>89</v>
      </c>
      <c r="AC449" t="s">
        <v>90</v>
      </c>
      <c r="AD449" t="s">
        <v>91</v>
      </c>
      <c r="AE449" t="s">
        <v>425</v>
      </c>
      <c r="AG449" t="s">
        <v>676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421</v>
      </c>
      <c r="B450">
        <v>22752</v>
      </c>
      <c r="C450">
        <v>1</v>
      </c>
      <c r="D450" t="s">
        <v>677</v>
      </c>
      <c r="E450">
        <v>1993.03</v>
      </c>
      <c r="F450">
        <v>1262</v>
      </c>
      <c r="G450">
        <v>14.17</v>
      </c>
      <c r="H450">
        <v>46.86</v>
      </c>
      <c r="I450">
        <v>10.61</v>
      </c>
      <c r="J450">
        <v>35.1</v>
      </c>
      <c r="K450">
        <v>150</v>
      </c>
      <c r="T450">
        <v>2</v>
      </c>
      <c r="U450">
        <v>1</v>
      </c>
      <c r="V450" t="s">
        <v>128</v>
      </c>
      <c r="W450">
        <v>46</v>
      </c>
      <c r="X450">
        <v>20</v>
      </c>
      <c r="Y450">
        <v>14</v>
      </c>
      <c r="Z450" t="s">
        <v>678</v>
      </c>
      <c r="AA450" t="s">
        <v>679</v>
      </c>
      <c r="AB450" t="s">
        <v>89</v>
      </c>
      <c r="AC450" t="s">
        <v>90</v>
      </c>
      <c r="AD450" t="s">
        <v>91</v>
      </c>
      <c r="AE450" t="s">
        <v>425</v>
      </c>
      <c r="AG450" t="s">
        <v>680</v>
      </c>
      <c r="AH450">
        <v>0</v>
      </c>
      <c r="AI450">
        <v>198</v>
      </c>
      <c r="AJ450">
        <v>17</v>
      </c>
      <c r="AK450">
        <v>1514</v>
      </c>
      <c r="AL450">
        <v>1.2</v>
      </c>
    </row>
    <row r="451" spans="1:38" x14ac:dyDescent="0.3">
      <c r="A451" t="s">
        <v>421</v>
      </c>
      <c r="B451">
        <v>22752</v>
      </c>
      <c r="C451">
        <v>2</v>
      </c>
      <c r="D451" t="s">
        <v>677</v>
      </c>
      <c r="E451">
        <v>1993.03</v>
      </c>
      <c r="F451">
        <v>1262</v>
      </c>
      <c r="G451">
        <v>16.940000000000001</v>
      </c>
      <c r="H451">
        <v>56</v>
      </c>
      <c r="I451">
        <v>12.48</v>
      </c>
      <c r="J451">
        <v>41.26</v>
      </c>
      <c r="K451">
        <v>392</v>
      </c>
      <c r="T451">
        <v>2</v>
      </c>
      <c r="U451">
        <v>1</v>
      </c>
      <c r="V451" t="s">
        <v>128</v>
      </c>
      <c r="W451" t="s">
        <v>681</v>
      </c>
      <c r="X451">
        <v>20</v>
      </c>
      <c r="Y451">
        <v>14</v>
      </c>
      <c r="Z451" t="s">
        <v>678</v>
      </c>
      <c r="AA451" t="s">
        <v>679</v>
      </c>
      <c r="AB451" t="s">
        <v>89</v>
      </c>
      <c r="AC451" t="s">
        <v>90</v>
      </c>
      <c r="AD451" t="s">
        <v>91</v>
      </c>
      <c r="AE451" t="s">
        <v>425</v>
      </c>
      <c r="AG451" t="s">
        <v>680</v>
      </c>
      <c r="AH451">
        <v>0</v>
      </c>
      <c r="AI451">
        <v>198</v>
      </c>
      <c r="AJ451">
        <v>17</v>
      </c>
      <c r="AK451">
        <v>1514</v>
      </c>
      <c r="AL451">
        <v>1.2</v>
      </c>
    </row>
    <row r="452" spans="1:38" x14ac:dyDescent="0.3">
      <c r="A452" t="s">
        <v>421</v>
      </c>
      <c r="B452">
        <v>22752</v>
      </c>
      <c r="C452">
        <v>3</v>
      </c>
      <c r="D452" t="s">
        <v>677</v>
      </c>
      <c r="E452">
        <v>1993.03</v>
      </c>
      <c r="F452">
        <v>1262</v>
      </c>
      <c r="G452">
        <v>17.37</v>
      </c>
      <c r="H452">
        <v>57.45</v>
      </c>
      <c r="I452">
        <v>12.88</v>
      </c>
      <c r="J452">
        <v>42.61</v>
      </c>
      <c r="K452">
        <v>720</v>
      </c>
      <c r="T452">
        <v>2</v>
      </c>
      <c r="U452">
        <v>1</v>
      </c>
      <c r="V452" t="s">
        <v>128</v>
      </c>
      <c r="W452" t="s">
        <v>682</v>
      </c>
      <c r="X452">
        <v>20</v>
      </c>
      <c r="Y452">
        <v>14</v>
      </c>
      <c r="Z452" t="s">
        <v>678</v>
      </c>
      <c r="AA452" t="s">
        <v>679</v>
      </c>
      <c r="AB452" t="s">
        <v>89</v>
      </c>
      <c r="AC452" t="s">
        <v>90</v>
      </c>
      <c r="AD452" t="s">
        <v>91</v>
      </c>
      <c r="AE452" t="s">
        <v>425</v>
      </c>
      <c r="AG452" t="s">
        <v>680</v>
      </c>
      <c r="AH452">
        <v>0</v>
      </c>
      <c r="AI452">
        <v>198</v>
      </c>
      <c r="AJ452">
        <v>17</v>
      </c>
      <c r="AK452">
        <v>1514</v>
      </c>
      <c r="AL452">
        <v>1.2</v>
      </c>
    </row>
    <row r="453" spans="1:38" x14ac:dyDescent="0.3">
      <c r="A453" t="s">
        <v>421</v>
      </c>
      <c r="B453">
        <v>1468</v>
      </c>
      <c r="C453">
        <v>1</v>
      </c>
      <c r="D453" t="s">
        <v>683</v>
      </c>
      <c r="E453">
        <v>1992.11</v>
      </c>
      <c r="F453">
        <v>508</v>
      </c>
      <c r="G453">
        <v>22.4</v>
      </c>
      <c r="H453">
        <v>74.06</v>
      </c>
      <c r="I453">
        <v>18.11</v>
      </c>
      <c r="J453">
        <v>59.89</v>
      </c>
      <c r="K453">
        <v>124</v>
      </c>
      <c r="T453">
        <v>3</v>
      </c>
      <c r="U453">
        <v>1</v>
      </c>
      <c r="V453" t="s">
        <v>94</v>
      </c>
      <c r="W453">
        <v>74</v>
      </c>
      <c r="X453">
        <v>18</v>
      </c>
      <c r="Y453">
        <v>12</v>
      </c>
      <c r="Z453" t="s">
        <v>684</v>
      </c>
      <c r="AA453" t="s">
        <v>685</v>
      </c>
      <c r="AB453" t="s">
        <v>89</v>
      </c>
      <c r="AC453" t="s">
        <v>90</v>
      </c>
      <c r="AD453" t="s">
        <v>91</v>
      </c>
      <c r="AE453" t="s">
        <v>425</v>
      </c>
      <c r="AG453" t="s">
        <v>686</v>
      </c>
      <c r="AH453">
        <v>0</v>
      </c>
      <c r="AI453">
        <v>207</v>
      </c>
      <c r="AJ453">
        <v>17</v>
      </c>
      <c r="AK453">
        <v>318</v>
      </c>
      <c r="AL453">
        <v>0.63</v>
      </c>
    </row>
    <row r="454" spans="1:38" x14ac:dyDescent="0.3">
      <c r="A454" t="s">
        <v>421</v>
      </c>
      <c r="B454">
        <v>1468</v>
      </c>
      <c r="C454">
        <v>2</v>
      </c>
      <c r="D454" t="s">
        <v>683</v>
      </c>
      <c r="E454">
        <v>1992.11</v>
      </c>
      <c r="F454">
        <v>508</v>
      </c>
      <c r="G454">
        <v>31.64</v>
      </c>
      <c r="H454">
        <v>104.61</v>
      </c>
      <c r="I454">
        <v>25.59</v>
      </c>
      <c r="J454">
        <v>84.6</v>
      </c>
      <c r="K454">
        <v>384</v>
      </c>
      <c r="T454">
        <v>3</v>
      </c>
      <c r="U454">
        <v>2</v>
      </c>
      <c r="V454" t="s">
        <v>94</v>
      </c>
      <c r="W454">
        <v>104</v>
      </c>
      <c r="X454">
        <v>18</v>
      </c>
      <c r="Y454">
        <v>12</v>
      </c>
      <c r="Z454" t="s">
        <v>684</v>
      </c>
      <c r="AA454" t="s">
        <v>685</v>
      </c>
      <c r="AB454" t="s">
        <v>89</v>
      </c>
      <c r="AC454" t="s">
        <v>90</v>
      </c>
      <c r="AD454" t="s">
        <v>91</v>
      </c>
      <c r="AE454" t="s">
        <v>425</v>
      </c>
      <c r="AG454" t="s">
        <v>686</v>
      </c>
      <c r="AH454">
        <v>0</v>
      </c>
      <c r="AI454">
        <v>207</v>
      </c>
      <c r="AJ454">
        <v>17</v>
      </c>
      <c r="AK454">
        <v>318</v>
      </c>
      <c r="AL454">
        <v>0.63</v>
      </c>
    </row>
    <row r="455" spans="1:38" x14ac:dyDescent="0.3">
      <c r="A455" t="s">
        <v>421</v>
      </c>
      <c r="B455">
        <v>1454</v>
      </c>
      <c r="C455">
        <v>1</v>
      </c>
      <c r="D455" t="s">
        <v>687</v>
      </c>
      <c r="E455">
        <v>1993.04</v>
      </c>
      <c r="F455">
        <v>1482</v>
      </c>
      <c r="G455">
        <v>16.37</v>
      </c>
      <c r="H455">
        <v>54.14</v>
      </c>
      <c r="I455">
        <v>12.48</v>
      </c>
      <c r="J455">
        <v>41.26</v>
      </c>
      <c r="K455">
        <v>666</v>
      </c>
      <c r="T455">
        <v>2</v>
      </c>
      <c r="U455">
        <v>1</v>
      </c>
      <c r="V455" t="s">
        <v>128</v>
      </c>
      <c r="W455">
        <v>54</v>
      </c>
      <c r="X455">
        <v>23</v>
      </c>
      <c r="Y455">
        <v>15</v>
      </c>
      <c r="Z455" t="s">
        <v>688</v>
      </c>
      <c r="AA455" t="s">
        <v>689</v>
      </c>
      <c r="AB455" t="s">
        <v>89</v>
      </c>
      <c r="AC455" t="s">
        <v>90</v>
      </c>
      <c r="AD455" t="s">
        <v>91</v>
      </c>
      <c r="AE455" t="s">
        <v>425</v>
      </c>
      <c r="AG455" t="s">
        <v>690</v>
      </c>
      <c r="AH455">
        <v>0</v>
      </c>
      <c r="AI455">
        <v>208</v>
      </c>
      <c r="AJ455">
        <v>15</v>
      </c>
      <c r="AK455">
        <v>1051</v>
      </c>
      <c r="AL455">
        <v>0.71</v>
      </c>
    </row>
    <row r="456" spans="1:38" x14ac:dyDescent="0.3">
      <c r="A456" t="s">
        <v>421</v>
      </c>
      <c r="B456">
        <v>1454</v>
      </c>
      <c r="C456">
        <v>2</v>
      </c>
      <c r="D456" t="s">
        <v>687</v>
      </c>
      <c r="E456">
        <v>1993.04</v>
      </c>
      <c r="F456">
        <v>1482</v>
      </c>
      <c r="G456">
        <v>23.81</v>
      </c>
      <c r="H456">
        <v>78.73</v>
      </c>
      <c r="I456">
        <v>18.09</v>
      </c>
      <c r="J456">
        <v>59.82</v>
      </c>
      <c r="K456">
        <v>420</v>
      </c>
      <c r="T456">
        <v>3</v>
      </c>
      <c r="U456">
        <v>1</v>
      </c>
      <c r="V456" t="s">
        <v>128</v>
      </c>
      <c r="W456">
        <v>78</v>
      </c>
      <c r="X456">
        <v>23</v>
      </c>
      <c r="Y456">
        <v>15</v>
      </c>
      <c r="Z456" t="s">
        <v>688</v>
      </c>
      <c r="AA456" t="s">
        <v>689</v>
      </c>
      <c r="AB456" t="s">
        <v>89</v>
      </c>
      <c r="AC456" t="s">
        <v>90</v>
      </c>
      <c r="AD456" t="s">
        <v>91</v>
      </c>
      <c r="AE456" t="s">
        <v>425</v>
      </c>
      <c r="AG456" t="s">
        <v>690</v>
      </c>
      <c r="AH456">
        <v>0</v>
      </c>
      <c r="AI456">
        <v>208</v>
      </c>
      <c r="AJ456">
        <v>15</v>
      </c>
      <c r="AK456">
        <v>1051</v>
      </c>
      <c r="AL456">
        <v>0.71</v>
      </c>
    </row>
    <row r="457" spans="1:38" x14ac:dyDescent="0.3">
      <c r="A457" t="s">
        <v>421</v>
      </c>
      <c r="B457">
        <v>1454</v>
      </c>
      <c r="C457">
        <v>3</v>
      </c>
      <c r="D457" t="s">
        <v>687</v>
      </c>
      <c r="E457">
        <v>1993.04</v>
      </c>
      <c r="F457">
        <v>1482</v>
      </c>
      <c r="G457">
        <v>31.3</v>
      </c>
      <c r="H457">
        <v>103.48</v>
      </c>
      <c r="I457">
        <v>25.68</v>
      </c>
      <c r="J457">
        <v>84.9</v>
      </c>
      <c r="K457">
        <v>396</v>
      </c>
      <c r="T457">
        <v>3</v>
      </c>
      <c r="U457">
        <v>2</v>
      </c>
      <c r="V457" t="s">
        <v>94</v>
      </c>
      <c r="W457">
        <v>103</v>
      </c>
      <c r="X457">
        <v>23</v>
      </c>
      <c r="Y457">
        <v>15</v>
      </c>
      <c r="Z457" t="s">
        <v>688</v>
      </c>
      <c r="AA457" t="s">
        <v>689</v>
      </c>
      <c r="AB457" t="s">
        <v>89</v>
      </c>
      <c r="AC457" t="s">
        <v>90</v>
      </c>
      <c r="AD457" t="s">
        <v>91</v>
      </c>
      <c r="AE457" t="s">
        <v>425</v>
      </c>
      <c r="AG457" t="s">
        <v>690</v>
      </c>
      <c r="AH457">
        <v>0</v>
      </c>
      <c r="AI457">
        <v>208</v>
      </c>
      <c r="AJ457">
        <v>15</v>
      </c>
      <c r="AK457">
        <v>1051</v>
      </c>
      <c r="AL457">
        <v>0.71</v>
      </c>
    </row>
    <row r="458" spans="1:38" x14ac:dyDescent="0.3">
      <c r="A458" t="s">
        <v>421</v>
      </c>
      <c r="B458">
        <v>1989</v>
      </c>
      <c r="C458">
        <v>1</v>
      </c>
      <c r="D458" t="s">
        <v>691</v>
      </c>
      <c r="E458">
        <v>1979.09</v>
      </c>
      <c r="F458">
        <v>576</v>
      </c>
      <c r="G458">
        <v>27.05</v>
      </c>
      <c r="H458">
        <v>89.43</v>
      </c>
      <c r="I458">
        <v>25.01</v>
      </c>
      <c r="J458">
        <v>82.68</v>
      </c>
      <c r="K458">
        <v>65</v>
      </c>
      <c r="T458">
        <v>2</v>
      </c>
      <c r="U458">
        <v>1</v>
      </c>
      <c r="V458" t="s">
        <v>128</v>
      </c>
      <c r="W458" t="s">
        <v>692</v>
      </c>
      <c r="X458">
        <v>12</v>
      </c>
      <c r="Y458">
        <v>12</v>
      </c>
      <c r="Z458" t="s">
        <v>693</v>
      </c>
      <c r="AA458" t="s">
        <v>694</v>
      </c>
      <c r="AB458" t="s">
        <v>89</v>
      </c>
      <c r="AC458" t="s">
        <v>90</v>
      </c>
      <c r="AD458" t="s">
        <v>91</v>
      </c>
      <c r="AE458" t="s">
        <v>425</v>
      </c>
      <c r="AG458" t="s">
        <v>695</v>
      </c>
      <c r="AH458">
        <v>0</v>
      </c>
      <c r="AI458">
        <v>257</v>
      </c>
      <c r="AJ458">
        <v>23</v>
      </c>
      <c r="AK458">
        <v>205</v>
      </c>
      <c r="AL458">
        <v>0.36</v>
      </c>
    </row>
    <row r="459" spans="1:38" x14ac:dyDescent="0.3">
      <c r="A459" t="s">
        <v>421</v>
      </c>
      <c r="B459">
        <v>1989</v>
      </c>
      <c r="C459">
        <v>2</v>
      </c>
      <c r="D459" t="s">
        <v>691</v>
      </c>
      <c r="E459">
        <v>1979.09</v>
      </c>
      <c r="F459">
        <v>576</v>
      </c>
      <c r="G459">
        <v>27.47</v>
      </c>
      <c r="H459">
        <v>90.82</v>
      </c>
      <c r="I459">
        <v>25.4</v>
      </c>
      <c r="J459">
        <v>83.97</v>
      </c>
      <c r="K459">
        <v>6</v>
      </c>
      <c r="T459">
        <v>2</v>
      </c>
      <c r="U459">
        <v>1</v>
      </c>
      <c r="V459" t="s">
        <v>128</v>
      </c>
      <c r="W459" t="s">
        <v>696</v>
      </c>
      <c r="X459">
        <v>12</v>
      </c>
      <c r="Y459">
        <v>12</v>
      </c>
      <c r="Z459" t="s">
        <v>693</v>
      </c>
      <c r="AA459" t="s">
        <v>694</v>
      </c>
      <c r="AB459" t="s">
        <v>89</v>
      </c>
      <c r="AC459" t="s">
        <v>90</v>
      </c>
      <c r="AD459" t="s">
        <v>91</v>
      </c>
      <c r="AE459" t="s">
        <v>425</v>
      </c>
      <c r="AG459" t="s">
        <v>695</v>
      </c>
      <c r="AH459">
        <v>0</v>
      </c>
      <c r="AI459">
        <v>257</v>
      </c>
      <c r="AJ459">
        <v>23</v>
      </c>
      <c r="AK459">
        <v>205</v>
      </c>
      <c r="AL459">
        <v>0.36</v>
      </c>
    </row>
    <row r="460" spans="1:38" x14ac:dyDescent="0.3">
      <c r="A460" t="s">
        <v>421</v>
      </c>
      <c r="B460">
        <v>1989</v>
      </c>
      <c r="C460">
        <v>3</v>
      </c>
      <c r="D460" t="s">
        <v>691</v>
      </c>
      <c r="E460">
        <v>1979.09</v>
      </c>
      <c r="F460">
        <v>576</v>
      </c>
      <c r="G460">
        <v>27.84</v>
      </c>
      <c r="H460">
        <v>92.04</v>
      </c>
      <c r="I460">
        <v>25.76</v>
      </c>
      <c r="J460">
        <v>85.16</v>
      </c>
      <c r="K460">
        <v>72</v>
      </c>
      <c r="T460">
        <v>2</v>
      </c>
      <c r="U460">
        <v>1</v>
      </c>
      <c r="V460" t="s">
        <v>128</v>
      </c>
      <c r="W460" t="s">
        <v>147</v>
      </c>
      <c r="X460">
        <v>12</v>
      </c>
      <c r="Y460">
        <v>12</v>
      </c>
      <c r="Z460" t="s">
        <v>693</v>
      </c>
      <c r="AA460" t="s">
        <v>694</v>
      </c>
      <c r="AB460" t="s">
        <v>89</v>
      </c>
      <c r="AC460" t="s">
        <v>90</v>
      </c>
      <c r="AD460" t="s">
        <v>91</v>
      </c>
      <c r="AE460" t="s">
        <v>425</v>
      </c>
      <c r="AG460" t="s">
        <v>695</v>
      </c>
      <c r="AH460">
        <v>0</v>
      </c>
      <c r="AI460">
        <v>257</v>
      </c>
      <c r="AJ460">
        <v>23</v>
      </c>
      <c r="AK460">
        <v>205</v>
      </c>
      <c r="AL460">
        <v>0.36</v>
      </c>
    </row>
    <row r="461" spans="1:38" x14ac:dyDescent="0.3">
      <c r="A461" t="s">
        <v>421</v>
      </c>
      <c r="B461">
        <v>1989</v>
      </c>
      <c r="C461">
        <v>4</v>
      </c>
      <c r="D461" t="s">
        <v>691</v>
      </c>
      <c r="E461">
        <v>1979.09</v>
      </c>
      <c r="F461">
        <v>576</v>
      </c>
      <c r="G461">
        <v>27.84</v>
      </c>
      <c r="H461">
        <v>92.04</v>
      </c>
      <c r="I461">
        <v>20.29</v>
      </c>
      <c r="J461">
        <v>67.08</v>
      </c>
      <c r="K461">
        <v>6</v>
      </c>
      <c r="T461">
        <v>2</v>
      </c>
      <c r="U461">
        <v>1</v>
      </c>
      <c r="V461" t="s">
        <v>128</v>
      </c>
      <c r="W461" t="s">
        <v>697</v>
      </c>
      <c r="X461">
        <v>12</v>
      </c>
      <c r="Y461">
        <v>12</v>
      </c>
      <c r="Z461" t="s">
        <v>693</v>
      </c>
      <c r="AA461" t="s">
        <v>694</v>
      </c>
      <c r="AB461" t="s">
        <v>89</v>
      </c>
      <c r="AC461" t="s">
        <v>90</v>
      </c>
      <c r="AD461" t="s">
        <v>91</v>
      </c>
      <c r="AE461" t="s">
        <v>425</v>
      </c>
      <c r="AG461" t="s">
        <v>695</v>
      </c>
      <c r="AH461">
        <v>0</v>
      </c>
      <c r="AI461">
        <v>257</v>
      </c>
      <c r="AJ461">
        <v>23</v>
      </c>
      <c r="AK461">
        <v>205</v>
      </c>
      <c r="AL461">
        <v>0.36</v>
      </c>
    </row>
    <row r="462" spans="1:38" x14ac:dyDescent="0.3">
      <c r="A462" t="s">
        <v>421</v>
      </c>
      <c r="B462">
        <v>1989</v>
      </c>
      <c r="C462">
        <v>5</v>
      </c>
      <c r="D462" t="s">
        <v>691</v>
      </c>
      <c r="E462">
        <v>1979.09</v>
      </c>
      <c r="F462">
        <v>576</v>
      </c>
      <c r="G462">
        <v>27.84</v>
      </c>
      <c r="H462">
        <v>92.04</v>
      </c>
      <c r="I462">
        <v>20.309999999999999</v>
      </c>
      <c r="J462">
        <v>67.16</v>
      </c>
      <c r="K462">
        <v>1</v>
      </c>
      <c r="T462">
        <v>2</v>
      </c>
      <c r="U462">
        <v>1</v>
      </c>
      <c r="V462" t="s">
        <v>94</v>
      </c>
      <c r="W462" t="s">
        <v>698</v>
      </c>
      <c r="X462">
        <v>12</v>
      </c>
      <c r="Y462">
        <v>12</v>
      </c>
      <c r="Z462" t="s">
        <v>693</v>
      </c>
      <c r="AA462" t="s">
        <v>694</v>
      </c>
      <c r="AB462" t="s">
        <v>89</v>
      </c>
      <c r="AC462" t="s">
        <v>90</v>
      </c>
      <c r="AD462" t="s">
        <v>91</v>
      </c>
      <c r="AE462" t="s">
        <v>425</v>
      </c>
      <c r="AG462" t="s">
        <v>695</v>
      </c>
      <c r="AH462">
        <v>0</v>
      </c>
      <c r="AI462">
        <v>257</v>
      </c>
      <c r="AJ462">
        <v>23</v>
      </c>
      <c r="AK462">
        <v>205</v>
      </c>
      <c r="AL462">
        <v>0.36</v>
      </c>
    </row>
    <row r="463" spans="1:38" x14ac:dyDescent="0.3">
      <c r="A463" t="s">
        <v>421</v>
      </c>
      <c r="B463">
        <v>1989</v>
      </c>
      <c r="C463">
        <v>6</v>
      </c>
      <c r="D463" t="s">
        <v>691</v>
      </c>
      <c r="E463">
        <v>1979.09</v>
      </c>
      <c r="F463">
        <v>576</v>
      </c>
      <c r="G463">
        <v>28.59</v>
      </c>
      <c r="H463">
        <v>94.54</v>
      </c>
      <c r="I463">
        <v>26.56</v>
      </c>
      <c r="J463">
        <v>87.83</v>
      </c>
      <c r="K463">
        <v>101</v>
      </c>
      <c r="T463">
        <v>2</v>
      </c>
      <c r="U463">
        <v>1</v>
      </c>
      <c r="V463" t="s">
        <v>128</v>
      </c>
      <c r="W463" t="s">
        <v>699</v>
      </c>
      <c r="X463">
        <v>12</v>
      </c>
      <c r="Y463">
        <v>12</v>
      </c>
      <c r="Z463" t="s">
        <v>693</v>
      </c>
      <c r="AA463" t="s">
        <v>694</v>
      </c>
      <c r="AB463" t="s">
        <v>89</v>
      </c>
      <c r="AC463" t="s">
        <v>90</v>
      </c>
      <c r="AD463" t="s">
        <v>91</v>
      </c>
      <c r="AE463" t="s">
        <v>425</v>
      </c>
      <c r="AG463" t="s">
        <v>695</v>
      </c>
      <c r="AH463">
        <v>0</v>
      </c>
      <c r="AI463">
        <v>257</v>
      </c>
      <c r="AJ463">
        <v>23</v>
      </c>
      <c r="AK463">
        <v>205</v>
      </c>
      <c r="AL463">
        <v>0.36</v>
      </c>
    </row>
    <row r="464" spans="1:38" x14ac:dyDescent="0.3">
      <c r="A464" t="s">
        <v>421</v>
      </c>
      <c r="B464">
        <v>1989</v>
      </c>
      <c r="C464">
        <v>7</v>
      </c>
      <c r="D464" t="s">
        <v>691</v>
      </c>
      <c r="E464">
        <v>1979.09</v>
      </c>
      <c r="F464">
        <v>576</v>
      </c>
      <c r="G464">
        <v>28.51</v>
      </c>
      <c r="H464">
        <v>94.28</v>
      </c>
      <c r="I464">
        <v>26.43</v>
      </c>
      <c r="J464">
        <v>87.4</v>
      </c>
      <c r="K464">
        <v>7</v>
      </c>
      <c r="T464">
        <v>2</v>
      </c>
      <c r="U464">
        <v>1</v>
      </c>
      <c r="V464" t="s">
        <v>128</v>
      </c>
      <c r="W464" t="s">
        <v>700</v>
      </c>
      <c r="X464">
        <v>12</v>
      </c>
      <c r="Y464">
        <v>12</v>
      </c>
      <c r="Z464" t="s">
        <v>693</v>
      </c>
      <c r="AA464" t="s">
        <v>694</v>
      </c>
      <c r="AB464" t="s">
        <v>89</v>
      </c>
      <c r="AC464" t="s">
        <v>90</v>
      </c>
      <c r="AD464" t="s">
        <v>91</v>
      </c>
      <c r="AE464" t="s">
        <v>425</v>
      </c>
      <c r="AG464" t="s">
        <v>695</v>
      </c>
      <c r="AH464">
        <v>0</v>
      </c>
      <c r="AI464">
        <v>257</v>
      </c>
      <c r="AJ464">
        <v>23</v>
      </c>
      <c r="AK464">
        <v>205</v>
      </c>
      <c r="AL464">
        <v>0.36</v>
      </c>
    </row>
    <row r="465" spans="1:38" x14ac:dyDescent="0.3">
      <c r="A465" t="s">
        <v>421</v>
      </c>
      <c r="B465">
        <v>1989</v>
      </c>
      <c r="C465">
        <v>8</v>
      </c>
      <c r="D465" t="s">
        <v>691</v>
      </c>
      <c r="E465">
        <v>1979.09</v>
      </c>
      <c r="F465">
        <v>576</v>
      </c>
      <c r="G465">
        <v>28.59</v>
      </c>
      <c r="H465">
        <v>94.54</v>
      </c>
      <c r="I465">
        <v>20.28</v>
      </c>
      <c r="J465">
        <v>67.069999999999993</v>
      </c>
      <c r="K465">
        <v>6</v>
      </c>
      <c r="T465">
        <v>2</v>
      </c>
      <c r="U465">
        <v>1</v>
      </c>
      <c r="V465" t="s">
        <v>94</v>
      </c>
      <c r="W465" t="s">
        <v>701</v>
      </c>
      <c r="X465">
        <v>12</v>
      </c>
      <c r="Y465">
        <v>12</v>
      </c>
      <c r="Z465" t="s">
        <v>693</v>
      </c>
      <c r="AA465" t="s">
        <v>694</v>
      </c>
      <c r="AB465" t="s">
        <v>89</v>
      </c>
      <c r="AC465" t="s">
        <v>90</v>
      </c>
      <c r="AD465" t="s">
        <v>91</v>
      </c>
      <c r="AE465" t="s">
        <v>425</v>
      </c>
      <c r="AG465" t="s">
        <v>695</v>
      </c>
      <c r="AH465">
        <v>0</v>
      </c>
      <c r="AI465">
        <v>257</v>
      </c>
      <c r="AJ465">
        <v>23</v>
      </c>
      <c r="AK465">
        <v>205</v>
      </c>
      <c r="AL465">
        <v>0.36</v>
      </c>
    </row>
    <row r="466" spans="1:38" x14ac:dyDescent="0.3">
      <c r="A466" t="s">
        <v>421</v>
      </c>
      <c r="B466">
        <v>1989</v>
      </c>
      <c r="C466">
        <v>9</v>
      </c>
      <c r="D466" t="s">
        <v>691</v>
      </c>
      <c r="E466">
        <v>1979.09</v>
      </c>
      <c r="F466">
        <v>576</v>
      </c>
      <c r="G466">
        <v>33.770000000000003</v>
      </c>
      <c r="H466">
        <v>111.64</v>
      </c>
      <c r="I466">
        <v>31.2</v>
      </c>
      <c r="J466">
        <v>103.17</v>
      </c>
      <c r="K466">
        <v>128</v>
      </c>
      <c r="T466">
        <v>3</v>
      </c>
      <c r="U466">
        <v>1</v>
      </c>
      <c r="V466" t="s">
        <v>128</v>
      </c>
      <c r="W466" t="s">
        <v>124</v>
      </c>
      <c r="X466">
        <v>12</v>
      </c>
      <c r="Y466">
        <v>12</v>
      </c>
      <c r="Z466" t="s">
        <v>693</v>
      </c>
      <c r="AA466" t="s">
        <v>694</v>
      </c>
      <c r="AB466" t="s">
        <v>89</v>
      </c>
      <c r="AC466" t="s">
        <v>90</v>
      </c>
      <c r="AD466" t="s">
        <v>91</v>
      </c>
      <c r="AE466" t="s">
        <v>425</v>
      </c>
      <c r="AG466" t="s">
        <v>695</v>
      </c>
      <c r="AH466">
        <v>0</v>
      </c>
      <c r="AI466">
        <v>257</v>
      </c>
      <c r="AJ466">
        <v>23</v>
      </c>
      <c r="AK466">
        <v>205</v>
      </c>
      <c r="AL466">
        <v>0.36</v>
      </c>
    </row>
    <row r="467" spans="1:38" x14ac:dyDescent="0.3">
      <c r="A467" t="s">
        <v>421</v>
      </c>
      <c r="B467">
        <v>1989</v>
      </c>
      <c r="C467">
        <v>10</v>
      </c>
      <c r="D467" t="s">
        <v>691</v>
      </c>
      <c r="E467">
        <v>1979.09</v>
      </c>
      <c r="F467">
        <v>576</v>
      </c>
      <c r="G467">
        <v>33.58</v>
      </c>
      <c r="H467">
        <v>111.01</v>
      </c>
      <c r="I467">
        <v>31.09</v>
      </c>
      <c r="J467">
        <v>102.78</v>
      </c>
      <c r="K467">
        <v>86</v>
      </c>
      <c r="T467">
        <v>3</v>
      </c>
      <c r="U467">
        <v>1</v>
      </c>
      <c r="V467" t="s">
        <v>128</v>
      </c>
      <c r="W467" t="s">
        <v>120</v>
      </c>
      <c r="X467">
        <v>12</v>
      </c>
      <c r="Y467">
        <v>12</v>
      </c>
      <c r="Z467" t="s">
        <v>693</v>
      </c>
      <c r="AA467" t="s">
        <v>694</v>
      </c>
      <c r="AB467" t="s">
        <v>89</v>
      </c>
      <c r="AC467" t="s">
        <v>90</v>
      </c>
      <c r="AD467" t="s">
        <v>91</v>
      </c>
      <c r="AE467" t="s">
        <v>425</v>
      </c>
      <c r="AG467" t="s">
        <v>695</v>
      </c>
      <c r="AH467">
        <v>0</v>
      </c>
      <c r="AI467">
        <v>257</v>
      </c>
      <c r="AJ467">
        <v>23</v>
      </c>
      <c r="AK467">
        <v>205</v>
      </c>
      <c r="AL467">
        <v>0.36</v>
      </c>
    </row>
    <row r="468" spans="1:38" x14ac:dyDescent="0.3">
      <c r="A468" t="s">
        <v>421</v>
      </c>
      <c r="B468">
        <v>1989</v>
      </c>
      <c r="C468">
        <v>11</v>
      </c>
      <c r="D468" t="s">
        <v>691</v>
      </c>
      <c r="E468">
        <v>1979.09</v>
      </c>
      <c r="F468">
        <v>576</v>
      </c>
      <c r="G468">
        <v>33.770000000000003</v>
      </c>
      <c r="H468">
        <v>111.64</v>
      </c>
      <c r="I468">
        <v>25.31</v>
      </c>
      <c r="J468">
        <v>83.69</v>
      </c>
      <c r="K468">
        <v>3</v>
      </c>
      <c r="T468">
        <v>2</v>
      </c>
      <c r="U468">
        <v>1</v>
      </c>
      <c r="V468" t="s">
        <v>94</v>
      </c>
      <c r="W468" t="s">
        <v>119</v>
      </c>
      <c r="X468">
        <v>12</v>
      </c>
      <c r="Y468">
        <v>12</v>
      </c>
      <c r="Z468" t="s">
        <v>693</v>
      </c>
      <c r="AA468" t="s">
        <v>694</v>
      </c>
      <c r="AB468" t="s">
        <v>89</v>
      </c>
      <c r="AC468" t="s">
        <v>90</v>
      </c>
      <c r="AD468" t="s">
        <v>91</v>
      </c>
      <c r="AE468" t="s">
        <v>425</v>
      </c>
      <c r="AG468" t="s">
        <v>695</v>
      </c>
      <c r="AH468">
        <v>0</v>
      </c>
      <c r="AI468">
        <v>257</v>
      </c>
      <c r="AJ468">
        <v>23</v>
      </c>
      <c r="AK468">
        <v>205</v>
      </c>
      <c r="AL468">
        <v>0.36</v>
      </c>
    </row>
    <row r="469" spans="1:38" x14ac:dyDescent="0.3">
      <c r="A469" t="s">
        <v>421</v>
      </c>
      <c r="B469">
        <v>1989</v>
      </c>
      <c r="C469">
        <v>12</v>
      </c>
      <c r="D469" t="s">
        <v>691</v>
      </c>
      <c r="E469">
        <v>1979.09</v>
      </c>
      <c r="F469">
        <v>576</v>
      </c>
      <c r="G469">
        <v>34.21</v>
      </c>
      <c r="H469">
        <v>113.12</v>
      </c>
      <c r="I469">
        <v>31.65</v>
      </c>
      <c r="J469">
        <v>104.63</v>
      </c>
      <c r="K469">
        <v>59</v>
      </c>
      <c r="T469">
        <v>3</v>
      </c>
      <c r="U469">
        <v>1</v>
      </c>
      <c r="V469" t="s">
        <v>128</v>
      </c>
      <c r="W469" t="s">
        <v>702</v>
      </c>
      <c r="X469">
        <v>12</v>
      </c>
      <c r="Y469">
        <v>12</v>
      </c>
      <c r="Z469" t="s">
        <v>693</v>
      </c>
      <c r="AA469" t="s">
        <v>694</v>
      </c>
      <c r="AB469" t="s">
        <v>89</v>
      </c>
      <c r="AC469" t="s">
        <v>90</v>
      </c>
      <c r="AD469" t="s">
        <v>91</v>
      </c>
      <c r="AE469" t="s">
        <v>425</v>
      </c>
      <c r="AG469" t="s">
        <v>695</v>
      </c>
      <c r="AH469">
        <v>0</v>
      </c>
      <c r="AI469">
        <v>257</v>
      </c>
      <c r="AJ469">
        <v>23</v>
      </c>
      <c r="AK469">
        <v>205</v>
      </c>
      <c r="AL469">
        <v>0.36</v>
      </c>
    </row>
    <row r="470" spans="1:38" x14ac:dyDescent="0.3">
      <c r="A470" t="s">
        <v>421</v>
      </c>
      <c r="B470">
        <v>1989</v>
      </c>
      <c r="C470">
        <v>13</v>
      </c>
      <c r="D470" t="s">
        <v>691</v>
      </c>
      <c r="E470">
        <v>1979.09</v>
      </c>
      <c r="F470">
        <v>576</v>
      </c>
      <c r="G470">
        <v>34.28</v>
      </c>
      <c r="H470">
        <v>113.33</v>
      </c>
      <c r="I470">
        <v>31.68</v>
      </c>
      <c r="J470">
        <v>104.76</v>
      </c>
      <c r="K470">
        <v>12</v>
      </c>
      <c r="T470">
        <v>3</v>
      </c>
      <c r="U470">
        <v>1</v>
      </c>
      <c r="V470" t="s">
        <v>128</v>
      </c>
      <c r="W470" t="s">
        <v>703</v>
      </c>
      <c r="X470">
        <v>12</v>
      </c>
      <c r="Y470">
        <v>12</v>
      </c>
      <c r="Z470" t="s">
        <v>693</v>
      </c>
      <c r="AA470" t="s">
        <v>694</v>
      </c>
      <c r="AB470" t="s">
        <v>89</v>
      </c>
      <c r="AC470" t="s">
        <v>90</v>
      </c>
      <c r="AD470" t="s">
        <v>91</v>
      </c>
      <c r="AE470" t="s">
        <v>425</v>
      </c>
      <c r="AG470" t="s">
        <v>695</v>
      </c>
      <c r="AH470">
        <v>0</v>
      </c>
      <c r="AI470">
        <v>257</v>
      </c>
      <c r="AJ470">
        <v>23</v>
      </c>
      <c r="AK470">
        <v>205</v>
      </c>
      <c r="AL470">
        <v>0.36</v>
      </c>
    </row>
    <row r="471" spans="1:38" x14ac:dyDescent="0.3">
      <c r="A471" t="s">
        <v>421</v>
      </c>
      <c r="B471">
        <v>1989</v>
      </c>
      <c r="C471">
        <v>14</v>
      </c>
      <c r="D471" t="s">
        <v>691</v>
      </c>
      <c r="E471">
        <v>1979.09</v>
      </c>
      <c r="F471">
        <v>576</v>
      </c>
      <c r="G471">
        <v>34.21</v>
      </c>
      <c r="H471">
        <v>113.12</v>
      </c>
      <c r="I471">
        <v>25.31</v>
      </c>
      <c r="J471">
        <v>83.7</v>
      </c>
      <c r="K471">
        <v>10</v>
      </c>
      <c r="T471">
        <v>3</v>
      </c>
      <c r="U471">
        <v>1</v>
      </c>
      <c r="V471" t="s">
        <v>128</v>
      </c>
      <c r="W471" t="s">
        <v>263</v>
      </c>
      <c r="X471">
        <v>12</v>
      </c>
      <c r="Y471">
        <v>12</v>
      </c>
      <c r="Z471" t="s">
        <v>693</v>
      </c>
      <c r="AA471" t="s">
        <v>694</v>
      </c>
      <c r="AB471" t="s">
        <v>89</v>
      </c>
      <c r="AC471" t="s">
        <v>90</v>
      </c>
      <c r="AD471" t="s">
        <v>91</v>
      </c>
      <c r="AE471" t="s">
        <v>425</v>
      </c>
      <c r="AG471" t="s">
        <v>695</v>
      </c>
      <c r="AH471">
        <v>0</v>
      </c>
      <c r="AI471">
        <v>257</v>
      </c>
      <c r="AJ471">
        <v>23</v>
      </c>
      <c r="AK471">
        <v>205</v>
      </c>
      <c r="AL471">
        <v>0.36</v>
      </c>
    </row>
    <row r="472" spans="1:38" x14ac:dyDescent="0.3">
      <c r="A472" t="s">
        <v>421</v>
      </c>
      <c r="B472">
        <v>1989</v>
      </c>
      <c r="C472">
        <v>15</v>
      </c>
      <c r="D472" t="s">
        <v>691</v>
      </c>
      <c r="E472">
        <v>1979.09</v>
      </c>
      <c r="F472">
        <v>576</v>
      </c>
      <c r="G472">
        <v>34.200000000000003</v>
      </c>
      <c r="H472">
        <v>113.06</v>
      </c>
      <c r="I472">
        <v>31.71</v>
      </c>
      <c r="J472">
        <v>104.83</v>
      </c>
      <c r="K472">
        <v>8</v>
      </c>
      <c r="T472">
        <v>3</v>
      </c>
      <c r="U472">
        <v>1</v>
      </c>
      <c r="V472" t="s">
        <v>128</v>
      </c>
      <c r="W472" t="s">
        <v>704</v>
      </c>
      <c r="X472">
        <v>12</v>
      </c>
      <c r="Y472">
        <v>12</v>
      </c>
      <c r="Z472" t="s">
        <v>693</v>
      </c>
      <c r="AA472" t="s">
        <v>694</v>
      </c>
      <c r="AB472" t="s">
        <v>89</v>
      </c>
      <c r="AC472" t="s">
        <v>90</v>
      </c>
      <c r="AD472" t="s">
        <v>91</v>
      </c>
      <c r="AE472" t="s">
        <v>425</v>
      </c>
      <c r="AG472" t="s">
        <v>695</v>
      </c>
      <c r="AH472">
        <v>0</v>
      </c>
      <c r="AI472">
        <v>257</v>
      </c>
      <c r="AJ472">
        <v>23</v>
      </c>
      <c r="AK472">
        <v>205</v>
      </c>
      <c r="AL472">
        <v>0.36</v>
      </c>
    </row>
    <row r="473" spans="1:38" x14ac:dyDescent="0.3">
      <c r="A473" t="s">
        <v>421</v>
      </c>
      <c r="B473">
        <v>1989</v>
      </c>
      <c r="C473">
        <v>16</v>
      </c>
      <c r="D473" t="s">
        <v>691</v>
      </c>
      <c r="E473">
        <v>1979.09</v>
      </c>
      <c r="F473">
        <v>576</v>
      </c>
      <c r="G473">
        <v>35.01</v>
      </c>
      <c r="H473">
        <v>115.76</v>
      </c>
      <c r="I473">
        <v>32.44</v>
      </c>
      <c r="J473">
        <v>107.27</v>
      </c>
      <c r="K473">
        <v>6</v>
      </c>
      <c r="T473">
        <v>3</v>
      </c>
      <c r="U473">
        <v>1</v>
      </c>
      <c r="V473" t="s">
        <v>128</v>
      </c>
      <c r="W473">
        <v>115</v>
      </c>
      <c r="X473">
        <v>12</v>
      </c>
      <c r="Y473">
        <v>12</v>
      </c>
      <c r="Z473" t="s">
        <v>693</v>
      </c>
      <c r="AA473" t="s">
        <v>694</v>
      </c>
      <c r="AB473" t="s">
        <v>89</v>
      </c>
      <c r="AC473" t="s">
        <v>90</v>
      </c>
      <c r="AD473" t="s">
        <v>91</v>
      </c>
      <c r="AE473" t="s">
        <v>425</v>
      </c>
      <c r="AG473" t="s">
        <v>695</v>
      </c>
      <c r="AH473">
        <v>0</v>
      </c>
      <c r="AI473">
        <v>257</v>
      </c>
      <c r="AJ473">
        <v>23</v>
      </c>
      <c r="AK473">
        <v>205</v>
      </c>
      <c r="AL473">
        <v>0.36</v>
      </c>
    </row>
    <row r="474" spans="1:38" x14ac:dyDescent="0.3">
      <c r="A474" t="s">
        <v>421</v>
      </c>
      <c r="B474">
        <v>1988</v>
      </c>
      <c r="C474">
        <v>1</v>
      </c>
      <c r="D474" t="s">
        <v>705</v>
      </c>
      <c r="E474">
        <v>1988.11</v>
      </c>
      <c r="F474">
        <v>80</v>
      </c>
      <c r="G474">
        <v>15.49</v>
      </c>
      <c r="H474">
        <v>51.21</v>
      </c>
      <c r="I474">
        <v>11.35</v>
      </c>
      <c r="J474">
        <v>37.53</v>
      </c>
      <c r="K474">
        <v>35</v>
      </c>
      <c r="T474">
        <v>2</v>
      </c>
      <c r="U474">
        <v>1</v>
      </c>
      <c r="V474" t="s">
        <v>94</v>
      </c>
      <c r="W474">
        <v>51</v>
      </c>
      <c r="X474">
        <v>5</v>
      </c>
      <c r="Y474">
        <v>5</v>
      </c>
      <c r="Z474" t="s">
        <v>706</v>
      </c>
      <c r="AA474" t="s">
        <v>707</v>
      </c>
      <c r="AB474" t="s">
        <v>89</v>
      </c>
      <c r="AC474" t="s">
        <v>90</v>
      </c>
      <c r="AD474" t="s">
        <v>91</v>
      </c>
      <c r="AE474" t="s">
        <v>425</v>
      </c>
      <c r="AG474" t="s">
        <v>708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38" x14ac:dyDescent="0.3">
      <c r="A475" t="s">
        <v>421</v>
      </c>
      <c r="B475">
        <v>1988</v>
      </c>
      <c r="C475">
        <v>2</v>
      </c>
      <c r="D475" t="s">
        <v>705</v>
      </c>
      <c r="E475">
        <v>1988.11</v>
      </c>
      <c r="F475">
        <v>80</v>
      </c>
      <c r="G475">
        <v>19.91</v>
      </c>
      <c r="H475">
        <v>65.849999999999994</v>
      </c>
      <c r="I475">
        <v>15.01</v>
      </c>
      <c r="J475">
        <v>49.62</v>
      </c>
      <c r="K475">
        <v>10</v>
      </c>
      <c r="T475">
        <v>3</v>
      </c>
      <c r="U475">
        <v>1</v>
      </c>
      <c r="V475" t="s">
        <v>94</v>
      </c>
      <c r="W475" t="s">
        <v>709</v>
      </c>
      <c r="X475">
        <v>5</v>
      </c>
      <c r="Y475">
        <v>5</v>
      </c>
      <c r="Z475" t="s">
        <v>706</v>
      </c>
      <c r="AA475" t="s">
        <v>707</v>
      </c>
      <c r="AB475" t="s">
        <v>89</v>
      </c>
      <c r="AC475" t="s">
        <v>90</v>
      </c>
      <c r="AD475" t="s">
        <v>91</v>
      </c>
      <c r="AE475" t="s">
        <v>425</v>
      </c>
      <c r="AG475" t="s">
        <v>708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38" x14ac:dyDescent="0.3">
      <c r="A476" t="s">
        <v>421</v>
      </c>
      <c r="B476">
        <v>1988</v>
      </c>
      <c r="C476">
        <v>3</v>
      </c>
      <c r="D476" t="s">
        <v>705</v>
      </c>
      <c r="E476">
        <v>1988.11</v>
      </c>
      <c r="F476">
        <v>80</v>
      </c>
      <c r="G476">
        <v>19.989999999999998</v>
      </c>
      <c r="H476">
        <v>66.11</v>
      </c>
      <c r="I476">
        <v>15.05</v>
      </c>
      <c r="J476">
        <v>49.76</v>
      </c>
      <c r="K476">
        <v>5</v>
      </c>
      <c r="T476">
        <v>3</v>
      </c>
      <c r="U476">
        <v>1</v>
      </c>
      <c r="V476" t="s">
        <v>94</v>
      </c>
      <c r="W476" t="s">
        <v>600</v>
      </c>
      <c r="X476">
        <v>5</v>
      </c>
      <c r="Y476">
        <v>5</v>
      </c>
      <c r="Z476" t="s">
        <v>706</v>
      </c>
      <c r="AA476" t="s">
        <v>707</v>
      </c>
      <c r="AB476" t="s">
        <v>89</v>
      </c>
      <c r="AC476" t="s">
        <v>90</v>
      </c>
      <c r="AD476" t="s">
        <v>91</v>
      </c>
      <c r="AE476" t="s">
        <v>425</v>
      </c>
      <c r="AG476" t="s">
        <v>708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421</v>
      </c>
      <c r="B477">
        <v>1988</v>
      </c>
      <c r="C477">
        <v>4</v>
      </c>
      <c r="D477" t="s">
        <v>705</v>
      </c>
      <c r="E477">
        <v>1988.11</v>
      </c>
      <c r="F477">
        <v>80</v>
      </c>
      <c r="G477">
        <v>20.81</v>
      </c>
      <c r="H477">
        <v>68.819999999999993</v>
      </c>
      <c r="I477">
        <v>15.74</v>
      </c>
      <c r="J477">
        <v>52.05</v>
      </c>
      <c r="K477">
        <v>10</v>
      </c>
      <c r="T477">
        <v>3</v>
      </c>
      <c r="U477">
        <v>1</v>
      </c>
      <c r="V477" t="s">
        <v>94</v>
      </c>
      <c r="W477">
        <v>68</v>
      </c>
      <c r="X477">
        <v>5</v>
      </c>
      <c r="Y477">
        <v>5</v>
      </c>
      <c r="Z477" t="s">
        <v>706</v>
      </c>
      <c r="AA477" t="s">
        <v>707</v>
      </c>
      <c r="AB477" t="s">
        <v>89</v>
      </c>
      <c r="AC477" t="s">
        <v>90</v>
      </c>
      <c r="AD477" t="s">
        <v>91</v>
      </c>
      <c r="AE477" t="s">
        <v>425</v>
      </c>
      <c r="AG477" t="s">
        <v>708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421</v>
      </c>
      <c r="B478">
        <v>1988</v>
      </c>
      <c r="C478">
        <v>5</v>
      </c>
      <c r="D478" t="s">
        <v>705</v>
      </c>
      <c r="E478">
        <v>1988.11</v>
      </c>
      <c r="F478">
        <v>80</v>
      </c>
      <c r="G478">
        <v>22.2</v>
      </c>
      <c r="H478">
        <v>73.42</v>
      </c>
      <c r="I478">
        <v>16.87</v>
      </c>
      <c r="J478">
        <v>55.77</v>
      </c>
      <c r="K478">
        <v>20</v>
      </c>
      <c r="T478">
        <v>3</v>
      </c>
      <c r="U478">
        <v>1</v>
      </c>
      <c r="V478" t="s">
        <v>94</v>
      </c>
      <c r="W478">
        <v>73</v>
      </c>
      <c r="X478">
        <v>5</v>
      </c>
      <c r="Y478">
        <v>5</v>
      </c>
      <c r="Z478" t="s">
        <v>706</v>
      </c>
      <c r="AA478" t="s">
        <v>707</v>
      </c>
      <c r="AB478" t="s">
        <v>89</v>
      </c>
      <c r="AC478" t="s">
        <v>90</v>
      </c>
      <c r="AD478" t="s">
        <v>91</v>
      </c>
      <c r="AE478" t="s">
        <v>425</v>
      </c>
      <c r="AG478" t="s">
        <v>708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421</v>
      </c>
      <c r="B479">
        <v>108656</v>
      </c>
      <c r="C479">
        <v>1</v>
      </c>
      <c r="D479" t="s">
        <v>710</v>
      </c>
      <c r="E479">
        <v>2014.1</v>
      </c>
      <c r="F479">
        <v>191</v>
      </c>
      <c r="G479">
        <v>27.47</v>
      </c>
      <c r="H479">
        <v>90.83</v>
      </c>
      <c r="I479">
        <v>20.329999999999998</v>
      </c>
      <c r="J479">
        <v>67.23</v>
      </c>
      <c r="K479">
        <v>1</v>
      </c>
      <c r="T479">
        <v>2</v>
      </c>
      <c r="U479">
        <v>1</v>
      </c>
      <c r="V479" t="s">
        <v>94</v>
      </c>
      <c r="W479">
        <v>90</v>
      </c>
      <c r="X479">
        <v>24</v>
      </c>
      <c r="Y479">
        <v>19</v>
      </c>
      <c r="Z479" t="s">
        <v>711</v>
      </c>
      <c r="AA479" t="s">
        <v>712</v>
      </c>
      <c r="AB479" t="s">
        <v>89</v>
      </c>
      <c r="AC479" t="s">
        <v>90</v>
      </c>
      <c r="AD479" t="s">
        <v>91</v>
      </c>
      <c r="AE479" t="s">
        <v>425</v>
      </c>
      <c r="AG479" t="s">
        <v>713</v>
      </c>
      <c r="AH479">
        <v>0</v>
      </c>
      <c r="AI479">
        <v>678</v>
      </c>
      <c r="AJ479">
        <v>58</v>
      </c>
      <c r="AK479">
        <v>214</v>
      </c>
      <c r="AL479">
        <v>1.1200000000000001</v>
      </c>
    </row>
    <row r="480" spans="1:38" x14ac:dyDescent="0.3">
      <c r="A480" t="s">
        <v>421</v>
      </c>
      <c r="B480">
        <v>108656</v>
      </c>
      <c r="C480">
        <v>2</v>
      </c>
      <c r="D480" t="s">
        <v>710</v>
      </c>
      <c r="E480">
        <v>2014.1</v>
      </c>
      <c r="F480">
        <v>191</v>
      </c>
      <c r="G480">
        <v>27.68</v>
      </c>
      <c r="H480">
        <v>91.53</v>
      </c>
      <c r="I480">
        <v>20.62</v>
      </c>
      <c r="J480">
        <v>68.17</v>
      </c>
      <c r="K480">
        <v>16</v>
      </c>
      <c r="T480">
        <v>2</v>
      </c>
      <c r="U480">
        <v>1</v>
      </c>
      <c r="V480" t="s">
        <v>94</v>
      </c>
      <c r="W480">
        <v>91</v>
      </c>
      <c r="X480">
        <v>24</v>
      </c>
      <c r="Y480">
        <v>19</v>
      </c>
      <c r="Z480" t="s">
        <v>711</v>
      </c>
      <c r="AA480" t="s">
        <v>712</v>
      </c>
      <c r="AB480" t="s">
        <v>89</v>
      </c>
      <c r="AC480" t="s">
        <v>90</v>
      </c>
      <c r="AD480" t="s">
        <v>91</v>
      </c>
      <c r="AE480" t="s">
        <v>425</v>
      </c>
      <c r="AG480" t="s">
        <v>713</v>
      </c>
      <c r="AH480">
        <v>0</v>
      </c>
      <c r="AI480">
        <v>678</v>
      </c>
      <c r="AJ480">
        <v>58</v>
      </c>
      <c r="AK480">
        <v>214</v>
      </c>
      <c r="AL480">
        <v>1.1200000000000001</v>
      </c>
    </row>
    <row r="481" spans="1:38" x14ac:dyDescent="0.3">
      <c r="A481" t="s">
        <v>421</v>
      </c>
      <c r="B481">
        <v>108656</v>
      </c>
      <c r="C481">
        <v>3</v>
      </c>
      <c r="D481" t="s">
        <v>710</v>
      </c>
      <c r="E481">
        <v>2014.1</v>
      </c>
      <c r="F481">
        <v>191</v>
      </c>
      <c r="G481">
        <v>29.94</v>
      </c>
      <c r="H481">
        <v>98.98</v>
      </c>
      <c r="I481">
        <v>21.96</v>
      </c>
      <c r="J481">
        <v>72.61</v>
      </c>
      <c r="K481">
        <v>16</v>
      </c>
      <c r="T481">
        <v>2</v>
      </c>
      <c r="U481">
        <v>1</v>
      </c>
      <c r="V481" t="s">
        <v>94</v>
      </c>
      <c r="W481">
        <v>98</v>
      </c>
      <c r="X481">
        <v>24</v>
      </c>
      <c r="Y481">
        <v>19</v>
      </c>
      <c r="Z481" t="s">
        <v>711</v>
      </c>
      <c r="AA481" t="s">
        <v>712</v>
      </c>
      <c r="AB481" t="s">
        <v>89</v>
      </c>
      <c r="AC481" t="s">
        <v>90</v>
      </c>
      <c r="AD481" t="s">
        <v>91</v>
      </c>
      <c r="AE481" t="s">
        <v>425</v>
      </c>
      <c r="AG481" t="s">
        <v>713</v>
      </c>
      <c r="AH481">
        <v>0</v>
      </c>
      <c r="AI481">
        <v>678</v>
      </c>
      <c r="AJ481">
        <v>58</v>
      </c>
      <c r="AK481">
        <v>214</v>
      </c>
      <c r="AL481">
        <v>1.1200000000000001</v>
      </c>
    </row>
    <row r="482" spans="1:38" x14ac:dyDescent="0.3">
      <c r="A482" t="s">
        <v>421</v>
      </c>
      <c r="B482">
        <v>108656</v>
      </c>
      <c r="C482">
        <v>4</v>
      </c>
      <c r="D482" t="s">
        <v>710</v>
      </c>
      <c r="E482">
        <v>2014.1</v>
      </c>
      <c r="F482">
        <v>191</v>
      </c>
      <c r="G482">
        <v>34.57</v>
      </c>
      <c r="H482">
        <v>114.31</v>
      </c>
      <c r="I482">
        <v>25.69</v>
      </c>
      <c r="J482">
        <v>84.93</v>
      </c>
      <c r="K482">
        <v>98</v>
      </c>
      <c r="T482">
        <v>3</v>
      </c>
      <c r="U482">
        <v>2</v>
      </c>
      <c r="V482" t="s">
        <v>94</v>
      </c>
      <c r="W482" t="s">
        <v>714</v>
      </c>
      <c r="X482">
        <v>24</v>
      </c>
      <c r="Y482">
        <v>19</v>
      </c>
      <c r="Z482" t="s">
        <v>711</v>
      </c>
      <c r="AA482" t="s">
        <v>712</v>
      </c>
      <c r="AB482" t="s">
        <v>89</v>
      </c>
      <c r="AC482" t="s">
        <v>90</v>
      </c>
      <c r="AD482" t="s">
        <v>91</v>
      </c>
      <c r="AE482" t="s">
        <v>425</v>
      </c>
      <c r="AG482" t="s">
        <v>713</v>
      </c>
      <c r="AH482">
        <v>0</v>
      </c>
      <c r="AI482">
        <v>678</v>
      </c>
      <c r="AJ482">
        <v>58</v>
      </c>
      <c r="AK482">
        <v>214</v>
      </c>
      <c r="AL482">
        <v>1.1200000000000001</v>
      </c>
    </row>
    <row r="483" spans="1:38" x14ac:dyDescent="0.3">
      <c r="A483" t="s">
        <v>421</v>
      </c>
      <c r="B483">
        <v>108656</v>
      </c>
      <c r="C483">
        <v>5</v>
      </c>
      <c r="D483" t="s">
        <v>710</v>
      </c>
      <c r="E483">
        <v>2014.1</v>
      </c>
      <c r="F483">
        <v>191</v>
      </c>
      <c r="G483">
        <v>34.590000000000003</v>
      </c>
      <c r="H483">
        <v>114.38</v>
      </c>
      <c r="I483">
        <v>25.58</v>
      </c>
      <c r="J483">
        <v>84.58</v>
      </c>
      <c r="K483">
        <v>20</v>
      </c>
      <c r="T483">
        <v>3</v>
      </c>
      <c r="U483">
        <v>2</v>
      </c>
      <c r="V483" t="s">
        <v>94</v>
      </c>
      <c r="W483" t="s">
        <v>526</v>
      </c>
      <c r="X483">
        <v>24</v>
      </c>
      <c r="Y483">
        <v>19</v>
      </c>
      <c r="Z483" t="s">
        <v>711</v>
      </c>
      <c r="AA483" t="s">
        <v>712</v>
      </c>
      <c r="AB483" t="s">
        <v>89</v>
      </c>
      <c r="AC483" t="s">
        <v>90</v>
      </c>
      <c r="AD483" t="s">
        <v>91</v>
      </c>
      <c r="AE483" t="s">
        <v>425</v>
      </c>
      <c r="AG483" t="s">
        <v>713</v>
      </c>
      <c r="AH483">
        <v>0</v>
      </c>
      <c r="AI483">
        <v>678</v>
      </c>
      <c r="AJ483">
        <v>58</v>
      </c>
      <c r="AK483">
        <v>214</v>
      </c>
      <c r="AL483">
        <v>1.1200000000000001</v>
      </c>
    </row>
    <row r="484" spans="1:38" x14ac:dyDescent="0.3">
      <c r="A484" t="s">
        <v>421</v>
      </c>
      <c r="B484">
        <v>108656</v>
      </c>
      <c r="C484">
        <v>6</v>
      </c>
      <c r="D484" t="s">
        <v>710</v>
      </c>
      <c r="E484">
        <v>2014.1</v>
      </c>
      <c r="F484">
        <v>191</v>
      </c>
      <c r="G484">
        <v>34.6</v>
      </c>
      <c r="H484">
        <v>114.4</v>
      </c>
      <c r="I484">
        <v>25.64</v>
      </c>
      <c r="J484">
        <v>84.77</v>
      </c>
      <c r="K484">
        <v>20</v>
      </c>
      <c r="T484">
        <v>3</v>
      </c>
      <c r="U484">
        <v>2</v>
      </c>
      <c r="V484" t="s">
        <v>94</v>
      </c>
      <c r="W484" s="78" t="s">
        <v>527</v>
      </c>
      <c r="X484">
        <v>24</v>
      </c>
      <c r="Y484">
        <v>19</v>
      </c>
      <c r="Z484" t="s">
        <v>711</v>
      </c>
      <c r="AA484" t="s">
        <v>712</v>
      </c>
      <c r="AB484" t="s">
        <v>89</v>
      </c>
      <c r="AC484" t="s">
        <v>90</v>
      </c>
      <c r="AD484" t="s">
        <v>91</v>
      </c>
      <c r="AE484" t="s">
        <v>425</v>
      </c>
      <c r="AG484" t="s">
        <v>713</v>
      </c>
      <c r="AH484">
        <v>0</v>
      </c>
      <c r="AI484">
        <v>678</v>
      </c>
      <c r="AJ484">
        <v>58</v>
      </c>
      <c r="AK484">
        <v>214</v>
      </c>
      <c r="AL484">
        <v>1.1200000000000001</v>
      </c>
    </row>
    <row r="485" spans="1:38" x14ac:dyDescent="0.3">
      <c r="A485" t="s">
        <v>421</v>
      </c>
      <c r="B485">
        <v>108656</v>
      </c>
      <c r="C485">
        <v>7</v>
      </c>
      <c r="D485" t="s">
        <v>710</v>
      </c>
      <c r="E485">
        <v>2014.1</v>
      </c>
      <c r="F485">
        <v>191</v>
      </c>
      <c r="G485">
        <v>44.12</v>
      </c>
      <c r="H485">
        <v>145.86000000000001</v>
      </c>
      <c r="I485">
        <v>32.840000000000003</v>
      </c>
      <c r="J485">
        <v>108.58</v>
      </c>
      <c r="K485">
        <v>20</v>
      </c>
      <c r="T485">
        <v>3</v>
      </c>
      <c r="U485">
        <v>2</v>
      </c>
      <c r="V485" t="s">
        <v>94</v>
      </c>
      <c r="W485">
        <v>145</v>
      </c>
      <c r="X485">
        <v>24</v>
      </c>
      <c r="Y485">
        <v>19</v>
      </c>
      <c r="Z485" t="s">
        <v>711</v>
      </c>
      <c r="AA485" t="s">
        <v>712</v>
      </c>
      <c r="AB485" t="s">
        <v>89</v>
      </c>
      <c r="AC485" t="s">
        <v>90</v>
      </c>
      <c r="AD485" t="s">
        <v>91</v>
      </c>
      <c r="AE485" t="s">
        <v>425</v>
      </c>
      <c r="AG485" t="s">
        <v>713</v>
      </c>
      <c r="AH485">
        <v>0</v>
      </c>
      <c r="AI485">
        <v>678</v>
      </c>
      <c r="AJ485">
        <v>58</v>
      </c>
      <c r="AK485">
        <v>214</v>
      </c>
      <c r="AL485">
        <v>1.1200000000000001</v>
      </c>
    </row>
    <row r="486" spans="1:38" x14ac:dyDescent="0.3">
      <c r="A486" t="s">
        <v>715</v>
      </c>
      <c r="B486">
        <v>8205</v>
      </c>
      <c r="C486">
        <v>1</v>
      </c>
      <c r="D486" t="s">
        <v>716</v>
      </c>
      <c r="E486">
        <v>2001.04</v>
      </c>
      <c r="F486">
        <v>1996</v>
      </c>
      <c r="G486">
        <v>24.51</v>
      </c>
      <c r="H486">
        <v>81.040000000000006</v>
      </c>
      <c r="I486">
        <v>18.12</v>
      </c>
      <c r="J486">
        <v>59.92</v>
      </c>
      <c r="K486">
        <v>236</v>
      </c>
      <c r="T486">
        <v>3</v>
      </c>
      <c r="U486">
        <v>2</v>
      </c>
      <c r="V486" t="s">
        <v>94</v>
      </c>
      <c r="W486" t="s">
        <v>465</v>
      </c>
      <c r="X486">
        <v>26</v>
      </c>
      <c r="Y486">
        <v>15</v>
      </c>
      <c r="Z486" t="s">
        <v>717</v>
      </c>
      <c r="AA486" t="s">
        <v>718</v>
      </c>
      <c r="AB486" t="s">
        <v>89</v>
      </c>
      <c r="AC486" t="s">
        <v>90</v>
      </c>
      <c r="AD486" t="s">
        <v>91</v>
      </c>
      <c r="AE486" t="s">
        <v>719</v>
      </c>
      <c r="AG486" t="s">
        <v>720</v>
      </c>
      <c r="AH486">
        <v>0</v>
      </c>
      <c r="AI486">
        <v>337</v>
      </c>
      <c r="AJ486">
        <v>20</v>
      </c>
      <c r="AK486">
        <v>2054</v>
      </c>
      <c r="AL486">
        <v>1.03</v>
      </c>
    </row>
    <row r="487" spans="1:38" x14ac:dyDescent="0.3">
      <c r="A487" t="s">
        <v>715</v>
      </c>
      <c r="B487">
        <v>8205</v>
      </c>
      <c r="C487">
        <v>2</v>
      </c>
      <c r="D487" t="s">
        <v>716</v>
      </c>
      <c r="E487">
        <v>2001.04</v>
      </c>
      <c r="F487">
        <v>1996</v>
      </c>
      <c r="G487">
        <v>24.51</v>
      </c>
      <c r="H487">
        <v>81.05</v>
      </c>
      <c r="I487">
        <v>18.149999999999999</v>
      </c>
      <c r="J487">
        <v>60</v>
      </c>
      <c r="K487">
        <v>168</v>
      </c>
      <c r="T487">
        <v>2</v>
      </c>
      <c r="U487">
        <v>1</v>
      </c>
      <c r="V487" t="s">
        <v>94</v>
      </c>
      <c r="W487" s="78" t="s">
        <v>260</v>
      </c>
      <c r="X487">
        <v>26</v>
      </c>
      <c r="Y487">
        <v>15</v>
      </c>
      <c r="Z487" t="s">
        <v>717</v>
      </c>
      <c r="AA487" t="s">
        <v>718</v>
      </c>
      <c r="AB487" t="s">
        <v>89</v>
      </c>
      <c r="AC487" t="s">
        <v>90</v>
      </c>
      <c r="AD487" t="s">
        <v>91</v>
      </c>
      <c r="AE487" t="s">
        <v>719</v>
      </c>
      <c r="AG487" t="s">
        <v>720</v>
      </c>
      <c r="AH487">
        <v>0</v>
      </c>
      <c r="AI487">
        <v>337</v>
      </c>
      <c r="AJ487">
        <v>20</v>
      </c>
      <c r="AK487">
        <v>2054</v>
      </c>
      <c r="AL487">
        <v>1.03</v>
      </c>
    </row>
    <row r="488" spans="1:38" x14ac:dyDescent="0.3">
      <c r="A488" t="s">
        <v>715</v>
      </c>
      <c r="B488">
        <v>8205</v>
      </c>
      <c r="C488">
        <v>3</v>
      </c>
      <c r="D488" t="s">
        <v>716</v>
      </c>
      <c r="E488">
        <v>2001.04</v>
      </c>
      <c r="F488">
        <v>1996</v>
      </c>
      <c r="G488">
        <v>32.76</v>
      </c>
      <c r="H488">
        <v>108.33</v>
      </c>
      <c r="I488">
        <v>25.7</v>
      </c>
      <c r="J488">
        <v>84.96</v>
      </c>
      <c r="K488">
        <v>1592</v>
      </c>
      <c r="T488">
        <v>3</v>
      </c>
      <c r="U488">
        <v>2</v>
      </c>
      <c r="V488" t="s">
        <v>94</v>
      </c>
      <c r="W488" s="78">
        <v>108</v>
      </c>
      <c r="X488">
        <v>26</v>
      </c>
      <c r="Y488">
        <v>15</v>
      </c>
      <c r="Z488" t="s">
        <v>717</v>
      </c>
      <c r="AA488" t="s">
        <v>718</v>
      </c>
      <c r="AB488" t="s">
        <v>89</v>
      </c>
      <c r="AC488" t="s">
        <v>90</v>
      </c>
      <c r="AD488" t="s">
        <v>91</v>
      </c>
      <c r="AE488" t="s">
        <v>719</v>
      </c>
      <c r="AG488" t="s">
        <v>720</v>
      </c>
      <c r="AH488">
        <v>0</v>
      </c>
      <c r="AI488">
        <v>337</v>
      </c>
      <c r="AJ488">
        <v>20</v>
      </c>
      <c r="AK488">
        <v>2054</v>
      </c>
      <c r="AL488">
        <v>1.03</v>
      </c>
    </row>
    <row r="489" spans="1:38" x14ac:dyDescent="0.3">
      <c r="A489" t="s">
        <v>715</v>
      </c>
      <c r="B489">
        <v>1482</v>
      </c>
      <c r="C489">
        <v>1</v>
      </c>
      <c r="D489" t="s">
        <v>721</v>
      </c>
      <c r="E489">
        <v>1993.04</v>
      </c>
      <c r="F489">
        <v>780</v>
      </c>
      <c r="G489">
        <v>22.95</v>
      </c>
      <c r="H489">
        <v>75.89</v>
      </c>
      <c r="I489">
        <v>18.07</v>
      </c>
      <c r="J489">
        <v>59.76</v>
      </c>
      <c r="K489">
        <v>270</v>
      </c>
      <c r="T489">
        <v>3</v>
      </c>
      <c r="U489">
        <v>1</v>
      </c>
      <c r="V489" t="s">
        <v>94</v>
      </c>
      <c r="W489" s="78">
        <v>75</v>
      </c>
      <c r="X489">
        <v>25</v>
      </c>
      <c r="Y489">
        <v>10</v>
      </c>
      <c r="Z489" t="s">
        <v>722</v>
      </c>
      <c r="AA489" t="s">
        <v>723</v>
      </c>
      <c r="AB489" t="s">
        <v>89</v>
      </c>
      <c r="AC489" t="s">
        <v>90</v>
      </c>
      <c r="AD489" t="s">
        <v>91</v>
      </c>
      <c r="AE489" t="s">
        <v>719</v>
      </c>
      <c r="AG489" t="s">
        <v>724</v>
      </c>
      <c r="AH489">
        <v>0</v>
      </c>
      <c r="AI489">
        <v>209</v>
      </c>
      <c r="AJ489">
        <v>15</v>
      </c>
      <c r="AK489">
        <v>645</v>
      </c>
      <c r="AL489">
        <v>0.83</v>
      </c>
    </row>
    <row r="490" spans="1:38" x14ac:dyDescent="0.3">
      <c r="A490" t="s">
        <v>715</v>
      </c>
      <c r="B490">
        <v>1482</v>
      </c>
      <c r="C490">
        <v>2</v>
      </c>
      <c r="D490" t="s">
        <v>721</v>
      </c>
      <c r="E490">
        <v>1993.04</v>
      </c>
      <c r="F490">
        <v>780</v>
      </c>
      <c r="G490">
        <v>31.95</v>
      </c>
      <c r="H490">
        <v>105.63</v>
      </c>
      <c r="I490">
        <v>25.63</v>
      </c>
      <c r="J490">
        <v>84.75</v>
      </c>
      <c r="K490">
        <v>510</v>
      </c>
      <c r="T490">
        <v>3</v>
      </c>
      <c r="U490">
        <v>2</v>
      </c>
      <c r="V490" t="s">
        <v>94</v>
      </c>
      <c r="W490">
        <v>105</v>
      </c>
      <c r="X490">
        <v>25</v>
      </c>
      <c r="Y490">
        <v>10</v>
      </c>
      <c r="Z490" t="s">
        <v>722</v>
      </c>
      <c r="AA490" t="s">
        <v>723</v>
      </c>
      <c r="AB490" t="s">
        <v>89</v>
      </c>
      <c r="AC490" t="s">
        <v>90</v>
      </c>
      <c r="AD490" t="s">
        <v>91</v>
      </c>
      <c r="AE490" t="s">
        <v>719</v>
      </c>
      <c r="AG490" t="s">
        <v>724</v>
      </c>
      <c r="AH490">
        <v>0</v>
      </c>
      <c r="AI490">
        <v>209</v>
      </c>
      <c r="AJ490">
        <v>15</v>
      </c>
      <c r="AK490">
        <v>645</v>
      </c>
      <c r="AL490">
        <v>0.83</v>
      </c>
    </row>
    <row r="491" spans="1:38" x14ac:dyDescent="0.3">
      <c r="A491" t="s">
        <v>715</v>
      </c>
      <c r="B491">
        <v>8192</v>
      </c>
      <c r="C491">
        <v>1</v>
      </c>
      <c r="D491" t="s">
        <v>353</v>
      </c>
      <c r="E491">
        <v>1983.04</v>
      </c>
      <c r="F491">
        <v>130</v>
      </c>
      <c r="G491">
        <v>17.309999999999999</v>
      </c>
      <c r="H491">
        <v>57.25</v>
      </c>
      <c r="I491">
        <v>12.19</v>
      </c>
      <c r="J491">
        <v>40.299999999999997</v>
      </c>
      <c r="K491">
        <v>70</v>
      </c>
      <c r="T491">
        <v>2</v>
      </c>
      <c r="U491">
        <v>1</v>
      </c>
      <c r="V491" t="s">
        <v>94</v>
      </c>
      <c r="W491" s="78">
        <v>57</v>
      </c>
      <c r="X491">
        <v>5</v>
      </c>
      <c r="Y491">
        <v>5</v>
      </c>
      <c r="Z491" t="s">
        <v>725</v>
      </c>
      <c r="AA491" t="s">
        <v>726</v>
      </c>
      <c r="AB491" t="s">
        <v>89</v>
      </c>
      <c r="AC491" t="s">
        <v>90</v>
      </c>
      <c r="AD491" t="s">
        <v>91</v>
      </c>
      <c r="AE491" t="s">
        <v>719</v>
      </c>
      <c r="AG491" t="s">
        <v>438</v>
      </c>
      <c r="AH491">
        <v>0</v>
      </c>
      <c r="AI491">
        <v>175</v>
      </c>
      <c r="AJ491">
        <v>38</v>
      </c>
      <c r="AK491">
        <v>0</v>
      </c>
      <c r="AL491">
        <v>0</v>
      </c>
    </row>
    <row r="492" spans="1:38" x14ac:dyDescent="0.3">
      <c r="A492" t="s">
        <v>715</v>
      </c>
      <c r="B492">
        <v>8192</v>
      </c>
      <c r="C492">
        <v>2</v>
      </c>
      <c r="D492" t="s">
        <v>353</v>
      </c>
      <c r="E492">
        <v>1983.04</v>
      </c>
      <c r="F492">
        <v>130</v>
      </c>
      <c r="G492">
        <v>17.809999999999999</v>
      </c>
      <c r="H492">
        <v>58.88</v>
      </c>
      <c r="I492">
        <v>12.46</v>
      </c>
      <c r="J492">
        <v>41.2</v>
      </c>
      <c r="K492">
        <v>5</v>
      </c>
      <c r="T492">
        <v>2</v>
      </c>
      <c r="U492">
        <v>1</v>
      </c>
      <c r="V492" t="s">
        <v>94</v>
      </c>
      <c r="W492" s="78">
        <v>58</v>
      </c>
      <c r="X492">
        <v>5</v>
      </c>
      <c r="Y492">
        <v>5</v>
      </c>
      <c r="Z492" t="s">
        <v>725</v>
      </c>
      <c r="AA492" t="s">
        <v>726</v>
      </c>
      <c r="AB492" t="s">
        <v>89</v>
      </c>
      <c r="AC492" t="s">
        <v>90</v>
      </c>
      <c r="AD492" t="s">
        <v>91</v>
      </c>
      <c r="AE492" t="s">
        <v>719</v>
      </c>
      <c r="AG492" t="s">
        <v>438</v>
      </c>
      <c r="AH492">
        <v>0</v>
      </c>
      <c r="AI492">
        <v>175</v>
      </c>
      <c r="AJ492">
        <v>38</v>
      </c>
      <c r="AK492">
        <v>0</v>
      </c>
      <c r="AL492">
        <v>0</v>
      </c>
    </row>
    <row r="493" spans="1:38" x14ac:dyDescent="0.3">
      <c r="A493" t="s">
        <v>715</v>
      </c>
      <c r="B493">
        <v>8192</v>
      </c>
      <c r="C493">
        <v>3</v>
      </c>
      <c r="D493" t="s">
        <v>353</v>
      </c>
      <c r="E493">
        <v>1983.04</v>
      </c>
      <c r="F493">
        <v>130</v>
      </c>
      <c r="G493">
        <v>19.350000000000001</v>
      </c>
      <c r="H493">
        <v>63.97</v>
      </c>
      <c r="I493">
        <v>13.88</v>
      </c>
      <c r="J493">
        <v>45.9</v>
      </c>
      <c r="K493">
        <v>30</v>
      </c>
      <c r="T493">
        <v>2</v>
      </c>
      <c r="U493">
        <v>1</v>
      </c>
      <c r="V493" t="s">
        <v>94</v>
      </c>
      <c r="W493" t="s">
        <v>548</v>
      </c>
      <c r="X493">
        <v>5</v>
      </c>
      <c r="Y493">
        <v>5</v>
      </c>
      <c r="Z493" t="s">
        <v>725</v>
      </c>
      <c r="AA493" t="s">
        <v>726</v>
      </c>
      <c r="AB493" t="s">
        <v>89</v>
      </c>
      <c r="AC493" t="s">
        <v>90</v>
      </c>
      <c r="AD493" t="s">
        <v>91</v>
      </c>
      <c r="AE493" t="s">
        <v>719</v>
      </c>
      <c r="AG493" t="s">
        <v>438</v>
      </c>
      <c r="AH493">
        <v>0</v>
      </c>
      <c r="AI493">
        <v>175</v>
      </c>
      <c r="AJ493">
        <v>38</v>
      </c>
      <c r="AK493">
        <v>0</v>
      </c>
      <c r="AL493">
        <v>0</v>
      </c>
    </row>
    <row r="494" spans="1:38" x14ac:dyDescent="0.3">
      <c r="A494" t="s">
        <v>715</v>
      </c>
      <c r="B494">
        <v>8192</v>
      </c>
      <c r="C494">
        <v>4</v>
      </c>
      <c r="D494" t="s">
        <v>353</v>
      </c>
      <c r="E494">
        <v>1983.04</v>
      </c>
      <c r="F494">
        <v>130</v>
      </c>
      <c r="G494">
        <v>19.14</v>
      </c>
      <c r="H494">
        <v>63.3</v>
      </c>
      <c r="I494">
        <v>13.55</v>
      </c>
      <c r="J494">
        <v>44.8</v>
      </c>
      <c r="K494">
        <v>5</v>
      </c>
      <c r="T494">
        <v>2</v>
      </c>
      <c r="U494">
        <v>1</v>
      </c>
      <c r="V494" t="s">
        <v>94</v>
      </c>
      <c r="W494" t="s">
        <v>544</v>
      </c>
      <c r="X494">
        <v>5</v>
      </c>
      <c r="Y494">
        <v>5</v>
      </c>
      <c r="Z494" t="s">
        <v>725</v>
      </c>
      <c r="AA494" t="s">
        <v>726</v>
      </c>
      <c r="AB494" t="s">
        <v>89</v>
      </c>
      <c r="AC494" t="s">
        <v>90</v>
      </c>
      <c r="AD494" t="s">
        <v>91</v>
      </c>
      <c r="AE494" t="s">
        <v>719</v>
      </c>
      <c r="AG494" t="s">
        <v>438</v>
      </c>
      <c r="AH494">
        <v>0</v>
      </c>
      <c r="AI494">
        <v>175</v>
      </c>
      <c r="AJ494">
        <v>38</v>
      </c>
      <c r="AK494">
        <v>0</v>
      </c>
      <c r="AL494">
        <v>0</v>
      </c>
    </row>
    <row r="495" spans="1:38" x14ac:dyDescent="0.3">
      <c r="A495" t="s">
        <v>715</v>
      </c>
      <c r="B495">
        <v>8192</v>
      </c>
      <c r="C495">
        <v>5</v>
      </c>
      <c r="D495" t="s">
        <v>353</v>
      </c>
      <c r="E495">
        <v>1983.04</v>
      </c>
      <c r="F495">
        <v>130</v>
      </c>
      <c r="G495">
        <v>20.84</v>
      </c>
      <c r="H495">
        <v>68.91</v>
      </c>
      <c r="I495">
        <v>15.07</v>
      </c>
      <c r="J495">
        <v>49.82</v>
      </c>
      <c r="K495">
        <v>20</v>
      </c>
      <c r="T495">
        <v>2</v>
      </c>
      <c r="U495">
        <v>1</v>
      </c>
      <c r="V495" t="s">
        <v>94</v>
      </c>
      <c r="W495">
        <v>68</v>
      </c>
      <c r="X495">
        <v>5</v>
      </c>
      <c r="Y495">
        <v>5</v>
      </c>
      <c r="Z495" t="s">
        <v>725</v>
      </c>
      <c r="AA495" t="s">
        <v>726</v>
      </c>
      <c r="AB495" t="s">
        <v>89</v>
      </c>
      <c r="AC495" t="s">
        <v>90</v>
      </c>
      <c r="AD495" t="s">
        <v>91</v>
      </c>
      <c r="AE495" t="s">
        <v>719</v>
      </c>
      <c r="AG495" t="s">
        <v>438</v>
      </c>
      <c r="AH495">
        <v>0</v>
      </c>
      <c r="AI495">
        <v>175</v>
      </c>
      <c r="AJ495">
        <v>38</v>
      </c>
      <c r="AK495">
        <v>0</v>
      </c>
      <c r="AL495">
        <v>0</v>
      </c>
    </row>
    <row r="496" spans="1:38" x14ac:dyDescent="0.3">
      <c r="A496" t="s">
        <v>715</v>
      </c>
      <c r="B496">
        <v>8711</v>
      </c>
      <c r="C496">
        <v>1</v>
      </c>
      <c r="D496" t="s">
        <v>727</v>
      </c>
      <c r="E496">
        <v>1999.07</v>
      </c>
      <c r="F496">
        <v>49</v>
      </c>
      <c r="G496">
        <v>23.81</v>
      </c>
      <c r="H496">
        <v>78.73</v>
      </c>
      <c r="I496">
        <v>18.05</v>
      </c>
      <c r="J496">
        <v>59.67</v>
      </c>
      <c r="K496">
        <v>24</v>
      </c>
      <c r="T496">
        <v>2</v>
      </c>
      <c r="U496">
        <v>1</v>
      </c>
      <c r="V496" t="s">
        <v>94</v>
      </c>
      <c r="W496">
        <v>78</v>
      </c>
      <c r="X496">
        <v>15</v>
      </c>
      <c r="Y496">
        <v>15</v>
      </c>
      <c r="Z496" t="s">
        <v>728</v>
      </c>
      <c r="AA496" t="s">
        <v>729</v>
      </c>
      <c r="AB496" t="s">
        <v>89</v>
      </c>
      <c r="AC496" t="s">
        <v>90</v>
      </c>
      <c r="AD496" t="s">
        <v>91</v>
      </c>
      <c r="AE496" t="s">
        <v>719</v>
      </c>
      <c r="AG496" t="s">
        <v>730</v>
      </c>
      <c r="AH496">
        <v>0</v>
      </c>
      <c r="AI496">
        <v>311</v>
      </c>
      <c r="AJ496">
        <v>29</v>
      </c>
      <c r="AK496">
        <v>49</v>
      </c>
      <c r="AL496">
        <v>1</v>
      </c>
    </row>
    <row r="497" spans="1:38" x14ac:dyDescent="0.3">
      <c r="A497" t="s">
        <v>715</v>
      </c>
      <c r="B497">
        <v>8711</v>
      </c>
      <c r="C497">
        <v>2</v>
      </c>
      <c r="D497" t="s">
        <v>727</v>
      </c>
      <c r="E497">
        <v>1999.07</v>
      </c>
      <c r="F497">
        <v>49</v>
      </c>
      <c r="G497">
        <v>33.01</v>
      </c>
      <c r="H497">
        <v>109.13</v>
      </c>
      <c r="I497">
        <v>25.01</v>
      </c>
      <c r="J497">
        <v>82.71</v>
      </c>
      <c r="K497">
        <v>15</v>
      </c>
      <c r="T497">
        <v>3</v>
      </c>
      <c r="U497">
        <v>2</v>
      </c>
      <c r="V497" t="s">
        <v>94</v>
      </c>
      <c r="W497">
        <v>109</v>
      </c>
      <c r="X497">
        <v>15</v>
      </c>
      <c r="Y497">
        <v>15</v>
      </c>
      <c r="Z497" t="s">
        <v>728</v>
      </c>
      <c r="AA497" t="s">
        <v>729</v>
      </c>
      <c r="AB497" t="s">
        <v>89</v>
      </c>
      <c r="AC497" t="s">
        <v>90</v>
      </c>
      <c r="AD497" t="s">
        <v>91</v>
      </c>
      <c r="AE497" t="s">
        <v>719</v>
      </c>
      <c r="AG497" t="s">
        <v>730</v>
      </c>
      <c r="AH497">
        <v>0</v>
      </c>
      <c r="AI497">
        <v>311</v>
      </c>
      <c r="AJ497">
        <v>29</v>
      </c>
      <c r="AK497">
        <v>49</v>
      </c>
      <c r="AL497">
        <v>1</v>
      </c>
    </row>
    <row r="498" spans="1:38" x14ac:dyDescent="0.3">
      <c r="A498" t="s">
        <v>715</v>
      </c>
      <c r="B498">
        <v>8711</v>
      </c>
      <c r="C498">
        <v>3</v>
      </c>
      <c r="D498" t="s">
        <v>727</v>
      </c>
      <c r="E498">
        <v>1999.07</v>
      </c>
      <c r="F498">
        <v>49</v>
      </c>
      <c r="G498">
        <v>33.67</v>
      </c>
      <c r="H498">
        <v>111.32</v>
      </c>
      <c r="I498">
        <v>25.52</v>
      </c>
      <c r="J498">
        <v>84.37</v>
      </c>
      <c r="K498">
        <v>10</v>
      </c>
      <c r="T498">
        <v>3</v>
      </c>
      <c r="U498">
        <v>2</v>
      </c>
      <c r="V498" t="s">
        <v>94</v>
      </c>
      <c r="W498">
        <v>111</v>
      </c>
      <c r="X498">
        <v>15</v>
      </c>
      <c r="Y498">
        <v>15</v>
      </c>
      <c r="Z498" t="s">
        <v>728</v>
      </c>
      <c r="AA498" t="s">
        <v>729</v>
      </c>
      <c r="AB498" t="s">
        <v>89</v>
      </c>
      <c r="AC498" t="s">
        <v>90</v>
      </c>
      <c r="AD498" t="s">
        <v>91</v>
      </c>
      <c r="AE498" t="s">
        <v>719</v>
      </c>
      <c r="AG498" t="s">
        <v>730</v>
      </c>
      <c r="AH498">
        <v>0</v>
      </c>
      <c r="AI498">
        <v>311</v>
      </c>
      <c r="AJ498">
        <v>29</v>
      </c>
      <c r="AK498">
        <v>49</v>
      </c>
      <c r="AL498">
        <v>1</v>
      </c>
    </row>
    <row r="499" spans="1:38" x14ac:dyDescent="0.3">
      <c r="A499" t="s">
        <v>715</v>
      </c>
      <c r="B499">
        <v>26459</v>
      </c>
      <c r="C499">
        <v>1</v>
      </c>
      <c r="D499" t="s">
        <v>731</v>
      </c>
      <c r="E499">
        <v>2010.06</v>
      </c>
      <c r="F499">
        <v>220</v>
      </c>
      <c r="G499">
        <v>47.73</v>
      </c>
      <c r="H499">
        <v>157.81</v>
      </c>
      <c r="I499">
        <v>39.51</v>
      </c>
      <c r="J499">
        <v>130.62</v>
      </c>
      <c r="K499">
        <v>92</v>
      </c>
      <c r="T499">
        <v>4</v>
      </c>
      <c r="U499">
        <v>2</v>
      </c>
      <c r="V499" t="s">
        <v>94</v>
      </c>
      <c r="W499">
        <v>157</v>
      </c>
      <c r="X499">
        <v>16</v>
      </c>
      <c r="Y499">
        <v>12</v>
      </c>
      <c r="Z499" t="s">
        <v>732</v>
      </c>
      <c r="AA499" t="s">
        <v>733</v>
      </c>
      <c r="AB499" t="s">
        <v>89</v>
      </c>
      <c r="AC499" t="s">
        <v>90</v>
      </c>
      <c r="AD499" t="s">
        <v>91</v>
      </c>
      <c r="AE499" t="s">
        <v>719</v>
      </c>
      <c r="AG499" t="s">
        <v>734</v>
      </c>
      <c r="AH499">
        <v>0</v>
      </c>
      <c r="AI499">
        <v>229</v>
      </c>
      <c r="AJ499">
        <v>22</v>
      </c>
      <c r="AK499">
        <v>486</v>
      </c>
      <c r="AL499">
        <v>2.21</v>
      </c>
    </row>
    <row r="500" spans="1:38" x14ac:dyDescent="0.3">
      <c r="A500" t="s">
        <v>715</v>
      </c>
      <c r="B500">
        <v>26459</v>
      </c>
      <c r="C500">
        <v>2</v>
      </c>
      <c r="D500" t="s">
        <v>731</v>
      </c>
      <c r="E500">
        <v>2010.06</v>
      </c>
      <c r="F500">
        <v>220</v>
      </c>
      <c r="G500">
        <v>56.41</v>
      </c>
      <c r="H500">
        <v>186.49</v>
      </c>
      <c r="I500">
        <v>46.13</v>
      </c>
      <c r="J500">
        <v>152.5</v>
      </c>
      <c r="K500">
        <v>13</v>
      </c>
      <c r="T500">
        <v>4</v>
      </c>
      <c r="U500">
        <v>2</v>
      </c>
      <c r="V500" t="s">
        <v>94</v>
      </c>
      <c r="W500">
        <v>186</v>
      </c>
      <c r="X500">
        <v>16</v>
      </c>
      <c r="Y500">
        <v>12</v>
      </c>
      <c r="Z500" t="s">
        <v>732</v>
      </c>
      <c r="AA500" t="s">
        <v>733</v>
      </c>
      <c r="AB500" t="s">
        <v>89</v>
      </c>
      <c r="AC500" t="s">
        <v>90</v>
      </c>
      <c r="AD500" t="s">
        <v>91</v>
      </c>
      <c r="AE500" t="s">
        <v>719</v>
      </c>
      <c r="AG500" t="s">
        <v>734</v>
      </c>
      <c r="AH500">
        <v>0</v>
      </c>
      <c r="AI500">
        <v>229</v>
      </c>
      <c r="AJ500">
        <v>22</v>
      </c>
      <c r="AK500">
        <v>486</v>
      </c>
      <c r="AL500">
        <v>2.21</v>
      </c>
    </row>
    <row r="501" spans="1:38" x14ac:dyDescent="0.3">
      <c r="A501" t="s">
        <v>715</v>
      </c>
      <c r="B501">
        <v>26459</v>
      </c>
      <c r="C501">
        <v>3</v>
      </c>
      <c r="D501" t="s">
        <v>731</v>
      </c>
      <c r="E501">
        <v>2010.06</v>
      </c>
      <c r="F501">
        <v>220</v>
      </c>
      <c r="G501">
        <v>56.62</v>
      </c>
      <c r="H501">
        <v>187.19</v>
      </c>
      <c r="I501">
        <v>47.77</v>
      </c>
      <c r="J501">
        <v>157.93</v>
      </c>
      <c r="K501">
        <v>100</v>
      </c>
      <c r="T501">
        <v>4</v>
      </c>
      <c r="U501">
        <v>2</v>
      </c>
      <c r="V501" t="s">
        <v>94</v>
      </c>
      <c r="W501" t="s">
        <v>735</v>
      </c>
      <c r="X501">
        <v>16</v>
      </c>
      <c r="Y501">
        <v>12</v>
      </c>
      <c r="Z501" t="s">
        <v>732</v>
      </c>
      <c r="AA501" t="s">
        <v>733</v>
      </c>
      <c r="AB501" t="s">
        <v>89</v>
      </c>
      <c r="AC501" t="s">
        <v>90</v>
      </c>
      <c r="AD501" t="s">
        <v>91</v>
      </c>
      <c r="AE501" t="s">
        <v>719</v>
      </c>
      <c r="AG501" t="s">
        <v>734</v>
      </c>
      <c r="AH501">
        <v>0</v>
      </c>
      <c r="AI501">
        <v>229</v>
      </c>
      <c r="AJ501">
        <v>22</v>
      </c>
      <c r="AK501">
        <v>486</v>
      </c>
      <c r="AL501">
        <v>2.21</v>
      </c>
    </row>
    <row r="502" spans="1:38" x14ac:dyDescent="0.3">
      <c r="A502" t="s">
        <v>715</v>
      </c>
      <c r="B502">
        <v>26459</v>
      </c>
      <c r="C502">
        <v>4</v>
      </c>
      <c r="D502" t="s">
        <v>731</v>
      </c>
      <c r="E502">
        <v>2010.06</v>
      </c>
      <c r="F502">
        <v>220</v>
      </c>
      <c r="G502">
        <v>56.7</v>
      </c>
      <c r="H502">
        <v>187.45</v>
      </c>
      <c r="I502">
        <v>45.93</v>
      </c>
      <c r="J502">
        <v>151.85</v>
      </c>
      <c r="K502">
        <v>15</v>
      </c>
      <c r="T502">
        <v>4</v>
      </c>
      <c r="U502">
        <v>2</v>
      </c>
      <c r="V502" t="s">
        <v>94</v>
      </c>
      <c r="W502" t="s">
        <v>736</v>
      </c>
      <c r="X502">
        <v>16</v>
      </c>
      <c r="Y502">
        <v>12</v>
      </c>
      <c r="Z502" t="s">
        <v>732</v>
      </c>
      <c r="AA502" t="s">
        <v>733</v>
      </c>
      <c r="AB502" t="s">
        <v>89</v>
      </c>
      <c r="AC502" t="s">
        <v>90</v>
      </c>
      <c r="AD502" t="s">
        <v>91</v>
      </c>
      <c r="AE502" t="s">
        <v>719</v>
      </c>
      <c r="AG502" t="s">
        <v>734</v>
      </c>
      <c r="AH502">
        <v>0</v>
      </c>
      <c r="AI502">
        <v>229</v>
      </c>
      <c r="AJ502">
        <v>22</v>
      </c>
      <c r="AK502">
        <v>486</v>
      </c>
      <c r="AL502">
        <v>2.21</v>
      </c>
    </row>
    <row r="503" spans="1:38" x14ac:dyDescent="0.3">
      <c r="A503" t="s">
        <v>715</v>
      </c>
      <c r="B503">
        <v>2595</v>
      </c>
      <c r="C503">
        <v>1</v>
      </c>
      <c r="D503" t="s">
        <v>737</v>
      </c>
      <c r="E503">
        <v>1992.1</v>
      </c>
      <c r="F503">
        <v>1743</v>
      </c>
      <c r="G503">
        <v>15.67</v>
      </c>
      <c r="H503">
        <v>51.81</v>
      </c>
      <c r="I503">
        <v>11.44</v>
      </c>
      <c r="J503">
        <v>37.85</v>
      </c>
      <c r="K503">
        <v>768</v>
      </c>
      <c r="T503">
        <v>2</v>
      </c>
      <c r="U503">
        <v>1</v>
      </c>
      <c r="V503" t="s">
        <v>128</v>
      </c>
      <c r="W503">
        <v>51</v>
      </c>
      <c r="X503">
        <v>15</v>
      </c>
      <c r="Y503">
        <v>13</v>
      </c>
      <c r="Z503" t="s">
        <v>738</v>
      </c>
      <c r="AA503" t="s">
        <v>739</v>
      </c>
      <c r="AB503" t="s">
        <v>89</v>
      </c>
      <c r="AC503" t="s">
        <v>90</v>
      </c>
      <c r="AD503" t="s">
        <v>91</v>
      </c>
      <c r="AE503" t="s">
        <v>719</v>
      </c>
      <c r="AG503" t="s">
        <v>740</v>
      </c>
      <c r="AH503">
        <v>0</v>
      </c>
      <c r="AI503">
        <v>212</v>
      </c>
      <c r="AJ503">
        <v>16</v>
      </c>
      <c r="AK503">
        <v>719</v>
      </c>
      <c r="AL503">
        <v>0.41</v>
      </c>
    </row>
    <row r="504" spans="1:38" x14ac:dyDescent="0.3">
      <c r="A504" t="s">
        <v>715</v>
      </c>
      <c r="B504">
        <v>2595</v>
      </c>
      <c r="C504">
        <v>2</v>
      </c>
      <c r="D504" t="s">
        <v>737</v>
      </c>
      <c r="E504">
        <v>1992.1</v>
      </c>
      <c r="F504">
        <v>1743</v>
      </c>
      <c r="G504">
        <v>20.63</v>
      </c>
      <c r="H504">
        <v>68.23</v>
      </c>
      <c r="I504">
        <v>15.12</v>
      </c>
      <c r="J504">
        <v>50</v>
      </c>
      <c r="K504">
        <v>525</v>
      </c>
      <c r="T504">
        <v>3</v>
      </c>
      <c r="U504">
        <v>1</v>
      </c>
      <c r="V504" t="s">
        <v>128</v>
      </c>
      <c r="W504">
        <v>68</v>
      </c>
      <c r="X504">
        <v>15</v>
      </c>
      <c r="Y504">
        <v>13</v>
      </c>
      <c r="Z504" t="s">
        <v>738</v>
      </c>
      <c r="AA504" t="s">
        <v>739</v>
      </c>
      <c r="AB504" t="s">
        <v>89</v>
      </c>
      <c r="AC504" t="s">
        <v>90</v>
      </c>
      <c r="AD504" t="s">
        <v>91</v>
      </c>
      <c r="AE504" t="s">
        <v>719</v>
      </c>
      <c r="AG504" t="s">
        <v>740</v>
      </c>
      <c r="AH504">
        <v>0</v>
      </c>
      <c r="AI504">
        <v>212</v>
      </c>
      <c r="AJ504">
        <v>16</v>
      </c>
      <c r="AK504">
        <v>719</v>
      </c>
      <c r="AL504">
        <v>0.41</v>
      </c>
    </row>
    <row r="505" spans="1:38" x14ac:dyDescent="0.3">
      <c r="A505" t="s">
        <v>715</v>
      </c>
      <c r="B505">
        <v>2595</v>
      </c>
      <c r="C505">
        <v>3</v>
      </c>
      <c r="D505" t="s">
        <v>737</v>
      </c>
      <c r="E505">
        <v>1992.1</v>
      </c>
      <c r="F505">
        <v>1743</v>
      </c>
      <c r="G505">
        <v>24.72</v>
      </c>
      <c r="H505">
        <v>81.73</v>
      </c>
      <c r="I505">
        <v>18.149999999999999</v>
      </c>
      <c r="J505">
        <v>60</v>
      </c>
      <c r="K505">
        <v>450</v>
      </c>
      <c r="T505">
        <v>3</v>
      </c>
      <c r="U505">
        <v>1</v>
      </c>
      <c r="V505" t="s">
        <v>128</v>
      </c>
      <c r="W505">
        <v>81</v>
      </c>
      <c r="X505">
        <v>15</v>
      </c>
      <c r="Y505">
        <v>13</v>
      </c>
      <c r="Z505" t="s">
        <v>738</v>
      </c>
      <c r="AA505" t="s">
        <v>739</v>
      </c>
      <c r="AB505" t="s">
        <v>89</v>
      </c>
      <c r="AC505" t="s">
        <v>90</v>
      </c>
      <c r="AD505" t="s">
        <v>91</v>
      </c>
      <c r="AE505" t="s">
        <v>719</v>
      </c>
      <c r="AG505" t="s">
        <v>740</v>
      </c>
      <c r="AH505">
        <v>0</v>
      </c>
      <c r="AI505">
        <v>212</v>
      </c>
      <c r="AJ505">
        <v>16</v>
      </c>
      <c r="AK505">
        <v>719</v>
      </c>
      <c r="AL505">
        <v>0.41</v>
      </c>
    </row>
    <row r="506" spans="1:38" x14ac:dyDescent="0.3">
      <c r="A506" t="s">
        <v>715</v>
      </c>
      <c r="B506">
        <v>1483</v>
      </c>
      <c r="C506">
        <v>1</v>
      </c>
      <c r="D506" t="s">
        <v>741</v>
      </c>
      <c r="E506">
        <v>1993.11</v>
      </c>
      <c r="F506">
        <v>1035</v>
      </c>
      <c r="G506">
        <v>24.65</v>
      </c>
      <c r="H506">
        <v>81.52</v>
      </c>
      <c r="I506">
        <v>18.07</v>
      </c>
      <c r="J506">
        <v>59.74</v>
      </c>
      <c r="K506">
        <v>344</v>
      </c>
      <c r="T506">
        <v>3</v>
      </c>
      <c r="U506">
        <v>1</v>
      </c>
      <c r="V506" t="s">
        <v>128</v>
      </c>
      <c r="W506">
        <v>81</v>
      </c>
      <c r="X506">
        <v>25</v>
      </c>
      <c r="Y506">
        <v>13</v>
      </c>
      <c r="Z506" t="s">
        <v>742</v>
      </c>
      <c r="AA506" t="s">
        <v>743</v>
      </c>
      <c r="AB506" t="s">
        <v>89</v>
      </c>
      <c r="AC506" t="s">
        <v>90</v>
      </c>
      <c r="AD506" t="s">
        <v>91</v>
      </c>
      <c r="AE506" t="s">
        <v>719</v>
      </c>
      <c r="AG506" t="s">
        <v>744</v>
      </c>
      <c r="AH506">
        <v>0</v>
      </c>
      <c r="AI506">
        <v>216</v>
      </c>
      <c r="AJ506">
        <v>15</v>
      </c>
      <c r="AK506">
        <v>801</v>
      </c>
      <c r="AL506">
        <v>0.77</v>
      </c>
    </row>
    <row r="507" spans="1:38" x14ac:dyDescent="0.3">
      <c r="A507" t="s">
        <v>715</v>
      </c>
      <c r="B507">
        <v>1483</v>
      </c>
      <c r="C507">
        <v>2</v>
      </c>
      <c r="D507" t="s">
        <v>741</v>
      </c>
      <c r="E507">
        <v>1993.11</v>
      </c>
      <c r="F507">
        <v>1035</v>
      </c>
      <c r="G507">
        <v>32.29</v>
      </c>
      <c r="H507">
        <v>106.77</v>
      </c>
      <c r="I507">
        <v>25.68</v>
      </c>
      <c r="J507">
        <v>84.92</v>
      </c>
      <c r="K507">
        <v>691</v>
      </c>
      <c r="T507">
        <v>3</v>
      </c>
      <c r="U507">
        <v>2</v>
      </c>
      <c r="V507" t="s">
        <v>94</v>
      </c>
      <c r="W507">
        <v>106</v>
      </c>
      <c r="X507">
        <v>25</v>
      </c>
      <c r="Y507">
        <v>13</v>
      </c>
      <c r="Z507" t="s">
        <v>742</v>
      </c>
      <c r="AA507" t="s">
        <v>743</v>
      </c>
      <c r="AB507" t="s">
        <v>89</v>
      </c>
      <c r="AC507" t="s">
        <v>90</v>
      </c>
      <c r="AD507" t="s">
        <v>91</v>
      </c>
      <c r="AE507" t="s">
        <v>719</v>
      </c>
      <c r="AG507" t="s">
        <v>744</v>
      </c>
      <c r="AH507">
        <v>0</v>
      </c>
      <c r="AI507">
        <v>216</v>
      </c>
      <c r="AJ507">
        <v>15</v>
      </c>
      <c r="AK507">
        <v>801</v>
      </c>
      <c r="AL507">
        <v>0.77</v>
      </c>
    </row>
    <row r="508" spans="1:38" x14ac:dyDescent="0.3">
      <c r="A508" t="s">
        <v>715</v>
      </c>
      <c r="B508">
        <v>1450</v>
      </c>
      <c r="C508">
        <v>1</v>
      </c>
      <c r="D508" t="s">
        <v>745</v>
      </c>
      <c r="E508">
        <v>1992.09</v>
      </c>
      <c r="F508">
        <v>548</v>
      </c>
      <c r="G508">
        <v>32.43</v>
      </c>
      <c r="H508">
        <v>107.21</v>
      </c>
      <c r="I508">
        <v>25.71</v>
      </c>
      <c r="J508">
        <v>85</v>
      </c>
      <c r="K508">
        <v>50</v>
      </c>
      <c r="T508">
        <v>3</v>
      </c>
      <c r="U508">
        <v>2</v>
      </c>
      <c r="V508" t="s">
        <v>94</v>
      </c>
      <c r="W508" t="s">
        <v>427</v>
      </c>
      <c r="X508">
        <v>25</v>
      </c>
      <c r="Y508">
        <v>15</v>
      </c>
      <c r="Z508" t="s">
        <v>746</v>
      </c>
      <c r="AA508" t="s">
        <v>747</v>
      </c>
      <c r="AB508" t="s">
        <v>89</v>
      </c>
      <c r="AC508" t="s">
        <v>90</v>
      </c>
      <c r="AD508" t="s">
        <v>91</v>
      </c>
      <c r="AE508" t="s">
        <v>719</v>
      </c>
      <c r="AG508" t="s">
        <v>748</v>
      </c>
      <c r="AH508">
        <v>0</v>
      </c>
      <c r="AI508">
        <v>230</v>
      </c>
      <c r="AJ508">
        <v>14</v>
      </c>
      <c r="AK508">
        <v>471</v>
      </c>
      <c r="AL508">
        <v>0.86</v>
      </c>
    </row>
    <row r="509" spans="1:38" x14ac:dyDescent="0.3">
      <c r="A509" t="s">
        <v>715</v>
      </c>
      <c r="B509">
        <v>1450</v>
      </c>
      <c r="C509">
        <v>2</v>
      </c>
      <c r="D509" t="s">
        <v>745</v>
      </c>
      <c r="E509">
        <v>1992.09</v>
      </c>
      <c r="F509">
        <v>548</v>
      </c>
      <c r="G509">
        <v>32.4</v>
      </c>
      <c r="H509">
        <v>107.12</v>
      </c>
      <c r="I509">
        <v>25.69</v>
      </c>
      <c r="J509">
        <v>84.93</v>
      </c>
      <c r="K509">
        <v>48</v>
      </c>
      <c r="T509">
        <v>3</v>
      </c>
      <c r="U509">
        <v>2</v>
      </c>
      <c r="V509" t="s">
        <v>94</v>
      </c>
      <c r="W509" t="s">
        <v>428</v>
      </c>
      <c r="X509">
        <v>25</v>
      </c>
      <c r="Y509">
        <v>15</v>
      </c>
      <c r="Z509" t="s">
        <v>746</v>
      </c>
      <c r="AA509" t="s">
        <v>747</v>
      </c>
      <c r="AB509" t="s">
        <v>89</v>
      </c>
      <c r="AC509" t="s">
        <v>90</v>
      </c>
      <c r="AD509" t="s">
        <v>91</v>
      </c>
      <c r="AE509" t="s">
        <v>719</v>
      </c>
      <c r="AG509" t="s">
        <v>748</v>
      </c>
      <c r="AH509">
        <v>0</v>
      </c>
      <c r="AI509">
        <v>230</v>
      </c>
      <c r="AJ509">
        <v>14</v>
      </c>
      <c r="AK509">
        <v>471</v>
      </c>
      <c r="AL509">
        <v>0.86</v>
      </c>
    </row>
    <row r="510" spans="1:38" x14ac:dyDescent="0.3">
      <c r="A510" t="s">
        <v>715</v>
      </c>
      <c r="B510">
        <v>1450</v>
      </c>
      <c r="C510">
        <v>3</v>
      </c>
      <c r="D510" t="s">
        <v>745</v>
      </c>
      <c r="E510">
        <v>1992.09</v>
      </c>
      <c r="F510">
        <v>548</v>
      </c>
      <c r="G510">
        <v>38.86</v>
      </c>
      <c r="H510">
        <v>128.49</v>
      </c>
      <c r="I510">
        <v>33.380000000000003</v>
      </c>
      <c r="J510">
        <v>110.35</v>
      </c>
      <c r="K510">
        <v>390</v>
      </c>
      <c r="T510">
        <v>4</v>
      </c>
      <c r="U510">
        <v>2</v>
      </c>
      <c r="V510" t="s">
        <v>94</v>
      </c>
      <c r="W510">
        <v>128</v>
      </c>
      <c r="X510">
        <v>25</v>
      </c>
      <c r="Y510">
        <v>15</v>
      </c>
      <c r="Z510" t="s">
        <v>746</v>
      </c>
      <c r="AA510" t="s">
        <v>747</v>
      </c>
      <c r="AB510" t="s">
        <v>89</v>
      </c>
      <c r="AC510" t="s">
        <v>90</v>
      </c>
      <c r="AD510" t="s">
        <v>91</v>
      </c>
      <c r="AE510" t="s">
        <v>719</v>
      </c>
      <c r="AG510" t="s">
        <v>748</v>
      </c>
      <c r="AH510">
        <v>0</v>
      </c>
      <c r="AI510">
        <v>230</v>
      </c>
      <c r="AJ510">
        <v>14</v>
      </c>
      <c r="AK510">
        <v>471</v>
      </c>
      <c r="AL510">
        <v>0.86</v>
      </c>
    </row>
    <row r="511" spans="1:38" x14ac:dyDescent="0.3">
      <c r="A511" t="s">
        <v>715</v>
      </c>
      <c r="B511">
        <v>1450</v>
      </c>
      <c r="C511">
        <v>4</v>
      </c>
      <c r="D511" t="s">
        <v>745</v>
      </c>
      <c r="E511">
        <v>1992.09</v>
      </c>
      <c r="F511">
        <v>548</v>
      </c>
      <c r="G511">
        <v>53.68</v>
      </c>
      <c r="H511">
        <v>177.47</v>
      </c>
      <c r="I511">
        <v>46.64</v>
      </c>
      <c r="J511">
        <v>154.19</v>
      </c>
      <c r="K511">
        <v>60</v>
      </c>
      <c r="T511">
        <v>5</v>
      </c>
      <c r="U511">
        <v>2</v>
      </c>
      <c r="V511" t="s">
        <v>94</v>
      </c>
      <c r="W511">
        <v>177</v>
      </c>
      <c r="X511">
        <v>25</v>
      </c>
      <c r="Y511">
        <v>15</v>
      </c>
      <c r="Z511" t="s">
        <v>746</v>
      </c>
      <c r="AA511" t="s">
        <v>747</v>
      </c>
      <c r="AB511" t="s">
        <v>89</v>
      </c>
      <c r="AC511" t="s">
        <v>90</v>
      </c>
      <c r="AD511" t="s">
        <v>91</v>
      </c>
      <c r="AE511" t="s">
        <v>719</v>
      </c>
      <c r="AG511" t="s">
        <v>748</v>
      </c>
      <c r="AH511">
        <v>0</v>
      </c>
      <c r="AI511">
        <v>230</v>
      </c>
      <c r="AJ511">
        <v>14</v>
      </c>
      <c r="AK511">
        <v>471</v>
      </c>
      <c r="AL511">
        <v>0.86</v>
      </c>
    </row>
    <row r="512" spans="1:38" x14ac:dyDescent="0.3">
      <c r="A512" t="s">
        <v>715</v>
      </c>
      <c r="B512">
        <v>1453</v>
      </c>
      <c r="C512">
        <v>1</v>
      </c>
      <c r="D512" t="s">
        <v>749</v>
      </c>
      <c r="E512">
        <v>1993.11</v>
      </c>
      <c r="F512">
        <v>386</v>
      </c>
      <c r="G512">
        <v>36.39</v>
      </c>
      <c r="H512">
        <v>120.31</v>
      </c>
      <c r="I512">
        <v>30.7</v>
      </c>
      <c r="J512">
        <v>101.52</v>
      </c>
      <c r="K512">
        <v>216</v>
      </c>
      <c r="T512">
        <v>4</v>
      </c>
      <c r="U512">
        <v>2</v>
      </c>
      <c r="V512" t="s">
        <v>94</v>
      </c>
      <c r="W512">
        <v>120</v>
      </c>
      <c r="X512">
        <v>25</v>
      </c>
      <c r="Y512">
        <v>10</v>
      </c>
      <c r="Z512" t="s">
        <v>750</v>
      </c>
      <c r="AA512" t="s">
        <v>751</v>
      </c>
      <c r="AB512" t="s">
        <v>89</v>
      </c>
      <c r="AC512" t="s">
        <v>90</v>
      </c>
      <c r="AD512" t="s">
        <v>91</v>
      </c>
      <c r="AE512" t="s">
        <v>719</v>
      </c>
      <c r="AG512" t="s">
        <v>752</v>
      </c>
      <c r="AH512">
        <v>0</v>
      </c>
      <c r="AI512">
        <v>207</v>
      </c>
      <c r="AJ512">
        <v>16</v>
      </c>
      <c r="AK512">
        <v>539</v>
      </c>
      <c r="AL512">
        <v>1.4</v>
      </c>
    </row>
    <row r="513" spans="1:38" x14ac:dyDescent="0.3">
      <c r="A513" t="s">
        <v>715</v>
      </c>
      <c r="B513">
        <v>1453</v>
      </c>
      <c r="C513">
        <v>2</v>
      </c>
      <c r="D513" t="s">
        <v>749</v>
      </c>
      <c r="E513">
        <v>1993.11</v>
      </c>
      <c r="F513">
        <v>386</v>
      </c>
      <c r="G513">
        <v>47.73</v>
      </c>
      <c r="H513">
        <v>157.79</v>
      </c>
      <c r="I513">
        <v>40.799999999999997</v>
      </c>
      <c r="J513">
        <v>134.88</v>
      </c>
      <c r="K513">
        <v>120</v>
      </c>
      <c r="T513">
        <v>4</v>
      </c>
      <c r="U513">
        <v>2</v>
      </c>
      <c r="V513" t="s">
        <v>94</v>
      </c>
      <c r="W513">
        <v>157</v>
      </c>
      <c r="X513">
        <v>25</v>
      </c>
      <c r="Y513">
        <v>10</v>
      </c>
      <c r="Z513" t="s">
        <v>750</v>
      </c>
      <c r="AA513" t="s">
        <v>751</v>
      </c>
      <c r="AB513" t="s">
        <v>89</v>
      </c>
      <c r="AC513" t="s">
        <v>90</v>
      </c>
      <c r="AD513" t="s">
        <v>91</v>
      </c>
      <c r="AE513" t="s">
        <v>719</v>
      </c>
      <c r="AG513" t="s">
        <v>752</v>
      </c>
      <c r="AH513">
        <v>0</v>
      </c>
      <c r="AI513">
        <v>207</v>
      </c>
      <c r="AJ513">
        <v>16</v>
      </c>
      <c r="AK513">
        <v>539</v>
      </c>
      <c r="AL513">
        <v>1.4</v>
      </c>
    </row>
    <row r="514" spans="1:38" x14ac:dyDescent="0.3">
      <c r="A514" t="s">
        <v>715</v>
      </c>
      <c r="B514">
        <v>1453</v>
      </c>
      <c r="C514">
        <v>3</v>
      </c>
      <c r="D514" t="s">
        <v>749</v>
      </c>
      <c r="E514">
        <v>1993.11</v>
      </c>
      <c r="F514">
        <v>386</v>
      </c>
      <c r="G514">
        <v>65.81</v>
      </c>
      <c r="H514">
        <v>217.56</v>
      </c>
      <c r="I514">
        <v>55.41</v>
      </c>
      <c r="J514">
        <v>183.2</v>
      </c>
      <c r="K514">
        <v>50</v>
      </c>
      <c r="T514">
        <v>5</v>
      </c>
      <c r="U514">
        <v>2</v>
      </c>
      <c r="V514" t="s">
        <v>94</v>
      </c>
      <c r="W514">
        <v>217</v>
      </c>
      <c r="X514">
        <v>25</v>
      </c>
      <c r="Y514">
        <v>10</v>
      </c>
      <c r="Z514" t="s">
        <v>750</v>
      </c>
      <c r="AA514" t="s">
        <v>751</v>
      </c>
      <c r="AB514" t="s">
        <v>89</v>
      </c>
      <c r="AC514" t="s">
        <v>90</v>
      </c>
      <c r="AD514" t="s">
        <v>91</v>
      </c>
      <c r="AE514" t="s">
        <v>719</v>
      </c>
      <c r="AG514" t="s">
        <v>752</v>
      </c>
      <c r="AH514">
        <v>0</v>
      </c>
      <c r="AI514">
        <v>207</v>
      </c>
      <c r="AJ514">
        <v>16</v>
      </c>
      <c r="AK514">
        <v>539</v>
      </c>
      <c r="AL514">
        <v>1.4</v>
      </c>
    </row>
    <row r="515" spans="1:38" x14ac:dyDescent="0.3">
      <c r="A515" t="s">
        <v>715</v>
      </c>
      <c r="B515">
        <v>8481</v>
      </c>
      <c r="C515">
        <v>1</v>
      </c>
      <c r="D515" t="s">
        <v>753</v>
      </c>
      <c r="E515">
        <v>1993.11</v>
      </c>
      <c r="F515">
        <v>870</v>
      </c>
      <c r="G515">
        <v>23.55</v>
      </c>
      <c r="H515">
        <v>77.86</v>
      </c>
      <c r="I515">
        <v>17.96</v>
      </c>
      <c r="J515">
        <v>59.4</v>
      </c>
      <c r="K515">
        <v>260</v>
      </c>
      <c r="T515">
        <v>3</v>
      </c>
      <c r="U515">
        <v>1</v>
      </c>
      <c r="V515" t="s">
        <v>128</v>
      </c>
      <c r="W515">
        <v>77</v>
      </c>
      <c r="X515">
        <v>23</v>
      </c>
      <c r="Y515">
        <v>13</v>
      </c>
      <c r="Z515" t="s">
        <v>754</v>
      </c>
      <c r="AA515" t="s">
        <v>755</v>
      </c>
      <c r="AB515" t="s">
        <v>89</v>
      </c>
      <c r="AC515" t="s">
        <v>90</v>
      </c>
      <c r="AD515" t="s">
        <v>91</v>
      </c>
      <c r="AE515" t="s">
        <v>719</v>
      </c>
      <c r="AG515" t="s">
        <v>756</v>
      </c>
      <c r="AH515">
        <v>0</v>
      </c>
      <c r="AI515">
        <v>208</v>
      </c>
      <c r="AJ515">
        <v>17</v>
      </c>
      <c r="AK515">
        <v>695</v>
      </c>
      <c r="AL515">
        <v>0.8</v>
      </c>
    </row>
    <row r="516" spans="1:38" x14ac:dyDescent="0.3">
      <c r="A516" t="s">
        <v>715</v>
      </c>
      <c r="B516">
        <v>8481</v>
      </c>
      <c r="C516">
        <v>2</v>
      </c>
      <c r="D516" t="s">
        <v>753</v>
      </c>
      <c r="E516">
        <v>1993.11</v>
      </c>
      <c r="F516">
        <v>870</v>
      </c>
      <c r="G516">
        <v>29.64</v>
      </c>
      <c r="H516">
        <v>97.99</v>
      </c>
      <c r="I516">
        <v>23.91</v>
      </c>
      <c r="J516">
        <v>79.05</v>
      </c>
      <c r="K516">
        <v>17</v>
      </c>
      <c r="T516">
        <v>3</v>
      </c>
      <c r="U516">
        <v>2</v>
      </c>
      <c r="V516" t="s">
        <v>94</v>
      </c>
      <c r="W516">
        <v>97</v>
      </c>
      <c r="X516">
        <v>23</v>
      </c>
      <c r="Y516">
        <v>13</v>
      </c>
      <c r="Z516" t="s">
        <v>754</v>
      </c>
      <c r="AA516" t="s">
        <v>755</v>
      </c>
      <c r="AB516" t="s">
        <v>89</v>
      </c>
      <c r="AC516" t="s">
        <v>90</v>
      </c>
      <c r="AD516" t="s">
        <v>91</v>
      </c>
      <c r="AE516" t="s">
        <v>719</v>
      </c>
      <c r="AG516" t="s">
        <v>756</v>
      </c>
      <c r="AH516">
        <v>0</v>
      </c>
      <c r="AI516">
        <v>208</v>
      </c>
      <c r="AJ516">
        <v>17</v>
      </c>
      <c r="AK516">
        <v>695</v>
      </c>
      <c r="AL516">
        <v>0.8</v>
      </c>
    </row>
    <row r="517" spans="1:38" x14ac:dyDescent="0.3">
      <c r="A517" t="s">
        <v>715</v>
      </c>
      <c r="B517">
        <v>8481</v>
      </c>
      <c r="C517">
        <v>3</v>
      </c>
      <c r="D517" t="s">
        <v>753</v>
      </c>
      <c r="E517">
        <v>1993.11</v>
      </c>
      <c r="F517">
        <v>870</v>
      </c>
      <c r="G517">
        <v>31.84</v>
      </c>
      <c r="H517">
        <v>105.27</v>
      </c>
      <c r="I517">
        <v>25.68</v>
      </c>
      <c r="J517">
        <v>84.9</v>
      </c>
      <c r="K517">
        <v>593</v>
      </c>
      <c r="T517">
        <v>3</v>
      </c>
      <c r="U517">
        <v>2</v>
      </c>
      <c r="V517" t="s">
        <v>94</v>
      </c>
      <c r="W517">
        <v>105</v>
      </c>
      <c r="X517">
        <v>23</v>
      </c>
      <c r="Y517">
        <v>13</v>
      </c>
      <c r="Z517" t="s">
        <v>754</v>
      </c>
      <c r="AA517" t="s">
        <v>755</v>
      </c>
      <c r="AB517" t="s">
        <v>89</v>
      </c>
      <c r="AC517" t="s">
        <v>90</v>
      </c>
      <c r="AD517" t="s">
        <v>91</v>
      </c>
      <c r="AE517" t="s">
        <v>719</v>
      </c>
      <c r="AG517" t="s">
        <v>756</v>
      </c>
      <c r="AH517">
        <v>0</v>
      </c>
      <c r="AI517">
        <v>208</v>
      </c>
      <c r="AJ517">
        <v>17</v>
      </c>
      <c r="AK517">
        <v>695</v>
      </c>
      <c r="AL517">
        <v>0.8</v>
      </c>
    </row>
    <row r="518" spans="1:38" x14ac:dyDescent="0.3">
      <c r="A518" t="s">
        <v>715</v>
      </c>
      <c r="B518">
        <v>1448</v>
      </c>
      <c r="C518">
        <v>1</v>
      </c>
      <c r="D518" t="s">
        <v>757</v>
      </c>
      <c r="E518">
        <v>1993.09</v>
      </c>
      <c r="F518">
        <v>250</v>
      </c>
      <c r="G518">
        <v>37.28</v>
      </c>
      <c r="H518">
        <v>123.24</v>
      </c>
      <c r="I518">
        <v>30.84</v>
      </c>
      <c r="J518">
        <v>101.97</v>
      </c>
      <c r="K518">
        <v>90</v>
      </c>
      <c r="T518">
        <v>4</v>
      </c>
      <c r="U518">
        <v>2</v>
      </c>
      <c r="V518" t="s">
        <v>94</v>
      </c>
      <c r="W518">
        <v>123</v>
      </c>
      <c r="X518">
        <v>26</v>
      </c>
      <c r="Y518">
        <v>11</v>
      </c>
      <c r="Z518" t="s">
        <v>758</v>
      </c>
      <c r="AA518" t="s">
        <v>759</v>
      </c>
      <c r="AB518" t="s">
        <v>89</v>
      </c>
      <c r="AC518" t="s">
        <v>90</v>
      </c>
      <c r="AD518" t="s">
        <v>91</v>
      </c>
      <c r="AE518" t="s">
        <v>719</v>
      </c>
      <c r="AG518" t="s">
        <v>760</v>
      </c>
      <c r="AH518">
        <v>0</v>
      </c>
      <c r="AI518">
        <v>219</v>
      </c>
      <c r="AJ518">
        <v>15</v>
      </c>
      <c r="AK518">
        <v>416</v>
      </c>
      <c r="AL518">
        <v>1.66</v>
      </c>
    </row>
    <row r="519" spans="1:38" x14ac:dyDescent="0.3">
      <c r="A519" t="s">
        <v>715</v>
      </c>
      <c r="B519">
        <v>1448</v>
      </c>
      <c r="C519">
        <v>2</v>
      </c>
      <c r="D519" t="s">
        <v>757</v>
      </c>
      <c r="E519">
        <v>1993.09</v>
      </c>
      <c r="F519">
        <v>250</v>
      </c>
      <c r="G519">
        <v>47.59</v>
      </c>
      <c r="H519">
        <v>157.34</v>
      </c>
      <c r="I519">
        <v>40.409999999999997</v>
      </c>
      <c r="J519">
        <v>133.59</v>
      </c>
      <c r="K519">
        <v>160</v>
      </c>
      <c r="T519">
        <v>4</v>
      </c>
      <c r="U519">
        <v>2</v>
      </c>
      <c r="V519" t="s">
        <v>94</v>
      </c>
      <c r="W519">
        <v>157</v>
      </c>
      <c r="X519">
        <v>26</v>
      </c>
      <c r="Y519">
        <v>11</v>
      </c>
      <c r="Z519" t="s">
        <v>758</v>
      </c>
      <c r="AA519" t="s">
        <v>759</v>
      </c>
      <c r="AB519" t="s">
        <v>89</v>
      </c>
      <c r="AC519" t="s">
        <v>90</v>
      </c>
      <c r="AD519" t="s">
        <v>91</v>
      </c>
      <c r="AE519" t="s">
        <v>719</v>
      </c>
      <c r="AG519" t="s">
        <v>760</v>
      </c>
      <c r="AH519">
        <v>0</v>
      </c>
      <c r="AI519">
        <v>219</v>
      </c>
      <c r="AJ519">
        <v>15</v>
      </c>
      <c r="AK519">
        <v>416</v>
      </c>
      <c r="AL519">
        <v>1.66</v>
      </c>
    </row>
    <row r="520" spans="1:38" x14ac:dyDescent="0.3">
      <c r="A520" t="s">
        <v>715</v>
      </c>
      <c r="B520">
        <v>1452</v>
      </c>
      <c r="C520">
        <v>1</v>
      </c>
      <c r="D520" t="s">
        <v>761</v>
      </c>
      <c r="E520">
        <v>1993.08</v>
      </c>
      <c r="F520">
        <v>566</v>
      </c>
      <c r="G520">
        <v>36</v>
      </c>
      <c r="H520">
        <v>119.01</v>
      </c>
      <c r="I520">
        <v>29.23</v>
      </c>
      <c r="J520">
        <v>96.66</v>
      </c>
      <c r="K520">
        <v>410</v>
      </c>
      <c r="T520">
        <v>3</v>
      </c>
      <c r="U520">
        <v>2</v>
      </c>
      <c r="V520" t="s">
        <v>94</v>
      </c>
      <c r="W520">
        <v>119</v>
      </c>
      <c r="X520">
        <v>24</v>
      </c>
      <c r="Y520">
        <v>10</v>
      </c>
      <c r="Z520" t="s">
        <v>762</v>
      </c>
      <c r="AA520" t="s">
        <v>763</v>
      </c>
      <c r="AB520" t="s">
        <v>89</v>
      </c>
      <c r="AC520" t="s">
        <v>90</v>
      </c>
      <c r="AD520" t="s">
        <v>91</v>
      </c>
      <c r="AE520" t="s">
        <v>719</v>
      </c>
      <c r="AG520" t="s">
        <v>764</v>
      </c>
      <c r="AH520">
        <v>0</v>
      </c>
      <c r="AI520">
        <v>206</v>
      </c>
      <c r="AJ520">
        <v>18</v>
      </c>
      <c r="AK520">
        <v>678</v>
      </c>
      <c r="AL520">
        <v>1.2</v>
      </c>
    </row>
    <row r="521" spans="1:38" x14ac:dyDescent="0.3">
      <c r="A521" t="s">
        <v>715</v>
      </c>
      <c r="B521">
        <v>1452</v>
      </c>
      <c r="C521">
        <v>2</v>
      </c>
      <c r="D521" t="s">
        <v>761</v>
      </c>
      <c r="E521">
        <v>1993.08</v>
      </c>
      <c r="F521">
        <v>566</v>
      </c>
      <c r="G521">
        <v>44</v>
      </c>
      <c r="H521">
        <v>145.46</v>
      </c>
      <c r="I521">
        <v>35.39</v>
      </c>
      <c r="J521">
        <v>117</v>
      </c>
      <c r="K521">
        <v>96</v>
      </c>
      <c r="T521">
        <v>4</v>
      </c>
      <c r="U521">
        <v>2</v>
      </c>
      <c r="V521" t="s">
        <v>94</v>
      </c>
      <c r="W521">
        <v>145</v>
      </c>
      <c r="X521">
        <v>24</v>
      </c>
      <c r="Y521">
        <v>10</v>
      </c>
      <c r="Z521" t="s">
        <v>762</v>
      </c>
      <c r="AA521" t="s">
        <v>763</v>
      </c>
      <c r="AB521" t="s">
        <v>89</v>
      </c>
      <c r="AC521" t="s">
        <v>90</v>
      </c>
      <c r="AD521" t="s">
        <v>91</v>
      </c>
      <c r="AE521" t="s">
        <v>719</v>
      </c>
      <c r="AG521" t="s">
        <v>764</v>
      </c>
      <c r="AH521">
        <v>0</v>
      </c>
      <c r="AI521">
        <v>206</v>
      </c>
      <c r="AJ521">
        <v>18</v>
      </c>
      <c r="AK521">
        <v>678</v>
      </c>
      <c r="AL521">
        <v>1.2</v>
      </c>
    </row>
    <row r="522" spans="1:38" x14ac:dyDescent="0.3">
      <c r="A522" t="s">
        <v>715</v>
      </c>
      <c r="B522">
        <v>1452</v>
      </c>
      <c r="C522">
        <v>3</v>
      </c>
      <c r="D522" t="s">
        <v>761</v>
      </c>
      <c r="E522">
        <v>1993.08</v>
      </c>
      <c r="F522">
        <v>566</v>
      </c>
      <c r="G522">
        <v>60.99</v>
      </c>
      <c r="H522">
        <v>201.65</v>
      </c>
      <c r="I522">
        <v>52.08</v>
      </c>
      <c r="J522">
        <v>172.17</v>
      </c>
      <c r="K522">
        <v>60</v>
      </c>
      <c r="T522">
        <v>6</v>
      </c>
      <c r="U522">
        <v>2</v>
      </c>
      <c r="V522" t="s">
        <v>94</v>
      </c>
      <c r="W522">
        <v>201</v>
      </c>
      <c r="X522">
        <v>24</v>
      </c>
      <c r="Y522">
        <v>10</v>
      </c>
      <c r="Z522" t="s">
        <v>762</v>
      </c>
      <c r="AA522" t="s">
        <v>763</v>
      </c>
      <c r="AB522" t="s">
        <v>89</v>
      </c>
      <c r="AC522" t="s">
        <v>90</v>
      </c>
      <c r="AD522" t="s">
        <v>91</v>
      </c>
      <c r="AE522" t="s">
        <v>719</v>
      </c>
      <c r="AG522" t="s">
        <v>764</v>
      </c>
      <c r="AH522">
        <v>0</v>
      </c>
      <c r="AI522">
        <v>206</v>
      </c>
      <c r="AJ522">
        <v>18</v>
      </c>
      <c r="AK522">
        <v>678</v>
      </c>
      <c r="AL522">
        <v>1.2</v>
      </c>
    </row>
    <row r="523" spans="1:38" x14ac:dyDescent="0.3">
      <c r="A523" t="s">
        <v>715</v>
      </c>
      <c r="B523">
        <v>1451</v>
      </c>
      <c r="C523">
        <v>1</v>
      </c>
      <c r="D523" t="s">
        <v>765</v>
      </c>
      <c r="E523">
        <v>1993.11</v>
      </c>
      <c r="F523">
        <v>422</v>
      </c>
      <c r="G523">
        <v>36.69</v>
      </c>
      <c r="H523">
        <v>121.32</v>
      </c>
      <c r="I523">
        <v>30.6</v>
      </c>
      <c r="J523">
        <v>101.16</v>
      </c>
      <c r="K523">
        <v>132</v>
      </c>
      <c r="T523">
        <v>3</v>
      </c>
      <c r="U523">
        <v>2</v>
      </c>
      <c r="V523" t="s">
        <v>94</v>
      </c>
      <c r="W523">
        <v>121</v>
      </c>
      <c r="X523">
        <v>25</v>
      </c>
      <c r="Y523">
        <v>12</v>
      </c>
      <c r="Z523" t="s">
        <v>766</v>
      </c>
      <c r="AA523" t="s">
        <v>767</v>
      </c>
      <c r="AB523" t="s">
        <v>89</v>
      </c>
      <c r="AC523" t="s">
        <v>90</v>
      </c>
      <c r="AD523" t="s">
        <v>91</v>
      </c>
      <c r="AE523" t="s">
        <v>719</v>
      </c>
      <c r="AG523" t="s">
        <v>768</v>
      </c>
      <c r="AH523">
        <v>0</v>
      </c>
      <c r="AI523">
        <v>206</v>
      </c>
      <c r="AJ523">
        <v>16</v>
      </c>
      <c r="AK523">
        <v>606</v>
      </c>
      <c r="AL523">
        <v>1.44</v>
      </c>
    </row>
    <row r="524" spans="1:38" x14ac:dyDescent="0.3">
      <c r="A524" t="s">
        <v>715</v>
      </c>
      <c r="B524">
        <v>1451</v>
      </c>
      <c r="C524">
        <v>2</v>
      </c>
      <c r="D524" t="s">
        <v>765</v>
      </c>
      <c r="E524">
        <v>1993.11</v>
      </c>
      <c r="F524">
        <v>422</v>
      </c>
      <c r="G524">
        <v>46.92</v>
      </c>
      <c r="H524">
        <v>155.12</v>
      </c>
      <c r="I524">
        <v>40.130000000000003</v>
      </c>
      <c r="J524">
        <v>132.69</v>
      </c>
      <c r="K524">
        <v>204</v>
      </c>
      <c r="T524">
        <v>4</v>
      </c>
      <c r="U524">
        <v>2</v>
      </c>
      <c r="V524" t="s">
        <v>94</v>
      </c>
      <c r="W524">
        <v>155</v>
      </c>
      <c r="X524">
        <v>25</v>
      </c>
      <c r="Y524">
        <v>12</v>
      </c>
      <c r="Z524" t="s">
        <v>766</v>
      </c>
      <c r="AA524" t="s">
        <v>767</v>
      </c>
      <c r="AB524" t="s">
        <v>89</v>
      </c>
      <c r="AC524" t="s">
        <v>90</v>
      </c>
      <c r="AD524" t="s">
        <v>91</v>
      </c>
      <c r="AE524" t="s">
        <v>719</v>
      </c>
      <c r="AG524" t="s">
        <v>768</v>
      </c>
      <c r="AH524">
        <v>0</v>
      </c>
      <c r="AI524">
        <v>206</v>
      </c>
      <c r="AJ524">
        <v>16</v>
      </c>
      <c r="AK524">
        <v>606</v>
      </c>
      <c r="AL524">
        <v>1.44</v>
      </c>
    </row>
    <row r="525" spans="1:38" x14ac:dyDescent="0.3">
      <c r="A525" t="s">
        <v>715</v>
      </c>
      <c r="B525">
        <v>1451</v>
      </c>
      <c r="C525">
        <v>3</v>
      </c>
      <c r="D525" t="s">
        <v>765</v>
      </c>
      <c r="E525">
        <v>1993.11</v>
      </c>
      <c r="F525">
        <v>422</v>
      </c>
      <c r="G525">
        <v>55.72</v>
      </c>
      <c r="H525">
        <v>184.2</v>
      </c>
      <c r="I525">
        <v>47.86</v>
      </c>
      <c r="J525">
        <v>158.22</v>
      </c>
      <c r="K525">
        <v>86</v>
      </c>
      <c r="T525">
        <v>4</v>
      </c>
      <c r="U525">
        <v>2</v>
      </c>
      <c r="V525" t="s">
        <v>94</v>
      </c>
      <c r="W525">
        <v>184</v>
      </c>
      <c r="X525">
        <v>25</v>
      </c>
      <c r="Y525">
        <v>12</v>
      </c>
      <c r="Z525" t="s">
        <v>766</v>
      </c>
      <c r="AA525" t="s">
        <v>767</v>
      </c>
      <c r="AB525" t="s">
        <v>89</v>
      </c>
      <c r="AC525" t="s">
        <v>90</v>
      </c>
      <c r="AD525" t="s">
        <v>91</v>
      </c>
      <c r="AE525" t="s">
        <v>719</v>
      </c>
      <c r="AG525" t="s">
        <v>768</v>
      </c>
      <c r="AH525">
        <v>0</v>
      </c>
      <c r="AI525">
        <v>206</v>
      </c>
      <c r="AJ525">
        <v>16</v>
      </c>
      <c r="AK525">
        <v>606</v>
      </c>
      <c r="AL525">
        <v>1.44</v>
      </c>
    </row>
    <row r="526" spans="1:38" x14ac:dyDescent="0.3">
      <c r="A526" t="s">
        <v>715</v>
      </c>
      <c r="B526">
        <v>1446</v>
      </c>
      <c r="C526">
        <v>1</v>
      </c>
      <c r="D526" t="s">
        <v>769</v>
      </c>
      <c r="E526">
        <v>1994.04</v>
      </c>
      <c r="F526">
        <v>386</v>
      </c>
      <c r="G526">
        <v>37.28</v>
      </c>
      <c r="H526">
        <v>123.27</v>
      </c>
      <c r="I526">
        <v>30.85</v>
      </c>
      <c r="J526">
        <v>102</v>
      </c>
      <c r="K526">
        <v>264</v>
      </c>
      <c r="T526">
        <v>4</v>
      </c>
      <c r="U526">
        <v>2</v>
      </c>
      <c r="V526" t="s">
        <v>94</v>
      </c>
      <c r="W526">
        <v>123</v>
      </c>
      <c r="X526">
        <v>24</v>
      </c>
      <c r="Y526">
        <v>15</v>
      </c>
      <c r="Z526" t="s">
        <v>770</v>
      </c>
      <c r="AA526" t="s">
        <v>771</v>
      </c>
      <c r="AB526" t="s">
        <v>89</v>
      </c>
      <c r="AC526" t="s">
        <v>90</v>
      </c>
      <c r="AD526" t="s">
        <v>91</v>
      </c>
      <c r="AE526" t="s">
        <v>719</v>
      </c>
      <c r="AG526" t="s">
        <v>772</v>
      </c>
      <c r="AH526">
        <v>0</v>
      </c>
      <c r="AI526">
        <v>205</v>
      </c>
      <c r="AJ526">
        <v>15</v>
      </c>
      <c r="AK526">
        <v>1050</v>
      </c>
      <c r="AL526">
        <v>2.72</v>
      </c>
    </row>
    <row r="527" spans="1:38" x14ac:dyDescent="0.3">
      <c r="A527" t="s">
        <v>715</v>
      </c>
      <c r="B527">
        <v>1446</v>
      </c>
      <c r="C527">
        <v>2</v>
      </c>
      <c r="D527" t="s">
        <v>769</v>
      </c>
      <c r="E527">
        <v>1994.04</v>
      </c>
      <c r="F527">
        <v>386</v>
      </c>
      <c r="G527">
        <v>47.63</v>
      </c>
      <c r="H527">
        <v>157.47</v>
      </c>
      <c r="I527">
        <v>40.51</v>
      </c>
      <c r="J527">
        <v>133.91999999999999</v>
      </c>
      <c r="K527">
        <v>74</v>
      </c>
      <c r="T527">
        <v>4</v>
      </c>
      <c r="U527">
        <v>2</v>
      </c>
      <c r="V527" t="s">
        <v>94</v>
      </c>
      <c r="W527">
        <v>157</v>
      </c>
      <c r="X527">
        <v>24</v>
      </c>
      <c r="Y527">
        <v>15</v>
      </c>
      <c r="Z527" t="s">
        <v>770</v>
      </c>
      <c r="AA527" t="s">
        <v>771</v>
      </c>
      <c r="AB527" t="s">
        <v>89</v>
      </c>
      <c r="AC527" t="s">
        <v>90</v>
      </c>
      <c r="AD527" t="s">
        <v>91</v>
      </c>
      <c r="AE527" t="s">
        <v>719</v>
      </c>
      <c r="AG527" t="s">
        <v>772</v>
      </c>
      <c r="AH527">
        <v>0</v>
      </c>
      <c r="AI527">
        <v>205</v>
      </c>
      <c r="AJ527">
        <v>15</v>
      </c>
      <c r="AK527">
        <v>1050</v>
      </c>
      <c r="AL527">
        <v>2.72</v>
      </c>
    </row>
    <row r="528" spans="1:38" x14ac:dyDescent="0.3">
      <c r="A528" t="s">
        <v>715</v>
      </c>
      <c r="B528">
        <v>1446</v>
      </c>
      <c r="C528">
        <v>3</v>
      </c>
      <c r="D528" t="s">
        <v>769</v>
      </c>
      <c r="E528">
        <v>1994.04</v>
      </c>
      <c r="F528">
        <v>386</v>
      </c>
      <c r="G528">
        <v>50.71</v>
      </c>
      <c r="H528">
        <v>167.64</v>
      </c>
      <c r="I528">
        <v>43.94</v>
      </c>
      <c r="J528">
        <v>145.26</v>
      </c>
      <c r="K528">
        <v>48</v>
      </c>
      <c r="T528">
        <v>5</v>
      </c>
      <c r="U528">
        <v>2</v>
      </c>
      <c r="V528" t="s">
        <v>94</v>
      </c>
      <c r="W528">
        <v>167</v>
      </c>
      <c r="X528">
        <v>24</v>
      </c>
      <c r="Y528">
        <v>15</v>
      </c>
      <c r="Z528" t="s">
        <v>770</v>
      </c>
      <c r="AA528" t="s">
        <v>771</v>
      </c>
      <c r="AB528" t="s">
        <v>89</v>
      </c>
      <c r="AC528" t="s">
        <v>90</v>
      </c>
      <c r="AD528" t="s">
        <v>91</v>
      </c>
      <c r="AE528" t="s">
        <v>719</v>
      </c>
      <c r="AG528" t="s">
        <v>772</v>
      </c>
      <c r="AH528">
        <v>0</v>
      </c>
      <c r="AI528">
        <v>205</v>
      </c>
      <c r="AJ528">
        <v>15</v>
      </c>
      <c r="AK528">
        <v>1050</v>
      </c>
      <c r="AL528">
        <v>2.72</v>
      </c>
    </row>
    <row r="529" spans="1:38" x14ac:dyDescent="0.3">
      <c r="A529" t="s">
        <v>715</v>
      </c>
      <c r="B529">
        <v>1449</v>
      </c>
      <c r="C529">
        <v>1</v>
      </c>
      <c r="D529" t="s">
        <v>773</v>
      </c>
      <c r="E529">
        <v>1994.04</v>
      </c>
      <c r="F529">
        <v>372</v>
      </c>
      <c r="G529">
        <v>38.32</v>
      </c>
      <c r="H529">
        <v>126.71</v>
      </c>
      <c r="I529">
        <v>30.85</v>
      </c>
      <c r="J529">
        <v>101.99</v>
      </c>
      <c r="K529">
        <v>170</v>
      </c>
      <c r="T529">
        <v>4</v>
      </c>
      <c r="U529">
        <v>2</v>
      </c>
      <c r="V529" t="s">
        <v>94</v>
      </c>
      <c r="W529">
        <v>126</v>
      </c>
      <c r="X529">
        <v>25</v>
      </c>
      <c r="Y529">
        <v>15</v>
      </c>
      <c r="Z529" t="s">
        <v>774</v>
      </c>
      <c r="AA529" t="s">
        <v>771</v>
      </c>
      <c r="AB529" t="s">
        <v>89</v>
      </c>
      <c r="AC529" t="s">
        <v>90</v>
      </c>
      <c r="AD529" t="s">
        <v>91</v>
      </c>
      <c r="AE529" t="s">
        <v>719</v>
      </c>
      <c r="AG529" t="s">
        <v>772</v>
      </c>
      <c r="AH529">
        <v>0</v>
      </c>
      <c r="AI529">
        <v>205</v>
      </c>
      <c r="AJ529">
        <v>0</v>
      </c>
      <c r="AK529">
        <v>525</v>
      </c>
      <c r="AL529">
        <v>1.41</v>
      </c>
    </row>
    <row r="530" spans="1:38" x14ac:dyDescent="0.3">
      <c r="A530" t="s">
        <v>715</v>
      </c>
      <c r="B530">
        <v>1449</v>
      </c>
      <c r="C530">
        <v>2</v>
      </c>
      <c r="D530" t="s">
        <v>773</v>
      </c>
      <c r="E530">
        <v>1994.04</v>
      </c>
      <c r="F530">
        <v>372</v>
      </c>
      <c r="G530">
        <v>47.74</v>
      </c>
      <c r="H530">
        <v>157.84</v>
      </c>
      <c r="I530">
        <v>39.340000000000003</v>
      </c>
      <c r="J530">
        <v>130.08000000000001</v>
      </c>
      <c r="K530">
        <v>202</v>
      </c>
      <c r="T530">
        <v>4</v>
      </c>
      <c r="U530">
        <v>2</v>
      </c>
      <c r="V530" t="s">
        <v>94</v>
      </c>
      <c r="W530">
        <v>157</v>
      </c>
      <c r="X530">
        <v>25</v>
      </c>
      <c r="Y530">
        <v>15</v>
      </c>
      <c r="Z530" t="s">
        <v>774</v>
      </c>
      <c r="AA530" t="s">
        <v>771</v>
      </c>
      <c r="AB530" t="s">
        <v>89</v>
      </c>
      <c r="AC530" t="s">
        <v>90</v>
      </c>
      <c r="AD530" t="s">
        <v>91</v>
      </c>
      <c r="AE530" t="s">
        <v>719</v>
      </c>
      <c r="AG530" t="s">
        <v>772</v>
      </c>
      <c r="AH530">
        <v>0</v>
      </c>
      <c r="AI530">
        <v>205</v>
      </c>
      <c r="AJ530">
        <v>0</v>
      </c>
      <c r="AK530">
        <v>525</v>
      </c>
      <c r="AL530">
        <v>1.41</v>
      </c>
    </row>
    <row r="531" spans="1:38" x14ac:dyDescent="0.3">
      <c r="A531" t="s">
        <v>715</v>
      </c>
      <c r="B531">
        <v>8197</v>
      </c>
      <c r="C531">
        <v>1</v>
      </c>
      <c r="D531" t="s">
        <v>300</v>
      </c>
      <c r="E531">
        <v>1985.07</v>
      </c>
      <c r="F531">
        <v>120</v>
      </c>
      <c r="G531">
        <v>17.309999999999999</v>
      </c>
      <c r="H531">
        <v>57.24</v>
      </c>
      <c r="I531">
        <v>12.9</v>
      </c>
      <c r="J531">
        <v>42.66</v>
      </c>
      <c r="K531">
        <v>50</v>
      </c>
      <c r="T531">
        <v>2</v>
      </c>
      <c r="U531">
        <v>1</v>
      </c>
      <c r="V531" t="s">
        <v>94</v>
      </c>
      <c r="W531">
        <v>57</v>
      </c>
      <c r="X531">
        <v>5</v>
      </c>
      <c r="Y531">
        <v>5</v>
      </c>
      <c r="Z531" t="s">
        <v>775</v>
      </c>
      <c r="AA531" t="s">
        <v>776</v>
      </c>
      <c r="AB531" t="s">
        <v>89</v>
      </c>
      <c r="AC531" t="s">
        <v>90</v>
      </c>
      <c r="AD531" t="s">
        <v>91</v>
      </c>
      <c r="AE531" t="s">
        <v>719</v>
      </c>
      <c r="AG531" t="s">
        <v>777</v>
      </c>
      <c r="AH531">
        <v>0</v>
      </c>
      <c r="AI531">
        <v>161</v>
      </c>
      <c r="AJ531">
        <v>33</v>
      </c>
      <c r="AK531">
        <v>0</v>
      </c>
      <c r="AL531">
        <v>0</v>
      </c>
    </row>
    <row r="532" spans="1:38" x14ac:dyDescent="0.3">
      <c r="A532" t="s">
        <v>715</v>
      </c>
      <c r="B532">
        <v>8197</v>
      </c>
      <c r="C532">
        <v>2</v>
      </c>
      <c r="D532" t="s">
        <v>300</v>
      </c>
      <c r="E532">
        <v>1985.07</v>
      </c>
      <c r="F532">
        <v>120</v>
      </c>
      <c r="G532">
        <v>21.8</v>
      </c>
      <c r="H532">
        <v>72.09</v>
      </c>
      <c r="I532">
        <v>16.68</v>
      </c>
      <c r="J532">
        <v>55.17</v>
      </c>
      <c r="K532">
        <v>40</v>
      </c>
      <c r="T532">
        <v>2</v>
      </c>
      <c r="U532">
        <v>1</v>
      </c>
      <c r="V532" t="s">
        <v>94</v>
      </c>
      <c r="W532">
        <v>72</v>
      </c>
      <c r="X532">
        <v>5</v>
      </c>
      <c r="Y532">
        <v>5</v>
      </c>
      <c r="Z532" t="s">
        <v>775</v>
      </c>
      <c r="AA532" t="s">
        <v>776</v>
      </c>
      <c r="AB532" t="s">
        <v>89</v>
      </c>
      <c r="AC532" t="s">
        <v>90</v>
      </c>
      <c r="AD532" t="s">
        <v>91</v>
      </c>
      <c r="AE532" t="s">
        <v>719</v>
      </c>
      <c r="AG532" t="s">
        <v>777</v>
      </c>
      <c r="AH532">
        <v>0</v>
      </c>
      <c r="AI532">
        <v>161</v>
      </c>
      <c r="AJ532">
        <v>33</v>
      </c>
      <c r="AK532">
        <v>0</v>
      </c>
      <c r="AL532">
        <v>0</v>
      </c>
    </row>
    <row r="533" spans="1:38" x14ac:dyDescent="0.3">
      <c r="A533" t="s">
        <v>715</v>
      </c>
      <c r="B533">
        <v>8197</v>
      </c>
      <c r="C533">
        <v>3</v>
      </c>
      <c r="D533" t="s">
        <v>300</v>
      </c>
      <c r="E533">
        <v>1985.07</v>
      </c>
      <c r="F533">
        <v>120</v>
      </c>
      <c r="G533">
        <v>25.72</v>
      </c>
      <c r="H533">
        <v>85.05</v>
      </c>
      <c r="I533">
        <v>19.95</v>
      </c>
      <c r="J533">
        <v>65.97</v>
      </c>
      <c r="K533">
        <v>30</v>
      </c>
      <c r="T533">
        <v>3</v>
      </c>
      <c r="U533">
        <v>1</v>
      </c>
      <c r="V533" t="s">
        <v>94</v>
      </c>
      <c r="W533">
        <v>85</v>
      </c>
      <c r="X533">
        <v>5</v>
      </c>
      <c r="Y533">
        <v>5</v>
      </c>
      <c r="Z533" t="s">
        <v>775</v>
      </c>
      <c r="AA533" t="s">
        <v>776</v>
      </c>
      <c r="AB533" t="s">
        <v>89</v>
      </c>
      <c r="AC533" t="s">
        <v>90</v>
      </c>
      <c r="AD533" t="s">
        <v>91</v>
      </c>
      <c r="AE533" t="s">
        <v>719</v>
      </c>
      <c r="AG533" t="s">
        <v>777</v>
      </c>
      <c r="AH533">
        <v>0</v>
      </c>
      <c r="AI533">
        <v>161</v>
      </c>
      <c r="AJ533">
        <v>33</v>
      </c>
      <c r="AK533">
        <v>0</v>
      </c>
      <c r="AL533">
        <v>0</v>
      </c>
    </row>
    <row r="534" spans="1:38" x14ac:dyDescent="0.3">
      <c r="A534" t="s">
        <v>715</v>
      </c>
      <c r="B534">
        <v>27012</v>
      </c>
      <c r="C534">
        <v>1</v>
      </c>
      <c r="D534" t="s">
        <v>778</v>
      </c>
      <c r="E534">
        <v>2008.1</v>
      </c>
      <c r="F534">
        <v>41</v>
      </c>
      <c r="G534">
        <v>19.989999999999998</v>
      </c>
      <c r="H534">
        <v>66.099999999999994</v>
      </c>
      <c r="I534">
        <v>15.87</v>
      </c>
      <c r="J534">
        <v>52.49</v>
      </c>
      <c r="K534">
        <v>12</v>
      </c>
      <c r="T534">
        <v>2</v>
      </c>
      <c r="U534">
        <v>1</v>
      </c>
      <c r="V534" t="s">
        <v>94</v>
      </c>
      <c r="W534">
        <v>66</v>
      </c>
      <c r="X534">
        <v>8</v>
      </c>
      <c r="Y534">
        <v>6</v>
      </c>
      <c r="Z534" t="s">
        <v>779</v>
      </c>
      <c r="AA534" t="s">
        <v>780</v>
      </c>
      <c r="AB534" t="s">
        <v>89</v>
      </c>
      <c r="AC534" t="s">
        <v>90</v>
      </c>
      <c r="AD534" t="s">
        <v>91</v>
      </c>
      <c r="AE534" t="s">
        <v>719</v>
      </c>
      <c r="AG534" t="s">
        <v>781</v>
      </c>
      <c r="AH534">
        <v>0</v>
      </c>
      <c r="AI534">
        <v>226</v>
      </c>
      <c r="AJ534">
        <v>55</v>
      </c>
      <c r="AK534">
        <v>45</v>
      </c>
      <c r="AL534">
        <v>1.1000000000000001</v>
      </c>
    </row>
    <row r="535" spans="1:38" x14ac:dyDescent="0.3">
      <c r="A535" t="s">
        <v>715</v>
      </c>
      <c r="B535">
        <v>27012</v>
      </c>
      <c r="C535">
        <v>2</v>
      </c>
      <c r="D535" t="s">
        <v>778</v>
      </c>
      <c r="E535">
        <v>2008.1</v>
      </c>
      <c r="F535">
        <v>41</v>
      </c>
      <c r="G535">
        <v>23.34</v>
      </c>
      <c r="H535">
        <v>77.19</v>
      </c>
      <c r="I535">
        <v>18.54</v>
      </c>
      <c r="J535">
        <v>61.32</v>
      </c>
      <c r="K535">
        <v>4</v>
      </c>
      <c r="T535">
        <v>3</v>
      </c>
      <c r="U535">
        <v>1</v>
      </c>
      <c r="V535" t="s">
        <v>94</v>
      </c>
      <c r="W535">
        <v>77</v>
      </c>
      <c r="X535">
        <v>8</v>
      </c>
      <c r="Y535">
        <v>6</v>
      </c>
      <c r="Z535" t="s">
        <v>779</v>
      </c>
      <c r="AA535" t="s">
        <v>780</v>
      </c>
      <c r="AB535" t="s">
        <v>89</v>
      </c>
      <c r="AC535" t="s">
        <v>90</v>
      </c>
      <c r="AD535" t="s">
        <v>91</v>
      </c>
      <c r="AE535" t="s">
        <v>719</v>
      </c>
      <c r="AG535" t="s">
        <v>781</v>
      </c>
      <c r="AH535">
        <v>0</v>
      </c>
      <c r="AI535">
        <v>226</v>
      </c>
      <c r="AJ535">
        <v>55</v>
      </c>
      <c r="AK535">
        <v>45</v>
      </c>
      <c r="AL535">
        <v>1.1000000000000001</v>
      </c>
    </row>
    <row r="536" spans="1:38" x14ac:dyDescent="0.3">
      <c r="A536" t="s">
        <v>715</v>
      </c>
      <c r="B536">
        <v>27012</v>
      </c>
      <c r="C536">
        <v>3</v>
      </c>
      <c r="D536" t="s">
        <v>778</v>
      </c>
      <c r="E536">
        <v>2008.1</v>
      </c>
      <c r="F536">
        <v>41</v>
      </c>
      <c r="G536">
        <v>24.94</v>
      </c>
      <c r="H536">
        <v>82.47</v>
      </c>
      <c r="I536">
        <v>19.82</v>
      </c>
      <c r="J536">
        <v>65.540000000000006</v>
      </c>
      <c r="K536">
        <v>18</v>
      </c>
      <c r="T536">
        <v>3</v>
      </c>
      <c r="U536">
        <v>2</v>
      </c>
      <c r="V536" t="s">
        <v>94</v>
      </c>
      <c r="W536">
        <v>82</v>
      </c>
      <c r="X536">
        <v>8</v>
      </c>
      <c r="Y536">
        <v>6</v>
      </c>
      <c r="Z536" t="s">
        <v>779</v>
      </c>
      <c r="AA536" t="s">
        <v>780</v>
      </c>
      <c r="AB536" t="s">
        <v>89</v>
      </c>
      <c r="AC536" t="s">
        <v>90</v>
      </c>
      <c r="AD536" t="s">
        <v>91</v>
      </c>
      <c r="AE536" t="s">
        <v>719</v>
      </c>
      <c r="AG536" t="s">
        <v>781</v>
      </c>
      <c r="AH536">
        <v>0</v>
      </c>
      <c r="AI536">
        <v>226</v>
      </c>
      <c r="AJ536">
        <v>55</v>
      </c>
      <c r="AK536">
        <v>45</v>
      </c>
      <c r="AL536">
        <v>1.1000000000000001</v>
      </c>
    </row>
    <row r="537" spans="1:38" x14ac:dyDescent="0.3">
      <c r="A537" t="s">
        <v>715</v>
      </c>
      <c r="B537">
        <v>27012</v>
      </c>
      <c r="C537">
        <v>4</v>
      </c>
      <c r="D537" t="s">
        <v>778</v>
      </c>
      <c r="E537">
        <v>2008.1</v>
      </c>
      <c r="F537">
        <v>41</v>
      </c>
      <c r="G537">
        <v>43.47</v>
      </c>
      <c r="H537">
        <v>143.71</v>
      </c>
      <c r="I537">
        <v>35.049999999999997</v>
      </c>
      <c r="J537">
        <v>115.88</v>
      </c>
      <c r="K537">
        <v>7</v>
      </c>
      <c r="T537">
        <v>5</v>
      </c>
      <c r="U537">
        <v>2</v>
      </c>
      <c r="V537" t="s">
        <v>94</v>
      </c>
      <c r="W537">
        <v>143</v>
      </c>
      <c r="X537">
        <v>8</v>
      </c>
      <c r="Y537">
        <v>6</v>
      </c>
      <c r="Z537" t="s">
        <v>779</v>
      </c>
      <c r="AA537" t="s">
        <v>780</v>
      </c>
      <c r="AB537" t="s">
        <v>89</v>
      </c>
      <c r="AC537" t="s">
        <v>90</v>
      </c>
      <c r="AD537" t="s">
        <v>91</v>
      </c>
      <c r="AE537" t="s">
        <v>719</v>
      </c>
      <c r="AG537" t="s">
        <v>781</v>
      </c>
      <c r="AH537">
        <v>0</v>
      </c>
      <c r="AI537">
        <v>226</v>
      </c>
      <c r="AJ537">
        <v>55</v>
      </c>
      <c r="AK537">
        <v>45</v>
      </c>
      <c r="AL537">
        <v>1.1000000000000001</v>
      </c>
    </row>
    <row r="538" spans="1:38" x14ac:dyDescent="0.3">
      <c r="A538" t="s">
        <v>715</v>
      </c>
      <c r="B538">
        <v>8185</v>
      </c>
      <c r="C538">
        <v>1</v>
      </c>
      <c r="D538" t="s">
        <v>782</v>
      </c>
      <c r="E538">
        <v>1999.1</v>
      </c>
      <c r="F538">
        <v>129</v>
      </c>
      <c r="G538">
        <v>25.09</v>
      </c>
      <c r="H538">
        <v>82.97</v>
      </c>
      <c r="I538">
        <v>18.11</v>
      </c>
      <c r="J538">
        <v>59.89</v>
      </c>
      <c r="K538">
        <v>58</v>
      </c>
      <c r="T538">
        <v>3</v>
      </c>
      <c r="U538">
        <v>1</v>
      </c>
      <c r="V538" t="s">
        <v>128</v>
      </c>
      <c r="W538">
        <v>82</v>
      </c>
      <c r="X538">
        <v>19</v>
      </c>
      <c r="Y538">
        <v>9</v>
      </c>
      <c r="Z538" t="s">
        <v>783</v>
      </c>
      <c r="AA538" t="s">
        <v>784</v>
      </c>
      <c r="AB538" t="s">
        <v>89</v>
      </c>
      <c r="AC538" t="s">
        <v>90</v>
      </c>
      <c r="AD538" t="s">
        <v>91</v>
      </c>
      <c r="AE538" t="s">
        <v>719</v>
      </c>
      <c r="AG538" t="s">
        <v>785</v>
      </c>
      <c r="AH538">
        <v>0</v>
      </c>
      <c r="AI538">
        <v>0</v>
      </c>
      <c r="AJ538">
        <v>0</v>
      </c>
      <c r="AK538">
        <v>121</v>
      </c>
      <c r="AL538">
        <v>0.94</v>
      </c>
    </row>
    <row r="539" spans="1:38" x14ac:dyDescent="0.3">
      <c r="A539" t="s">
        <v>715</v>
      </c>
      <c r="B539">
        <v>8185</v>
      </c>
      <c r="C539">
        <v>2</v>
      </c>
      <c r="D539" t="s">
        <v>782</v>
      </c>
      <c r="E539">
        <v>1999.1</v>
      </c>
      <c r="F539">
        <v>129</v>
      </c>
      <c r="G539">
        <v>27.09</v>
      </c>
      <c r="H539">
        <v>89.58</v>
      </c>
      <c r="I539">
        <v>19.55</v>
      </c>
      <c r="J539">
        <v>64.66</v>
      </c>
      <c r="K539">
        <v>35</v>
      </c>
      <c r="T539">
        <v>3</v>
      </c>
      <c r="U539">
        <v>1</v>
      </c>
      <c r="V539" t="s">
        <v>128</v>
      </c>
      <c r="W539">
        <v>89</v>
      </c>
      <c r="X539">
        <v>19</v>
      </c>
      <c r="Y539">
        <v>9</v>
      </c>
      <c r="Z539" t="s">
        <v>783</v>
      </c>
      <c r="AA539" t="s">
        <v>784</v>
      </c>
      <c r="AB539" t="s">
        <v>89</v>
      </c>
      <c r="AC539" t="s">
        <v>90</v>
      </c>
      <c r="AD539" t="s">
        <v>91</v>
      </c>
      <c r="AE539" t="s">
        <v>719</v>
      </c>
      <c r="AG539" t="s">
        <v>785</v>
      </c>
      <c r="AH539">
        <v>0</v>
      </c>
      <c r="AI539">
        <v>0</v>
      </c>
      <c r="AJ539">
        <v>0</v>
      </c>
      <c r="AK539">
        <v>121</v>
      </c>
      <c r="AL539">
        <v>0.94</v>
      </c>
    </row>
    <row r="540" spans="1:38" x14ac:dyDescent="0.3">
      <c r="A540" t="s">
        <v>715</v>
      </c>
      <c r="B540">
        <v>8185</v>
      </c>
      <c r="C540">
        <v>3</v>
      </c>
      <c r="D540" t="s">
        <v>782</v>
      </c>
      <c r="E540">
        <v>1999.1</v>
      </c>
      <c r="F540">
        <v>129</v>
      </c>
      <c r="G540">
        <v>34.19</v>
      </c>
      <c r="H540">
        <v>113.04</v>
      </c>
      <c r="I540">
        <v>25.7</v>
      </c>
      <c r="J540">
        <v>84.98</v>
      </c>
      <c r="K540">
        <v>36</v>
      </c>
      <c r="T540">
        <v>3</v>
      </c>
      <c r="U540">
        <v>2</v>
      </c>
      <c r="V540" t="s">
        <v>94</v>
      </c>
      <c r="W540">
        <v>113</v>
      </c>
      <c r="X540">
        <v>19</v>
      </c>
      <c r="Y540">
        <v>9</v>
      </c>
      <c r="Z540" t="s">
        <v>783</v>
      </c>
      <c r="AA540" t="s">
        <v>784</v>
      </c>
      <c r="AB540" t="s">
        <v>89</v>
      </c>
      <c r="AC540" t="s">
        <v>90</v>
      </c>
      <c r="AD540" t="s">
        <v>91</v>
      </c>
      <c r="AE540" t="s">
        <v>719</v>
      </c>
      <c r="AG540" t="s">
        <v>785</v>
      </c>
      <c r="AH540">
        <v>0</v>
      </c>
      <c r="AI540">
        <v>0</v>
      </c>
      <c r="AJ540">
        <v>0</v>
      </c>
      <c r="AK540">
        <v>121</v>
      </c>
      <c r="AL540">
        <v>0.94</v>
      </c>
    </row>
    <row r="541" spans="1:38" x14ac:dyDescent="0.3">
      <c r="A541" t="s">
        <v>715</v>
      </c>
      <c r="B541">
        <v>26428</v>
      </c>
      <c r="C541">
        <v>1</v>
      </c>
      <c r="D541" t="s">
        <v>786</v>
      </c>
      <c r="E541">
        <v>1984.12</v>
      </c>
      <c r="F541">
        <v>60</v>
      </c>
      <c r="G541">
        <v>17.02</v>
      </c>
      <c r="H541">
        <v>56.29</v>
      </c>
      <c r="I541">
        <v>15.5</v>
      </c>
      <c r="J541">
        <v>51.25</v>
      </c>
      <c r="K541">
        <v>60</v>
      </c>
      <c r="T541">
        <v>2</v>
      </c>
      <c r="U541">
        <v>1</v>
      </c>
      <c r="V541" t="s">
        <v>94</v>
      </c>
      <c r="W541">
        <v>56</v>
      </c>
      <c r="X541">
        <v>3</v>
      </c>
      <c r="Y541">
        <v>3</v>
      </c>
      <c r="Z541" t="s">
        <v>787</v>
      </c>
      <c r="AA541" t="s">
        <v>788</v>
      </c>
      <c r="AB541" t="s">
        <v>89</v>
      </c>
      <c r="AC541" t="s">
        <v>90</v>
      </c>
      <c r="AD541" t="s">
        <v>91</v>
      </c>
      <c r="AE541" t="s">
        <v>719</v>
      </c>
      <c r="AG541" t="s">
        <v>789</v>
      </c>
      <c r="AH541">
        <v>0</v>
      </c>
      <c r="AI541">
        <v>117</v>
      </c>
      <c r="AJ541">
        <v>39</v>
      </c>
      <c r="AK541">
        <v>0</v>
      </c>
      <c r="AL541">
        <v>0</v>
      </c>
    </row>
    <row r="542" spans="1:38" x14ac:dyDescent="0.3">
      <c r="A542" t="s">
        <v>715</v>
      </c>
      <c r="B542">
        <v>8194</v>
      </c>
      <c r="C542">
        <v>1</v>
      </c>
      <c r="D542" t="s">
        <v>790</v>
      </c>
      <c r="E542">
        <v>2004.11</v>
      </c>
      <c r="F542">
        <v>862</v>
      </c>
      <c r="G542">
        <v>24.07</v>
      </c>
      <c r="H542">
        <v>79.58</v>
      </c>
      <c r="I542">
        <v>18.100000000000001</v>
      </c>
      <c r="J542">
        <v>59.84</v>
      </c>
      <c r="K542">
        <v>157</v>
      </c>
      <c r="T542">
        <v>3</v>
      </c>
      <c r="U542">
        <v>2</v>
      </c>
      <c r="V542" t="s">
        <v>94</v>
      </c>
      <c r="W542">
        <v>79</v>
      </c>
      <c r="X542">
        <v>23</v>
      </c>
      <c r="Y542">
        <v>15</v>
      </c>
      <c r="Z542" t="s">
        <v>791</v>
      </c>
      <c r="AA542" t="s">
        <v>792</v>
      </c>
      <c r="AB542" t="s">
        <v>89</v>
      </c>
      <c r="AC542" t="s">
        <v>90</v>
      </c>
      <c r="AD542" t="s">
        <v>91</v>
      </c>
      <c r="AE542" t="s">
        <v>719</v>
      </c>
      <c r="AG542" t="s">
        <v>793</v>
      </c>
      <c r="AH542">
        <v>0</v>
      </c>
      <c r="AI542">
        <v>275</v>
      </c>
      <c r="AJ542">
        <v>19</v>
      </c>
      <c r="AK542">
        <v>868</v>
      </c>
      <c r="AL542">
        <v>1.01</v>
      </c>
    </row>
    <row r="543" spans="1:38" x14ac:dyDescent="0.3">
      <c r="A543" t="s">
        <v>715</v>
      </c>
      <c r="B543">
        <v>8194</v>
      </c>
      <c r="C543">
        <v>2</v>
      </c>
      <c r="D543" t="s">
        <v>790</v>
      </c>
      <c r="E543">
        <v>2004.11</v>
      </c>
      <c r="F543">
        <v>862</v>
      </c>
      <c r="G543">
        <v>32.5</v>
      </c>
      <c r="H543">
        <v>107.47</v>
      </c>
      <c r="I543">
        <v>25.68</v>
      </c>
      <c r="J543">
        <v>84.92</v>
      </c>
      <c r="K543">
        <v>705</v>
      </c>
      <c r="T543">
        <v>3</v>
      </c>
      <c r="U543">
        <v>2</v>
      </c>
      <c r="V543" t="s">
        <v>94</v>
      </c>
      <c r="W543">
        <v>107</v>
      </c>
      <c r="X543">
        <v>23</v>
      </c>
      <c r="Y543">
        <v>15</v>
      </c>
      <c r="Z543" t="s">
        <v>791</v>
      </c>
      <c r="AA543" t="s">
        <v>792</v>
      </c>
      <c r="AB543" t="s">
        <v>89</v>
      </c>
      <c r="AC543" t="s">
        <v>90</v>
      </c>
      <c r="AD543" t="s">
        <v>91</v>
      </c>
      <c r="AE543" t="s">
        <v>719</v>
      </c>
      <c r="AG543" t="s">
        <v>793</v>
      </c>
      <c r="AH543">
        <v>0</v>
      </c>
      <c r="AI543">
        <v>275</v>
      </c>
      <c r="AJ543">
        <v>19</v>
      </c>
      <c r="AK543">
        <v>868</v>
      </c>
      <c r="AL543">
        <v>1.01</v>
      </c>
    </row>
    <row r="544" spans="1:38" x14ac:dyDescent="0.3">
      <c r="A544" t="s">
        <v>715</v>
      </c>
      <c r="B544">
        <v>24035</v>
      </c>
      <c r="C544">
        <v>1</v>
      </c>
      <c r="D544" t="s">
        <v>794</v>
      </c>
      <c r="E544">
        <v>2003.03</v>
      </c>
      <c r="F544">
        <v>64</v>
      </c>
      <c r="G544">
        <v>31.85</v>
      </c>
      <c r="H544">
        <v>105.32</v>
      </c>
      <c r="I544">
        <v>25.53</v>
      </c>
      <c r="J544">
        <v>84.4</v>
      </c>
      <c r="K544">
        <v>20</v>
      </c>
      <c r="T544">
        <v>3</v>
      </c>
      <c r="U544">
        <v>2</v>
      </c>
      <c r="V544" t="s">
        <v>94</v>
      </c>
      <c r="W544" t="s">
        <v>487</v>
      </c>
      <c r="X544">
        <v>15</v>
      </c>
      <c r="Y544">
        <v>7</v>
      </c>
      <c r="Z544" t="s">
        <v>795</v>
      </c>
      <c r="AA544" t="s">
        <v>796</v>
      </c>
      <c r="AB544" t="s">
        <v>89</v>
      </c>
      <c r="AC544" t="s">
        <v>90</v>
      </c>
      <c r="AD544" t="s">
        <v>91</v>
      </c>
      <c r="AE544" t="s">
        <v>719</v>
      </c>
      <c r="AG544" t="s">
        <v>797</v>
      </c>
      <c r="AH544">
        <v>0</v>
      </c>
      <c r="AI544">
        <v>270</v>
      </c>
      <c r="AJ544">
        <v>27</v>
      </c>
      <c r="AK544">
        <v>76</v>
      </c>
      <c r="AL544">
        <v>1.19</v>
      </c>
    </row>
    <row r="545" spans="1:38" x14ac:dyDescent="0.3">
      <c r="A545" t="s">
        <v>715</v>
      </c>
      <c r="B545">
        <v>24035</v>
      </c>
      <c r="C545">
        <v>2</v>
      </c>
      <c r="D545" t="s">
        <v>794</v>
      </c>
      <c r="E545">
        <v>2003.03</v>
      </c>
      <c r="F545">
        <v>64</v>
      </c>
      <c r="G545">
        <v>32.44</v>
      </c>
      <c r="H545">
        <v>107.27</v>
      </c>
      <c r="I545">
        <v>24.9</v>
      </c>
      <c r="J545">
        <v>82.34</v>
      </c>
      <c r="K545">
        <v>7</v>
      </c>
      <c r="T545">
        <v>3</v>
      </c>
      <c r="U545">
        <v>2</v>
      </c>
      <c r="V545" t="s">
        <v>94</v>
      </c>
      <c r="W545" t="s">
        <v>798</v>
      </c>
      <c r="X545">
        <v>15</v>
      </c>
      <c r="Y545">
        <v>7</v>
      </c>
      <c r="Z545" t="s">
        <v>795</v>
      </c>
      <c r="AA545" t="s">
        <v>796</v>
      </c>
      <c r="AB545" t="s">
        <v>89</v>
      </c>
      <c r="AC545" t="s">
        <v>90</v>
      </c>
      <c r="AD545" t="s">
        <v>91</v>
      </c>
      <c r="AE545" t="s">
        <v>719</v>
      </c>
      <c r="AG545" t="s">
        <v>797</v>
      </c>
      <c r="AH545">
        <v>0</v>
      </c>
      <c r="AI545">
        <v>270</v>
      </c>
      <c r="AJ545">
        <v>27</v>
      </c>
      <c r="AK545">
        <v>76</v>
      </c>
      <c r="AL545">
        <v>1.19</v>
      </c>
    </row>
    <row r="546" spans="1:38" x14ac:dyDescent="0.3">
      <c r="A546" t="s">
        <v>715</v>
      </c>
      <c r="B546">
        <v>24035</v>
      </c>
      <c r="C546">
        <v>3</v>
      </c>
      <c r="D546" t="s">
        <v>794</v>
      </c>
      <c r="E546">
        <v>2003.03</v>
      </c>
      <c r="F546">
        <v>64</v>
      </c>
      <c r="G546">
        <v>33.130000000000003</v>
      </c>
      <c r="H546">
        <v>109.54</v>
      </c>
      <c r="I546">
        <v>25.6</v>
      </c>
      <c r="J546">
        <v>84.66</v>
      </c>
      <c r="K546">
        <v>10</v>
      </c>
      <c r="T546">
        <v>3</v>
      </c>
      <c r="U546">
        <v>2</v>
      </c>
      <c r="V546" t="s">
        <v>94</v>
      </c>
      <c r="W546" t="s">
        <v>521</v>
      </c>
      <c r="X546">
        <v>15</v>
      </c>
      <c r="Y546">
        <v>7</v>
      </c>
      <c r="Z546" t="s">
        <v>795</v>
      </c>
      <c r="AA546" t="s">
        <v>796</v>
      </c>
      <c r="AB546" t="s">
        <v>89</v>
      </c>
      <c r="AC546" t="s">
        <v>90</v>
      </c>
      <c r="AD546" t="s">
        <v>91</v>
      </c>
      <c r="AE546" t="s">
        <v>719</v>
      </c>
      <c r="AG546" t="s">
        <v>797</v>
      </c>
      <c r="AH546">
        <v>0</v>
      </c>
      <c r="AI546">
        <v>270</v>
      </c>
      <c r="AJ546">
        <v>27</v>
      </c>
      <c r="AK546">
        <v>76</v>
      </c>
      <c r="AL546">
        <v>1.19</v>
      </c>
    </row>
    <row r="547" spans="1:38" x14ac:dyDescent="0.3">
      <c r="A547" t="s">
        <v>715</v>
      </c>
      <c r="B547">
        <v>24035</v>
      </c>
      <c r="C547">
        <v>4</v>
      </c>
      <c r="D547" t="s">
        <v>794</v>
      </c>
      <c r="E547">
        <v>2003.03</v>
      </c>
      <c r="F547">
        <v>64</v>
      </c>
      <c r="G547">
        <v>33.630000000000003</v>
      </c>
      <c r="H547">
        <v>111.19</v>
      </c>
      <c r="I547">
        <v>25.41</v>
      </c>
      <c r="J547">
        <v>84.03</v>
      </c>
      <c r="K547">
        <v>12</v>
      </c>
      <c r="T547">
        <v>3</v>
      </c>
      <c r="U547">
        <v>2</v>
      </c>
      <c r="V547" t="s">
        <v>94</v>
      </c>
      <c r="W547" t="s">
        <v>118</v>
      </c>
      <c r="X547">
        <v>15</v>
      </c>
      <c r="Y547">
        <v>7</v>
      </c>
      <c r="Z547" t="s">
        <v>795</v>
      </c>
      <c r="AA547" t="s">
        <v>796</v>
      </c>
      <c r="AB547" t="s">
        <v>89</v>
      </c>
      <c r="AC547" t="s">
        <v>90</v>
      </c>
      <c r="AD547" t="s">
        <v>91</v>
      </c>
      <c r="AE547" t="s">
        <v>719</v>
      </c>
      <c r="AG547" t="s">
        <v>797</v>
      </c>
      <c r="AH547">
        <v>0</v>
      </c>
      <c r="AI547">
        <v>270</v>
      </c>
      <c r="AJ547">
        <v>27</v>
      </c>
      <c r="AK547">
        <v>76</v>
      </c>
      <c r="AL547">
        <v>1.19</v>
      </c>
    </row>
    <row r="548" spans="1:38" x14ac:dyDescent="0.3">
      <c r="A548" t="s">
        <v>715</v>
      </c>
      <c r="B548">
        <v>24035</v>
      </c>
      <c r="C548">
        <v>5</v>
      </c>
      <c r="D548" t="s">
        <v>794</v>
      </c>
      <c r="E548">
        <v>2003.03</v>
      </c>
      <c r="F548">
        <v>64</v>
      </c>
      <c r="G548">
        <v>34.1</v>
      </c>
      <c r="H548">
        <v>112.73</v>
      </c>
      <c r="I548">
        <v>25.68</v>
      </c>
      <c r="J548">
        <v>84.9</v>
      </c>
      <c r="K548">
        <v>15</v>
      </c>
      <c r="T548">
        <v>3</v>
      </c>
      <c r="U548">
        <v>2</v>
      </c>
      <c r="V548" t="s">
        <v>94</v>
      </c>
      <c r="W548" t="s">
        <v>799</v>
      </c>
      <c r="X548">
        <v>15</v>
      </c>
      <c r="Y548">
        <v>7</v>
      </c>
      <c r="Z548" t="s">
        <v>795</v>
      </c>
      <c r="AA548" t="s">
        <v>796</v>
      </c>
      <c r="AB548" t="s">
        <v>89</v>
      </c>
      <c r="AC548" t="s">
        <v>90</v>
      </c>
      <c r="AD548" t="s">
        <v>91</v>
      </c>
      <c r="AE548" t="s">
        <v>719</v>
      </c>
      <c r="AG548" t="s">
        <v>797</v>
      </c>
      <c r="AH548">
        <v>0</v>
      </c>
      <c r="AI548">
        <v>270</v>
      </c>
      <c r="AJ548">
        <v>27</v>
      </c>
      <c r="AK548">
        <v>76</v>
      </c>
      <c r="AL548">
        <v>1.19</v>
      </c>
    </row>
    <row r="549" spans="1:38" x14ac:dyDescent="0.3">
      <c r="A549" t="s">
        <v>715</v>
      </c>
      <c r="B549">
        <v>8193</v>
      </c>
      <c r="C549">
        <v>1</v>
      </c>
      <c r="D549" t="s">
        <v>800</v>
      </c>
      <c r="E549">
        <v>2000.05</v>
      </c>
      <c r="F549">
        <v>535</v>
      </c>
      <c r="G549">
        <v>24.72</v>
      </c>
      <c r="H549">
        <v>81.75</v>
      </c>
      <c r="I549">
        <v>18.010000000000002</v>
      </c>
      <c r="J549">
        <v>59.56</v>
      </c>
      <c r="K549">
        <v>22</v>
      </c>
      <c r="T549">
        <v>3</v>
      </c>
      <c r="U549">
        <v>1</v>
      </c>
      <c r="V549" t="s">
        <v>94</v>
      </c>
      <c r="W549" t="s">
        <v>465</v>
      </c>
      <c r="X549">
        <v>26</v>
      </c>
      <c r="Y549">
        <v>9</v>
      </c>
      <c r="Z549" t="s">
        <v>801</v>
      </c>
      <c r="AA549" t="s">
        <v>802</v>
      </c>
      <c r="AB549" t="s">
        <v>89</v>
      </c>
      <c r="AC549" t="s">
        <v>90</v>
      </c>
      <c r="AD549" t="s">
        <v>91</v>
      </c>
      <c r="AE549" t="s">
        <v>719</v>
      </c>
      <c r="AG549" t="s">
        <v>803</v>
      </c>
      <c r="AH549">
        <v>0</v>
      </c>
      <c r="AI549">
        <v>356</v>
      </c>
      <c r="AJ549">
        <v>23</v>
      </c>
      <c r="AK549">
        <v>505</v>
      </c>
      <c r="AL549">
        <v>0.94</v>
      </c>
    </row>
    <row r="550" spans="1:38" x14ac:dyDescent="0.3">
      <c r="A550" t="s">
        <v>715</v>
      </c>
      <c r="B550">
        <v>8193</v>
      </c>
      <c r="C550">
        <v>2</v>
      </c>
      <c r="D550" t="s">
        <v>800</v>
      </c>
      <c r="E550">
        <v>2000.05</v>
      </c>
      <c r="F550">
        <v>535</v>
      </c>
      <c r="G550">
        <v>24.81</v>
      </c>
      <c r="H550">
        <v>82.03</v>
      </c>
      <c r="I550">
        <v>18.07</v>
      </c>
      <c r="J550">
        <v>59.76</v>
      </c>
      <c r="K550">
        <v>112</v>
      </c>
      <c r="T550">
        <v>3</v>
      </c>
      <c r="U550">
        <v>1</v>
      </c>
      <c r="V550" t="s">
        <v>94</v>
      </c>
      <c r="W550" t="s">
        <v>804</v>
      </c>
      <c r="X550">
        <v>26</v>
      </c>
      <c r="Y550">
        <v>9</v>
      </c>
      <c r="Z550" t="s">
        <v>801</v>
      </c>
      <c r="AA550" t="s">
        <v>802</v>
      </c>
      <c r="AB550" t="s">
        <v>89</v>
      </c>
      <c r="AC550" t="s">
        <v>90</v>
      </c>
      <c r="AD550" t="s">
        <v>91</v>
      </c>
      <c r="AE550" t="s">
        <v>719</v>
      </c>
      <c r="AG550" t="s">
        <v>803</v>
      </c>
      <c r="AH550">
        <v>0</v>
      </c>
      <c r="AI550">
        <v>356</v>
      </c>
      <c r="AJ550">
        <v>23</v>
      </c>
      <c r="AK550">
        <v>505</v>
      </c>
      <c r="AL550">
        <v>0.94</v>
      </c>
    </row>
    <row r="551" spans="1:38" x14ac:dyDescent="0.3">
      <c r="A551" t="s">
        <v>715</v>
      </c>
      <c r="B551">
        <v>8193</v>
      </c>
      <c r="C551">
        <v>3</v>
      </c>
      <c r="D551" t="s">
        <v>800</v>
      </c>
      <c r="E551">
        <v>2000.05</v>
      </c>
      <c r="F551">
        <v>535</v>
      </c>
      <c r="G551">
        <v>33.19</v>
      </c>
      <c r="H551">
        <v>109.72</v>
      </c>
      <c r="I551">
        <v>25.7</v>
      </c>
      <c r="J551">
        <v>84.99</v>
      </c>
      <c r="K551">
        <v>316</v>
      </c>
      <c r="T551">
        <v>3</v>
      </c>
      <c r="U551">
        <v>2</v>
      </c>
      <c r="V551" t="s">
        <v>94</v>
      </c>
      <c r="W551" t="s">
        <v>521</v>
      </c>
      <c r="X551">
        <v>26</v>
      </c>
      <c r="Y551">
        <v>9</v>
      </c>
      <c r="Z551" t="s">
        <v>801</v>
      </c>
      <c r="AA551" t="s">
        <v>802</v>
      </c>
      <c r="AB551" t="s">
        <v>89</v>
      </c>
      <c r="AC551" t="s">
        <v>90</v>
      </c>
      <c r="AD551" t="s">
        <v>91</v>
      </c>
      <c r="AE551" t="s">
        <v>719</v>
      </c>
      <c r="AG551" t="s">
        <v>803</v>
      </c>
      <c r="AH551">
        <v>0</v>
      </c>
      <c r="AI551">
        <v>356</v>
      </c>
      <c r="AJ551">
        <v>23</v>
      </c>
      <c r="AK551">
        <v>505</v>
      </c>
      <c r="AL551">
        <v>0.94</v>
      </c>
    </row>
    <row r="552" spans="1:38" x14ac:dyDescent="0.3">
      <c r="A552" t="s">
        <v>715</v>
      </c>
      <c r="B552">
        <v>8193</v>
      </c>
      <c r="C552">
        <v>4</v>
      </c>
      <c r="D552" t="s">
        <v>800</v>
      </c>
      <c r="E552">
        <v>2000.05</v>
      </c>
      <c r="F552">
        <v>535</v>
      </c>
      <c r="G552">
        <v>33.130000000000003</v>
      </c>
      <c r="H552">
        <v>109.54</v>
      </c>
      <c r="I552">
        <v>25.66</v>
      </c>
      <c r="J552">
        <v>84.84</v>
      </c>
      <c r="K552">
        <v>85</v>
      </c>
      <c r="T552">
        <v>3</v>
      </c>
      <c r="U552">
        <v>2</v>
      </c>
      <c r="V552" t="s">
        <v>94</v>
      </c>
      <c r="W552" t="s">
        <v>805</v>
      </c>
      <c r="X552">
        <v>26</v>
      </c>
      <c r="Y552">
        <v>9</v>
      </c>
      <c r="Z552" t="s">
        <v>801</v>
      </c>
      <c r="AA552" t="s">
        <v>802</v>
      </c>
      <c r="AB552" t="s">
        <v>89</v>
      </c>
      <c r="AC552" t="s">
        <v>90</v>
      </c>
      <c r="AD552" t="s">
        <v>91</v>
      </c>
      <c r="AE552" t="s">
        <v>719</v>
      </c>
      <c r="AG552" t="s">
        <v>803</v>
      </c>
      <c r="AH552">
        <v>0</v>
      </c>
      <c r="AI552">
        <v>356</v>
      </c>
      <c r="AJ552">
        <v>23</v>
      </c>
      <c r="AK552">
        <v>505</v>
      </c>
      <c r="AL552">
        <v>0.94</v>
      </c>
    </row>
    <row r="553" spans="1:38" x14ac:dyDescent="0.3">
      <c r="A553" t="s">
        <v>715</v>
      </c>
      <c r="B553">
        <v>8775</v>
      </c>
      <c r="C553">
        <v>1</v>
      </c>
      <c r="D553" t="s">
        <v>806</v>
      </c>
      <c r="E553">
        <v>1996.07</v>
      </c>
      <c r="F553">
        <v>709</v>
      </c>
      <c r="G553">
        <v>19.37</v>
      </c>
      <c r="H553">
        <v>64.05</v>
      </c>
      <c r="I553">
        <v>15.02</v>
      </c>
      <c r="J553">
        <v>49.68</v>
      </c>
      <c r="K553">
        <v>709</v>
      </c>
      <c r="T553">
        <v>2</v>
      </c>
      <c r="U553">
        <v>1</v>
      </c>
      <c r="V553" t="s">
        <v>128</v>
      </c>
      <c r="W553">
        <v>64</v>
      </c>
      <c r="X553">
        <v>21</v>
      </c>
      <c r="Y553">
        <v>14</v>
      </c>
      <c r="Z553" t="s">
        <v>807</v>
      </c>
      <c r="AA553" t="s">
        <v>808</v>
      </c>
      <c r="AB553" t="s">
        <v>89</v>
      </c>
      <c r="AC553" t="s">
        <v>90</v>
      </c>
      <c r="AD553" t="s">
        <v>91</v>
      </c>
      <c r="AE553" t="s">
        <v>719</v>
      </c>
      <c r="AG553" t="s">
        <v>809</v>
      </c>
      <c r="AH553">
        <v>0</v>
      </c>
      <c r="AI553">
        <v>199</v>
      </c>
      <c r="AJ553">
        <v>16</v>
      </c>
      <c r="AK553">
        <v>412</v>
      </c>
      <c r="AL553">
        <v>0.57999999999999996</v>
      </c>
    </row>
    <row r="554" spans="1:38" x14ac:dyDescent="0.3">
      <c r="A554" t="s">
        <v>715</v>
      </c>
      <c r="B554">
        <v>1480</v>
      </c>
      <c r="C554">
        <v>1</v>
      </c>
      <c r="D554" t="s">
        <v>810</v>
      </c>
      <c r="E554">
        <v>1993.03</v>
      </c>
      <c r="F554">
        <v>530</v>
      </c>
      <c r="G554">
        <v>23.34</v>
      </c>
      <c r="H554">
        <v>77.180000000000007</v>
      </c>
      <c r="I554">
        <v>18.07</v>
      </c>
      <c r="J554">
        <v>59.76</v>
      </c>
      <c r="K554">
        <v>188</v>
      </c>
      <c r="T554">
        <v>2</v>
      </c>
      <c r="U554">
        <v>1</v>
      </c>
      <c r="V554" t="s">
        <v>94</v>
      </c>
      <c r="W554">
        <v>77</v>
      </c>
      <c r="X554">
        <v>18</v>
      </c>
      <c r="Y554">
        <v>14</v>
      </c>
      <c r="Z554" t="s">
        <v>811</v>
      </c>
      <c r="AA554" t="s">
        <v>812</v>
      </c>
      <c r="AB554" t="s">
        <v>89</v>
      </c>
      <c r="AC554" t="s">
        <v>90</v>
      </c>
      <c r="AD554" t="s">
        <v>91</v>
      </c>
      <c r="AE554" t="s">
        <v>719</v>
      </c>
      <c r="AG554" t="s">
        <v>813</v>
      </c>
      <c r="AH554">
        <v>0</v>
      </c>
      <c r="AI554">
        <v>206</v>
      </c>
      <c r="AJ554">
        <v>16</v>
      </c>
      <c r="AK554">
        <v>444</v>
      </c>
      <c r="AL554">
        <v>0.84</v>
      </c>
    </row>
    <row r="555" spans="1:38" x14ac:dyDescent="0.3">
      <c r="A555" t="s">
        <v>715</v>
      </c>
      <c r="B555">
        <v>1480</v>
      </c>
      <c r="C555">
        <v>2</v>
      </c>
      <c r="D555" t="s">
        <v>810</v>
      </c>
      <c r="E555">
        <v>1993.03</v>
      </c>
      <c r="F555">
        <v>530</v>
      </c>
      <c r="G555">
        <v>24.4</v>
      </c>
      <c r="H555">
        <v>80.69</v>
      </c>
      <c r="I555">
        <v>18.8</v>
      </c>
      <c r="J555">
        <v>62.16</v>
      </c>
      <c r="K555">
        <v>2</v>
      </c>
      <c r="T555">
        <v>2</v>
      </c>
      <c r="U555">
        <v>1</v>
      </c>
      <c r="V555" t="s">
        <v>94</v>
      </c>
      <c r="W555">
        <v>80</v>
      </c>
      <c r="X555">
        <v>18</v>
      </c>
      <c r="Y555">
        <v>14</v>
      </c>
      <c r="Z555" t="s">
        <v>811</v>
      </c>
      <c r="AA555" t="s">
        <v>812</v>
      </c>
      <c r="AB555" t="s">
        <v>89</v>
      </c>
      <c r="AC555" t="s">
        <v>90</v>
      </c>
      <c r="AD555" t="s">
        <v>91</v>
      </c>
      <c r="AE555" t="s">
        <v>719</v>
      </c>
      <c r="AG555" t="s">
        <v>813</v>
      </c>
      <c r="AH555">
        <v>0</v>
      </c>
      <c r="AI555">
        <v>206</v>
      </c>
      <c r="AJ555">
        <v>16</v>
      </c>
      <c r="AK555">
        <v>444</v>
      </c>
      <c r="AL555">
        <v>0.84</v>
      </c>
    </row>
    <row r="556" spans="1:38" x14ac:dyDescent="0.3">
      <c r="A556" t="s">
        <v>715</v>
      </c>
      <c r="B556">
        <v>1480</v>
      </c>
      <c r="C556">
        <v>3</v>
      </c>
      <c r="D556" t="s">
        <v>810</v>
      </c>
      <c r="E556">
        <v>1993.03</v>
      </c>
      <c r="F556">
        <v>530</v>
      </c>
      <c r="G556">
        <v>33.31</v>
      </c>
      <c r="H556">
        <v>110.13</v>
      </c>
      <c r="I556">
        <v>25.66</v>
      </c>
      <c r="J556">
        <v>84.84</v>
      </c>
      <c r="K556">
        <v>340</v>
      </c>
      <c r="T556">
        <v>3</v>
      </c>
      <c r="U556">
        <v>2</v>
      </c>
      <c r="V556" t="s">
        <v>94</v>
      </c>
      <c r="W556">
        <v>110</v>
      </c>
      <c r="X556">
        <v>18</v>
      </c>
      <c r="Y556">
        <v>14</v>
      </c>
      <c r="Z556" t="s">
        <v>811</v>
      </c>
      <c r="AA556" t="s">
        <v>812</v>
      </c>
      <c r="AB556" t="s">
        <v>89</v>
      </c>
      <c r="AC556" t="s">
        <v>90</v>
      </c>
      <c r="AD556" t="s">
        <v>91</v>
      </c>
      <c r="AE556" t="s">
        <v>719</v>
      </c>
      <c r="AG556" t="s">
        <v>813</v>
      </c>
      <c r="AH556">
        <v>0</v>
      </c>
      <c r="AI556">
        <v>206</v>
      </c>
      <c r="AJ556">
        <v>16</v>
      </c>
      <c r="AK556">
        <v>444</v>
      </c>
      <c r="AL556">
        <v>0.84</v>
      </c>
    </row>
    <row r="557" spans="1:38" x14ac:dyDescent="0.3">
      <c r="A557" t="s">
        <v>715</v>
      </c>
      <c r="B557">
        <v>1479</v>
      </c>
      <c r="C557">
        <v>1</v>
      </c>
      <c r="D557" t="s">
        <v>814</v>
      </c>
      <c r="E557">
        <v>1992.08</v>
      </c>
      <c r="F557">
        <v>368</v>
      </c>
      <c r="G557">
        <v>22.72</v>
      </c>
      <c r="H557">
        <v>75.13</v>
      </c>
      <c r="I557">
        <v>18.13</v>
      </c>
      <c r="J557">
        <v>59.94</v>
      </c>
      <c r="K557">
        <v>120</v>
      </c>
      <c r="T557">
        <v>3</v>
      </c>
      <c r="U557">
        <v>1</v>
      </c>
      <c r="V557" t="s">
        <v>94</v>
      </c>
      <c r="W557">
        <v>75</v>
      </c>
      <c r="X557">
        <v>21</v>
      </c>
      <c r="Y557">
        <v>15</v>
      </c>
      <c r="Z557" t="s">
        <v>815</v>
      </c>
      <c r="AA557" t="s">
        <v>816</v>
      </c>
      <c r="AB557" t="s">
        <v>89</v>
      </c>
      <c r="AC557" t="s">
        <v>90</v>
      </c>
      <c r="AD557" t="s">
        <v>91</v>
      </c>
      <c r="AE557" t="s">
        <v>719</v>
      </c>
      <c r="AG557" t="s">
        <v>817</v>
      </c>
      <c r="AH557">
        <v>0</v>
      </c>
      <c r="AI557">
        <v>215</v>
      </c>
      <c r="AJ557">
        <v>13</v>
      </c>
      <c r="AK557">
        <v>207</v>
      </c>
      <c r="AL557">
        <v>0.56000000000000005</v>
      </c>
    </row>
    <row r="558" spans="1:38" x14ac:dyDescent="0.3">
      <c r="A558" t="s">
        <v>715</v>
      </c>
      <c r="B558">
        <v>1479</v>
      </c>
      <c r="C558">
        <v>2</v>
      </c>
      <c r="D558" t="s">
        <v>814</v>
      </c>
      <c r="E558">
        <v>1992.08</v>
      </c>
      <c r="F558">
        <v>368</v>
      </c>
      <c r="G558">
        <v>31.06</v>
      </c>
      <c r="H558">
        <v>102.69</v>
      </c>
      <c r="I558">
        <v>25.7</v>
      </c>
      <c r="J558">
        <v>84.99</v>
      </c>
      <c r="K558">
        <v>248</v>
      </c>
      <c r="T558">
        <v>3</v>
      </c>
      <c r="U558">
        <v>2</v>
      </c>
      <c r="V558" t="s">
        <v>94</v>
      </c>
      <c r="W558">
        <v>102</v>
      </c>
      <c r="X558">
        <v>21</v>
      </c>
      <c r="Y558">
        <v>15</v>
      </c>
      <c r="Z558" t="s">
        <v>815</v>
      </c>
      <c r="AA558" t="s">
        <v>816</v>
      </c>
      <c r="AB558" t="s">
        <v>89</v>
      </c>
      <c r="AC558" t="s">
        <v>90</v>
      </c>
      <c r="AD558" t="s">
        <v>91</v>
      </c>
      <c r="AE558" t="s">
        <v>719</v>
      </c>
      <c r="AG558" t="s">
        <v>817</v>
      </c>
      <c r="AH558">
        <v>0</v>
      </c>
      <c r="AI558">
        <v>215</v>
      </c>
      <c r="AJ558">
        <v>13</v>
      </c>
      <c r="AK558">
        <v>207</v>
      </c>
      <c r="AL558">
        <v>0.56000000000000005</v>
      </c>
    </row>
    <row r="559" spans="1:38" x14ac:dyDescent="0.3">
      <c r="A559" t="s">
        <v>715</v>
      </c>
      <c r="B559">
        <v>1447</v>
      </c>
      <c r="C559">
        <v>1</v>
      </c>
      <c r="D559" t="s">
        <v>818</v>
      </c>
      <c r="E559">
        <v>1993.1</v>
      </c>
      <c r="F559">
        <v>196</v>
      </c>
      <c r="G559">
        <v>37.28</v>
      </c>
      <c r="H559">
        <v>123.25</v>
      </c>
      <c r="I559">
        <v>30.85</v>
      </c>
      <c r="J559">
        <v>102</v>
      </c>
      <c r="K559">
        <v>122</v>
      </c>
      <c r="T559">
        <v>4</v>
      </c>
      <c r="U559">
        <v>2</v>
      </c>
      <c r="V559" t="s">
        <v>94</v>
      </c>
      <c r="W559">
        <v>123</v>
      </c>
      <c r="X559">
        <v>19</v>
      </c>
      <c r="Y559">
        <v>14</v>
      </c>
      <c r="Z559" t="s">
        <v>819</v>
      </c>
      <c r="AA559" t="s">
        <v>820</v>
      </c>
      <c r="AB559" t="s">
        <v>89</v>
      </c>
      <c r="AC559" t="s">
        <v>90</v>
      </c>
      <c r="AD559" t="s">
        <v>91</v>
      </c>
      <c r="AE559" t="s">
        <v>719</v>
      </c>
      <c r="AG559" t="s">
        <v>821</v>
      </c>
      <c r="AH559">
        <v>0</v>
      </c>
      <c r="AI559">
        <v>207</v>
      </c>
      <c r="AJ559">
        <v>19</v>
      </c>
      <c r="AK559">
        <v>245</v>
      </c>
      <c r="AL559">
        <v>1.25</v>
      </c>
    </row>
    <row r="560" spans="1:38" x14ac:dyDescent="0.3">
      <c r="A560" t="s">
        <v>715</v>
      </c>
      <c r="B560">
        <v>1447</v>
      </c>
      <c r="C560">
        <v>2</v>
      </c>
      <c r="D560" t="s">
        <v>818</v>
      </c>
      <c r="E560">
        <v>1993.1</v>
      </c>
      <c r="F560">
        <v>196</v>
      </c>
      <c r="G560">
        <v>47.7</v>
      </c>
      <c r="H560">
        <v>157.69</v>
      </c>
      <c r="I560">
        <v>40.51</v>
      </c>
      <c r="J560">
        <v>133.91999999999999</v>
      </c>
      <c r="K560">
        <v>74</v>
      </c>
      <c r="T560">
        <v>4</v>
      </c>
      <c r="U560">
        <v>2</v>
      </c>
      <c r="V560" t="s">
        <v>94</v>
      </c>
      <c r="W560">
        <v>157</v>
      </c>
      <c r="X560">
        <v>19</v>
      </c>
      <c r="Y560">
        <v>14</v>
      </c>
      <c r="Z560" t="s">
        <v>819</v>
      </c>
      <c r="AA560" t="s">
        <v>820</v>
      </c>
      <c r="AB560" t="s">
        <v>89</v>
      </c>
      <c r="AC560" t="s">
        <v>90</v>
      </c>
      <c r="AD560" t="s">
        <v>91</v>
      </c>
      <c r="AE560" t="s">
        <v>719</v>
      </c>
      <c r="AG560" t="s">
        <v>821</v>
      </c>
      <c r="AH560">
        <v>0</v>
      </c>
      <c r="AI560">
        <v>207</v>
      </c>
      <c r="AJ560">
        <v>19</v>
      </c>
      <c r="AK560">
        <v>245</v>
      </c>
      <c r="AL560">
        <v>1.25</v>
      </c>
    </row>
    <row r="561" spans="1:38" x14ac:dyDescent="0.3">
      <c r="A561" t="s">
        <v>715</v>
      </c>
      <c r="B561">
        <v>2805</v>
      </c>
      <c r="C561">
        <v>1</v>
      </c>
      <c r="D561" t="s">
        <v>822</v>
      </c>
      <c r="E561">
        <v>2000.04</v>
      </c>
      <c r="F561">
        <v>230</v>
      </c>
      <c r="G561">
        <v>14.34</v>
      </c>
      <c r="H561">
        <v>47.43</v>
      </c>
      <c r="I561">
        <v>11.14</v>
      </c>
      <c r="J561">
        <v>36.85</v>
      </c>
      <c r="K561">
        <v>48</v>
      </c>
      <c r="T561">
        <v>2</v>
      </c>
      <c r="U561">
        <v>1</v>
      </c>
      <c r="V561" t="s">
        <v>128</v>
      </c>
      <c r="W561">
        <v>47</v>
      </c>
      <c r="X561">
        <v>22</v>
      </c>
      <c r="Y561">
        <v>19</v>
      </c>
      <c r="Z561" t="s">
        <v>823</v>
      </c>
      <c r="AA561" t="s">
        <v>824</v>
      </c>
      <c r="AB561" t="s">
        <v>89</v>
      </c>
      <c r="AC561" t="s">
        <v>90</v>
      </c>
      <c r="AD561" t="s">
        <v>91</v>
      </c>
      <c r="AE561" t="s">
        <v>719</v>
      </c>
      <c r="AG561" t="s">
        <v>825</v>
      </c>
      <c r="AH561">
        <v>0</v>
      </c>
      <c r="AI561">
        <v>347</v>
      </c>
      <c r="AJ561">
        <v>23</v>
      </c>
      <c r="AK561">
        <v>247</v>
      </c>
      <c r="AL561">
        <v>1.07</v>
      </c>
    </row>
    <row r="562" spans="1:38" x14ac:dyDescent="0.3">
      <c r="A562" t="s">
        <v>715</v>
      </c>
      <c r="B562">
        <v>2805</v>
      </c>
      <c r="C562">
        <v>2</v>
      </c>
      <c r="D562" t="s">
        <v>822</v>
      </c>
      <c r="E562">
        <v>2000.04</v>
      </c>
      <c r="F562">
        <v>230</v>
      </c>
      <c r="G562">
        <v>33</v>
      </c>
      <c r="H562">
        <v>109.12</v>
      </c>
      <c r="I562">
        <v>25.63</v>
      </c>
      <c r="J562">
        <v>84.76</v>
      </c>
      <c r="K562">
        <v>182</v>
      </c>
      <c r="T562">
        <v>3</v>
      </c>
      <c r="U562">
        <v>2</v>
      </c>
      <c r="V562" t="s">
        <v>94</v>
      </c>
      <c r="W562">
        <v>109</v>
      </c>
      <c r="X562">
        <v>22</v>
      </c>
      <c r="Y562">
        <v>19</v>
      </c>
      <c r="Z562" t="s">
        <v>823</v>
      </c>
      <c r="AA562" t="s">
        <v>824</v>
      </c>
      <c r="AB562" t="s">
        <v>89</v>
      </c>
      <c r="AC562" t="s">
        <v>90</v>
      </c>
      <c r="AD562" t="s">
        <v>91</v>
      </c>
      <c r="AE562" t="s">
        <v>719</v>
      </c>
      <c r="AG562" t="s">
        <v>825</v>
      </c>
      <c r="AH562">
        <v>0</v>
      </c>
      <c r="AI562">
        <v>347</v>
      </c>
      <c r="AJ562">
        <v>23</v>
      </c>
      <c r="AK562">
        <v>247</v>
      </c>
      <c r="AL562">
        <v>1.07</v>
      </c>
    </row>
    <row r="563" spans="1:38" x14ac:dyDescent="0.3">
      <c r="A563" t="s">
        <v>715</v>
      </c>
      <c r="B563">
        <v>8626</v>
      </c>
      <c r="C563">
        <v>1</v>
      </c>
      <c r="D563" t="s">
        <v>826</v>
      </c>
      <c r="E563">
        <v>2002.06</v>
      </c>
      <c r="F563">
        <v>967</v>
      </c>
      <c r="G563">
        <v>24.61</v>
      </c>
      <c r="H563">
        <v>81.36</v>
      </c>
      <c r="I563">
        <v>16.95</v>
      </c>
      <c r="J563">
        <v>56.06</v>
      </c>
      <c r="K563">
        <v>182</v>
      </c>
      <c r="T563">
        <v>3</v>
      </c>
      <c r="U563">
        <v>1</v>
      </c>
      <c r="V563" t="s">
        <v>94</v>
      </c>
      <c r="W563">
        <v>81</v>
      </c>
      <c r="X563">
        <v>25</v>
      </c>
      <c r="Y563">
        <v>17</v>
      </c>
      <c r="Z563" t="s">
        <v>827</v>
      </c>
      <c r="AA563" t="s">
        <v>828</v>
      </c>
      <c r="AB563" t="s">
        <v>89</v>
      </c>
      <c r="AC563" t="s">
        <v>90</v>
      </c>
      <c r="AD563" t="s">
        <v>91</v>
      </c>
      <c r="AE563" t="s">
        <v>719</v>
      </c>
      <c r="AG563" t="s">
        <v>829</v>
      </c>
      <c r="AH563">
        <v>0</v>
      </c>
      <c r="AI563">
        <v>317</v>
      </c>
      <c r="AJ563">
        <v>19</v>
      </c>
      <c r="AK563">
        <v>971</v>
      </c>
      <c r="AL563">
        <v>1</v>
      </c>
    </row>
    <row r="564" spans="1:38" x14ac:dyDescent="0.3">
      <c r="A564" t="s">
        <v>715</v>
      </c>
      <c r="B564">
        <v>8626</v>
      </c>
      <c r="C564">
        <v>2</v>
      </c>
      <c r="D564" t="s">
        <v>826</v>
      </c>
      <c r="E564">
        <v>2002.06</v>
      </c>
      <c r="F564">
        <v>967</v>
      </c>
      <c r="G564">
        <v>27.86</v>
      </c>
      <c r="H564">
        <v>92.11</v>
      </c>
      <c r="I564">
        <v>19.75</v>
      </c>
      <c r="J564">
        <v>65.319999999999993</v>
      </c>
      <c r="K564">
        <v>25</v>
      </c>
      <c r="T564">
        <v>3</v>
      </c>
      <c r="U564">
        <v>2</v>
      </c>
      <c r="V564" t="s">
        <v>94</v>
      </c>
      <c r="W564">
        <v>92</v>
      </c>
      <c r="X564">
        <v>25</v>
      </c>
      <c r="Y564">
        <v>17</v>
      </c>
      <c r="Z564" t="s">
        <v>827</v>
      </c>
      <c r="AA564" t="s">
        <v>828</v>
      </c>
      <c r="AB564" t="s">
        <v>89</v>
      </c>
      <c r="AC564" t="s">
        <v>90</v>
      </c>
      <c r="AD564" t="s">
        <v>91</v>
      </c>
      <c r="AE564" t="s">
        <v>719</v>
      </c>
      <c r="AG564" t="s">
        <v>829</v>
      </c>
      <c r="AH564">
        <v>0</v>
      </c>
      <c r="AI564">
        <v>317</v>
      </c>
      <c r="AJ564">
        <v>19</v>
      </c>
      <c r="AK564">
        <v>971</v>
      </c>
      <c r="AL564">
        <v>1</v>
      </c>
    </row>
    <row r="565" spans="1:38" x14ac:dyDescent="0.3">
      <c r="A565" t="s">
        <v>715</v>
      </c>
      <c r="B565">
        <v>8626</v>
      </c>
      <c r="C565">
        <v>3</v>
      </c>
      <c r="D565" t="s">
        <v>826</v>
      </c>
      <c r="E565">
        <v>2002.06</v>
      </c>
      <c r="F565">
        <v>967</v>
      </c>
      <c r="G565">
        <v>33.01</v>
      </c>
      <c r="H565">
        <v>109.13</v>
      </c>
      <c r="I565">
        <v>24.31</v>
      </c>
      <c r="J565">
        <v>80.37</v>
      </c>
      <c r="K565">
        <v>760</v>
      </c>
      <c r="T565">
        <v>3</v>
      </c>
      <c r="U565">
        <v>2</v>
      </c>
      <c r="V565" t="s">
        <v>94</v>
      </c>
      <c r="W565">
        <v>109</v>
      </c>
      <c r="X565">
        <v>25</v>
      </c>
      <c r="Y565">
        <v>17</v>
      </c>
      <c r="Z565" t="s">
        <v>827</v>
      </c>
      <c r="AA565" t="s">
        <v>828</v>
      </c>
      <c r="AB565" t="s">
        <v>89</v>
      </c>
      <c r="AC565" t="s">
        <v>90</v>
      </c>
      <c r="AD565" t="s">
        <v>91</v>
      </c>
      <c r="AE565" t="s">
        <v>719</v>
      </c>
      <c r="AG565" t="s">
        <v>829</v>
      </c>
      <c r="AH565">
        <v>0</v>
      </c>
      <c r="AI565">
        <v>317</v>
      </c>
      <c r="AJ565">
        <v>19</v>
      </c>
      <c r="AK565">
        <v>971</v>
      </c>
      <c r="AL565">
        <v>1</v>
      </c>
    </row>
    <row r="566" spans="1:38" x14ac:dyDescent="0.3">
      <c r="A566" t="s">
        <v>715</v>
      </c>
      <c r="B566">
        <v>1481</v>
      </c>
      <c r="C566">
        <v>1</v>
      </c>
      <c r="D566" t="s">
        <v>830</v>
      </c>
      <c r="E566">
        <v>1992.11</v>
      </c>
      <c r="F566">
        <v>552</v>
      </c>
      <c r="G566">
        <v>23.79</v>
      </c>
      <c r="H566">
        <v>78.67</v>
      </c>
      <c r="I566">
        <v>18.13</v>
      </c>
      <c r="J566">
        <v>59.94</v>
      </c>
      <c r="K566">
        <v>188</v>
      </c>
      <c r="T566">
        <v>3</v>
      </c>
      <c r="U566">
        <v>1</v>
      </c>
      <c r="V566" t="s">
        <v>94</v>
      </c>
      <c r="W566">
        <v>78</v>
      </c>
      <c r="X566">
        <v>25</v>
      </c>
      <c r="Y566">
        <v>10</v>
      </c>
      <c r="Z566" t="s">
        <v>831</v>
      </c>
      <c r="AA566" t="s">
        <v>832</v>
      </c>
      <c r="AB566" t="s">
        <v>89</v>
      </c>
      <c r="AC566" t="s">
        <v>90</v>
      </c>
      <c r="AD566" t="s">
        <v>91</v>
      </c>
      <c r="AE566" t="s">
        <v>719</v>
      </c>
      <c r="AG566" t="s">
        <v>833</v>
      </c>
      <c r="AH566">
        <v>0</v>
      </c>
      <c r="AI566">
        <v>203</v>
      </c>
      <c r="AJ566">
        <v>17</v>
      </c>
      <c r="AK566">
        <v>385</v>
      </c>
      <c r="AL566">
        <v>0.7</v>
      </c>
    </row>
    <row r="567" spans="1:38" x14ac:dyDescent="0.3">
      <c r="A567" t="s">
        <v>715</v>
      </c>
      <c r="B567">
        <v>1481</v>
      </c>
      <c r="C567">
        <v>2</v>
      </c>
      <c r="D567" t="s">
        <v>830</v>
      </c>
      <c r="E567">
        <v>1992.11</v>
      </c>
      <c r="F567">
        <v>552</v>
      </c>
      <c r="G567">
        <v>32.35</v>
      </c>
      <c r="H567">
        <v>106.96</v>
      </c>
      <c r="I567">
        <v>25.7</v>
      </c>
      <c r="J567">
        <v>84.99</v>
      </c>
      <c r="K567">
        <v>364</v>
      </c>
      <c r="T567">
        <v>3</v>
      </c>
      <c r="U567">
        <v>2</v>
      </c>
      <c r="V567" t="s">
        <v>94</v>
      </c>
      <c r="W567">
        <v>106</v>
      </c>
      <c r="X567">
        <v>25</v>
      </c>
      <c r="Y567">
        <v>10</v>
      </c>
      <c r="Z567" t="s">
        <v>831</v>
      </c>
      <c r="AA567" t="s">
        <v>832</v>
      </c>
      <c r="AB567" t="s">
        <v>89</v>
      </c>
      <c r="AC567" t="s">
        <v>90</v>
      </c>
      <c r="AD567" t="s">
        <v>91</v>
      </c>
      <c r="AE567" t="s">
        <v>719</v>
      </c>
      <c r="AG567" t="s">
        <v>833</v>
      </c>
      <c r="AH567">
        <v>0</v>
      </c>
      <c r="AI567">
        <v>203</v>
      </c>
      <c r="AJ567">
        <v>17</v>
      </c>
      <c r="AK567">
        <v>385</v>
      </c>
      <c r="AL567">
        <v>0.7</v>
      </c>
    </row>
    <row r="568" spans="1:38" x14ac:dyDescent="0.3">
      <c r="A568" t="s">
        <v>715</v>
      </c>
      <c r="B568">
        <v>1477</v>
      </c>
      <c r="C568">
        <v>1</v>
      </c>
      <c r="D568" t="s">
        <v>834</v>
      </c>
      <c r="E568">
        <v>1993.07</v>
      </c>
      <c r="F568">
        <v>752</v>
      </c>
      <c r="G568">
        <v>23.18</v>
      </c>
      <c r="H568">
        <v>76.650000000000006</v>
      </c>
      <c r="I568">
        <v>18.13</v>
      </c>
      <c r="J568">
        <v>59.94</v>
      </c>
      <c r="K568">
        <v>180</v>
      </c>
      <c r="T568">
        <v>3</v>
      </c>
      <c r="U568">
        <v>1</v>
      </c>
      <c r="V568" t="s">
        <v>94</v>
      </c>
      <c r="W568" t="s">
        <v>835</v>
      </c>
      <c r="X568">
        <v>19</v>
      </c>
      <c r="Y568">
        <v>15</v>
      </c>
      <c r="Z568" t="s">
        <v>836</v>
      </c>
      <c r="AA568" t="s">
        <v>837</v>
      </c>
      <c r="AB568" t="s">
        <v>89</v>
      </c>
      <c r="AC568" t="s">
        <v>90</v>
      </c>
      <c r="AD568" t="s">
        <v>91</v>
      </c>
      <c r="AE568" t="s">
        <v>719</v>
      </c>
      <c r="AG568" t="s">
        <v>838</v>
      </c>
      <c r="AH568">
        <v>0</v>
      </c>
      <c r="AI568">
        <v>207</v>
      </c>
      <c r="AJ568">
        <v>19</v>
      </c>
      <c r="AK568">
        <v>661</v>
      </c>
      <c r="AL568">
        <v>0.88</v>
      </c>
    </row>
    <row r="569" spans="1:38" x14ac:dyDescent="0.3">
      <c r="A569" t="s">
        <v>715</v>
      </c>
      <c r="B569">
        <v>1477</v>
      </c>
      <c r="C569">
        <v>2</v>
      </c>
      <c r="D569" t="s">
        <v>834</v>
      </c>
      <c r="E569">
        <v>1993.07</v>
      </c>
      <c r="F569">
        <v>752</v>
      </c>
      <c r="G569">
        <v>23.18</v>
      </c>
      <c r="H569">
        <v>76.650000000000006</v>
      </c>
      <c r="I569">
        <v>18.13</v>
      </c>
      <c r="J569">
        <v>59.94</v>
      </c>
      <c r="K569">
        <v>90</v>
      </c>
      <c r="T569">
        <v>3</v>
      </c>
      <c r="U569">
        <v>1</v>
      </c>
      <c r="V569" t="s">
        <v>94</v>
      </c>
      <c r="W569" t="s">
        <v>839</v>
      </c>
      <c r="X569">
        <v>19</v>
      </c>
      <c r="Y569">
        <v>15</v>
      </c>
      <c r="Z569" t="s">
        <v>836</v>
      </c>
      <c r="AA569" t="s">
        <v>837</v>
      </c>
      <c r="AB569" t="s">
        <v>89</v>
      </c>
      <c r="AC569" t="s">
        <v>90</v>
      </c>
      <c r="AD569" t="s">
        <v>91</v>
      </c>
      <c r="AE569" t="s">
        <v>719</v>
      </c>
      <c r="AG569" t="s">
        <v>838</v>
      </c>
      <c r="AH569">
        <v>0</v>
      </c>
      <c r="AI569">
        <v>207</v>
      </c>
      <c r="AJ569">
        <v>19</v>
      </c>
      <c r="AK569">
        <v>661</v>
      </c>
      <c r="AL569">
        <v>0.88</v>
      </c>
    </row>
    <row r="570" spans="1:38" x14ac:dyDescent="0.3">
      <c r="A570" t="s">
        <v>715</v>
      </c>
      <c r="B570">
        <v>1477</v>
      </c>
      <c r="C570">
        <v>3</v>
      </c>
      <c r="D570" t="s">
        <v>834</v>
      </c>
      <c r="E570">
        <v>1993.07</v>
      </c>
      <c r="F570">
        <v>752</v>
      </c>
      <c r="G570">
        <v>31.44</v>
      </c>
      <c r="H570">
        <v>103.95</v>
      </c>
      <c r="I570">
        <v>25.7</v>
      </c>
      <c r="J570">
        <v>84.97</v>
      </c>
      <c r="K570">
        <v>330</v>
      </c>
      <c r="T570">
        <v>3</v>
      </c>
      <c r="U570">
        <v>2</v>
      </c>
      <c r="V570" t="s">
        <v>94</v>
      </c>
      <c r="W570">
        <v>103</v>
      </c>
      <c r="X570">
        <v>19</v>
      </c>
      <c r="Y570">
        <v>15</v>
      </c>
      <c r="Z570" t="s">
        <v>836</v>
      </c>
      <c r="AA570" t="s">
        <v>837</v>
      </c>
      <c r="AB570" t="s">
        <v>89</v>
      </c>
      <c r="AC570" t="s">
        <v>90</v>
      </c>
      <c r="AD570" t="s">
        <v>91</v>
      </c>
      <c r="AE570" t="s">
        <v>719</v>
      </c>
      <c r="AG570" t="s">
        <v>838</v>
      </c>
      <c r="AH570">
        <v>0</v>
      </c>
      <c r="AI570">
        <v>207</v>
      </c>
      <c r="AJ570">
        <v>19</v>
      </c>
      <c r="AK570">
        <v>661</v>
      </c>
      <c r="AL570">
        <v>0.88</v>
      </c>
    </row>
    <row r="571" spans="1:38" x14ac:dyDescent="0.3">
      <c r="A571" t="s">
        <v>715</v>
      </c>
      <c r="B571">
        <v>1477</v>
      </c>
      <c r="C571">
        <v>4</v>
      </c>
      <c r="D571" t="s">
        <v>834</v>
      </c>
      <c r="E571">
        <v>1993.07</v>
      </c>
      <c r="F571">
        <v>752</v>
      </c>
      <c r="G571">
        <v>32.06</v>
      </c>
      <c r="H571">
        <v>105.99</v>
      </c>
      <c r="I571">
        <v>25.7</v>
      </c>
      <c r="J571">
        <v>84.97</v>
      </c>
      <c r="K571">
        <v>152</v>
      </c>
      <c r="T571">
        <v>3</v>
      </c>
      <c r="U571">
        <v>2</v>
      </c>
      <c r="V571" t="s">
        <v>94</v>
      </c>
      <c r="W571">
        <v>105</v>
      </c>
      <c r="X571">
        <v>19</v>
      </c>
      <c r="Y571">
        <v>15</v>
      </c>
      <c r="Z571" t="s">
        <v>836</v>
      </c>
      <c r="AA571" t="s">
        <v>837</v>
      </c>
      <c r="AB571" t="s">
        <v>89</v>
      </c>
      <c r="AC571" t="s">
        <v>90</v>
      </c>
      <c r="AD571" t="s">
        <v>91</v>
      </c>
      <c r="AE571" t="s">
        <v>719</v>
      </c>
      <c r="AG571" t="s">
        <v>838</v>
      </c>
      <c r="AH571">
        <v>0</v>
      </c>
      <c r="AI571">
        <v>207</v>
      </c>
      <c r="AJ571">
        <v>19</v>
      </c>
      <c r="AK571">
        <v>661</v>
      </c>
      <c r="AL571">
        <v>0.88</v>
      </c>
    </row>
    <row r="572" spans="1:38" x14ac:dyDescent="0.3">
      <c r="A572" t="s">
        <v>715</v>
      </c>
      <c r="B572">
        <v>25078</v>
      </c>
      <c r="C572">
        <v>1</v>
      </c>
      <c r="D572" t="s">
        <v>840</v>
      </c>
      <c r="E572">
        <v>2000.1</v>
      </c>
      <c r="F572">
        <v>180</v>
      </c>
      <c r="G572">
        <v>24.12</v>
      </c>
      <c r="H572">
        <v>79.739999999999995</v>
      </c>
      <c r="I572">
        <v>18.079999999999998</v>
      </c>
      <c r="J572">
        <v>59.79</v>
      </c>
      <c r="K572">
        <v>21</v>
      </c>
      <c r="T572">
        <v>3</v>
      </c>
      <c r="U572">
        <v>1</v>
      </c>
      <c r="V572" t="s">
        <v>94</v>
      </c>
      <c r="W572" t="s">
        <v>159</v>
      </c>
      <c r="X572">
        <v>22</v>
      </c>
      <c r="Y572">
        <v>11</v>
      </c>
      <c r="Z572" t="s">
        <v>841</v>
      </c>
      <c r="AA572" t="s">
        <v>842</v>
      </c>
      <c r="AB572" t="s">
        <v>89</v>
      </c>
      <c r="AC572" t="s">
        <v>90</v>
      </c>
      <c r="AD572" t="s">
        <v>91</v>
      </c>
      <c r="AE572" t="s">
        <v>719</v>
      </c>
      <c r="AG572" t="s">
        <v>843</v>
      </c>
      <c r="AH572">
        <v>0</v>
      </c>
      <c r="AI572">
        <v>325</v>
      </c>
      <c r="AJ572">
        <v>26</v>
      </c>
      <c r="AK572">
        <v>175</v>
      </c>
      <c r="AL572">
        <v>0.97</v>
      </c>
    </row>
    <row r="573" spans="1:38" x14ac:dyDescent="0.3">
      <c r="A573" t="s">
        <v>715</v>
      </c>
      <c r="B573">
        <v>25078</v>
      </c>
      <c r="C573">
        <v>2</v>
      </c>
      <c r="D573" t="s">
        <v>840</v>
      </c>
      <c r="E573">
        <v>2000.1</v>
      </c>
      <c r="F573">
        <v>180</v>
      </c>
      <c r="G573">
        <v>24.2</v>
      </c>
      <c r="H573">
        <v>80.02</v>
      </c>
      <c r="I573">
        <v>18.149999999999999</v>
      </c>
      <c r="J573">
        <v>60</v>
      </c>
      <c r="K573">
        <v>20</v>
      </c>
      <c r="T573">
        <v>2</v>
      </c>
      <c r="U573">
        <v>1</v>
      </c>
      <c r="V573" t="s">
        <v>94</v>
      </c>
      <c r="W573" t="s">
        <v>397</v>
      </c>
      <c r="X573">
        <v>22</v>
      </c>
      <c r="Y573">
        <v>11</v>
      </c>
      <c r="Z573" t="s">
        <v>841</v>
      </c>
      <c r="AA573" t="s">
        <v>842</v>
      </c>
      <c r="AB573" t="s">
        <v>89</v>
      </c>
      <c r="AC573" t="s">
        <v>90</v>
      </c>
      <c r="AD573" t="s">
        <v>91</v>
      </c>
      <c r="AE573" t="s">
        <v>719</v>
      </c>
      <c r="AG573" t="s">
        <v>843</v>
      </c>
      <c r="AH573">
        <v>0</v>
      </c>
      <c r="AI573">
        <v>325</v>
      </c>
      <c r="AJ573">
        <v>26</v>
      </c>
      <c r="AK573">
        <v>175</v>
      </c>
      <c r="AL573">
        <v>0.97</v>
      </c>
    </row>
    <row r="574" spans="1:38" x14ac:dyDescent="0.3">
      <c r="A574" t="s">
        <v>715</v>
      </c>
      <c r="B574">
        <v>25078</v>
      </c>
      <c r="C574">
        <v>3</v>
      </c>
      <c r="D574" t="s">
        <v>840</v>
      </c>
      <c r="E574">
        <v>2000.1</v>
      </c>
      <c r="F574">
        <v>180</v>
      </c>
      <c r="G574">
        <v>30.41</v>
      </c>
      <c r="H574">
        <v>100.55</v>
      </c>
      <c r="I574">
        <v>23.77</v>
      </c>
      <c r="J574">
        <v>78.599999999999994</v>
      </c>
      <c r="K574">
        <v>2</v>
      </c>
      <c r="T574">
        <v>3</v>
      </c>
      <c r="U574">
        <v>1</v>
      </c>
      <c r="V574" t="s">
        <v>94</v>
      </c>
      <c r="W574" t="s">
        <v>844</v>
      </c>
      <c r="X574">
        <v>22</v>
      </c>
      <c r="Y574">
        <v>11</v>
      </c>
      <c r="Z574" t="s">
        <v>841</v>
      </c>
      <c r="AA574" t="s">
        <v>842</v>
      </c>
      <c r="AB574" t="s">
        <v>89</v>
      </c>
      <c r="AC574" t="s">
        <v>90</v>
      </c>
      <c r="AD574" t="s">
        <v>91</v>
      </c>
      <c r="AE574" t="s">
        <v>719</v>
      </c>
      <c r="AG574" t="s">
        <v>843</v>
      </c>
      <c r="AH574">
        <v>0</v>
      </c>
      <c r="AI574">
        <v>325</v>
      </c>
      <c r="AJ574">
        <v>26</v>
      </c>
      <c r="AK574">
        <v>175</v>
      </c>
      <c r="AL574">
        <v>0.97</v>
      </c>
    </row>
    <row r="575" spans="1:38" x14ac:dyDescent="0.3">
      <c r="A575" t="s">
        <v>715</v>
      </c>
      <c r="B575">
        <v>25078</v>
      </c>
      <c r="C575">
        <v>4</v>
      </c>
      <c r="D575" t="s">
        <v>840</v>
      </c>
      <c r="E575">
        <v>2000.1</v>
      </c>
      <c r="F575">
        <v>180</v>
      </c>
      <c r="G575">
        <v>30.68</v>
      </c>
      <c r="H575">
        <v>101.43</v>
      </c>
      <c r="I575">
        <v>23.14</v>
      </c>
      <c r="J575">
        <v>76.5</v>
      </c>
      <c r="K575">
        <v>1</v>
      </c>
      <c r="T575">
        <v>3</v>
      </c>
      <c r="U575">
        <v>1</v>
      </c>
      <c r="V575" t="s">
        <v>94</v>
      </c>
      <c r="W575" t="s">
        <v>845</v>
      </c>
      <c r="X575">
        <v>22</v>
      </c>
      <c r="Y575">
        <v>11</v>
      </c>
      <c r="Z575" t="s">
        <v>841</v>
      </c>
      <c r="AA575" t="s">
        <v>842</v>
      </c>
      <c r="AB575" t="s">
        <v>89</v>
      </c>
      <c r="AC575" t="s">
        <v>90</v>
      </c>
      <c r="AD575" t="s">
        <v>91</v>
      </c>
      <c r="AE575" t="s">
        <v>719</v>
      </c>
      <c r="AG575" t="s">
        <v>843</v>
      </c>
      <c r="AH575">
        <v>0</v>
      </c>
      <c r="AI575">
        <v>325</v>
      </c>
      <c r="AJ575">
        <v>26</v>
      </c>
      <c r="AK575">
        <v>175</v>
      </c>
      <c r="AL575">
        <v>0.97</v>
      </c>
    </row>
    <row r="576" spans="1:38" x14ac:dyDescent="0.3">
      <c r="A576" t="s">
        <v>715</v>
      </c>
      <c r="B576">
        <v>25078</v>
      </c>
      <c r="C576">
        <v>5</v>
      </c>
      <c r="D576" t="s">
        <v>840</v>
      </c>
      <c r="E576">
        <v>2000.1</v>
      </c>
      <c r="F576">
        <v>180</v>
      </c>
      <c r="G576">
        <v>31.46</v>
      </c>
      <c r="H576">
        <v>104.03</v>
      </c>
      <c r="I576">
        <v>23.59</v>
      </c>
      <c r="J576">
        <v>78</v>
      </c>
      <c r="K576">
        <v>1</v>
      </c>
      <c r="T576">
        <v>3</v>
      </c>
      <c r="U576">
        <v>1</v>
      </c>
      <c r="V576" t="s">
        <v>94</v>
      </c>
      <c r="W576" t="s">
        <v>846</v>
      </c>
      <c r="X576">
        <v>22</v>
      </c>
      <c r="Y576">
        <v>11</v>
      </c>
      <c r="Z576" t="s">
        <v>841</v>
      </c>
      <c r="AA576" t="s">
        <v>842</v>
      </c>
      <c r="AB576" t="s">
        <v>89</v>
      </c>
      <c r="AC576" t="s">
        <v>90</v>
      </c>
      <c r="AD576" t="s">
        <v>91</v>
      </c>
      <c r="AE576" t="s">
        <v>719</v>
      </c>
      <c r="AG576" t="s">
        <v>843</v>
      </c>
      <c r="AH576">
        <v>0</v>
      </c>
      <c r="AI576">
        <v>325</v>
      </c>
      <c r="AJ576">
        <v>26</v>
      </c>
      <c r="AK576">
        <v>175</v>
      </c>
      <c r="AL576">
        <v>0.97</v>
      </c>
    </row>
    <row r="577" spans="1:38" x14ac:dyDescent="0.3">
      <c r="A577" t="s">
        <v>715</v>
      </c>
      <c r="B577">
        <v>25078</v>
      </c>
      <c r="C577">
        <v>6</v>
      </c>
      <c r="D577" t="s">
        <v>840</v>
      </c>
      <c r="E577">
        <v>2000.1</v>
      </c>
      <c r="F577">
        <v>180</v>
      </c>
      <c r="G577">
        <v>33.04</v>
      </c>
      <c r="H577">
        <v>109.23</v>
      </c>
      <c r="I577">
        <v>24.77</v>
      </c>
      <c r="J577">
        <v>81.900000000000006</v>
      </c>
      <c r="K577">
        <v>2</v>
      </c>
      <c r="T577">
        <v>3</v>
      </c>
      <c r="U577">
        <v>1</v>
      </c>
      <c r="V577" t="s">
        <v>94</v>
      </c>
      <c r="W577" t="s">
        <v>521</v>
      </c>
      <c r="X577">
        <v>22</v>
      </c>
      <c r="Y577">
        <v>11</v>
      </c>
      <c r="Z577" t="s">
        <v>841</v>
      </c>
      <c r="AA577" t="s">
        <v>842</v>
      </c>
      <c r="AB577" t="s">
        <v>89</v>
      </c>
      <c r="AC577" t="s">
        <v>90</v>
      </c>
      <c r="AD577" t="s">
        <v>91</v>
      </c>
      <c r="AE577" t="s">
        <v>719</v>
      </c>
      <c r="AG577" t="s">
        <v>843</v>
      </c>
      <c r="AH577">
        <v>0</v>
      </c>
      <c r="AI577">
        <v>325</v>
      </c>
      <c r="AJ577">
        <v>26</v>
      </c>
      <c r="AK577">
        <v>175</v>
      </c>
      <c r="AL577">
        <v>0.97</v>
      </c>
    </row>
    <row r="578" spans="1:38" x14ac:dyDescent="0.3">
      <c r="A578" t="s">
        <v>715</v>
      </c>
      <c r="B578">
        <v>25078</v>
      </c>
      <c r="C578">
        <v>7</v>
      </c>
      <c r="D578" t="s">
        <v>840</v>
      </c>
      <c r="E578">
        <v>2000.1</v>
      </c>
      <c r="F578">
        <v>180</v>
      </c>
      <c r="G578">
        <v>34.229999999999997</v>
      </c>
      <c r="H578">
        <v>113.19</v>
      </c>
      <c r="I578">
        <v>25.67</v>
      </c>
      <c r="J578">
        <v>84.87</v>
      </c>
      <c r="K578">
        <v>91</v>
      </c>
      <c r="T578">
        <v>3</v>
      </c>
      <c r="U578">
        <v>2</v>
      </c>
      <c r="V578" t="s">
        <v>94</v>
      </c>
      <c r="W578" t="s">
        <v>847</v>
      </c>
      <c r="X578">
        <v>22</v>
      </c>
      <c r="Y578">
        <v>11</v>
      </c>
      <c r="Z578" t="s">
        <v>841</v>
      </c>
      <c r="AA578" t="s">
        <v>842</v>
      </c>
      <c r="AB578" t="s">
        <v>89</v>
      </c>
      <c r="AC578" t="s">
        <v>90</v>
      </c>
      <c r="AD578" t="s">
        <v>91</v>
      </c>
      <c r="AE578" t="s">
        <v>719</v>
      </c>
      <c r="AG578" t="s">
        <v>843</v>
      </c>
      <c r="AH578">
        <v>0</v>
      </c>
      <c r="AI578">
        <v>325</v>
      </c>
      <c r="AJ578">
        <v>26</v>
      </c>
      <c r="AK578">
        <v>175</v>
      </c>
      <c r="AL578">
        <v>0.97</v>
      </c>
    </row>
    <row r="579" spans="1:38" x14ac:dyDescent="0.3">
      <c r="A579" t="s">
        <v>715</v>
      </c>
      <c r="B579">
        <v>25078</v>
      </c>
      <c r="C579">
        <v>8</v>
      </c>
      <c r="D579" t="s">
        <v>840</v>
      </c>
      <c r="E579">
        <v>2000.1</v>
      </c>
      <c r="F579">
        <v>180</v>
      </c>
      <c r="G579">
        <v>34.26</v>
      </c>
      <c r="H579">
        <v>113.26</v>
      </c>
      <c r="I579">
        <v>25.68</v>
      </c>
      <c r="J579">
        <v>84.9</v>
      </c>
      <c r="K579">
        <v>42</v>
      </c>
      <c r="T579">
        <v>3</v>
      </c>
      <c r="U579">
        <v>2</v>
      </c>
      <c r="V579" t="s">
        <v>94</v>
      </c>
      <c r="W579" t="s">
        <v>263</v>
      </c>
      <c r="X579">
        <v>22</v>
      </c>
      <c r="Y579">
        <v>11</v>
      </c>
      <c r="Z579" t="s">
        <v>841</v>
      </c>
      <c r="AA579" t="s">
        <v>842</v>
      </c>
      <c r="AB579" t="s">
        <v>89</v>
      </c>
      <c r="AC579" t="s">
        <v>90</v>
      </c>
      <c r="AD579" t="s">
        <v>91</v>
      </c>
      <c r="AE579" t="s">
        <v>719</v>
      </c>
      <c r="AG579" t="s">
        <v>843</v>
      </c>
      <c r="AH579">
        <v>0</v>
      </c>
      <c r="AI579">
        <v>325</v>
      </c>
      <c r="AJ579">
        <v>26</v>
      </c>
      <c r="AK579">
        <v>175</v>
      </c>
      <c r="AL579">
        <v>0.97</v>
      </c>
    </row>
    <row r="580" spans="1:38" x14ac:dyDescent="0.3">
      <c r="A580" t="s">
        <v>715</v>
      </c>
      <c r="B580">
        <v>1478</v>
      </c>
      <c r="C580">
        <v>1</v>
      </c>
      <c r="D580" t="s">
        <v>848</v>
      </c>
      <c r="E580">
        <v>1993.1</v>
      </c>
      <c r="F580">
        <v>656</v>
      </c>
      <c r="G580">
        <v>23.44</v>
      </c>
      <c r="H580">
        <v>77.510000000000005</v>
      </c>
      <c r="I580">
        <v>18.079999999999998</v>
      </c>
      <c r="J580">
        <v>59.79</v>
      </c>
      <c r="K580">
        <v>210</v>
      </c>
      <c r="T580">
        <v>3</v>
      </c>
      <c r="U580">
        <v>1</v>
      </c>
      <c r="V580" t="s">
        <v>94</v>
      </c>
      <c r="W580">
        <v>77</v>
      </c>
      <c r="X580">
        <v>23</v>
      </c>
      <c r="Y580">
        <v>15</v>
      </c>
      <c r="Z580" t="s">
        <v>849</v>
      </c>
      <c r="AA580" t="s">
        <v>850</v>
      </c>
      <c r="AB580" t="s">
        <v>89</v>
      </c>
      <c r="AC580" t="s">
        <v>90</v>
      </c>
      <c r="AD580" t="s">
        <v>91</v>
      </c>
      <c r="AE580" t="s">
        <v>719</v>
      </c>
      <c r="AG580" t="s">
        <v>851</v>
      </c>
      <c r="AH580">
        <v>0</v>
      </c>
      <c r="AI580">
        <v>205</v>
      </c>
      <c r="AJ580">
        <v>15</v>
      </c>
      <c r="AK580">
        <v>455</v>
      </c>
      <c r="AL580">
        <v>0.69</v>
      </c>
    </row>
    <row r="581" spans="1:38" x14ac:dyDescent="0.3">
      <c r="A581" t="s">
        <v>715</v>
      </c>
      <c r="B581">
        <v>1478</v>
      </c>
      <c r="C581">
        <v>2</v>
      </c>
      <c r="D581" t="s">
        <v>848</v>
      </c>
      <c r="E581">
        <v>1993.1</v>
      </c>
      <c r="F581">
        <v>656</v>
      </c>
      <c r="G581">
        <v>32.15</v>
      </c>
      <c r="H581">
        <v>106.3</v>
      </c>
      <c r="I581">
        <v>25.68</v>
      </c>
      <c r="J581">
        <v>84.9</v>
      </c>
      <c r="K581">
        <v>446</v>
      </c>
      <c r="T581">
        <v>3</v>
      </c>
      <c r="U581">
        <v>2</v>
      </c>
      <c r="V581" t="s">
        <v>94</v>
      </c>
      <c r="W581">
        <v>106</v>
      </c>
      <c r="X581">
        <v>23</v>
      </c>
      <c r="Y581">
        <v>15</v>
      </c>
      <c r="Z581" t="s">
        <v>849</v>
      </c>
      <c r="AA581" t="s">
        <v>850</v>
      </c>
      <c r="AB581" t="s">
        <v>89</v>
      </c>
      <c r="AC581" t="s">
        <v>90</v>
      </c>
      <c r="AD581" t="s">
        <v>91</v>
      </c>
      <c r="AE581" t="s">
        <v>719</v>
      </c>
      <c r="AG581" t="s">
        <v>851</v>
      </c>
      <c r="AH581">
        <v>0</v>
      </c>
      <c r="AI581">
        <v>205</v>
      </c>
      <c r="AJ581">
        <v>15</v>
      </c>
      <c r="AK581">
        <v>455</v>
      </c>
      <c r="AL581">
        <v>0.69</v>
      </c>
    </row>
    <row r="582" spans="1:38" x14ac:dyDescent="0.3">
      <c r="A582" t="s">
        <v>852</v>
      </c>
      <c r="B582">
        <v>122261</v>
      </c>
      <c r="C582">
        <v>1</v>
      </c>
      <c r="D582" t="s">
        <v>853</v>
      </c>
      <c r="E582">
        <v>2014.03</v>
      </c>
      <c r="F582">
        <v>95</v>
      </c>
      <c r="G582">
        <v>8.93</v>
      </c>
      <c r="H582">
        <v>29.54</v>
      </c>
      <c r="I582">
        <v>5.73</v>
      </c>
      <c r="J582">
        <v>18.96</v>
      </c>
      <c r="K582">
        <v>95</v>
      </c>
      <c r="T582">
        <v>1</v>
      </c>
      <c r="U582">
        <v>1</v>
      </c>
      <c r="V582" t="s">
        <v>128</v>
      </c>
      <c r="W582">
        <v>29</v>
      </c>
      <c r="X582">
        <v>6</v>
      </c>
      <c r="Y582">
        <v>6</v>
      </c>
      <c r="Z582" t="s">
        <v>854</v>
      </c>
      <c r="AA582" t="s">
        <v>855</v>
      </c>
      <c r="AB582" t="s">
        <v>89</v>
      </c>
      <c r="AC582" t="s">
        <v>90</v>
      </c>
      <c r="AD582" t="s">
        <v>91</v>
      </c>
      <c r="AE582" t="s">
        <v>856</v>
      </c>
      <c r="AG582" t="s">
        <v>857</v>
      </c>
      <c r="AH582">
        <v>0</v>
      </c>
      <c r="AI582">
        <v>414</v>
      </c>
      <c r="AJ582">
        <v>65</v>
      </c>
      <c r="AK582">
        <v>79</v>
      </c>
      <c r="AL582">
        <v>0.83</v>
      </c>
    </row>
    <row r="583" spans="1:38" x14ac:dyDescent="0.3">
      <c r="A583" t="s">
        <v>852</v>
      </c>
      <c r="B583">
        <v>13324</v>
      </c>
      <c r="C583">
        <v>1</v>
      </c>
      <c r="D583" t="s">
        <v>858</v>
      </c>
      <c r="E583">
        <v>1995.01</v>
      </c>
      <c r="F583">
        <v>16</v>
      </c>
      <c r="G583">
        <v>27.37</v>
      </c>
      <c r="H583">
        <v>90.5</v>
      </c>
      <c r="I583">
        <v>23.19</v>
      </c>
      <c r="J583">
        <v>76.67</v>
      </c>
      <c r="K583">
        <v>4</v>
      </c>
      <c r="T583">
        <v>3</v>
      </c>
      <c r="U583">
        <v>1</v>
      </c>
      <c r="V583" t="s">
        <v>128</v>
      </c>
      <c r="W583">
        <v>90</v>
      </c>
      <c r="X583">
        <v>10</v>
      </c>
      <c r="Y583">
        <v>7</v>
      </c>
      <c r="Z583" t="s">
        <v>859</v>
      </c>
      <c r="AA583" t="s">
        <v>860</v>
      </c>
      <c r="AB583" t="s">
        <v>89</v>
      </c>
      <c r="AC583" t="s">
        <v>90</v>
      </c>
      <c r="AD583" t="s">
        <v>91</v>
      </c>
      <c r="AE583" t="s">
        <v>856</v>
      </c>
      <c r="AG583" t="s">
        <v>861</v>
      </c>
      <c r="AH583">
        <v>0</v>
      </c>
      <c r="AI583">
        <v>0</v>
      </c>
      <c r="AJ583">
        <v>0</v>
      </c>
      <c r="AK583">
        <v>15</v>
      </c>
      <c r="AL583">
        <v>0.94</v>
      </c>
    </row>
    <row r="584" spans="1:38" x14ac:dyDescent="0.3">
      <c r="A584" t="s">
        <v>852</v>
      </c>
      <c r="B584">
        <v>13324</v>
      </c>
      <c r="C584">
        <v>2</v>
      </c>
      <c r="D584" t="s">
        <v>858</v>
      </c>
      <c r="E584">
        <v>1995.01</v>
      </c>
      <c r="F584">
        <v>16</v>
      </c>
      <c r="G584">
        <v>37.74</v>
      </c>
      <c r="H584">
        <v>124.78</v>
      </c>
      <c r="I584">
        <v>31.97</v>
      </c>
      <c r="J584">
        <v>105.71</v>
      </c>
      <c r="K584">
        <v>4</v>
      </c>
      <c r="T584">
        <v>4</v>
      </c>
      <c r="U584">
        <v>2</v>
      </c>
      <c r="V584" t="s">
        <v>128</v>
      </c>
      <c r="W584">
        <v>124</v>
      </c>
      <c r="X584">
        <v>10</v>
      </c>
      <c r="Y584">
        <v>7</v>
      </c>
      <c r="Z584" t="s">
        <v>859</v>
      </c>
      <c r="AA584" t="s">
        <v>860</v>
      </c>
      <c r="AB584" t="s">
        <v>89</v>
      </c>
      <c r="AC584" t="s">
        <v>90</v>
      </c>
      <c r="AD584" t="s">
        <v>91</v>
      </c>
      <c r="AE584" t="s">
        <v>856</v>
      </c>
      <c r="AG584" t="s">
        <v>861</v>
      </c>
      <c r="AH584">
        <v>0</v>
      </c>
      <c r="AI584">
        <v>0</v>
      </c>
      <c r="AJ584">
        <v>0</v>
      </c>
      <c r="AK584">
        <v>15</v>
      </c>
      <c r="AL584">
        <v>0.94</v>
      </c>
    </row>
    <row r="585" spans="1:38" x14ac:dyDescent="0.3">
      <c r="A585" t="s">
        <v>852</v>
      </c>
      <c r="B585">
        <v>13324</v>
      </c>
      <c r="C585">
        <v>3</v>
      </c>
      <c r="D585" t="s">
        <v>858</v>
      </c>
      <c r="E585">
        <v>1995.01</v>
      </c>
      <c r="F585">
        <v>16</v>
      </c>
      <c r="G585">
        <v>42.35</v>
      </c>
      <c r="H585">
        <v>140.02000000000001</v>
      </c>
      <c r="I585">
        <v>35.880000000000003</v>
      </c>
      <c r="J585">
        <v>118.62</v>
      </c>
      <c r="K585">
        <v>4</v>
      </c>
      <c r="T585">
        <v>4</v>
      </c>
      <c r="U585">
        <v>2</v>
      </c>
      <c r="V585" t="s">
        <v>128</v>
      </c>
      <c r="W585">
        <v>140</v>
      </c>
      <c r="X585">
        <v>10</v>
      </c>
      <c r="Y585">
        <v>7</v>
      </c>
      <c r="Z585" t="s">
        <v>859</v>
      </c>
      <c r="AA585" t="s">
        <v>860</v>
      </c>
      <c r="AB585" t="s">
        <v>89</v>
      </c>
      <c r="AC585" t="s">
        <v>90</v>
      </c>
      <c r="AD585" t="s">
        <v>91</v>
      </c>
      <c r="AE585" t="s">
        <v>856</v>
      </c>
      <c r="AG585" t="s">
        <v>861</v>
      </c>
      <c r="AH585">
        <v>0</v>
      </c>
      <c r="AI585">
        <v>0</v>
      </c>
      <c r="AJ585">
        <v>0</v>
      </c>
      <c r="AK585">
        <v>15</v>
      </c>
      <c r="AL585">
        <v>0.94</v>
      </c>
    </row>
    <row r="586" spans="1:38" x14ac:dyDescent="0.3">
      <c r="A586" t="s">
        <v>852</v>
      </c>
      <c r="B586">
        <v>13324</v>
      </c>
      <c r="C586">
        <v>4</v>
      </c>
      <c r="D586" t="s">
        <v>858</v>
      </c>
      <c r="E586">
        <v>1995.01</v>
      </c>
      <c r="F586">
        <v>16</v>
      </c>
      <c r="G586">
        <v>54.9</v>
      </c>
      <c r="H586">
        <v>181.52</v>
      </c>
      <c r="I586">
        <v>46.51</v>
      </c>
      <c r="J586">
        <v>153.78</v>
      </c>
      <c r="K586">
        <v>4</v>
      </c>
      <c r="T586">
        <v>5</v>
      </c>
      <c r="U586">
        <v>2</v>
      </c>
      <c r="V586" t="s">
        <v>128</v>
      </c>
      <c r="W586">
        <v>181</v>
      </c>
      <c r="X586">
        <v>10</v>
      </c>
      <c r="Y586">
        <v>7</v>
      </c>
      <c r="Z586" t="s">
        <v>859</v>
      </c>
      <c r="AA586" t="s">
        <v>860</v>
      </c>
      <c r="AB586" t="s">
        <v>89</v>
      </c>
      <c r="AC586" t="s">
        <v>90</v>
      </c>
      <c r="AD586" t="s">
        <v>91</v>
      </c>
      <c r="AE586" t="s">
        <v>856</v>
      </c>
      <c r="AG586" t="s">
        <v>861</v>
      </c>
      <c r="AH586">
        <v>0</v>
      </c>
      <c r="AI586">
        <v>0</v>
      </c>
      <c r="AJ586">
        <v>0</v>
      </c>
      <c r="AK586">
        <v>15</v>
      </c>
      <c r="AL586">
        <v>0.94</v>
      </c>
    </row>
    <row r="587" spans="1:38" x14ac:dyDescent="0.3">
      <c r="A587" t="s">
        <v>852</v>
      </c>
      <c r="B587">
        <v>19128</v>
      </c>
      <c r="C587">
        <v>1</v>
      </c>
      <c r="D587" t="s">
        <v>862</v>
      </c>
      <c r="E587">
        <v>2005.09</v>
      </c>
      <c r="F587">
        <v>83</v>
      </c>
      <c r="G587">
        <v>27.67</v>
      </c>
      <c r="H587">
        <v>91.48</v>
      </c>
      <c r="I587">
        <v>21.38</v>
      </c>
      <c r="J587">
        <v>70.7</v>
      </c>
      <c r="K587">
        <v>39</v>
      </c>
      <c r="T587">
        <v>3</v>
      </c>
      <c r="U587">
        <v>2</v>
      </c>
      <c r="V587" t="s">
        <v>94</v>
      </c>
      <c r="W587">
        <v>91</v>
      </c>
      <c r="X587">
        <v>14</v>
      </c>
      <c r="Y587">
        <v>9</v>
      </c>
      <c r="Z587" t="s">
        <v>863</v>
      </c>
      <c r="AA587" t="s">
        <v>864</v>
      </c>
      <c r="AB587" t="s">
        <v>89</v>
      </c>
      <c r="AC587" t="s">
        <v>90</v>
      </c>
      <c r="AD587" t="s">
        <v>91</v>
      </c>
      <c r="AE587" t="s">
        <v>856</v>
      </c>
      <c r="AG587" t="s">
        <v>865</v>
      </c>
      <c r="AH587">
        <v>0</v>
      </c>
      <c r="AI587">
        <v>243</v>
      </c>
      <c r="AJ587">
        <v>30</v>
      </c>
      <c r="AK587">
        <v>90</v>
      </c>
      <c r="AL587">
        <v>1.08</v>
      </c>
    </row>
    <row r="588" spans="1:38" x14ac:dyDescent="0.3">
      <c r="A588" t="s">
        <v>852</v>
      </c>
      <c r="B588">
        <v>19128</v>
      </c>
      <c r="C588">
        <v>2</v>
      </c>
      <c r="D588" t="s">
        <v>862</v>
      </c>
      <c r="E588">
        <v>2005.09</v>
      </c>
      <c r="F588">
        <v>83</v>
      </c>
      <c r="G588">
        <v>33.03</v>
      </c>
      <c r="H588">
        <v>109.21</v>
      </c>
      <c r="I588">
        <v>25.7</v>
      </c>
      <c r="J588">
        <v>84.96</v>
      </c>
      <c r="K588">
        <v>40</v>
      </c>
      <c r="T588">
        <v>3</v>
      </c>
      <c r="U588">
        <v>2</v>
      </c>
      <c r="V588" t="s">
        <v>94</v>
      </c>
      <c r="W588">
        <v>109</v>
      </c>
      <c r="X588">
        <v>14</v>
      </c>
      <c r="Y588">
        <v>9</v>
      </c>
      <c r="Z588" t="s">
        <v>863</v>
      </c>
      <c r="AA588" t="s">
        <v>864</v>
      </c>
      <c r="AB588" t="s">
        <v>89</v>
      </c>
      <c r="AC588" t="s">
        <v>90</v>
      </c>
      <c r="AD588" t="s">
        <v>91</v>
      </c>
      <c r="AE588" t="s">
        <v>856</v>
      </c>
      <c r="AG588" t="s">
        <v>865</v>
      </c>
      <c r="AH588">
        <v>0</v>
      </c>
      <c r="AI588">
        <v>243</v>
      </c>
      <c r="AJ588">
        <v>30</v>
      </c>
      <c r="AK588">
        <v>90</v>
      </c>
      <c r="AL588">
        <v>1.08</v>
      </c>
    </row>
    <row r="589" spans="1:38" x14ac:dyDescent="0.3">
      <c r="A589" t="s">
        <v>852</v>
      </c>
      <c r="B589">
        <v>19128</v>
      </c>
      <c r="C589">
        <v>3</v>
      </c>
      <c r="D589" t="s">
        <v>862</v>
      </c>
      <c r="E589">
        <v>2005.09</v>
      </c>
      <c r="F589">
        <v>83</v>
      </c>
      <c r="G589">
        <v>46.79</v>
      </c>
      <c r="H589">
        <v>154.71</v>
      </c>
      <c r="I589">
        <v>36.28</v>
      </c>
      <c r="J589">
        <v>119.96</v>
      </c>
      <c r="K589">
        <v>2</v>
      </c>
      <c r="T589">
        <v>4</v>
      </c>
      <c r="U589">
        <v>2</v>
      </c>
      <c r="V589" t="s">
        <v>94</v>
      </c>
      <c r="W589">
        <v>154</v>
      </c>
      <c r="X589">
        <v>14</v>
      </c>
      <c r="Y589">
        <v>9</v>
      </c>
      <c r="Z589" t="s">
        <v>863</v>
      </c>
      <c r="AA589" t="s">
        <v>864</v>
      </c>
      <c r="AB589" t="s">
        <v>89</v>
      </c>
      <c r="AC589" t="s">
        <v>90</v>
      </c>
      <c r="AD589" t="s">
        <v>91</v>
      </c>
      <c r="AE589" t="s">
        <v>856</v>
      </c>
      <c r="AG589" t="s">
        <v>865</v>
      </c>
      <c r="AH589">
        <v>0</v>
      </c>
      <c r="AI589">
        <v>243</v>
      </c>
      <c r="AJ589">
        <v>30</v>
      </c>
      <c r="AK589">
        <v>90</v>
      </c>
      <c r="AL589">
        <v>1.08</v>
      </c>
    </row>
    <row r="590" spans="1:38" x14ac:dyDescent="0.3">
      <c r="A590" t="s">
        <v>852</v>
      </c>
      <c r="B590">
        <v>19128</v>
      </c>
      <c r="C590">
        <v>4</v>
      </c>
      <c r="D590" t="s">
        <v>862</v>
      </c>
      <c r="E590">
        <v>2005.09</v>
      </c>
      <c r="F590">
        <v>83</v>
      </c>
      <c r="G590">
        <v>47.97</v>
      </c>
      <c r="H590">
        <v>158.59</v>
      </c>
      <c r="I590">
        <v>37.44</v>
      </c>
      <c r="J590">
        <v>123.77</v>
      </c>
      <c r="K590">
        <v>2</v>
      </c>
      <c r="T590">
        <v>4</v>
      </c>
      <c r="U590">
        <v>2</v>
      </c>
      <c r="V590" t="s">
        <v>94</v>
      </c>
      <c r="W590">
        <v>158</v>
      </c>
      <c r="X590">
        <v>14</v>
      </c>
      <c r="Y590">
        <v>9</v>
      </c>
      <c r="Z590" t="s">
        <v>863</v>
      </c>
      <c r="AA590" t="s">
        <v>864</v>
      </c>
      <c r="AB590" t="s">
        <v>89</v>
      </c>
      <c r="AC590" t="s">
        <v>90</v>
      </c>
      <c r="AD590" t="s">
        <v>91</v>
      </c>
      <c r="AE590" t="s">
        <v>856</v>
      </c>
      <c r="AG590" t="s">
        <v>865</v>
      </c>
      <c r="AH590">
        <v>0</v>
      </c>
      <c r="AI590">
        <v>243</v>
      </c>
      <c r="AJ590">
        <v>30</v>
      </c>
      <c r="AK590">
        <v>90</v>
      </c>
      <c r="AL590">
        <v>1.08</v>
      </c>
    </row>
    <row r="591" spans="1:38" x14ac:dyDescent="0.3">
      <c r="A591" t="s">
        <v>852</v>
      </c>
      <c r="B591">
        <v>111203</v>
      </c>
      <c r="C591">
        <v>1</v>
      </c>
      <c r="D591" t="s">
        <v>866</v>
      </c>
      <c r="E591">
        <v>2015.08</v>
      </c>
      <c r="F591">
        <v>23</v>
      </c>
      <c r="G591">
        <v>25.04</v>
      </c>
      <c r="H591">
        <v>82.8</v>
      </c>
      <c r="I591">
        <v>22.07</v>
      </c>
      <c r="J591">
        <v>72.97</v>
      </c>
      <c r="K591">
        <v>7</v>
      </c>
      <c r="T591">
        <v>3</v>
      </c>
      <c r="U591">
        <v>2</v>
      </c>
      <c r="V591" t="s">
        <v>94</v>
      </c>
      <c r="W591">
        <v>82</v>
      </c>
      <c r="X591">
        <v>10</v>
      </c>
      <c r="Y591">
        <v>9</v>
      </c>
      <c r="Z591" t="s">
        <v>867</v>
      </c>
      <c r="AA591" t="s">
        <v>868</v>
      </c>
      <c r="AB591" t="s">
        <v>89</v>
      </c>
      <c r="AC591" t="s">
        <v>90</v>
      </c>
      <c r="AD591" t="s">
        <v>91</v>
      </c>
      <c r="AE591" t="s">
        <v>856</v>
      </c>
      <c r="AG591" t="s">
        <v>869</v>
      </c>
      <c r="AH591">
        <v>0</v>
      </c>
      <c r="AI591">
        <v>302</v>
      </c>
      <c r="AJ591">
        <v>39</v>
      </c>
      <c r="AK591">
        <v>23</v>
      </c>
      <c r="AL591">
        <v>1</v>
      </c>
    </row>
    <row r="592" spans="1:38" x14ac:dyDescent="0.3">
      <c r="A592" t="s">
        <v>852</v>
      </c>
      <c r="B592">
        <v>111203</v>
      </c>
      <c r="C592">
        <v>2</v>
      </c>
      <c r="D592" t="s">
        <v>866</v>
      </c>
      <c r="E592">
        <v>2015.08</v>
      </c>
      <c r="F592">
        <v>23</v>
      </c>
      <c r="G592">
        <v>25.61</v>
      </c>
      <c r="H592">
        <v>84.67</v>
      </c>
      <c r="I592">
        <v>22.56</v>
      </c>
      <c r="J592">
        <v>74.61</v>
      </c>
      <c r="K592">
        <v>7</v>
      </c>
      <c r="T592">
        <v>3</v>
      </c>
      <c r="U592">
        <v>2</v>
      </c>
      <c r="V592" t="s">
        <v>94</v>
      </c>
      <c r="W592">
        <v>84</v>
      </c>
      <c r="X592">
        <v>10</v>
      </c>
      <c r="Y592">
        <v>9</v>
      </c>
      <c r="Z592" t="s">
        <v>867</v>
      </c>
      <c r="AA592" t="s">
        <v>868</v>
      </c>
      <c r="AB592" t="s">
        <v>89</v>
      </c>
      <c r="AC592" t="s">
        <v>90</v>
      </c>
      <c r="AD592" t="s">
        <v>91</v>
      </c>
      <c r="AE592" t="s">
        <v>856</v>
      </c>
      <c r="AG592" t="s">
        <v>869</v>
      </c>
      <c r="AH592">
        <v>0</v>
      </c>
      <c r="AI592">
        <v>302</v>
      </c>
      <c r="AJ592">
        <v>39</v>
      </c>
      <c r="AK592">
        <v>23</v>
      </c>
      <c r="AL592">
        <v>1</v>
      </c>
    </row>
    <row r="593" spans="1:38" x14ac:dyDescent="0.3">
      <c r="A593" t="s">
        <v>852</v>
      </c>
      <c r="B593">
        <v>111203</v>
      </c>
      <c r="C593">
        <v>3</v>
      </c>
      <c r="D593" t="s">
        <v>866</v>
      </c>
      <c r="E593">
        <v>2015.08</v>
      </c>
      <c r="F593">
        <v>23</v>
      </c>
      <c r="G593">
        <v>26.88</v>
      </c>
      <c r="H593">
        <v>88.86</v>
      </c>
      <c r="I593">
        <v>23.68</v>
      </c>
      <c r="J593">
        <v>78.3</v>
      </c>
      <c r="K593">
        <v>7</v>
      </c>
      <c r="T593">
        <v>3</v>
      </c>
      <c r="U593">
        <v>2</v>
      </c>
      <c r="V593" t="s">
        <v>94</v>
      </c>
      <c r="W593">
        <v>88</v>
      </c>
      <c r="X593">
        <v>10</v>
      </c>
      <c r="Y593">
        <v>9</v>
      </c>
      <c r="Z593" t="s">
        <v>867</v>
      </c>
      <c r="AA593" t="s">
        <v>868</v>
      </c>
      <c r="AB593" t="s">
        <v>89</v>
      </c>
      <c r="AC593" t="s">
        <v>90</v>
      </c>
      <c r="AD593" t="s">
        <v>91</v>
      </c>
      <c r="AE593" t="s">
        <v>856</v>
      </c>
      <c r="AG593" t="s">
        <v>869</v>
      </c>
      <c r="AH593">
        <v>0</v>
      </c>
      <c r="AI593">
        <v>302</v>
      </c>
      <c r="AJ593">
        <v>39</v>
      </c>
      <c r="AK593">
        <v>23</v>
      </c>
      <c r="AL593">
        <v>1</v>
      </c>
    </row>
    <row r="594" spans="1:38" x14ac:dyDescent="0.3">
      <c r="A594" t="s">
        <v>852</v>
      </c>
      <c r="B594">
        <v>111203</v>
      </c>
      <c r="C594">
        <v>4</v>
      </c>
      <c r="D594" t="s">
        <v>866</v>
      </c>
      <c r="E594">
        <v>2015.08</v>
      </c>
      <c r="F594">
        <v>23</v>
      </c>
      <c r="G594">
        <v>28.96</v>
      </c>
      <c r="H594">
        <v>95.74</v>
      </c>
      <c r="I594">
        <v>25.52</v>
      </c>
      <c r="J594">
        <v>84.37</v>
      </c>
      <c r="K594">
        <v>1</v>
      </c>
      <c r="T594">
        <v>3</v>
      </c>
      <c r="U594">
        <v>2</v>
      </c>
      <c r="V594" t="s">
        <v>94</v>
      </c>
      <c r="W594" t="s">
        <v>618</v>
      </c>
      <c r="X594">
        <v>10</v>
      </c>
      <c r="Y594">
        <v>9</v>
      </c>
      <c r="Z594" t="s">
        <v>867</v>
      </c>
      <c r="AA594" t="s">
        <v>868</v>
      </c>
      <c r="AB594" t="s">
        <v>89</v>
      </c>
      <c r="AC594" t="s">
        <v>90</v>
      </c>
      <c r="AD594" t="s">
        <v>91</v>
      </c>
      <c r="AE594" t="s">
        <v>856</v>
      </c>
      <c r="AG594" t="s">
        <v>869</v>
      </c>
      <c r="AH594">
        <v>0</v>
      </c>
      <c r="AI594">
        <v>302</v>
      </c>
      <c r="AJ594">
        <v>39</v>
      </c>
      <c r="AK594">
        <v>23</v>
      </c>
      <c r="AL594">
        <v>1</v>
      </c>
    </row>
    <row r="595" spans="1:38" x14ac:dyDescent="0.3">
      <c r="A595" t="s">
        <v>852</v>
      </c>
      <c r="B595">
        <v>111203</v>
      </c>
      <c r="C595">
        <v>5</v>
      </c>
      <c r="D595" t="s">
        <v>866</v>
      </c>
      <c r="E595">
        <v>2015.08</v>
      </c>
      <c r="F595">
        <v>23</v>
      </c>
      <c r="G595">
        <v>29.16</v>
      </c>
      <c r="H595">
        <v>96.42</v>
      </c>
      <c r="I595">
        <v>25.7</v>
      </c>
      <c r="J595">
        <v>84.97</v>
      </c>
      <c r="K595">
        <v>1</v>
      </c>
      <c r="T595">
        <v>3</v>
      </c>
      <c r="U595">
        <v>2</v>
      </c>
      <c r="V595" t="s">
        <v>94</v>
      </c>
      <c r="W595" t="s">
        <v>870</v>
      </c>
      <c r="X595">
        <v>10</v>
      </c>
      <c r="Y595">
        <v>9</v>
      </c>
      <c r="Z595" t="s">
        <v>867</v>
      </c>
      <c r="AA595" t="s">
        <v>868</v>
      </c>
      <c r="AB595" t="s">
        <v>89</v>
      </c>
      <c r="AC595" t="s">
        <v>90</v>
      </c>
      <c r="AD595" t="s">
        <v>91</v>
      </c>
      <c r="AE595" t="s">
        <v>856</v>
      </c>
      <c r="AG595" t="s">
        <v>869</v>
      </c>
      <c r="AH595">
        <v>0</v>
      </c>
      <c r="AI595">
        <v>302</v>
      </c>
      <c r="AJ595">
        <v>39</v>
      </c>
      <c r="AK595">
        <v>23</v>
      </c>
      <c r="AL595">
        <v>1</v>
      </c>
    </row>
    <row r="596" spans="1:38" x14ac:dyDescent="0.3">
      <c r="A596" t="s">
        <v>852</v>
      </c>
      <c r="B596">
        <v>13383</v>
      </c>
      <c r="C596">
        <v>1</v>
      </c>
      <c r="D596" t="s">
        <v>871</v>
      </c>
      <c r="E596">
        <v>2005.12</v>
      </c>
      <c r="F596">
        <v>148</v>
      </c>
      <c r="G596">
        <v>27.94</v>
      </c>
      <c r="H596">
        <v>92.38</v>
      </c>
      <c r="I596">
        <v>21.78</v>
      </c>
      <c r="J596">
        <v>72</v>
      </c>
      <c r="K596">
        <v>32</v>
      </c>
      <c r="T596">
        <v>3</v>
      </c>
      <c r="U596">
        <v>2</v>
      </c>
      <c r="V596" t="s">
        <v>94</v>
      </c>
      <c r="W596">
        <v>92</v>
      </c>
      <c r="X596">
        <v>21</v>
      </c>
      <c r="Y596">
        <v>7</v>
      </c>
      <c r="Z596" t="s">
        <v>872</v>
      </c>
      <c r="AA596" t="s">
        <v>873</v>
      </c>
      <c r="AB596" t="s">
        <v>89</v>
      </c>
      <c r="AC596" t="s">
        <v>90</v>
      </c>
      <c r="AD596" t="s">
        <v>91</v>
      </c>
      <c r="AE596" t="s">
        <v>856</v>
      </c>
      <c r="AG596" t="s">
        <v>874</v>
      </c>
      <c r="AH596">
        <v>0</v>
      </c>
      <c r="AI596">
        <v>0</v>
      </c>
      <c r="AJ596">
        <v>0</v>
      </c>
      <c r="AK596">
        <v>163</v>
      </c>
      <c r="AL596">
        <v>1.1000000000000001</v>
      </c>
    </row>
    <row r="597" spans="1:38" x14ac:dyDescent="0.3">
      <c r="A597" t="s">
        <v>852</v>
      </c>
      <c r="B597">
        <v>13383</v>
      </c>
      <c r="C597">
        <v>2</v>
      </c>
      <c r="D597" t="s">
        <v>871</v>
      </c>
      <c r="E597">
        <v>2005.12</v>
      </c>
      <c r="F597">
        <v>148</v>
      </c>
      <c r="G597">
        <v>32.549999999999997</v>
      </c>
      <c r="H597">
        <v>107.61</v>
      </c>
      <c r="I597">
        <v>25.69</v>
      </c>
      <c r="J597">
        <v>84.95</v>
      </c>
      <c r="K597">
        <v>116</v>
      </c>
      <c r="T597">
        <v>3</v>
      </c>
      <c r="U597">
        <v>2</v>
      </c>
      <c r="V597" t="s">
        <v>94</v>
      </c>
      <c r="W597" t="s">
        <v>428</v>
      </c>
      <c r="X597">
        <v>21</v>
      </c>
      <c r="Y597">
        <v>7</v>
      </c>
      <c r="Z597" t="s">
        <v>872</v>
      </c>
      <c r="AA597" t="s">
        <v>873</v>
      </c>
      <c r="AB597" t="s">
        <v>89</v>
      </c>
      <c r="AC597" t="s">
        <v>90</v>
      </c>
      <c r="AD597" t="s">
        <v>91</v>
      </c>
      <c r="AE597" t="s">
        <v>856</v>
      </c>
      <c r="AG597" t="s">
        <v>874</v>
      </c>
      <c r="AH597">
        <v>0</v>
      </c>
      <c r="AI597">
        <v>0</v>
      </c>
      <c r="AJ597">
        <v>0</v>
      </c>
      <c r="AK597">
        <v>163</v>
      </c>
      <c r="AL597">
        <v>1.1000000000000001</v>
      </c>
    </row>
    <row r="598" spans="1:38" x14ac:dyDescent="0.3">
      <c r="A598" t="s">
        <v>852</v>
      </c>
      <c r="B598">
        <v>2043</v>
      </c>
      <c r="C598">
        <v>1</v>
      </c>
      <c r="D598" t="s">
        <v>875</v>
      </c>
      <c r="E598">
        <v>1999.12</v>
      </c>
      <c r="F598">
        <v>116</v>
      </c>
      <c r="G598">
        <v>24.62</v>
      </c>
      <c r="H598">
        <v>81.41</v>
      </c>
      <c r="I598">
        <v>18.149999999999999</v>
      </c>
      <c r="J598">
        <v>60</v>
      </c>
      <c r="K598">
        <v>50</v>
      </c>
      <c r="T598">
        <v>3</v>
      </c>
      <c r="U598">
        <v>1</v>
      </c>
      <c r="V598" t="s">
        <v>128</v>
      </c>
      <c r="W598">
        <v>81</v>
      </c>
      <c r="X598">
        <v>17</v>
      </c>
      <c r="Y598">
        <v>17</v>
      </c>
      <c r="Z598" t="s">
        <v>876</v>
      </c>
      <c r="AA598" t="s">
        <v>877</v>
      </c>
      <c r="AB598" t="s">
        <v>89</v>
      </c>
      <c r="AC598" t="s">
        <v>90</v>
      </c>
      <c r="AD598" t="s">
        <v>91</v>
      </c>
      <c r="AE598" t="s">
        <v>856</v>
      </c>
      <c r="AG598" t="s">
        <v>878</v>
      </c>
      <c r="AH598">
        <v>0</v>
      </c>
      <c r="AI598">
        <v>319</v>
      </c>
      <c r="AJ598">
        <v>24</v>
      </c>
      <c r="AK598">
        <v>119</v>
      </c>
      <c r="AL598">
        <v>1.03</v>
      </c>
    </row>
    <row r="599" spans="1:38" x14ac:dyDescent="0.3">
      <c r="A599" t="s">
        <v>852</v>
      </c>
      <c r="B599">
        <v>2043</v>
      </c>
      <c r="C599">
        <v>2</v>
      </c>
      <c r="D599" t="s">
        <v>875</v>
      </c>
      <c r="E599">
        <v>1999.12</v>
      </c>
      <c r="F599">
        <v>116</v>
      </c>
      <c r="G599">
        <v>32.79</v>
      </c>
      <c r="H599">
        <v>108.42</v>
      </c>
      <c r="I599">
        <v>24.18</v>
      </c>
      <c r="J599">
        <v>79.95</v>
      </c>
      <c r="K599">
        <v>2</v>
      </c>
      <c r="T599">
        <v>3</v>
      </c>
      <c r="U599">
        <v>1</v>
      </c>
      <c r="V599" t="s">
        <v>128</v>
      </c>
      <c r="W599">
        <v>108</v>
      </c>
      <c r="X599">
        <v>17</v>
      </c>
      <c r="Y599">
        <v>17</v>
      </c>
      <c r="Z599" t="s">
        <v>876</v>
      </c>
      <c r="AA599" t="s">
        <v>877</v>
      </c>
      <c r="AB599" t="s">
        <v>89</v>
      </c>
      <c r="AC599" t="s">
        <v>90</v>
      </c>
      <c r="AD599" t="s">
        <v>91</v>
      </c>
      <c r="AE599" t="s">
        <v>856</v>
      </c>
      <c r="AG599" t="s">
        <v>878</v>
      </c>
      <c r="AH599">
        <v>0</v>
      </c>
      <c r="AI599">
        <v>319</v>
      </c>
      <c r="AJ599">
        <v>24</v>
      </c>
      <c r="AK599">
        <v>119</v>
      </c>
      <c r="AL599">
        <v>1.03</v>
      </c>
    </row>
    <row r="600" spans="1:38" x14ac:dyDescent="0.3">
      <c r="A600" t="s">
        <v>852</v>
      </c>
      <c r="B600">
        <v>2043</v>
      </c>
      <c r="C600">
        <v>3</v>
      </c>
      <c r="D600" t="s">
        <v>875</v>
      </c>
      <c r="E600">
        <v>1999.12</v>
      </c>
      <c r="F600">
        <v>116</v>
      </c>
      <c r="G600">
        <v>34.770000000000003</v>
      </c>
      <c r="H600">
        <v>114.96</v>
      </c>
      <c r="I600">
        <v>25.62</v>
      </c>
      <c r="J600">
        <v>84.72</v>
      </c>
      <c r="K600">
        <v>32</v>
      </c>
      <c r="T600">
        <v>3</v>
      </c>
      <c r="U600">
        <v>2</v>
      </c>
      <c r="V600" t="s">
        <v>128</v>
      </c>
      <c r="W600" t="s">
        <v>714</v>
      </c>
      <c r="X600">
        <v>17</v>
      </c>
      <c r="Y600">
        <v>17</v>
      </c>
      <c r="Z600" t="s">
        <v>876</v>
      </c>
      <c r="AA600" t="s">
        <v>877</v>
      </c>
      <c r="AB600" t="s">
        <v>89</v>
      </c>
      <c r="AC600" t="s">
        <v>90</v>
      </c>
      <c r="AD600" t="s">
        <v>91</v>
      </c>
      <c r="AE600" t="s">
        <v>856</v>
      </c>
      <c r="AG600" t="s">
        <v>878</v>
      </c>
      <c r="AH600">
        <v>0</v>
      </c>
      <c r="AI600">
        <v>319</v>
      </c>
      <c r="AJ600">
        <v>24</v>
      </c>
      <c r="AK600">
        <v>119</v>
      </c>
      <c r="AL600">
        <v>1.03</v>
      </c>
    </row>
    <row r="601" spans="1:38" x14ac:dyDescent="0.3">
      <c r="A601" t="s">
        <v>852</v>
      </c>
      <c r="B601">
        <v>2043</v>
      </c>
      <c r="C601">
        <v>4</v>
      </c>
      <c r="D601" t="s">
        <v>875</v>
      </c>
      <c r="E601">
        <v>1999.12</v>
      </c>
      <c r="F601">
        <v>116</v>
      </c>
      <c r="G601">
        <v>34.79</v>
      </c>
      <c r="H601">
        <v>115.01</v>
      </c>
      <c r="I601">
        <v>25.63</v>
      </c>
      <c r="J601">
        <v>84.76</v>
      </c>
      <c r="K601">
        <v>32</v>
      </c>
      <c r="T601">
        <v>3</v>
      </c>
      <c r="U601">
        <v>2</v>
      </c>
      <c r="V601" t="s">
        <v>128</v>
      </c>
      <c r="W601" t="s">
        <v>549</v>
      </c>
      <c r="X601">
        <v>17</v>
      </c>
      <c r="Y601">
        <v>17</v>
      </c>
      <c r="Z601" t="s">
        <v>876</v>
      </c>
      <c r="AA601" t="s">
        <v>877</v>
      </c>
      <c r="AB601" t="s">
        <v>89</v>
      </c>
      <c r="AC601" t="s">
        <v>90</v>
      </c>
      <c r="AD601" t="s">
        <v>91</v>
      </c>
      <c r="AE601" t="s">
        <v>856</v>
      </c>
      <c r="AG601" t="s">
        <v>878</v>
      </c>
      <c r="AH601">
        <v>0</v>
      </c>
      <c r="AI601">
        <v>319</v>
      </c>
      <c r="AJ601">
        <v>24</v>
      </c>
      <c r="AK601">
        <v>119</v>
      </c>
      <c r="AL601">
        <v>1.03</v>
      </c>
    </row>
    <row r="602" spans="1:38" x14ac:dyDescent="0.3">
      <c r="A602" t="s">
        <v>852</v>
      </c>
      <c r="B602">
        <v>1458</v>
      </c>
      <c r="C602">
        <v>1</v>
      </c>
      <c r="D602" t="s">
        <v>879</v>
      </c>
      <c r="E602">
        <v>1994.07</v>
      </c>
      <c r="F602">
        <v>578</v>
      </c>
      <c r="G602">
        <v>36.33</v>
      </c>
      <c r="H602">
        <v>120.13</v>
      </c>
      <c r="I602">
        <v>30.48</v>
      </c>
      <c r="J602">
        <v>100.77</v>
      </c>
      <c r="K602">
        <v>222</v>
      </c>
      <c r="T602">
        <v>3</v>
      </c>
      <c r="U602">
        <v>2</v>
      </c>
      <c r="V602" t="s">
        <v>94</v>
      </c>
      <c r="W602">
        <v>120</v>
      </c>
      <c r="X602">
        <v>25</v>
      </c>
      <c r="Y602">
        <v>10</v>
      </c>
      <c r="Z602" t="s">
        <v>880</v>
      </c>
      <c r="AA602" t="s">
        <v>881</v>
      </c>
      <c r="AB602" t="s">
        <v>89</v>
      </c>
      <c r="AC602" t="s">
        <v>90</v>
      </c>
      <c r="AD602" t="s">
        <v>91</v>
      </c>
      <c r="AE602" t="s">
        <v>856</v>
      </c>
      <c r="AG602" t="s">
        <v>882</v>
      </c>
      <c r="AH602">
        <v>0</v>
      </c>
      <c r="AI602">
        <v>207</v>
      </c>
      <c r="AJ602">
        <v>16</v>
      </c>
      <c r="AK602">
        <v>815</v>
      </c>
      <c r="AL602">
        <v>1.41</v>
      </c>
    </row>
    <row r="603" spans="1:38" x14ac:dyDescent="0.3">
      <c r="A603" t="s">
        <v>852</v>
      </c>
      <c r="B603">
        <v>1458</v>
      </c>
      <c r="C603">
        <v>2</v>
      </c>
      <c r="D603" t="s">
        <v>879</v>
      </c>
      <c r="E603">
        <v>1994.07</v>
      </c>
      <c r="F603">
        <v>578</v>
      </c>
      <c r="G603">
        <v>45.88</v>
      </c>
      <c r="H603">
        <v>151.68</v>
      </c>
      <c r="I603">
        <v>38.770000000000003</v>
      </c>
      <c r="J603">
        <v>128.19</v>
      </c>
      <c r="K603">
        <v>306</v>
      </c>
      <c r="T603">
        <v>4</v>
      </c>
      <c r="U603">
        <v>2</v>
      </c>
      <c r="V603" t="s">
        <v>94</v>
      </c>
      <c r="W603">
        <v>151</v>
      </c>
      <c r="X603">
        <v>25</v>
      </c>
      <c r="Y603">
        <v>10</v>
      </c>
      <c r="Z603" t="s">
        <v>880</v>
      </c>
      <c r="AA603" t="s">
        <v>881</v>
      </c>
      <c r="AB603" t="s">
        <v>89</v>
      </c>
      <c r="AC603" t="s">
        <v>90</v>
      </c>
      <c r="AD603" t="s">
        <v>91</v>
      </c>
      <c r="AE603" t="s">
        <v>856</v>
      </c>
      <c r="AG603" t="s">
        <v>882</v>
      </c>
      <c r="AH603">
        <v>0</v>
      </c>
      <c r="AI603">
        <v>207</v>
      </c>
      <c r="AJ603">
        <v>16</v>
      </c>
      <c r="AK603">
        <v>815</v>
      </c>
      <c r="AL603">
        <v>1.41</v>
      </c>
    </row>
    <row r="604" spans="1:38" x14ac:dyDescent="0.3">
      <c r="A604" t="s">
        <v>852</v>
      </c>
      <c r="B604">
        <v>1458</v>
      </c>
      <c r="C604">
        <v>3</v>
      </c>
      <c r="D604" t="s">
        <v>879</v>
      </c>
      <c r="E604">
        <v>1994.07</v>
      </c>
      <c r="F604">
        <v>578</v>
      </c>
      <c r="G604">
        <v>53.53</v>
      </c>
      <c r="H604">
        <v>176.97</v>
      </c>
      <c r="I604">
        <v>45.42</v>
      </c>
      <c r="J604">
        <v>150.18</v>
      </c>
      <c r="K604">
        <v>50</v>
      </c>
      <c r="T604">
        <v>4</v>
      </c>
      <c r="U604">
        <v>2</v>
      </c>
      <c r="V604" t="s">
        <v>94</v>
      </c>
      <c r="W604">
        <v>176</v>
      </c>
      <c r="X604">
        <v>25</v>
      </c>
      <c r="Y604">
        <v>10</v>
      </c>
      <c r="Z604" t="s">
        <v>880</v>
      </c>
      <c r="AA604" t="s">
        <v>881</v>
      </c>
      <c r="AB604" t="s">
        <v>89</v>
      </c>
      <c r="AC604" t="s">
        <v>90</v>
      </c>
      <c r="AD604" t="s">
        <v>91</v>
      </c>
      <c r="AE604" t="s">
        <v>856</v>
      </c>
      <c r="AG604" t="s">
        <v>882</v>
      </c>
      <c r="AH604">
        <v>0</v>
      </c>
      <c r="AI604">
        <v>207</v>
      </c>
      <c r="AJ604">
        <v>16</v>
      </c>
      <c r="AK604">
        <v>815</v>
      </c>
      <c r="AL604">
        <v>1.41</v>
      </c>
    </row>
    <row r="605" spans="1:38" x14ac:dyDescent="0.3">
      <c r="A605" t="s">
        <v>852</v>
      </c>
      <c r="B605">
        <v>116687</v>
      </c>
      <c r="C605">
        <v>1</v>
      </c>
      <c r="D605" t="s">
        <v>883</v>
      </c>
      <c r="E605">
        <v>2015.08</v>
      </c>
      <c r="F605">
        <v>8</v>
      </c>
      <c r="G605">
        <v>22.67</v>
      </c>
      <c r="H605">
        <v>74.95</v>
      </c>
      <c r="I605">
        <v>19.690000000000001</v>
      </c>
      <c r="J605">
        <v>65.099999999999994</v>
      </c>
      <c r="K605">
        <v>4</v>
      </c>
      <c r="T605">
        <v>3</v>
      </c>
      <c r="U605">
        <v>1</v>
      </c>
      <c r="V605" t="s">
        <v>94</v>
      </c>
      <c r="W605">
        <v>74</v>
      </c>
      <c r="X605">
        <v>5</v>
      </c>
      <c r="Y605">
        <v>5</v>
      </c>
      <c r="Z605" t="s">
        <v>884</v>
      </c>
      <c r="AA605" t="s">
        <v>885</v>
      </c>
      <c r="AB605" t="s">
        <v>89</v>
      </c>
      <c r="AC605" t="s">
        <v>90</v>
      </c>
      <c r="AD605" t="s">
        <v>91</v>
      </c>
      <c r="AE605" t="s">
        <v>856</v>
      </c>
      <c r="AG605" t="s">
        <v>886</v>
      </c>
      <c r="AH605">
        <v>0</v>
      </c>
      <c r="AI605">
        <v>290</v>
      </c>
      <c r="AJ605">
        <v>59</v>
      </c>
      <c r="AK605">
        <v>8</v>
      </c>
      <c r="AL605">
        <v>1</v>
      </c>
    </row>
    <row r="606" spans="1:38" x14ac:dyDescent="0.3">
      <c r="A606" t="s">
        <v>852</v>
      </c>
      <c r="B606">
        <v>116687</v>
      </c>
      <c r="C606">
        <v>2</v>
      </c>
      <c r="D606" t="s">
        <v>883</v>
      </c>
      <c r="E606">
        <v>2015.08</v>
      </c>
      <c r="F606">
        <v>8</v>
      </c>
      <c r="G606">
        <v>26.52</v>
      </c>
      <c r="H606">
        <v>87.68</v>
      </c>
      <c r="I606">
        <v>23.03</v>
      </c>
      <c r="J606">
        <v>76.150000000000006</v>
      </c>
      <c r="K606">
        <v>4</v>
      </c>
      <c r="T606">
        <v>3</v>
      </c>
      <c r="U606">
        <v>2</v>
      </c>
      <c r="V606" t="s">
        <v>94</v>
      </c>
      <c r="W606">
        <v>87</v>
      </c>
      <c r="X606">
        <v>5</v>
      </c>
      <c r="Y606">
        <v>5</v>
      </c>
      <c r="Z606" t="s">
        <v>884</v>
      </c>
      <c r="AA606" t="s">
        <v>885</v>
      </c>
      <c r="AB606" t="s">
        <v>89</v>
      </c>
      <c r="AC606" t="s">
        <v>90</v>
      </c>
      <c r="AD606" t="s">
        <v>91</v>
      </c>
      <c r="AE606" t="s">
        <v>856</v>
      </c>
      <c r="AG606" t="s">
        <v>886</v>
      </c>
      <c r="AH606">
        <v>0</v>
      </c>
      <c r="AI606">
        <v>290</v>
      </c>
      <c r="AJ606">
        <v>59</v>
      </c>
      <c r="AK606">
        <v>8</v>
      </c>
      <c r="AL606">
        <v>1</v>
      </c>
    </row>
    <row r="607" spans="1:38" x14ac:dyDescent="0.3">
      <c r="A607" t="s">
        <v>852</v>
      </c>
      <c r="B607">
        <v>2049</v>
      </c>
      <c r="C607">
        <v>1</v>
      </c>
      <c r="D607" t="s">
        <v>887</v>
      </c>
      <c r="E607">
        <v>1996.06</v>
      </c>
      <c r="F607">
        <v>47</v>
      </c>
      <c r="G607">
        <v>25.8</v>
      </c>
      <c r="H607">
        <v>85.32</v>
      </c>
      <c r="I607">
        <v>18.14</v>
      </c>
      <c r="J607">
        <v>59.98</v>
      </c>
      <c r="K607">
        <v>34</v>
      </c>
      <c r="T607">
        <v>3</v>
      </c>
      <c r="U607">
        <v>1</v>
      </c>
      <c r="V607" t="s">
        <v>128</v>
      </c>
      <c r="W607">
        <v>85</v>
      </c>
      <c r="X607">
        <v>15</v>
      </c>
      <c r="Y607">
        <v>10</v>
      </c>
      <c r="Z607" t="s">
        <v>888</v>
      </c>
      <c r="AA607" t="s">
        <v>889</v>
      </c>
      <c r="AB607" t="s">
        <v>89</v>
      </c>
      <c r="AC607" t="s">
        <v>90</v>
      </c>
      <c r="AD607" t="s">
        <v>91</v>
      </c>
      <c r="AE607" t="s">
        <v>856</v>
      </c>
      <c r="AG607" t="s">
        <v>890</v>
      </c>
      <c r="AH607">
        <v>0</v>
      </c>
      <c r="AI607">
        <v>317</v>
      </c>
      <c r="AJ607">
        <v>49</v>
      </c>
      <c r="AK607">
        <v>32</v>
      </c>
      <c r="AL607">
        <v>0.68</v>
      </c>
    </row>
    <row r="608" spans="1:38" x14ac:dyDescent="0.3">
      <c r="A608" t="s">
        <v>852</v>
      </c>
      <c r="B608">
        <v>2049</v>
      </c>
      <c r="C608">
        <v>2</v>
      </c>
      <c r="D608" t="s">
        <v>887</v>
      </c>
      <c r="E608">
        <v>1996.06</v>
      </c>
      <c r="F608">
        <v>47</v>
      </c>
      <c r="G608">
        <v>33.81</v>
      </c>
      <c r="H608">
        <v>111.77</v>
      </c>
      <c r="I608">
        <v>23.77</v>
      </c>
      <c r="J608">
        <v>78.58</v>
      </c>
      <c r="K608">
        <v>13</v>
      </c>
      <c r="T608">
        <v>3</v>
      </c>
      <c r="U608">
        <v>2</v>
      </c>
      <c r="V608" t="s">
        <v>128</v>
      </c>
      <c r="W608">
        <v>111</v>
      </c>
      <c r="X608">
        <v>15</v>
      </c>
      <c r="Y608">
        <v>10</v>
      </c>
      <c r="Z608" t="s">
        <v>888</v>
      </c>
      <c r="AA608" t="s">
        <v>889</v>
      </c>
      <c r="AB608" t="s">
        <v>89</v>
      </c>
      <c r="AC608" t="s">
        <v>90</v>
      </c>
      <c r="AD608" t="s">
        <v>91</v>
      </c>
      <c r="AE608" t="s">
        <v>856</v>
      </c>
      <c r="AG608" t="s">
        <v>890</v>
      </c>
      <c r="AH608">
        <v>0</v>
      </c>
      <c r="AI608">
        <v>317</v>
      </c>
      <c r="AJ608">
        <v>49</v>
      </c>
      <c r="AK608">
        <v>32</v>
      </c>
      <c r="AL608">
        <v>0.68</v>
      </c>
    </row>
    <row r="609" spans="1:38" x14ac:dyDescent="0.3">
      <c r="A609" t="s">
        <v>852</v>
      </c>
      <c r="B609">
        <v>2050</v>
      </c>
      <c r="C609">
        <v>1</v>
      </c>
      <c r="D609" t="s">
        <v>891</v>
      </c>
      <c r="E609">
        <v>1984.1</v>
      </c>
      <c r="F609">
        <v>192</v>
      </c>
      <c r="G609">
        <v>19.239999999999998</v>
      </c>
      <c r="H609">
        <v>63.61</v>
      </c>
      <c r="I609">
        <v>15.76</v>
      </c>
      <c r="J609">
        <v>52.11</v>
      </c>
      <c r="K609">
        <v>54</v>
      </c>
      <c r="T609">
        <v>3</v>
      </c>
      <c r="U609">
        <v>1</v>
      </c>
      <c r="V609" t="s">
        <v>94</v>
      </c>
      <c r="W609">
        <v>63</v>
      </c>
      <c r="X609">
        <v>6</v>
      </c>
      <c r="Y609">
        <v>5</v>
      </c>
      <c r="Z609" t="s">
        <v>892</v>
      </c>
      <c r="AA609" t="s">
        <v>893</v>
      </c>
      <c r="AB609" t="s">
        <v>89</v>
      </c>
      <c r="AC609" t="s">
        <v>90</v>
      </c>
      <c r="AD609" t="s">
        <v>91</v>
      </c>
      <c r="AE609" t="s">
        <v>856</v>
      </c>
      <c r="AG609" t="s">
        <v>438</v>
      </c>
      <c r="AH609">
        <v>0</v>
      </c>
      <c r="AI609">
        <v>163</v>
      </c>
      <c r="AJ609">
        <v>35</v>
      </c>
      <c r="AK609">
        <v>0</v>
      </c>
      <c r="AL609">
        <v>0</v>
      </c>
    </row>
    <row r="610" spans="1:38" x14ac:dyDescent="0.3">
      <c r="A610" t="s">
        <v>852</v>
      </c>
      <c r="B610">
        <v>2050</v>
      </c>
      <c r="C610">
        <v>2</v>
      </c>
      <c r="D610" t="s">
        <v>891</v>
      </c>
      <c r="E610">
        <v>1984.1</v>
      </c>
      <c r="F610">
        <v>192</v>
      </c>
      <c r="G610">
        <v>23.89</v>
      </c>
      <c r="H610">
        <v>79</v>
      </c>
      <c r="I610">
        <v>19.95</v>
      </c>
      <c r="J610">
        <v>65.97</v>
      </c>
      <c r="K610">
        <v>90</v>
      </c>
      <c r="T610">
        <v>3</v>
      </c>
      <c r="U610">
        <v>1</v>
      </c>
      <c r="V610" t="s">
        <v>94</v>
      </c>
      <c r="W610">
        <v>79</v>
      </c>
      <c r="X610">
        <v>6</v>
      </c>
      <c r="Y610">
        <v>5</v>
      </c>
      <c r="Z610" t="s">
        <v>892</v>
      </c>
      <c r="AA610" t="s">
        <v>893</v>
      </c>
      <c r="AB610" t="s">
        <v>89</v>
      </c>
      <c r="AC610" t="s">
        <v>90</v>
      </c>
      <c r="AD610" t="s">
        <v>91</v>
      </c>
      <c r="AE610" t="s">
        <v>856</v>
      </c>
      <c r="AG610" t="s">
        <v>438</v>
      </c>
      <c r="AH610">
        <v>0</v>
      </c>
      <c r="AI610">
        <v>163</v>
      </c>
      <c r="AJ610">
        <v>35</v>
      </c>
      <c r="AK610">
        <v>0</v>
      </c>
      <c r="AL610">
        <v>0</v>
      </c>
    </row>
    <row r="611" spans="1:38" x14ac:dyDescent="0.3">
      <c r="A611" t="s">
        <v>852</v>
      </c>
      <c r="B611">
        <v>2050</v>
      </c>
      <c r="C611">
        <v>3</v>
      </c>
      <c r="D611" t="s">
        <v>891</v>
      </c>
      <c r="E611">
        <v>1984.1</v>
      </c>
      <c r="F611">
        <v>192</v>
      </c>
      <c r="G611">
        <v>28.02</v>
      </c>
      <c r="H611">
        <v>92.63</v>
      </c>
      <c r="I611">
        <v>23.37</v>
      </c>
      <c r="J611">
        <v>77.28</v>
      </c>
      <c r="K611">
        <v>48</v>
      </c>
      <c r="T611">
        <v>3</v>
      </c>
      <c r="U611">
        <v>1</v>
      </c>
      <c r="V611" t="s">
        <v>94</v>
      </c>
      <c r="W611">
        <v>92</v>
      </c>
      <c r="X611">
        <v>6</v>
      </c>
      <c r="Y611">
        <v>5</v>
      </c>
      <c r="Z611" t="s">
        <v>892</v>
      </c>
      <c r="AA611" t="s">
        <v>893</v>
      </c>
      <c r="AB611" t="s">
        <v>89</v>
      </c>
      <c r="AC611" t="s">
        <v>90</v>
      </c>
      <c r="AD611" t="s">
        <v>91</v>
      </c>
      <c r="AE611" t="s">
        <v>856</v>
      </c>
      <c r="AG611" t="s">
        <v>438</v>
      </c>
      <c r="AH611">
        <v>0</v>
      </c>
      <c r="AI611">
        <v>163</v>
      </c>
      <c r="AJ611">
        <v>35</v>
      </c>
      <c r="AK611">
        <v>0</v>
      </c>
      <c r="AL611">
        <v>0</v>
      </c>
    </row>
    <row r="612" spans="1:38" x14ac:dyDescent="0.3">
      <c r="A612" t="s">
        <v>852</v>
      </c>
      <c r="B612">
        <v>10147</v>
      </c>
      <c r="C612">
        <v>1</v>
      </c>
      <c r="D612" t="s">
        <v>894</v>
      </c>
      <c r="E612">
        <v>2004.1</v>
      </c>
      <c r="F612">
        <v>203</v>
      </c>
      <c r="G612">
        <v>25.65</v>
      </c>
      <c r="H612">
        <v>84.82</v>
      </c>
      <c r="I612">
        <v>20.16</v>
      </c>
      <c r="J612">
        <v>66.67</v>
      </c>
      <c r="K612">
        <v>36</v>
      </c>
      <c r="T612">
        <v>3</v>
      </c>
      <c r="U612">
        <v>2</v>
      </c>
      <c r="V612" t="s">
        <v>94</v>
      </c>
      <c r="W612" t="s">
        <v>108</v>
      </c>
      <c r="X612">
        <v>20</v>
      </c>
      <c r="Y612">
        <v>9</v>
      </c>
      <c r="Z612" t="s">
        <v>895</v>
      </c>
      <c r="AA612" t="s">
        <v>896</v>
      </c>
      <c r="AB612" t="s">
        <v>89</v>
      </c>
      <c r="AC612" t="s">
        <v>90</v>
      </c>
      <c r="AD612" t="s">
        <v>91</v>
      </c>
      <c r="AE612" t="s">
        <v>856</v>
      </c>
      <c r="AG612" t="s">
        <v>897</v>
      </c>
      <c r="AH612">
        <v>0</v>
      </c>
      <c r="AI612">
        <v>313</v>
      </c>
      <c r="AJ612">
        <v>24</v>
      </c>
      <c r="AK612">
        <v>203</v>
      </c>
      <c r="AL612">
        <v>1</v>
      </c>
    </row>
    <row r="613" spans="1:38" x14ac:dyDescent="0.3">
      <c r="A613" t="s">
        <v>852</v>
      </c>
      <c r="B613">
        <v>10147</v>
      </c>
      <c r="C613">
        <v>2</v>
      </c>
      <c r="D613" t="s">
        <v>894</v>
      </c>
      <c r="E613">
        <v>2004.1</v>
      </c>
      <c r="F613">
        <v>203</v>
      </c>
      <c r="G613">
        <v>25.7</v>
      </c>
      <c r="H613">
        <v>84.97</v>
      </c>
      <c r="I613">
        <v>20.149999999999999</v>
      </c>
      <c r="J613">
        <v>66.62</v>
      </c>
      <c r="K613">
        <v>30</v>
      </c>
      <c r="T613">
        <v>3</v>
      </c>
      <c r="U613">
        <v>2</v>
      </c>
      <c r="V613" t="s">
        <v>94</v>
      </c>
      <c r="W613" t="s">
        <v>445</v>
      </c>
      <c r="X613">
        <v>20</v>
      </c>
      <c r="Y613">
        <v>9</v>
      </c>
      <c r="Z613" t="s">
        <v>895</v>
      </c>
      <c r="AA613" t="s">
        <v>896</v>
      </c>
      <c r="AB613" t="s">
        <v>89</v>
      </c>
      <c r="AC613" t="s">
        <v>90</v>
      </c>
      <c r="AD613" t="s">
        <v>91</v>
      </c>
      <c r="AE613" t="s">
        <v>856</v>
      </c>
      <c r="AG613" t="s">
        <v>897</v>
      </c>
      <c r="AH613">
        <v>0</v>
      </c>
      <c r="AI613">
        <v>313</v>
      </c>
      <c r="AJ613">
        <v>24</v>
      </c>
      <c r="AK613">
        <v>203</v>
      </c>
      <c r="AL613">
        <v>1</v>
      </c>
    </row>
    <row r="614" spans="1:38" x14ac:dyDescent="0.3">
      <c r="A614" t="s">
        <v>852</v>
      </c>
      <c r="B614">
        <v>10147</v>
      </c>
      <c r="C614">
        <v>3</v>
      </c>
      <c r="D614" t="s">
        <v>894</v>
      </c>
      <c r="E614">
        <v>2004.1</v>
      </c>
      <c r="F614">
        <v>203</v>
      </c>
      <c r="G614">
        <v>32.630000000000003</v>
      </c>
      <c r="H614">
        <v>107.87</v>
      </c>
      <c r="I614">
        <v>25.7</v>
      </c>
      <c r="J614">
        <v>84.99</v>
      </c>
      <c r="K614">
        <v>97</v>
      </c>
      <c r="T614">
        <v>3</v>
      </c>
      <c r="U614">
        <v>2</v>
      </c>
      <c r="V614" t="s">
        <v>94</v>
      </c>
      <c r="W614" t="s">
        <v>427</v>
      </c>
      <c r="X614">
        <v>20</v>
      </c>
      <c r="Y614">
        <v>9</v>
      </c>
      <c r="Z614" t="s">
        <v>895</v>
      </c>
      <c r="AA614" t="s">
        <v>896</v>
      </c>
      <c r="AB614" t="s">
        <v>89</v>
      </c>
      <c r="AC614" t="s">
        <v>90</v>
      </c>
      <c r="AD614" t="s">
        <v>91</v>
      </c>
      <c r="AE614" t="s">
        <v>856</v>
      </c>
      <c r="AG614" t="s">
        <v>897</v>
      </c>
      <c r="AH614">
        <v>0</v>
      </c>
      <c r="AI614">
        <v>313</v>
      </c>
      <c r="AJ614">
        <v>24</v>
      </c>
      <c r="AK614">
        <v>203</v>
      </c>
      <c r="AL614">
        <v>1</v>
      </c>
    </row>
    <row r="615" spans="1:38" x14ac:dyDescent="0.3">
      <c r="A615" t="s">
        <v>852</v>
      </c>
      <c r="B615">
        <v>10147</v>
      </c>
      <c r="C615">
        <v>4</v>
      </c>
      <c r="D615" t="s">
        <v>894</v>
      </c>
      <c r="E615">
        <v>2004.1</v>
      </c>
      <c r="F615">
        <v>203</v>
      </c>
      <c r="G615">
        <v>33.26</v>
      </c>
      <c r="H615">
        <v>109.98</v>
      </c>
      <c r="I615">
        <v>25.1</v>
      </c>
      <c r="J615">
        <v>83</v>
      </c>
      <c r="K615">
        <v>40</v>
      </c>
      <c r="T615">
        <v>3</v>
      </c>
      <c r="U615">
        <v>2</v>
      </c>
      <c r="V615" t="s">
        <v>94</v>
      </c>
      <c r="W615" t="s">
        <v>805</v>
      </c>
      <c r="X615">
        <v>20</v>
      </c>
      <c r="Y615">
        <v>9</v>
      </c>
      <c r="Z615" t="s">
        <v>895</v>
      </c>
      <c r="AA615" t="s">
        <v>896</v>
      </c>
      <c r="AB615" t="s">
        <v>89</v>
      </c>
      <c r="AC615" t="s">
        <v>90</v>
      </c>
      <c r="AD615" t="s">
        <v>91</v>
      </c>
      <c r="AE615" t="s">
        <v>856</v>
      </c>
      <c r="AG615" t="s">
        <v>897</v>
      </c>
      <c r="AH615">
        <v>0</v>
      </c>
      <c r="AI615">
        <v>313</v>
      </c>
      <c r="AJ615">
        <v>24</v>
      </c>
      <c r="AK615">
        <v>203</v>
      </c>
      <c r="AL615">
        <v>1</v>
      </c>
    </row>
    <row r="616" spans="1:38" x14ac:dyDescent="0.3">
      <c r="A616" t="s">
        <v>852</v>
      </c>
      <c r="B616">
        <v>3022</v>
      </c>
      <c r="C616">
        <v>1</v>
      </c>
      <c r="D616" t="s">
        <v>898</v>
      </c>
      <c r="E616">
        <v>1992.07</v>
      </c>
      <c r="F616">
        <v>902</v>
      </c>
      <c r="G616">
        <v>16.989999999999998</v>
      </c>
      <c r="H616">
        <v>56.18</v>
      </c>
      <c r="I616">
        <v>12.59</v>
      </c>
      <c r="J616">
        <v>41.62</v>
      </c>
      <c r="K616">
        <v>98</v>
      </c>
      <c r="T616">
        <v>2</v>
      </c>
      <c r="U616">
        <v>1</v>
      </c>
      <c r="V616" t="s">
        <v>128</v>
      </c>
      <c r="W616">
        <v>56</v>
      </c>
      <c r="X616">
        <v>20</v>
      </c>
      <c r="Y616">
        <v>14</v>
      </c>
      <c r="Z616" t="s">
        <v>899</v>
      </c>
      <c r="AA616" t="s">
        <v>900</v>
      </c>
      <c r="AB616" t="s">
        <v>89</v>
      </c>
      <c r="AC616" t="s">
        <v>90</v>
      </c>
      <c r="AD616" t="s">
        <v>91</v>
      </c>
      <c r="AE616" t="s">
        <v>856</v>
      </c>
      <c r="AG616" t="s">
        <v>901</v>
      </c>
      <c r="AH616">
        <v>0</v>
      </c>
      <c r="AI616">
        <v>196</v>
      </c>
      <c r="AJ616">
        <v>13</v>
      </c>
      <c r="AK616">
        <v>244</v>
      </c>
      <c r="AL616">
        <v>0.27</v>
      </c>
    </row>
    <row r="617" spans="1:38" x14ac:dyDescent="0.3">
      <c r="A617" t="s">
        <v>852</v>
      </c>
      <c r="B617">
        <v>3022</v>
      </c>
      <c r="C617">
        <v>2</v>
      </c>
      <c r="D617" t="s">
        <v>898</v>
      </c>
      <c r="E617">
        <v>1992.07</v>
      </c>
      <c r="F617">
        <v>902</v>
      </c>
      <c r="G617">
        <v>20.7</v>
      </c>
      <c r="H617">
        <v>68.44</v>
      </c>
      <c r="I617">
        <v>15.34</v>
      </c>
      <c r="J617">
        <v>50.73</v>
      </c>
      <c r="K617">
        <v>294</v>
      </c>
      <c r="T617">
        <v>2</v>
      </c>
      <c r="U617">
        <v>1</v>
      </c>
      <c r="V617" t="s">
        <v>128</v>
      </c>
      <c r="W617">
        <v>68</v>
      </c>
      <c r="X617">
        <v>20</v>
      </c>
      <c r="Y617">
        <v>14</v>
      </c>
      <c r="Z617" t="s">
        <v>899</v>
      </c>
      <c r="AA617" t="s">
        <v>900</v>
      </c>
      <c r="AB617" t="s">
        <v>89</v>
      </c>
      <c r="AC617" t="s">
        <v>90</v>
      </c>
      <c r="AD617" t="s">
        <v>91</v>
      </c>
      <c r="AE617" t="s">
        <v>856</v>
      </c>
      <c r="AG617" t="s">
        <v>901</v>
      </c>
      <c r="AH617">
        <v>0</v>
      </c>
      <c r="AI617">
        <v>196</v>
      </c>
      <c r="AJ617">
        <v>13</v>
      </c>
      <c r="AK617">
        <v>244</v>
      </c>
      <c r="AL617">
        <v>0.27</v>
      </c>
    </row>
    <row r="618" spans="1:38" x14ac:dyDescent="0.3">
      <c r="A618" t="s">
        <v>852</v>
      </c>
      <c r="B618">
        <v>3022</v>
      </c>
      <c r="C618">
        <v>3</v>
      </c>
      <c r="D618" t="s">
        <v>898</v>
      </c>
      <c r="E618">
        <v>1992.07</v>
      </c>
      <c r="F618">
        <v>902</v>
      </c>
      <c r="G618">
        <v>22.63</v>
      </c>
      <c r="H618">
        <v>74.83</v>
      </c>
      <c r="I618">
        <v>17.149999999999999</v>
      </c>
      <c r="J618">
        <v>56.7</v>
      </c>
      <c r="K618">
        <v>270</v>
      </c>
      <c r="T618">
        <v>2</v>
      </c>
      <c r="U618">
        <v>1</v>
      </c>
      <c r="V618" t="s">
        <v>128</v>
      </c>
      <c r="W618" t="s">
        <v>281</v>
      </c>
      <c r="X618">
        <v>20</v>
      </c>
      <c r="Y618">
        <v>14</v>
      </c>
      <c r="Z618" t="s">
        <v>899</v>
      </c>
      <c r="AA618" t="s">
        <v>900</v>
      </c>
      <c r="AB618" t="s">
        <v>89</v>
      </c>
      <c r="AC618" t="s">
        <v>90</v>
      </c>
      <c r="AD618" t="s">
        <v>91</v>
      </c>
      <c r="AE618" t="s">
        <v>856</v>
      </c>
      <c r="AG618" t="s">
        <v>901</v>
      </c>
      <c r="AH618">
        <v>0</v>
      </c>
      <c r="AI618">
        <v>196</v>
      </c>
      <c r="AJ618">
        <v>13</v>
      </c>
      <c r="AK618">
        <v>244</v>
      </c>
      <c r="AL618">
        <v>0.27</v>
      </c>
    </row>
    <row r="619" spans="1:38" x14ac:dyDescent="0.3">
      <c r="A619" t="s">
        <v>852</v>
      </c>
      <c r="B619">
        <v>3022</v>
      </c>
      <c r="C619">
        <v>4</v>
      </c>
      <c r="D619" t="s">
        <v>898</v>
      </c>
      <c r="E619">
        <v>1992.07</v>
      </c>
      <c r="F619">
        <v>902</v>
      </c>
      <c r="G619">
        <v>22.63</v>
      </c>
      <c r="H619">
        <v>74.83</v>
      </c>
      <c r="I619">
        <v>17.149999999999999</v>
      </c>
      <c r="J619">
        <v>56.7</v>
      </c>
      <c r="K619">
        <v>120</v>
      </c>
      <c r="T619">
        <v>2</v>
      </c>
      <c r="U619">
        <v>1</v>
      </c>
      <c r="V619" t="s">
        <v>128</v>
      </c>
      <c r="W619" t="s">
        <v>136</v>
      </c>
      <c r="X619">
        <v>20</v>
      </c>
      <c r="Y619">
        <v>14</v>
      </c>
      <c r="Z619" t="s">
        <v>899</v>
      </c>
      <c r="AA619" t="s">
        <v>900</v>
      </c>
      <c r="AB619" t="s">
        <v>89</v>
      </c>
      <c r="AC619" t="s">
        <v>90</v>
      </c>
      <c r="AD619" t="s">
        <v>91</v>
      </c>
      <c r="AE619" t="s">
        <v>856</v>
      </c>
      <c r="AG619" t="s">
        <v>901</v>
      </c>
      <c r="AH619">
        <v>0</v>
      </c>
      <c r="AI619">
        <v>196</v>
      </c>
      <c r="AJ619">
        <v>13</v>
      </c>
      <c r="AK619">
        <v>244</v>
      </c>
      <c r="AL619">
        <v>0.27</v>
      </c>
    </row>
    <row r="620" spans="1:38" x14ac:dyDescent="0.3">
      <c r="A620" t="s">
        <v>852</v>
      </c>
      <c r="B620">
        <v>3032</v>
      </c>
      <c r="C620">
        <v>1</v>
      </c>
      <c r="D620" t="s">
        <v>902</v>
      </c>
      <c r="E620">
        <v>1999.12</v>
      </c>
      <c r="F620">
        <v>212</v>
      </c>
      <c r="G620">
        <v>23.81</v>
      </c>
      <c r="H620">
        <v>78.739999999999995</v>
      </c>
      <c r="I620">
        <v>18.12</v>
      </c>
      <c r="J620">
        <v>59.91</v>
      </c>
      <c r="K620">
        <v>90</v>
      </c>
      <c r="T620">
        <v>3</v>
      </c>
      <c r="U620">
        <v>1</v>
      </c>
      <c r="V620" t="s">
        <v>94</v>
      </c>
      <c r="W620">
        <v>78</v>
      </c>
      <c r="X620">
        <v>22</v>
      </c>
      <c r="Y620">
        <v>9</v>
      </c>
      <c r="Z620" t="s">
        <v>903</v>
      </c>
      <c r="AA620" t="s">
        <v>904</v>
      </c>
      <c r="AB620" t="s">
        <v>89</v>
      </c>
      <c r="AC620" t="s">
        <v>90</v>
      </c>
      <c r="AD620" t="s">
        <v>91</v>
      </c>
      <c r="AE620" t="s">
        <v>856</v>
      </c>
      <c r="AG620" t="s">
        <v>905</v>
      </c>
      <c r="AH620">
        <v>0</v>
      </c>
      <c r="AI620">
        <v>301</v>
      </c>
      <c r="AJ620">
        <v>24</v>
      </c>
      <c r="AK620">
        <v>206</v>
      </c>
      <c r="AL620">
        <v>0.97</v>
      </c>
    </row>
    <row r="621" spans="1:38" x14ac:dyDescent="0.3">
      <c r="A621" t="s">
        <v>852</v>
      </c>
      <c r="B621">
        <v>3032</v>
      </c>
      <c r="C621">
        <v>2</v>
      </c>
      <c r="D621" t="s">
        <v>902</v>
      </c>
      <c r="E621">
        <v>1999.12</v>
      </c>
      <c r="F621">
        <v>212</v>
      </c>
      <c r="G621">
        <v>29.57</v>
      </c>
      <c r="H621">
        <v>97.76</v>
      </c>
      <c r="I621">
        <v>22.49</v>
      </c>
      <c r="J621">
        <v>74.37</v>
      </c>
      <c r="K621">
        <v>18</v>
      </c>
      <c r="T621">
        <v>3</v>
      </c>
      <c r="U621">
        <v>2</v>
      </c>
      <c r="V621" t="s">
        <v>94</v>
      </c>
      <c r="W621">
        <v>97</v>
      </c>
      <c r="X621">
        <v>22</v>
      </c>
      <c r="Y621">
        <v>9</v>
      </c>
      <c r="Z621" t="s">
        <v>903</v>
      </c>
      <c r="AA621" t="s">
        <v>904</v>
      </c>
      <c r="AB621" t="s">
        <v>89</v>
      </c>
      <c r="AC621" t="s">
        <v>90</v>
      </c>
      <c r="AD621" t="s">
        <v>91</v>
      </c>
      <c r="AE621" t="s">
        <v>856</v>
      </c>
      <c r="AG621" t="s">
        <v>905</v>
      </c>
      <c r="AH621">
        <v>0</v>
      </c>
      <c r="AI621">
        <v>301</v>
      </c>
      <c r="AJ621">
        <v>24</v>
      </c>
      <c r="AK621">
        <v>206</v>
      </c>
      <c r="AL621">
        <v>0.97</v>
      </c>
    </row>
    <row r="622" spans="1:38" x14ac:dyDescent="0.3">
      <c r="A622" t="s">
        <v>852</v>
      </c>
      <c r="B622">
        <v>3032</v>
      </c>
      <c r="C622">
        <v>3</v>
      </c>
      <c r="D622" t="s">
        <v>902</v>
      </c>
      <c r="E622">
        <v>1999.12</v>
      </c>
      <c r="F622">
        <v>212</v>
      </c>
      <c r="G622">
        <v>33.770000000000003</v>
      </c>
      <c r="H622">
        <v>111.65</v>
      </c>
      <c r="I622">
        <v>25.69</v>
      </c>
      <c r="J622">
        <v>84.94</v>
      </c>
      <c r="K622">
        <v>104</v>
      </c>
      <c r="T622">
        <v>3</v>
      </c>
      <c r="U622">
        <v>2</v>
      </c>
      <c r="V622" t="s">
        <v>94</v>
      </c>
      <c r="W622">
        <v>111</v>
      </c>
      <c r="X622">
        <v>22</v>
      </c>
      <c r="Y622">
        <v>9</v>
      </c>
      <c r="Z622" t="s">
        <v>903</v>
      </c>
      <c r="AA622" t="s">
        <v>904</v>
      </c>
      <c r="AB622" t="s">
        <v>89</v>
      </c>
      <c r="AC622" t="s">
        <v>90</v>
      </c>
      <c r="AD622" t="s">
        <v>91</v>
      </c>
      <c r="AE622" t="s">
        <v>856</v>
      </c>
      <c r="AG622" t="s">
        <v>905</v>
      </c>
      <c r="AH622">
        <v>0</v>
      </c>
      <c r="AI622">
        <v>301</v>
      </c>
      <c r="AJ622">
        <v>24</v>
      </c>
      <c r="AK622">
        <v>206</v>
      </c>
      <c r="AL622">
        <v>0.97</v>
      </c>
    </row>
    <row r="623" spans="1:38" x14ac:dyDescent="0.3">
      <c r="A623" t="s">
        <v>852</v>
      </c>
      <c r="B623">
        <v>128689</v>
      </c>
      <c r="C623">
        <v>1</v>
      </c>
      <c r="D623" t="s">
        <v>906</v>
      </c>
      <c r="E623">
        <v>2019.07</v>
      </c>
      <c r="F623">
        <v>42</v>
      </c>
      <c r="G623">
        <v>18.89</v>
      </c>
      <c r="H623">
        <v>62.45</v>
      </c>
      <c r="I623">
        <v>16.91</v>
      </c>
      <c r="J623">
        <v>55.93</v>
      </c>
      <c r="K623">
        <v>10</v>
      </c>
      <c r="T623">
        <v>3</v>
      </c>
      <c r="U623">
        <v>1</v>
      </c>
      <c r="V623" t="s">
        <v>94</v>
      </c>
      <c r="W623" t="s">
        <v>228</v>
      </c>
      <c r="X623">
        <v>12</v>
      </c>
      <c r="Y623">
        <v>11</v>
      </c>
      <c r="Z623" t="s">
        <v>907</v>
      </c>
      <c r="AA623" t="s">
        <v>908</v>
      </c>
      <c r="AB623" t="s">
        <v>89</v>
      </c>
      <c r="AC623" t="s">
        <v>90</v>
      </c>
      <c r="AD623" t="s">
        <v>91</v>
      </c>
      <c r="AE623" t="s">
        <v>856</v>
      </c>
      <c r="AG623" t="s">
        <v>909</v>
      </c>
      <c r="AH623">
        <v>0</v>
      </c>
      <c r="AI623">
        <v>299</v>
      </c>
      <c r="AJ623">
        <v>52</v>
      </c>
      <c r="AK623">
        <v>40</v>
      </c>
      <c r="AL623">
        <v>0.95</v>
      </c>
    </row>
    <row r="624" spans="1:38" x14ac:dyDescent="0.3">
      <c r="A624" t="s">
        <v>852</v>
      </c>
      <c r="B624">
        <v>128689</v>
      </c>
      <c r="C624">
        <v>2</v>
      </c>
      <c r="D624" t="s">
        <v>906</v>
      </c>
      <c r="E624">
        <v>2019.07</v>
      </c>
      <c r="F624">
        <v>42</v>
      </c>
      <c r="G624">
        <v>19.13</v>
      </c>
      <c r="H624">
        <v>63.27</v>
      </c>
      <c r="I624">
        <v>17.13</v>
      </c>
      <c r="J624">
        <v>56.66</v>
      </c>
      <c r="K624">
        <v>10</v>
      </c>
      <c r="T624">
        <v>3</v>
      </c>
      <c r="U624">
        <v>1</v>
      </c>
      <c r="V624" t="s">
        <v>94</v>
      </c>
      <c r="W624" t="s">
        <v>548</v>
      </c>
      <c r="X624">
        <v>12</v>
      </c>
      <c r="Y624">
        <v>11</v>
      </c>
      <c r="Z624" t="s">
        <v>907</v>
      </c>
      <c r="AA624" t="s">
        <v>908</v>
      </c>
      <c r="AB624" t="s">
        <v>89</v>
      </c>
      <c r="AC624" t="s">
        <v>90</v>
      </c>
      <c r="AD624" t="s">
        <v>91</v>
      </c>
      <c r="AE624" t="s">
        <v>856</v>
      </c>
      <c r="AG624" t="s">
        <v>909</v>
      </c>
      <c r="AH624">
        <v>0</v>
      </c>
      <c r="AI624">
        <v>299</v>
      </c>
      <c r="AJ624">
        <v>52</v>
      </c>
      <c r="AK624">
        <v>40</v>
      </c>
      <c r="AL624">
        <v>0.95</v>
      </c>
    </row>
    <row r="625" spans="1:38" x14ac:dyDescent="0.3">
      <c r="A625" t="s">
        <v>852</v>
      </c>
      <c r="B625">
        <v>128689</v>
      </c>
      <c r="C625">
        <v>3</v>
      </c>
      <c r="D625" t="s">
        <v>906</v>
      </c>
      <c r="E625">
        <v>2019.07</v>
      </c>
      <c r="F625">
        <v>42</v>
      </c>
      <c r="G625">
        <v>19.47</v>
      </c>
      <c r="H625">
        <v>64.39</v>
      </c>
      <c r="I625">
        <v>17.440000000000001</v>
      </c>
      <c r="J625">
        <v>57.67</v>
      </c>
      <c r="K625">
        <v>10</v>
      </c>
      <c r="T625">
        <v>3</v>
      </c>
      <c r="U625">
        <v>1</v>
      </c>
      <c r="V625" t="s">
        <v>94</v>
      </c>
      <c r="W625" t="s">
        <v>910</v>
      </c>
      <c r="X625">
        <v>12</v>
      </c>
      <c r="Y625">
        <v>11</v>
      </c>
      <c r="Z625" t="s">
        <v>907</v>
      </c>
      <c r="AA625" t="s">
        <v>908</v>
      </c>
      <c r="AB625" t="s">
        <v>89</v>
      </c>
      <c r="AC625" t="s">
        <v>90</v>
      </c>
      <c r="AD625" t="s">
        <v>91</v>
      </c>
      <c r="AE625" t="s">
        <v>856</v>
      </c>
      <c r="AG625" t="s">
        <v>909</v>
      </c>
      <c r="AH625">
        <v>0</v>
      </c>
      <c r="AI625">
        <v>299</v>
      </c>
      <c r="AJ625">
        <v>52</v>
      </c>
      <c r="AK625">
        <v>40</v>
      </c>
      <c r="AL625">
        <v>0.95</v>
      </c>
    </row>
    <row r="626" spans="1:38" x14ac:dyDescent="0.3">
      <c r="A626" t="s">
        <v>852</v>
      </c>
      <c r="B626">
        <v>128689</v>
      </c>
      <c r="C626">
        <v>4</v>
      </c>
      <c r="D626" t="s">
        <v>906</v>
      </c>
      <c r="E626">
        <v>2019.07</v>
      </c>
      <c r="F626">
        <v>42</v>
      </c>
      <c r="G626">
        <v>19.66</v>
      </c>
      <c r="H626">
        <v>65.02</v>
      </c>
      <c r="I626">
        <v>17.61</v>
      </c>
      <c r="J626">
        <v>58.23</v>
      </c>
      <c r="K626">
        <v>10</v>
      </c>
      <c r="T626">
        <v>3</v>
      </c>
      <c r="U626">
        <v>2</v>
      </c>
      <c r="V626" t="s">
        <v>94</v>
      </c>
      <c r="W626">
        <v>65</v>
      </c>
      <c r="X626">
        <v>12</v>
      </c>
      <c r="Y626">
        <v>11</v>
      </c>
      <c r="Z626" t="s">
        <v>907</v>
      </c>
      <c r="AA626" t="s">
        <v>908</v>
      </c>
      <c r="AB626" t="s">
        <v>89</v>
      </c>
      <c r="AC626" t="s">
        <v>90</v>
      </c>
      <c r="AD626" t="s">
        <v>91</v>
      </c>
      <c r="AE626" t="s">
        <v>856</v>
      </c>
      <c r="AG626" t="s">
        <v>909</v>
      </c>
      <c r="AH626">
        <v>0</v>
      </c>
      <c r="AI626">
        <v>299</v>
      </c>
      <c r="AJ626">
        <v>52</v>
      </c>
      <c r="AK626">
        <v>40</v>
      </c>
      <c r="AL626">
        <v>0.95</v>
      </c>
    </row>
    <row r="627" spans="1:38" x14ac:dyDescent="0.3">
      <c r="A627" t="s">
        <v>852</v>
      </c>
      <c r="B627">
        <v>128689</v>
      </c>
      <c r="C627">
        <v>5</v>
      </c>
      <c r="D627" t="s">
        <v>906</v>
      </c>
      <c r="E627">
        <v>2019.07</v>
      </c>
      <c r="F627">
        <v>42</v>
      </c>
      <c r="G627">
        <v>27.84</v>
      </c>
      <c r="H627">
        <v>92.06</v>
      </c>
      <c r="I627">
        <v>24.94</v>
      </c>
      <c r="J627">
        <v>82.45</v>
      </c>
      <c r="K627">
        <v>1</v>
      </c>
      <c r="T627">
        <v>3</v>
      </c>
      <c r="U627">
        <v>2</v>
      </c>
      <c r="V627" t="s">
        <v>94</v>
      </c>
      <c r="W627">
        <v>92</v>
      </c>
      <c r="X627">
        <v>12</v>
      </c>
      <c r="Y627">
        <v>11</v>
      </c>
      <c r="Z627" t="s">
        <v>907</v>
      </c>
      <c r="AA627" t="s">
        <v>908</v>
      </c>
      <c r="AB627" t="s">
        <v>89</v>
      </c>
      <c r="AC627" t="s">
        <v>90</v>
      </c>
      <c r="AD627" t="s">
        <v>91</v>
      </c>
      <c r="AE627" t="s">
        <v>856</v>
      </c>
      <c r="AG627" t="s">
        <v>909</v>
      </c>
      <c r="AH627">
        <v>0</v>
      </c>
      <c r="AI627">
        <v>299</v>
      </c>
      <c r="AJ627">
        <v>52</v>
      </c>
      <c r="AK627">
        <v>40</v>
      </c>
      <c r="AL627">
        <v>0.95</v>
      </c>
    </row>
    <row r="628" spans="1:38" x14ac:dyDescent="0.3">
      <c r="A628" t="s">
        <v>852</v>
      </c>
      <c r="B628">
        <v>128689</v>
      </c>
      <c r="C628">
        <v>6</v>
      </c>
      <c r="D628" t="s">
        <v>906</v>
      </c>
      <c r="E628">
        <v>2019.07</v>
      </c>
      <c r="F628">
        <v>42</v>
      </c>
      <c r="G628">
        <v>28.65</v>
      </c>
      <c r="H628">
        <v>94.73</v>
      </c>
      <c r="I628">
        <v>25.66</v>
      </c>
      <c r="J628">
        <v>84.84</v>
      </c>
      <c r="K628">
        <v>1</v>
      </c>
      <c r="T628">
        <v>3</v>
      </c>
      <c r="U628">
        <v>2</v>
      </c>
      <c r="V628" t="s">
        <v>94</v>
      </c>
      <c r="W628">
        <v>94</v>
      </c>
      <c r="X628">
        <v>12</v>
      </c>
      <c r="Y628">
        <v>11</v>
      </c>
      <c r="Z628" t="s">
        <v>907</v>
      </c>
      <c r="AA628" t="s">
        <v>908</v>
      </c>
      <c r="AB628" t="s">
        <v>89</v>
      </c>
      <c r="AC628" t="s">
        <v>90</v>
      </c>
      <c r="AD628" t="s">
        <v>91</v>
      </c>
      <c r="AE628" t="s">
        <v>856</v>
      </c>
      <c r="AG628" t="s">
        <v>909</v>
      </c>
      <c r="AH628">
        <v>0</v>
      </c>
      <c r="AI628">
        <v>299</v>
      </c>
      <c r="AJ628">
        <v>52</v>
      </c>
      <c r="AK628">
        <v>40</v>
      </c>
      <c r="AL628">
        <v>0.95</v>
      </c>
    </row>
    <row r="629" spans="1:38" x14ac:dyDescent="0.3">
      <c r="A629" t="s">
        <v>852</v>
      </c>
      <c r="B629">
        <v>19662</v>
      </c>
      <c r="C629">
        <v>1</v>
      </c>
      <c r="D629" t="s">
        <v>911</v>
      </c>
      <c r="E629">
        <v>2005.09</v>
      </c>
      <c r="F629">
        <v>60</v>
      </c>
      <c r="G629">
        <v>27.89</v>
      </c>
      <c r="H629">
        <v>92.21</v>
      </c>
      <c r="I629">
        <v>21.02</v>
      </c>
      <c r="J629">
        <v>69.510000000000005</v>
      </c>
      <c r="K629">
        <v>2</v>
      </c>
      <c r="T629">
        <v>3</v>
      </c>
      <c r="U629">
        <v>2</v>
      </c>
      <c r="V629" t="s">
        <v>94</v>
      </c>
      <c r="W629">
        <v>92</v>
      </c>
      <c r="X629">
        <v>17</v>
      </c>
      <c r="Y629">
        <v>17</v>
      </c>
      <c r="Z629" t="s">
        <v>912</v>
      </c>
      <c r="AA629" t="s">
        <v>913</v>
      </c>
      <c r="AB629" t="s">
        <v>89</v>
      </c>
      <c r="AC629" t="s">
        <v>90</v>
      </c>
      <c r="AD629" t="s">
        <v>91</v>
      </c>
      <c r="AE629" t="s">
        <v>856</v>
      </c>
      <c r="AG629" t="s">
        <v>914</v>
      </c>
      <c r="AH629">
        <v>0</v>
      </c>
      <c r="AI629">
        <v>376</v>
      </c>
      <c r="AJ629">
        <v>50</v>
      </c>
      <c r="AK629">
        <v>105</v>
      </c>
      <c r="AL629">
        <v>1.75</v>
      </c>
    </row>
    <row r="630" spans="1:38" x14ac:dyDescent="0.3">
      <c r="A630" t="s">
        <v>852</v>
      </c>
      <c r="B630">
        <v>19662</v>
      </c>
      <c r="C630">
        <v>2</v>
      </c>
      <c r="D630" t="s">
        <v>911</v>
      </c>
      <c r="E630">
        <v>2005.09</v>
      </c>
      <c r="F630">
        <v>60</v>
      </c>
      <c r="G630">
        <v>33.869999999999997</v>
      </c>
      <c r="H630">
        <v>111.99</v>
      </c>
      <c r="I630">
        <v>25.65</v>
      </c>
      <c r="J630">
        <v>84.81</v>
      </c>
      <c r="K630">
        <v>58</v>
      </c>
      <c r="T630">
        <v>3</v>
      </c>
      <c r="U630">
        <v>2</v>
      </c>
      <c r="V630" t="s">
        <v>94</v>
      </c>
      <c r="W630">
        <v>111</v>
      </c>
      <c r="X630">
        <v>17</v>
      </c>
      <c r="Y630">
        <v>17</v>
      </c>
      <c r="Z630" t="s">
        <v>912</v>
      </c>
      <c r="AA630" t="s">
        <v>913</v>
      </c>
      <c r="AB630" t="s">
        <v>89</v>
      </c>
      <c r="AC630" t="s">
        <v>90</v>
      </c>
      <c r="AD630" t="s">
        <v>91</v>
      </c>
      <c r="AE630" t="s">
        <v>856</v>
      </c>
      <c r="AG630" t="s">
        <v>914</v>
      </c>
      <c r="AH630">
        <v>0</v>
      </c>
      <c r="AI630">
        <v>376</v>
      </c>
      <c r="AJ630">
        <v>50</v>
      </c>
      <c r="AK630">
        <v>105</v>
      </c>
      <c r="AL630">
        <v>1.75</v>
      </c>
    </row>
    <row r="631" spans="1:38" x14ac:dyDescent="0.3">
      <c r="A631" t="s">
        <v>852</v>
      </c>
      <c r="B631">
        <v>24870</v>
      </c>
      <c r="C631">
        <v>1</v>
      </c>
      <c r="D631" t="s">
        <v>915</v>
      </c>
      <c r="E631">
        <v>2008.02</v>
      </c>
      <c r="F631">
        <v>137</v>
      </c>
      <c r="G631">
        <v>36.43</v>
      </c>
      <c r="H631">
        <v>120.46</v>
      </c>
      <c r="I631">
        <v>29.88</v>
      </c>
      <c r="J631">
        <v>98.79</v>
      </c>
      <c r="K631">
        <v>24</v>
      </c>
      <c r="T631">
        <v>4</v>
      </c>
      <c r="U631">
        <v>2</v>
      </c>
      <c r="V631" t="s">
        <v>94</v>
      </c>
      <c r="W631">
        <v>120</v>
      </c>
      <c r="X631">
        <v>26</v>
      </c>
      <c r="Y631">
        <v>24</v>
      </c>
      <c r="Z631" t="s">
        <v>916</v>
      </c>
      <c r="AA631" t="s">
        <v>917</v>
      </c>
      <c r="AB631" t="s">
        <v>89</v>
      </c>
      <c r="AC631" t="s">
        <v>90</v>
      </c>
      <c r="AD631" t="s">
        <v>91</v>
      </c>
      <c r="AE631" t="s">
        <v>856</v>
      </c>
      <c r="AG631" t="s">
        <v>918</v>
      </c>
      <c r="AH631">
        <v>0</v>
      </c>
      <c r="AI631">
        <v>629</v>
      </c>
      <c r="AJ631">
        <v>54</v>
      </c>
      <c r="AK631">
        <v>278</v>
      </c>
      <c r="AL631">
        <v>2.0299999999999998</v>
      </c>
    </row>
    <row r="632" spans="1:38" x14ac:dyDescent="0.3">
      <c r="A632" t="s">
        <v>852</v>
      </c>
      <c r="B632">
        <v>24870</v>
      </c>
      <c r="C632">
        <v>2</v>
      </c>
      <c r="D632" t="s">
        <v>915</v>
      </c>
      <c r="E632">
        <v>2008.02</v>
      </c>
      <c r="F632">
        <v>137</v>
      </c>
      <c r="G632">
        <v>39.61</v>
      </c>
      <c r="H632">
        <v>130.96</v>
      </c>
      <c r="I632">
        <v>32.479999999999997</v>
      </c>
      <c r="J632">
        <v>107.4</v>
      </c>
      <c r="K632">
        <v>45</v>
      </c>
      <c r="T632">
        <v>4</v>
      </c>
      <c r="U632">
        <v>2</v>
      </c>
      <c r="V632" t="s">
        <v>94</v>
      </c>
      <c r="W632">
        <v>130</v>
      </c>
      <c r="X632">
        <v>26</v>
      </c>
      <c r="Y632">
        <v>24</v>
      </c>
      <c r="Z632" t="s">
        <v>916</v>
      </c>
      <c r="AA632" t="s">
        <v>917</v>
      </c>
      <c r="AB632" t="s">
        <v>89</v>
      </c>
      <c r="AC632" t="s">
        <v>90</v>
      </c>
      <c r="AD632" t="s">
        <v>91</v>
      </c>
      <c r="AE632" t="s">
        <v>856</v>
      </c>
      <c r="AG632" t="s">
        <v>918</v>
      </c>
      <c r="AH632">
        <v>0</v>
      </c>
      <c r="AI632">
        <v>629</v>
      </c>
      <c r="AJ632">
        <v>54</v>
      </c>
      <c r="AK632">
        <v>278</v>
      </c>
      <c r="AL632">
        <v>2.0299999999999998</v>
      </c>
    </row>
    <row r="633" spans="1:38" x14ac:dyDescent="0.3">
      <c r="A633" t="s">
        <v>852</v>
      </c>
      <c r="B633">
        <v>24870</v>
      </c>
      <c r="C633">
        <v>3</v>
      </c>
      <c r="D633" t="s">
        <v>915</v>
      </c>
      <c r="E633">
        <v>2008.02</v>
      </c>
      <c r="F633">
        <v>137</v>
      </c>
      <c r="G633">
        <v>42.44</v>
      </c>
      <c r="H633">
        <v>140.32</v>
      </c>
      <c r="I633">
        <v>34.81</v>
      </c>
      <c r="J633">
        <v>115.08</v>
      </c>
      <c r="K633">
        <v>24</v>
      </c>
      <c r="T633">
        <v>4</v>
      </c>
      <c r="U633">
        <v>2</v>
      </c>
      <c r="V633" t="s">
        <v>94</v>
      </c>
      <c r="W633" t="s">
        <v>919</v>
      </c>
      <c r="X633">
        <v>26</v>
      </c>
      <c r="Y633">
        <v>24</v>
      </c>
      <c r="Z633" t="s">
        <v>916</v>
      </c>
      <c r="AA633" t="s">
        <v>917</v>
      </c>
      <c r="AB633" t="s">
        <v>89</v>
      </c>
      <c r="AC633" t="s">
        <v>90</v>
      </c>
      <c r="AD633" t="s">
        <v>91</v>
      </c>
      <c r="AE633" t="s">
        <v>856</v>
      </c>
      <c r="AG633" t="s">
        <v>918</v>
      </c>
      <c r="AH633">
        <v>0</v>
      </c>
      <c r="AI633">
        <v>629</v>
      </c>
      <c r="AJ633">
        <v>54</v>
      </c>
      <c r="AK633">
        <v>278</v>
      </c>
      <c r="AL633">
        <v>2.0299999999999998</v>
      </c>
    </row>
    <row r="634" spans="1:38" x14ac:dyDescent="0.3">
      <c r="A634" t="s">
        <v>852</v>
      </c>
      <c r="B634">
        <v>24870</v>
      </c>
      <c r="C634">
        <v>4</v>
      </c>
      <c r="D634" t="s">
        <v>915</v>
      </c>
      <c r="E634">
        <v>2008.02</v>
      </c>
      <c r="F634">
        <v>137</v>
      </c>
      <c r="G634">
        <v>43.04</v>
      </c>
      <c r="H634">
        <v>142.31</v>
      </c>
      <c r="I634">
        <v>35.299999999999997</v>
      </c>
      <c r="J634">
        <v>116.72</v>
      </c>
      <c r="K634">
        <v>22</v>
      </c>
      <c r="T634">
        <v>4</v>
      </c>
      <c r="U634">
        <v>2</v>
      </c>
      <c r="V634" t="s">
        <v>94</v>
      </c>
      <c r="W634" t="s">
        <v>920</v>
      </c>
      <c r="X634">
        <v>26</v>
      </c>
      <c r="Y634">
        <v>24</v>
      </c>
      <c r="Z634" t="s">
        <v>916</v>
      </c>
      <c r="AA634" t="s">
        <v>917</v>
      </c>
      <c r="AB634" t="s">
        <v>89</v>
      </c>
      <c r="AC634" t="s">
        <v>90</v>
      </c>
      <c r="AD634" t="s">
        <v>91</v>
      </c>
      <c r="AE634" t="s">
        <v>856</v>
      </c>
      <c r="AG634" t="s">
        <v>918</v>
      </c>
      <c r="AH634">
        <v>0</v>
      </c>
      <c r="AI634">
        <v>629</v>
      </c>
      <c r="AJ634">
        <v>54</v>
      </c>
      <c r="AK634">
        <v>278</v>
      </c>
      <c r="AL634">
        <v>2.0299999999999998</v>
      </c>
    </row>
    <row r="635" spans="1:38" x14ac:dyDescent="0.3">
      <c r="A635" t="s">
        <v>852</v>
      </c>
      <c r="B635">
        <v>24870</v>
      </c>
      <c r="C635">
        <v>5</v>
      </c>
      <c r="D635" t="s">
        <v>915</v>
      </c>
      <c r="E635">
        <v>2008.02</v>
      </c>
      <c r="F635">
        <v>137</v>
      </c>
      <c r="G635">
        <v>64.989999999999995</v>
      </c>
      <c r="H635">
        <v>214.85</v>
      </c>
      <c r="I635">
        <v>53.3</v>
      </c>
      <c r="J635">
        <v>176.21</v>
      </c>
      <c r="K635">
        <v>22</v>
      </c>
      <c r="T635">
        <v>4</v>
      </c>
      <c r="U635">
        <v>2</v>
      </c>
      <c r="V635" t="s">
        <v>94</v>
      </c>
      <c r="W635">
        <v>214</v>
      </c>
      <c r="X635">
        <v>26</v>
      </c>
      <c r="Y635">
        <v>24</v>
      </c>
      <c r="Z635" t="s">
        <v>916</v>
      </c>
      <c r="AA635" t="s">
        <v>917</v>
      </c>
      <c r="AB635" t="s">
        <v>89</v>
      </c>
      <c r="AC635" t="s">
        <v>90</v>
      </c>
      <c r="AD635" t="s">
        <v>91</v>
      </c>
      <c r="AE635" t="s">
        <v>856</v>
      </c>
      <c r="AG635" t="s">
        <v>918</v>
      </c>
      <c r="AH635">
        <v>0</v>
      </c>
      <c r="AI635">
        <v>629</v>
      </c>
      <c r="AJ635">
        <v>54</v>
      </c>
      <c r="AK635">
        <v>278</v>
      </c>
      <c r="AL635">
        <v>2.0299999999999998</v>
      </c>
    </row>
    <row r="636" spans="1:38" x14ac:dyDescent="0.3">
      <c r="A636" t="s">
        <v>852</v>
      </c>
      <c r="B636">
        <v>2034</v>
      </c>
      <c r="C636">
        <v>1</v>
      </c>
      <c r="D636" t="s">
        <v>921</v>
      </c>
      <c r="E636">
        <v>1999.08</v>
      </c>
      <c r="F636">
        <v>195</v>
      </c>
      <c r="G636">
        <v>23.71</v>
      </c>
      <c r="H636">
        <v>78.400000000000006</v>
      </c>
      <c r="I636">
        <v>18.12</v>
      </c>
      <c r="J636">
        <v>59.91</v>
      </c>
      <c r="K636">
        <v>108</v>
      </c>
      <c r="T636">
        <v>3</v>
      </c>
      <c r="U636">
        <v>1</v>
      </c>
      <c r="V636" t="s">
        <v>128</v>
      </c>
      <c r="W636">
        <v>78</v>
      </c>
      <c r="X636">
        <v>18</v>
      </c>
      <c r="Y636">
        <v>16</v>
      </c>
      <c r="Z636" t="s">
        <v>922</v>
      </c>
      <c r="AA636" t="s">
        <v>923</v>
      </c>
      <c r="AB636" t="s">
        <v>89</v>
      </c>
      <c r="AC636" t="s">
        <v>90</v>
      </c>
      <c r="AD636" t="s">
        <v>91</v>
      </c>
      <c r="AE636" t="s">
        <v>856</v>
      </c>
      <c r="AG636" t="s">
        <v>924</v>
      </c>
      <c r="AH636">
        <v>0</v>
      </c>
      <c r="AI636">
        <v>0</v>
      </c>
      <c r="AJ636">
        <v>0</v>
      </c>
      <c r="AK636">
        <v>197</v>
      </c>
      <c r="AL636">
        <v>1.01</v>
      </c>
    </row>
    <row r="637" spans="1:38" x14ac:dyDescent="0.3">
      <c r="A637" t="s">
        <v>852</v>
      </c>
      <c r="B637">
        <v>2034</v>
      </c>
      <c r="C637">
        <v>2</v>
      </c>
      <c r="D637" t="s">
        <v>921</v>
      </c>
      <c r="E637">
        <v>1999.08</v>
      </c>
      <c r="F637">
        <v>195</v>
      </c>
      <c r="G637">
        <v>28.22</v>
      </c>
      <c r="H637">
        <v>93.31</v>
      </c>
      <c r="I637">
        <v>21.57</v>
      </c>
      <c r="J637">
        <v>71.31</v>
      </c>
      <c r="K637">
        <v>19</v>
      </c>
      <c r="T637">
        <v>3</v>
      </c>
      <c r="U637">
        <v>2</v>
      </c>
      <c r="V637" t="s">
        <v>128</v>
      </c>
      <c r="W637">
        <v>93</v>
      </c>
      <c r="X637">
        <v>18</v>
      </c>
      <c r="Y637">
        <v>16</v>
      </c>
      <c r="Z637" t="s">
        <v>922</v>
      </c>
      <c r="AA637" t="s">
        <v>923</v>
      </c>
      <c r="AB637" t="s">
        <v>89</v>
      </c>
      <c r="AC637" t="s">
        <v>90</v>
      </c>
      <c r="AD637" t="s">
        <v>91</v>
      </c>
      <c r="AE637" t="s">
        <v>856</v>
      </c>
      <c r="AG637" t="s">
        <v>924</v>
      </c>
      <c r="AH637">
        <v>0</v>
      </c>
      <c r="AI637">
        <v>0</v>
      </c>
      <c r="AJ637">
        <v>0</v>
      </c>
      <c r="AK637">
        <v>197</v>
      </c>
      <c r="AL637">
        <v>1.01</v>
      </c>
    </row>
    <row r="638" spans="1:38" x14ac:dyDescent="0.3">
      <c r="A638" t="s">
        <v>852</v>
      </c>
      <c r="B638">
        <v>2034</v>
      </c>
      <c r="C638">
        <v>3</v>
      </c>
      <c r="D638" t="s">
        <v>921</v>
      </c>
      <c r="E638">
        <v>1999.08</v>
      </c>
      <c r="F638">
        <v>195</v>
      </c>
      <c r="G638">
        <v>33.619999999999997</v>
      </c>
      <c r="H638">
        <v>111.17</v>
      </c>
      <c r="I638">
        <v>25.7</v>
      </c>
      <c r="J638">
        <v>84.96</v>
      </c>
      <c r="K638">
        <v>34</v>
      </c>
      <c r="T638">
        <v>3</v>
      </c>
      <c r="U638">
        <v>2</v>
      </c>
      <c r="V638" t="s">
        <v>128</v>
      </c>
      <c r="W638" t="s">
        <v>120</v>
      </c>
      <c r="X638">
        <v>18</v>
      </c>
      <c r="Y638">
        <v>16</v>
      </c>
      <c r="Z638" t="s">
        <v>922</v>
      </c>
      <c r="AA638" t="s">
        <v>923</v>
      </c>
      <c r="AB638" t="s">
        <v>89</v>
      </c>
      <c r="AC638" t="s">
        <v>90</v>
      </c>
      <c r="AD638" t="s">
        <v>91</v>
      </c>
      <c r="AE638" t="s">
        <v>856</v>
      </c>
      <c r="AG638" t="s">
        <v>924</v>
      </c>
      <c r="AH638">
        <v>0</v>
      </c>
      <c r="AI638">
        <v>0</v>
      </c>
      <c r="AJ638">
        <v>0</v>
      </c>
      <c r="AK638">
        <v>197</v>
      </c>
      <c r="AL638">
        <v>1.01</v>
      </c>
    </row>
    <row r="639" spans="1:38" x14ac:dyDescent="0.3">
      <c r="A639" t="s">
        <v>852</v>
      </c>
      <c r="B639">
        <v>2034</v>
      </c>
      <c r="C639">
        <v>4</v>
      </c>
      <c r="D639" t="s">
        <v>921</v>
      </c>
      <c r="E639">
        <v>1999.08</v>
      </c>
      <c r="F639">
        <v>195</v>
      </c>
      <c r="G639">
        <v>33.64</v>
      </c>
      <c r="H639">
        <v>111.21</v>
      </c>
      <c r="I639">
        <v>25.7</v>
      </c>
      <c r="J639">
        <v>84.98</v>
      </c>
      <c r="K639">
        <v>33</v>
      </c>
      <c r="T639">
        <v>3</v>
      </c>
      <c r="U639">
        <v>2</v>
      </c>
      <c r="V639" t="s">
        <v>128</v>
      </c>
      <c r="W639" t="s">
        <v>123</v>
      </c>
      <c r="X639">
        <v>18</v>
      </c>
      <c r="Y639">
        <v>16</v>
      </c>
      <c r="Z639" t="s">
        <v>922</v>
      </c>
      <c r="AA639" t="s">
        <v>923</v>
      </c>
      <c r="AB639" t="s">
        <v>89</v>
      </c>
      <c r="AC639" t="s">
        <v>90</v>
      </c>
      <c r="AD639" t="s">
        <v>91</v>
      </c>
      <c r="AE639" t="s">
        <v>856</v>
      </c>
      <c r="AG639" t="s">
        <v>924</v>
      </c>
      <c r="AH639">
        <v>0</v>
      </c>
      <c r="AI639">
        <v>0</v>
      </c>
      <c r="AJ639">
        <v>0</v>
      </c>
      <c r="AK639">
        <v>197</v>
      </c>
      <c r="AL639">
        <v>1.01</v>
      </c>
    </row>
    <row r="640" spans="1:38" x14ac:dyDescent="0.3">
      <c r="A640" t="s">
        <v>852</v>
      </c>
      <c r="B640">
        <v>2034</v>
      </c>
      <c r="C640">
        <v>5</v>
      </c>
      <c r="D640" t="s">
        <v>921</v>
      </c>
      <c r="E640">
        <v>1999.08</v>
      </c>
      <c r="F640">
        <v>195</v>
      </c>
      <c r="G640">
        <v>33.630000000000003</v>
      </c>
      <c r="H640">
        <v>111.18</v>
      </c>
      <c r="I640">
        <v>25.69</v>
      </c>
      <c r="J640">
        <v>84.95</v>
      </c>
      <c r="K640">
        <v>1</v>
      </c>
      <c r="T640">
        <v>3</v>
      </c>
      <c r="U640">
        <v>2</v>
      </c>
      <c r="V640" t="s">
        <v>94</v>
      </c>
      <c r="W640" t="s">
        <v>124</v>
      </c>
      <c r="X640">
        <v>18</v>
      </c>
      <c r="Y640">
        <v>16</v>
      </c>
      <c r="Z640" t="s">
        <v>922</v>
      </c>
      <c r="AA640" t="s">
        <v>923</v>
      </c>
      <c r="AB640" t="s">
        <v>89</v>
      </c>
      <c r="AC640" t="s">
        <v>90</v>
      </c>
      <c r="AD640" t="s">
        <v>91</v>
      </c>
      <c r="AE640" t="s">
        <v>856</v>
      </c>
      <c r="AG640" t="s">
        <v>924</v>
      </c>
      <c r="AH640">
        <v>0</v>
      </c>
      <c r="AI640">
        <v>0</v>
      </c>
      <c r="AJ640">
        <v>0</v>
      </c>
      <c r="AK640">
        <v>197</v>
      </c>
      <c r="AL640">
        <v>1.01</v>
      </c>
    </row>
    <row r="641" spans="1:38" x14ac:dyDescent="0.3">
      <c r="A641" t="s">
        <v>852</v>
      </c>
      <c r="B641">
        <v>1442</v>
      </c>
      <c r="C641">
        <v>1</v>
      </c>
      <c r="D641" t="s">
        <v>925</v>
      </c>
      <c r="E641">
        <v>1992.09</v>
      </c>
      <c r="F641">
        <v>384</v>
      </c>
      <c r="G641">
        <v>37.18</v>
      </c>
      <c r="H641">
        <v>122.93</v>
      </c>
      <c r="I641">
        <v>30.82</v>
      </c>
      <c r="J641">
        <v>101.91</v>
      </c>
      <c r="K641">
        <v>120</v>
      </c>
      <c r="T641">
        <v>4</v>
      </c>
      <c r="U641">
        <v>2</v>
      </c>
      <c r="V641" t="s">
        <v>94</v>
      </c>
      <c r="W641">
        <v>122</v>
      </c>
      <c r="X641">
        <v>18</v>
      </c>
      <c r="Y641">
        <v>15</v>
      </c>
      <c r="Z641" t="s">
        <v>926</v>
      </c>
      <c r="AA641" t="s">
        <v>927</v>
      </c>
      <c r="AB641" t="s">
        <v>89</v>
      </c>
      <c r="AC641" t="s">
        <v>90</v>
      </c>
      <c r="AD641" t="s">
        <v>91</v>
      </c>
      <c r="AE641" t="s">
        <v>856</v>
      </c>
      <c r="AG641" t="s">
        <v>928</v>
      </c>
      <c r="AH641">
        <v>0</v>
      </c>
      <c r="AI641">
        <v>208</v>
      </c>
      <c r="AJ641">
        <v>14</v>
      </c>
      <c r="AK641">
        <v>521</v>
      </c>
      <c r="AL641">
        <v>1.36</v>
      </c>
    </row>
    <row r="642" spans="1:38" x14ac:dyDescent="0.3">
      <c r="A642" t="s">
        <v>852</v>
      </c>
      <c r="B642">
        <v>1442</v>
      </c>
      <c r="C642">
        <v>2</v>
      </c>
      <c r="D642" t="s">
        <v>925</v>
      </c>
      <c r="E642">
        <v>1992.09</v>
      </c>
      <c r="F642">
        <v>384</v>
      </c>
      <c r="G642">
        <v>47.84</v>
      </c>
      <c r="H642">
        <v>158.18</v>
      </c>
      <c r="I642">
        <v>40.11</v>
      </c>
      <c r="J642">
        <v>132.6</v>
      </c>
      <c r="K642">
        <v>256</v>
      </c>
      <c r="T642">
        <v>4</v>
      </c>
      <c r="U642">
        <v>2</v>
      </c>
      <c r="V642" t="s">
        <v>94</v>
      </c>
      <c r="W642">
        <v>158</v>
      </c>
      <c r="X642">
        <v>18</v>
      </c>
      <c r="Y642">
        <v>15</v>
      </c>
      <c r="Z642" t="s">
        <v>926</v>
      </c>
      <c r="AA642" t="s">
        <v>927</v>
      </c>
      <c r="AB642" t="s">
        <v>89</v>
      </c>
      <c r="AC642" t="s">
        <v>90</v>
      </c>
      <c r="AD642" t="s">
        <v>91</v>
      </c>
      <c r="AE642" t="s">
        <v>856</v>
      </c>
      <c r="AG642" t="s">
        <v>928</v>
      </c>
      <c r="AH642">
        <v>0</v>
      </c>
      <c r="AI642">
        <v>208</v>
      </c>
      <c r="AJ642">
        <v>14</v>
      </c>
      <c r="AK642">
        <v>521</v>
      </c>
      <c r="AL642">
        <v>1.36</v>
      </c>
    </row>
    <row r="643" spans="1:38" x14ac:dyDescent="0.3">
      <c r="A643" t="s">
        <v>852</v>
      </c>
      <c r="B643">
        <v>1442</v>
      </c>
      <c r="C643">
        <v>3</v>
      </c>
      <c r="D643" t="s">
        <v>925</v>
      </c>
      <c r="E643">
        <v>1992.09</v>
      </c>
      <c r="F643">
        <v>384</v>
      </c>
      <c r="G643">
        <v>62.21</v>
      </c>
      <c r="H643">
        <v>205.66</v>
      </c>
      <c r="I643">
        <v>53.06</v>
      </c>
      <c r="J643">
        <v>175.41</v>
      </c>
      <c r="K643">
        <v>8</v>
      </c>
      <c r="T643">
        <v>4</v>
      </c>
      <c r="U643">
        <v>2</v>
      </c>
      <c r="V643" t="s">
        <v>94</v>
      </c>
      <c r="W643">
        <v>205</v>
      </c>
      <c r="X643">
        <v>18</v>
      </c>
      <c r="Y643">
        <v>15</v>
      </c>
      <c r="Z643" t="s">
        <v>926</v>
      </c>
      <c r="AA643" t="s">
        <v>927</v>
      </c>
      <c r="AB643" t="s">
        <v>89</v>
      </c>
      <c r="AC643" t="s">
        <v>90</v>
      </c>
      <c r="AD643" t="s">
        <v>91</v>
      </c>
      <c r="AE643" t="s">
        <v>856</v>
      </c>
      <c r="AG643" t="s">
        <v>928</v>
      </c>
      <c r="AH643">
        <v>0</v>
      </c>
      <c r="AI643">
        <v>208</v>
      </c>
      <c r="AJ643">
        <v>14</v>
      </c>
      <c r="AK643">
        <v>521</v>
      </c>
      <c r="AL643">
        <v>1.36</v>
      </c>
    </row>
    <row r="644" spans="1:38" x14ac:dyDescent="0.3">
      <c r="A644" t="s">
        <v>852</v>
      </c>
      <c r="B644">
        <v>1470</v>
      </c>
      <c r="C644">
        <v>1</v>
      </c>
      <c r="D644" t="s">
        <v>929</v>
      </c>
      <c r="E644">
        <v>1992.09</v>
      </c>
      <c r="F644">
        <v>468</v>
      </c>
      <c r="G644">
        <v>20.170000000000002</v>
      </c>
      <c r="H644">
        <v>66.69</v>
      </c>
      <c r="I644">
        <v>16.2</v>
      </c>
      <c r="J644">
        <v>53.58</v>
      </c>
      <c r="K644">
        <v>112</v>
      </c>
      <c r="T644">
        <v>2</v>
      </c>
      <c r="U644">
        <v>1</v>
      </c>
      <c r="V644" t="s">
        <v>128</v>
      </c>
      <c r="W644">
        <v>66</v>
      </c>
      <c r="X644">
        <v>15</v>
      </c>
      <c r="Y644">
        <v>14</v>
      </c>
      <c r="Z644" t="s">
        <v>930</v>
      </c>
      <c r="AA644" t="s">
        <v>931</v>
      </c>
      <c r="AB644" t="s">
        <v>89</v>
      </c>
      <c r="AC644" t="s">
        <v>90</v>
      </c>
      <c r="AD644" t="s">
        <v>91</v>
      </c>
      <c r="AE644" t="s">
        <v>856</v>
      </c>
      <c r="AG644" t="s">
        <v>932</v>
      </c>
      <c r="AH644">
        <v>0</v>
      </c>
      <c r="AI644">
        <v>214</v>
      </c>
      <c r="AJ644">
        <v>0</v>
      </c>
      <c r="AK644">
        <v>500</v>
      </c>
      <c r="AL644">
        <v>1.07</v>
      </c>
    </row>
    <row r="645" spans="1:38" x14ac:dyDescent="0.3">
      <c r="A645" t="s">
        <v>852</v>
      </c>
      <c r="B645">
        <v>1470</v>
      </c>
      <c r="C645">
        <v>2</v>
      </c>
      <c r="D645" t="s">
        <v>929</v>
      </c>
      <c r="E645">
        <v>1992.09</v>
      </c>
      <c r="F645">
        <v>468</v>
      </c>
      <c r="G645">
        <v>28.75</v>
      </c>
      <c r="H645">
        <v>95.05</v>
      </c>
      <c r="I645">
        <v>23.09</v>
      </c>
      <c r="J645">
        <v>76.36</v>
      </c>
      <c r="K645">
        <v>56</v>
      </c>
      <c r="T645">
        <v>3</v>
      </c>
      <c r="U645">
        <v>2</v>
      </c>
      <c r="V645" t="s">
        <v>94</v>
      </c>
      <c r="W645">
        <v>95</v>
      </c>
      <c r="X645">
        <v>15</v>
      </c>
      <c r="Y645">
        <v>14</v>
      </c>
      <c r="Z645" t="s">
        <v>930</v>
      </c>
      <c r="AA645" t="s">
        <v>931</v>
      </c>
      <c r="AB645" t="s">
        <v>89</v>
      </c>
      <c r="AC645" t="s">
        <v>90</v>
      </c>
      <c r="AD645" t="s">
        <v>91</v>
      </c>
      <c r="AE645" t="s">
        <v>856</v>
      </c>
      <c r="AG645" t="s">
        <v>932</v>
      </c>
      <c r="AH645">
        <v>0</v>
      </c>
      <c r="AI645">
        <v>214</v>
      </c>
      <c r="AJ645">
        <v>0</v>
      </c>
      <c r="AK645">
        <v>500</v>
      </c>
      <c r="AL645">
        <v>1.07</v>
      </c>
    </row>
    <row r="646" spans="1:38" x14ac:dyDescent="0.3">
      <c r="A646" t="s">
        <v>852</v>
      </c>
      <c r="B646">
        <v>1470</v>
      </c>
      <c r="C646">
        <v>3</v>
      </c>
      <c r="D646" t="s">
        <v>929</v>
      </c>
      <c r="E646">
        <v>1992.09</v>
      </c>
      <c r="F646">
        <v>468</v>
      </c>
      <c r="G646">
        <v>30.98</v>
      </c>
      <c r="H646">
        <v>102.44</v>
      </c>
      <c r="I646">
        <v>25.66</v>
      </c>
      <c r="J646">
        <v>84.84</v>
      </c>
      <c r="K646">
        <v>300</v>
      </c>
      <c r="T646">
        <v>3</v>
      </c>
      <c r="U646">
        <v>2</v>
      </c>
      <c r="V646" t="s">
        <v>94</v>
      </c>
      <c r="W646">
        <v>102</v>
      </c>
      <c r="X646">
        <v>15</v>
      </c>
      <c r="Y646">
        <v>14</v>
      </c>
      <c r="Z646" t="s">
        <v>930</v>
      </c>
      <c r="AA646" t="s">
        <v>931</v>
      </c>
      <c r="AB646" t="s">
        <v>89</v>
      </c>
      <c r="AC646" t="s">
        <v>90</v>
      </c>
      <c r="AD646" t="s">
        <v>91</v>
      </c>
      <c r="AE646" t="s">
        <v>856</v>
      </c>
      <c r="AG646" t="s">
        <v>932</v>
      </c>
      <c r="AH646">
        <v>0</v>
      </c>
      <c r="AI646">
        <v>214</v>
      </c>
      <c r="AJ646">
        <v>0</v>
      </c>
      <c r="AK646">
        <v>500</v>
      </c>
      <c r="AL646">
        <v>1.07</v>
      </c>
    </row>
    <row r="647" spans="1:38" x14ac:dyDescent="0.3">
      <c r="A647" t="s">
        <v>852</v>
      </c>
      <c r="B647">
        <v>1474</v>
      </c>
      <c r="C647">
        <v>1</v>
      </c>
      <c r="D647" t="s">
        <v>933</v>
      </c>
      <c r="E647">
        <v>1992.09</v>
      </c>
      <c r="F647">
        <v>458</v>
      </c>
      <c r="G647">
        <v>25.03</v>
      </c>
      <c r="H647">
        <v>82.76</v>
      </c>
      <c r="I647">
        <v>17.95</v>
      </c>
      <c r="J647">
        <v>59.34</v>
      </c>
      <c r="K647">
        <v>78</v>
      </c>
      <c r="T647">
        <v>3</v>
      </c>
      <c r="U647">
        <v>1</v>
      </c>
      <c r="V647" t="s">
        <v>128</v>
      </c>
      <c r="W647">
        <v>82</v>
      </c>
      <c r="X647">
        <v>21</v>
      </c>
      <c r="Y647">
        <v>13</v>
      </c>
      <c r="Z647" t="s">
        <v>934</v>
      </c>
      <c r="AA647" t="s">
        <v>931</v>
      </c>
      <c r="AB647" t="s">
        <v>89</v>
      </c>
      <c r="AC647" t="s">
        <v>90</v>
      </c>
      <c r="AD647" t="s">
        <v>91</v>
      </c>
      <c r="AE647" t="s">
        <v>856</v>
      </c>
      <c r="AG647" t="s">
        <v>932</v>
      </c>
      <c r="AH647">
        <v>0</v>
      </c>
      <c r="AI647">
        <v>208</v>
      </c>
      <c r="AJ647">
        <v>17</v>
      </c>
      <c r="AK647">
        <v>458</v>
      </c>
      <c r="AL647">
        <v>1</v>
      </c>
    </row>
    <row r="648" spans="1:38" x14ac:dyDescent="0.3">
      <c r="A648" t="s">
        <v>852</v>
      </c>
      <c r="B648">
        <v>1474</v>
      </c>
      <c r="C648">
        <v>2</v>
      </c>
      <c r="D648" t="s">
        <v>933</v>
      </c>
      <c r="E648">
        <v>1992.09</v>
      </c>
      <c r="F648">
        <v>458</v>
      </c>
      <c r="G648">
        <v>28.28</v>
      </c>
      <c r="H648">
        <v>93.51</v>
      </c>
      <c r="I648">
        <v>23.18</v>
      </c>
      <c r="J648">
        <v>76.64</v>
      </c>
      <c r="K648">
        <v>84</v>
      </c>
      <c r="T648">
        <v>3</v>
      </c>
      <c r="U648">
        <v>2</v>
      </c>
      <c r="V648" t="s">
        <v>94</v>
      </c>
      <c r="W648">
        <v>93</v>
      </c>
      <c r="X648">
        <v>21</v>
      </c>
      <c r="Y648">
        <v>13</v>
      </c>
      <c r="Z648" t="s">
        <v>934</v>
      </c>
      <c r="AA648" t="s">
        <v>931</v>
      </c>
      <c r="AB648" t="s">
        <v>89</v>
      </c>
      <c r="AC648" t="s">
        <v>90</v>
      </c>
      <c r="AD648" t="s">
        <v>91</v>
      </c>
      <c r="AE648" t="s">
        <v>856</v>
      </c>
      <c r="AG648" t="s">
        <v>932</v>
      </c>
      <c r="AH648">
        <v>0</v>
      </c>
      <c r="AI648">
        <v>208</v>
      </c>
      <c r="AJ648">
        <v>17</v>
      </c>
      <c r="AK648">
        <v>458</v>
      </c>
      <c r="AL648">
        <v>1</v>
      </c>
    </row>
    <row r="649" spans="1:38" x14ac:dyDescent="0.3">
      <c r="A649" t="s">
        <v>852</v>
      </c>
      <c r="B649">
        <v>1474</v>
      </c>
      <c r="C649">
        <v>3</v>
      </c>
      <c r="D649" t="s">
        <v>933</v>
      </c>
      <c r="E649">
        <v>1992.09</v>
      </c>
      <c r="F649">
        <v>458</v>
      </c>
      <c r="G649">
        <v>33.26</v>
      </c>
      <c r="H649">
        <v>109.97</v>
      </c>
      <c r="I649">
        <v>25.7</v>
      </c>
      <c r="J649">
        <v>84.96</v>
      </c>
      <c r="K649">
        <v>296</v>
      </c>
      <c r="T649">
        <v>3</v>
      </c>
      <c r="U649">
        <v>2</v>
      </c>
      <c r="V649" t="s">
        <v>94</v>
      </c>
      <c r="W649">
        <v>109</v>
      </c>
      <c r="X649">
        <v>21</v>
      </c>
      <c r="Y649">
        <v>13</v>
      </c>
      <c r="Z649" t="s">
        <v>934</v>
      </c>
      <c r="AA649" t="s">
        <v>931</v>
      </c>
      <c r="AB649" t="s">
        <v>89</v>
      </c>
      <c r="AC649" t="s">
        <v>90</v>
      </c>
      <c r="AD649" t="s">
        <v>91</v>
      </c>
      <c r="AE649" t="s">
        <v>856</v>
      </c>
      <c r="AG649" t="s">
        <v>932</v>
      </c>
      <c r="AH649">
        <v>0</v>
      </c>
      <c r="AI649">
        <v>208</v>
      </c>
      <c r="AJ649">
        <v>17</v>
      </c>
      <c r="AK649">
        <v>458</v>
      </c>
      <c r="AL649">
        <v>1</v>
      </c>
    </row>
    <row r="650" spans="1:38" x14ac:dyDescent="0.3">
      <c r="A650" t="s">
        <v>852</v>
      </c>
      <c r="B650">
        <v>9821</v>
      </c>
      <c r="C650">
        <v>1</v>
      </c>
      <c r="D650" t="s">
        <v>935</v>
      </c>
      <c r="E650">
        <v>1983.11</v>
      </c>
      <c r="F650">
        <v>49</v>
      </c>
      <c r="G650">
        <v>13.28</v>
      </c>
      <c r="H650">
        <v>43.92</v>
      </c>
      <c r="I650">
        <v>11.1</v>
      </c>
      <c r="J650">
        <v>36.72</v>
      </c>
      <c r="K650">
        <v>23</v>
      </c>
      <c r="T650">
        <v>2</v>
      </c>
      <c r="U650">
        <v>1</v>
      </c>
      <c r="V650" t="s">
        <v>128</v>
      </c>
      <c r="W650">
        <v>43</v>
      </c>
      <c r="X650">
        <v>5</v>
      </c>
      <c r="Y650">
        <v>4</v>
      </c>
      <c r="Z650" t="s">
        <v>936</v>
      </c>
      <c r="AA650" t="s">
        <v>937</v>
      </c>
      <c r="AB650" t="s">
        <v>89</v>
      </c>
      <c r="AC650" t="s">
        <v>90</v>
      </c>
      <c r="AD650" t="s">
        <v>91</v>
      </c>
      <c r="AE650" t="s">
        <v>856</v>
      </c>
      <c r="AG650" t="s">
        <v>938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852</v>
      </c>
      <c r="B651">
        <v>9821</v>
      </c>
      <c r="C651">
        <v>2</v>
      </c>
      <c r="D651" t="s">
        <v>935</v>
      </c>
      <c r="E651">
        <v>1983.11</v>
      </c>
      <c r="F651">
        <v>49</v>
      </c>
      <c r="G651">
        <v>13.64</v>
      </c>
      <c r="H651">
        <v>45.12</v>
      </c>
      <c r="I651">
        <v>11.47</v>
      </c>
      <c r="J651">
        <v>37.92</v>
      </c>
      <c r="K651">
        <v>5</v>
      </c>
      <c r="T651">
        <v>1</v>
      </c>
      <c r="U651">
        <v>1</v>
      </c>
      <c r="V651" t="s">
        <v>94</v>
      </c>
      <c r="W651" t="s">
        <v>939</v>
      </c>
      <c r="X651">
        <v>5</v>
      </c>
      <c r="Y651">
        <v>4</v>
      </c>
      <c r="Z651" t="s">
        <v>936</v>
      </c>
      <c r="AA651" t="s">
        <v>937</v>
      </c>
      <c r="AB651" t="s">
        <v>89</v>
      </c>
      <c r="AC651" t="s">
        <v>90</v>
      </c>
      <c r="AD651" t="s">
        <v>91</v>
      </c>
      <c r="AE651" t="s">
        <v>856</v>
      </c>
      <c r="AG651" t="s">
        <v>938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852</v>
      </c>
      <c r="B652">
        <v>9821</v>
      </c>
      <c r="C652">
        <v>3</v>
      </c>
      <c r="D652" t="s">
        <v>935</v>
      </c>
      <c r="E652">
        <v>1983.11</v>
      </c>
      <c r="F652">
        <v>49</v>
      </c>
      <c r="G652">
        <v>14.03</v>
      </c>
      <c r="H652">
        <v>46.41</v>
      </c>
      <c r="I652">
        <v>11.81</v>
      </c>
      <c r="J652">
        <v>39.06</v>
      </c>
      <c r="K652">
        <v>1</v>
      </c>
      <c r="T652">
        <v>1</v>
      </c>
      <c r="U652">
        <v>1</v>
      </c>
      <c r="V652" t="s">
        <v>94</v>
      </c>
      <c r="W652" t="s">
        <v>940</v>
      </c>
      <c r="X652">
        <v>5</v>
      </c>
      <c r="Y652">
        <v>4</v>
      </c>
      <c r="Z652" t="s">
        <v>936</v>
      </c>
      <c r="AA652" t="s">
        <v>937</v>
      </c>
      <c r="AB652" t="s">
        <v>89</v>
      </c>
      <c r="AC652" t="s">
        <v>90</v>
      </c>
      <c r="AD652" t="s">
        <v>91</v>
      </c>
      <c r="AE652" t="s">
        <v>856</v>
      </c>
      <c r="AG652" t="s">
        <v>938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852</v>
      </c>
      <c r="B653">
        <v>9821</v>
      </c>
      <c r="C653">
        <v>4</v>
      </c>
      <c r="D653" t="s">
        <v>935</v>
      </c>
      <c r="E653">
        <v>1983.11</v>
      </c>
      <c r="F653">
        <v>49</v>
      </c>
      <c r="G653">
        <v>14.31</v>
      </c>
      <c r="H653">
        <v>47.31</v>
      </c>
      <c r="I653">
        <v>12.08</v>
      </c>
      <c r="J653">
        <v>39.96</v>
      </c>
      <c r="K653">
        <v>9</v>
      </c>
      <c r="T653">
        <v>1</v>
      </c>
      <c r="U653">
        <v>1</v>
      </c>
      <c r="V653" t="s">
        <v>94</v>
      </c>
      <c r="W653" t="s">
        <v>941</v>
      </c>
      <c r="X653">
        <v>5</v>
      </c>
      <c r="Y653">
        <v>4</v>
      </c>
      <c r="Z653" t="s">
        <v>936</v>
      </c>
      <c r="AA653" t="s">
        <v>937</v>
      </c>
      <c r="AB653" t="s">
        <v>89</v>
      </c>
      <c r="AC653" t="s">
        <v>90</v>
      </c>
      <c r="AD653" t="s">
        <v>91</v>
      </c>
      <c r="AE653" t="s">
        <v>856</v>
      </c>
      <c r="AG653" t="s">
        <v>938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852</v>
      </c>
      <c r="B654">
        <v>9821</v>
      </c>
      <c r="C654">
        <v>5</v>
      </c>
      <c r="D654" t="s">
        <v>935</v>
      </c>
      <c r="E654">
        <v>1983.11</v>
      </c>
      <c r="F654">
        <v>49</v>
      </c>
      <c r="G654">
        <v>15.79</v>
      </c>
      <c r="H654">
        <v>52.22</v>
      </c>
      <c r="I654">
        <v>13.01</v>
      </c>
      <c r="J654">
        <v>43.02</v>
      </c>
      <c r="K654">
        <v>1</v>
      </c>
      <c r="T654">
        <v>2</v>
      </c>
      <c r="U654">
        <v>1</v>
      </c>
      <c r="V654" t="s">
        <v>128</v>
      </c>
      <c r="W654">
        <v>52</v>
      </c>
      <c r="X654">
        <v>5</v>
      </c>
      <c r="Y654">
        <v>4</v>
      </c>
      <c r="Z654" t="s">
        <v>936</v>
      </c>
      <c r="AA654" t="s">
        <v>937</v>
      </c>
      <c r="AB654" t="s">
        <v>89</v>
      </c>
      <c r="AC654" t="s">
        <v>90</v>
      </c>
      <c r="AD654" t="s">
        <v>91</v>
      </c>
      <c r="AE654" t="s">
        <v>856</v>
      </c>
      <c r="AG654" t="s">
        <v>938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852</v>
      </c>
      <c r="B655">
        <v>9821</v>
      </c>
      <c r="C655">
        <v>6</v>
      </c>
      <c r="D655" t="s">
        <v>935</v>
      </c>
      <c r="E655">
        <v>1983.11</v>
      </c>
      <c r="F655">
        <v>49</v>
      </c>
      <c r="G655">
        <v>17.36</v>
      </c>
      <c r="H655">
        <v>57.39</v>
      </c>
      <c r="I655">
        <v>15.13</v>
      </c>
      <c r="J655">
        <v>50.04</v>
      </c>
      <c r="K655">
        <v>10</v>
      </c>
      <c r="T655">
        <v>3</v>
      </c>
      <c r="U655">
        <v>1</v>
      </c>
      <c r="V655" t="s">
        <v>94</v>
      </c>
      <c r="W655">
        <v>57</v>
      </c>
      <c r="X655">
        <v>5</v>
      </c>
      <c r="Y655">
        <v>4</v>
      </c>
      <c r="Z655" t="s">
        <v>936</v>
      </c>
      <c r="AA655" t="s">
        <v>937</v>
      </c>
      <c r="AB655" t="s">
        <v>89</v>
      </c>
      <c r="AC655" t="s">
        <v>90</v>
      </c>
      <c r="AD655" t="s">
        <v>91</v>
      </c>
      <c r="AE655" t="s">
        <v>856</v>
      </c>
      <c r="AG655" t="s">
        <v>938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852</v>
      </c>
      <c r="B656">
        <v>132112</v>
      </c>
      <c r="C656">
        <v>1</v>
      </c>
      <c r="D656" t="s">
        <v>942</v>
      </c>
      <c r="E656">
        <v>2022.04</v>
      </c>
      <c r="F656">
        <v>144</v>
      </c>
      <c r="G656">
        <v>24.2</v>
      </c>
      <c r="H656">
        <v>80.02</v>
      </c>
      <c r="I656">
        <v>18.62</v>
      </c>
      <c r="J656">
        <v>61.58</v>
      </c>
      <c r="K656">
        <v>29</v>
      </c>
      <c r="T656">
        <v>3</v>
      </c>
      <c r="U656">
        <v>2</v>
      </c>
      <c r="V656" t="s">
        <v>94</v>
      </c>
      <c r="W656" t="s">
        <v>397</v>
      </c>
      <c r="X656">
        <v>17</v>
      </c>
      <c r="Y656">
        <v>6</v>
      </c>
      <c r="Z656" t="s">
        <v>943</v>
      </c>
      <c r="AA656" t="s">
        <v>944</v>
      </c>
      <c r="AB656" t="s">
        <v>89</v>
      </c>
      <c r="AC656" t="s">
        <v>90</v>
      </c>
      <c r="AD656" t="s">
        <v>91</v>
      </c>
      <c r="AE656" t="s">
        <v>856</v>
      </c>
      <c r="AG656" t="s">
        <v>945</v>
      </c>
      <c r="AH656">
        <v>0</v>
      </c>
      <c r="AI656">
        <v>0</v>
      </c>
      <c r="AJ656">
        <v>0</v>
      </c>
      <c r="AK656">
        <v>159</v>
      </c>
      <c r="AL656">
        <v>1.1000000000000001</v>
      </c>
    </row>
    <row r="657" spans="1:38" x14ac:dyDescent="0.3">
      <c r="A657" t="s">
        <v>852</v>
      </c>
      <c r="B657">
        <v>132112</v>
      </c>
      <c r="C657">
        <v>2</v>
      </c>
      <c r="D657" t="s">
        <v>942</v>
      </c>
      <c r="E657">
        <v>2022.04</v>
      </c>
      <c r="F657">
        <v>144</v>
      </c>
      <c r="G657">
        <v>24.29</v>
      </c>
      <c r="H657">
        <v>80.319999999999993</v>
      </c>
      <c r="I657">
        <v>18.62</v>
      </c>
      <c r="J657">
        <v>61.58</v>
      </c>
      <c r="K657">
        <v>13</v>
      </c>
      <c r="T657">
        <v>3</v>
      </c>
      <c r="U657">
        <v>2</v>
      </c>
      <c r="V657" t="s">
        <v>94</v>
      </c>
      <c r="W657" t="s">
        <v>946</v>
      </c>
      <c r="X657">
        <v>17</v>
      </c>
      <c r="Y657">
        <v>6</v>
      </c>
      <c r="Z657" t="s">
        <v>943</v>
      </c>
      <c r="AA657" t="s">
        <v>944</v>
      </c>
      <c r="AB657" t="s">
        <v>89</v>
      </c>
      <c r="AC657" t="s">
        <v>90</v>
      </c>
      <c r="AD657" t="s">
        <v>91</v>
      </c>
      <c r="AE657" t="s">
        <v>856</v>
      </c>
      <c r="AG657" t="s">
        <v>945</v>
      </c>
      <c r="AH657">
        <v>0</v>
      </c>
      <c r="AI657">
        <v>0</v>
      </c>
      <c r="AJ657">
        <v>0</v>
      </c>
      <c r="AK657">
        <v>159</v>
      </c>
      <c r="AL657">
        <v>1.1000000000000001</v>
      </c>
    </row>
    <row r="658" spans="1:38" x14ac:dyDescent="0.3">
      <c r="A658" t="s">
        <v>852</v>
      </c>
      <c r="B658">
        <v>132112</v>
      </c>
      <c r="C658">
        <v>3</v>
      </c>
      <c r="D658" t="s">
        <v>942</v>
      </c>
      <c r="E658">
        <v>2022.04</v>
      </c>
      <c r="F658">
        <v>144</v>
      </c>
      <c r="G658">
        <v>24.86</v>
      </c>
      <c r="H658">
        <v>82.2</v>
      </c>
      <c r="I658">
        <v>18.53</v>
      </c>
      <c r="J658">
        <v>61.28</v>
      </c>
      <c r="K658">
        <v>47</v>
      </c>
      <c r="T658">
        <v>3</v>
      </c>
      <c r="U658">
        <v>2</v>
      </c>
      <c r="V658" t="s">
        <v>94</v>
      </c>
      <c r="W658" t="s">
        <v>519</v>
      </c>
      <c r="X658">
        <v>17</v>
      </c>
      <c r="Y658">
        <v>6</v>
      </c>
      <c r="Z658" t="s">
        <v>943</v>
      </c>
      <c r="AA658" t="s">
        <v>944</v>
      </c>
      <c r="AB658" t="s">
        <v>89</v>
      </c>
      <c r="AC658" t="s">
        <v>90</v>
      </c>
      <c r="AD658" t="s">
        <v>91</v>
      </c>
      <c r="AE658" t="s">
        <v>856</v>
      </c>
      <c r="AG658" t="s">
        <v>945</v>
      </c>
      <c r="AH658">
        <v>0</v>
      </c>
      <c r="AI658">
        <v>0</v>
      </c>
      <c r="AJ658">
        <v>0</v>
      </c>
      <c r="AK658">
        <v>159</v>
      </c>
      <c r="AL658">
        <v>1.1000000000000001</v>
      </c>
    </row>
    <row r="659" spans="1:38" x14ac:dyDescent="0.3">
      <c r="A659" t="s">
        <v>852</v>
      </c>
      <c r="B659">
        <v>132112</v>
      </c>
      <c r="C659">
        <v>4</v>
      </c>
      <c r="D659" t="s">
        <v>942</v>
      </c>
      <c r="E659">
        <v>2022.04</v>
      </c>
      <c r="F659">
        <v>144</v>
      </c>
      <c r="G659">
        <v>29.26</v>
      </c>
      <c r="H659">
        <v>96.75</v>
      </c>
      <c r="I659">
        <v>22.74</v>
      </c>
      <c r="J659">
        <v>75.180000000000007</v>
      </c>
      <c r="K659">
        <v>15</v>
      </c>
      <c r="T659">
        <v>3</v>
      </c>
      <c r="U659">
        <v>2</v>
      </c>
      <c r="V659" t="s">
        <v>94</v>
      </c>
      <c r="W659" t="s">
        <v>870</v>
      </c>
      <c r="X659">
        <v>17</v>
      </c>
      <c r="Y659">
        <v>6</v>
      </c>
      <c r="Z659" t="s">
        <v>943</v>
      </c>
      <c r="AA659" t="s">
        <v>944</v>
      </c>
      <c r="AB659" t="s">
        <v>89</v>
      </c>
      <c r="AC659" t="s">
        <v>90</v>
      </c>
      <c r="AD659" t="s">
        <v>91</v>
      </c>
      <c r="AE659" t="s">
        <v>856</v>
      </c>
      <c r="AG659" t="s">
        <v>945</v>
      </c>
      <c r="AH659">
        <v>0</v>
      </c>
      <c r="AI659">
        <v>0</v>
      </c>
      <c r="AJ659">
        <v>0</v>
      </c>
      <c r="AK659">
        <v>159</v>
      </c>
      <c r="AL659">
        <v>1.1000000000000001</v>
      </c>
    </row>
    <row r="660" spans="1:38" x14ac:dyDescent="0.3">
      <c r="A660" t="s">
        <v>852</v>
      </c>
      <c r="B660">
        <v>132112</v>
      </c>
      <c r="C660">
        <v>5</v>
      </c>
      <c r="D660" t="s">
        <v>942</v>
      </c>
      <c r="E660">
        <v>2022.04</v>
      </c>
      <c r="F660">
        <v>144</v>
      </c>
      <c r="G660">
        <v>29.34</v>
      </c>
      <c r="H660">
        <v>97.01</v>
      </c>
      <c r="I660">
        <v>22.74</v>
      </c>
      <c r="J660">
        <v>75.180000000000007</v>
      </c>
      <c r="K660">
        <v>38</v>
      </c>
      <c r="T660">
        <v>3</v>
      </c>
      <c r="U660">
        <v>2</v>
      </c>
      <c r="V660" t="s">
        <v>94</v>
      </c>
      <c r="W660" t="s">
        <v>474</v>
      </c>
      <c r="X660">
        <v>17</v>
      </c>
      <c r="Y660">
        <v>6</v>
      </c>
      <c r="Z660" t="s">
        <v>943</v>
      </c>
      <c r="AA660" t="s">
        <v>944</v>
      </c>
      <c r="AB660" t="s">
        <v>89</v>
      </c>
      <c r="AC660" t="s">
        <v>90</v>
      </c>
      <c r="AD660" t="s">
        <v>91</v>
      </c>
      <c r="AE660" t="s">
        <v>856</v>
      </c>
      <c r="AG660" t="s">
        <v>945</v>
      </c>
      <c r="AH660">
        <v>0</v>
      </c>
      <c r="AI660">
        <v>0</v>
      </c>
      <c r="AJ660">
        <v>0</v>
      </c>
      <c r="AK660">
        <v>159</v>
      </c>
      <c r="AL660">
        <v>1.1000000000000001</v>
      </c>
    </row>
    <row r="661" spans="1:38" x14ac:dyDescent="0.3">
      <c r="A661" t="s">
        <v>852</v>
      </c>
      <c r="B661">
        <v>132112</v>
      </c>
      <c r="C661">
        <v>6</v>
      </c>
      <c r="D661" t="s">
        <v>942</v>
      </c>
      <c r="E661">
        <v>2022.04</v>
      </c>
      <c r="F661">
        <v>144</v>
      </c>
      <c r="G661">
        <v>33.58</v>
      </c>
      <c r="H661">
        <v>111.02</v>
      </c>
      <c r="I661">
        <v>25.64</v>
      </c>
      <c r="J661">
        <v>84.77</v>
      </c>
      <c r="K661">
        <v>2</v>
      </c>
      <c r="T661">
        <v>3</v>
      </c>
      <c r="U661">
        <v>2</v>
      </c>
      <c r="V661" t="s">
        <v>94</v>
      </c>
      <c r="W661">
        <v>111</v>
      </c>
      <c r="X661">
        <v>17</v>
      </c>
      <c r="Y661">
        <v>6</v>
      </c>
      <c r="Z661" t="s">
        <v>943</v>
      </c>
      <c r="AA661" t="s">
        <v>944</v>
      </c>
      <c r="AB661" t="s">
        <v>89</v>
      </c>
      <c r="AC661" t="s">
        <v>90</v>
      </c>
      <c r="AD661" t="s">
        <v>91</v>
      </c>
      <c r="AE661" t="s">
        <v>856</v>
      </c>
      <c r="AG661" t="s">
        <v>945</v>
      </c>
      <c r="AH661">
        <v>0</v>
      </c>
      <c r="AI661">
        <v>0</v>
      </c>
      <c r="AJ661">
        <v>0</v>
      </c>
      <c r="AK661">
        <v>159</v>
      </c>
      <c r="AL661">
        <v>1.1000000000000001</v>
      </c>
    </row>
    <row r="662" spans="1:38" x14ac:dyDescent="0.3">
      <c r="A662" t="s">
        <v>852</v>
      </c>
      <c r="B662">
        <v>19530</v>
      </c>
      <c r="C662">
        <v>1</v>
      </c>
      <c r="D662" t="s">
        <v>947</v>
      </c>
      <c r="E662">
        <v>2007.03</v>
      </c>
      <c r="F662">
        <v>210</v>
      </c>
      <c r="G662">
        <v>34.880000000000003</v>
      </c>
      <c r="H662">
        <v>115.32</v>
      </c>
      <c r="I662">
        <v>25.68</v>
      </c>
      <c r="J662">
        <v>84.91</v>
      </c>
      <c r="K662">
        <v>91</v>
      </c>
      <c r="T662">
        <v>3</v>
      </c>
      <c r="U662">
        <v>2</v>
      </c>
      <c r="V662" t="s">
        <v>94</v>
      </c>
      <c r="W662">
        <v>115</v>
      </c>
      <c r="X662">
        <v>23</v>
      </c>
      <c r="Y662">
        <v>23</v>
      </c>
      <c r="Z662" t="s">
        <v>948</v>
      </c>
      <c r="AA662" t="s">
        <v>949</v>
      </c>
      <c r="AB662" t="s">
        <v>89</v>
      </c>
      <c r="AC662" t="s">
        <v>90</v>
      </c>
      <c r="AD662" t="s">
        <v>91</v>
      </c>
      <c r="AE662" t="s">
        <v>856</v>
      </c>
      <c r="AG662" t="s">
        <v>950</v>
      </c>
      <c r="AH662">
        <v>0</v>
      </c>
      <c r="AI662">
        <v>635</v>
      </c>
      <c r="AJ662">
        <v>40</v>
      </c>
      <c r="AK662">
        <v>366</v>
      </c>
      <c r="AL662">
        <v>1.74</v>
      </c>
    </row>
    <row r="663" spans="1:38" x14ac:dyDescent="0.3">
      <c r="A663" t="s">
        <v>852</v>
      </c>
      <c r="B663">
        <v>19530</v>
      </c>
      <c r="C663">
        <v>2</v>
      </c>
      <c r="D663" t="s">
        <v>947</v>
      </c>
      <c r="E663">
        <v>2007.03</v>
      </c>
      <c r="F663">
        <v>210</v>
      </c>
      <c r="G663">
        <v>42.54</v>
      </c>
      <c r="H663">
        <v>140.65</v>
      </c>
      <c r="I663">
        <v>31.56</v>
      </c>
      <c r="J663">
        <v>104.34</v>
      </c>
      <c r="K663">
        <v>18</v>
      </c>
      <c r="T663">
        <v>3</v>
      </c>
      <c r="U663">
        <v>2</v>
      </c>
      <c r="V663" t="s">
        <v>94</v>
      </c>
      <c r="W663">
        <v>140</v>
      </c>
      <c r="X663">
        <v>23</v>
      </c>
      <c r="Y663">
        <v>23</v>
      </c>
      <c r="Z663" t="s">
        <v>948</v>
      </c>
      <c r="AA663" t="s">
        <v>949</v>
      </c>
      <c r="AB663" t="s">
        <v>89</v>
      </c>
      <c r="AC663" t="s">
        <v>90</v>
      </c>
      <c r="AD663" t="s">
        <v>91</v>
      </c>
      <c r="AE663" t="s">
        <v>856</v>
      </c>
      <c r="AG663" t="s">
        <v>950</v>
      </c>
      <c r="AH663">
        <v>0</v>
      </c>
      <c r="AI663">
        <v>635</v>
      </c>
      <c r="AJ663">
        <v>40</v>
      </c>
      <c r="AK663">
        <v>366</v>
      </c>
      <c r="AL663">
        <v>1.74</v>
      </c>
    </row>
    <row r="664" spans="1:38" x14ac:dyDescent="0.3">
      <c r="A664" t="s">
        <v>852</v>
      </c>
      <c r="B664">
        <v>19530</v>
      </c>
      <c r="C664">
        <v>3</v>
      </c>
      <c r="D664" t="s">
        <v>947</v>
      </c>
      <c r="E664">
        <v>2007.03</v>
      </c>
      <c r="F664">
        <v>210</v>
      </c>
      <c r="G664">
        <v>49.53</v>
      </c>
      <c r="H664">
        <v>163.75</v>
      </c>
      <c r="I664">
        <v>37.020000000000003</v>
      </c>
      <c r="J664">
        <v>122.39</v>
      </c>
      <c r="K664">
        <v>82</v>
      </c>
      <c r="T664">
        <v>4</v>
      </c>
      <c r="U664">
        <v>2</v>
      </c>
      <c r="V664" t="s">
        <v>94</v>
      </c>
      <c r="W664">
        <v>163</v>
      </c>
      <c r="X664">
        <v>23</v>
      </c>
      <c r="Y664">
        <v>23</v>
      </c>
      <c r="Z664" t="s">
        <v>948</v>
      </c>
      <c r="AA664" t="s">
        <v>949</v>
      </c>
      <c r="AB664" t="s">
        <v>89</v>
      </c>
      <c r="AC664" t="s">
        <v>90</v>
      </c>
      <c r="AD664" t="s">
        <v>91</v>
      </c>
      <c r="AE664" t="s">
        <v>856</v>
      </c>
      <c r="AG664" t="s">
        <v>950</v>
      </c>
      <c r="AH664">
        <v>0</v>
      </c>
      <c r="AI664">
        <v>635</v>
      </c>
      <c r="AJ664">
        <v>40</v>
      </c>
      <c r="AK664">
        <v>366</v>
      </c>
      <c r="AL664">
        <v>1.74</v>
      </c>
    </row>
    <row r="665" spans="1:38" x14ac:dyDescent="0.3">
      <c r="A665" t="s">
        <v>852</v>
      </c>
      <c r="B665">
        <v>19530</v>
      </c>
      <c r="C665">
        <v>4</v>
      </c>
      <c r="D665" t="s">
        <v>947</v>
      </c>
      <c r="E665">
        <v>2007.03</v>
      </c>
      <c r="F665">
        <v>210</v>
      </c>
      <c r="G665">
        <v>54.8</v>
      </c>
      <c r="H665">
        <v>181.17</v>
      </c>
      <c r="I665">
        <v>40.64</v>
      </c>
      <c r="J665">
        <v>134.35</v>
      </c>
      <c r="K665">
        <v>19</v>
      </c>
      <c r="T665">
        <v>4</v>
      </c>
      <c r="U665">
        <v>2</v>
      </c>
      <c r="V665" t="s">
        <v>94</v>
      </c>
      <c r="W665">
        <v>181</v>
      </c>
      <c r="X665">
        <v>23</v>
      </c>
      <c r="Y665">
        <v>23</v>
      </c>
      <c r="Z665" t="s">
        <v>948</v>
      </c>
      <c r="AA665" t="s">
        <v>949</v>
      </c>
      <c r="AB665" t="s">
        <v>89</v>
      </c>
      <c r="AC665" t="s">
        <v>90</v>
      </c>
      <c r="AD665" t="s">
        <v>91</v>
      </c>
      <c r="AE665" t="s">
        <v>856</v>
      </c>
      <c r="AG665" t="s">
        <v>950</v>
      </c>
      <c r="AH665">
        <v>0</v>
      </c>
      <c r="AI665">
        <v>635</v>
      </c>
      <c r="AJ665">
        <v>40</v>
      </c>
      <c r="AK665">
        <v>366</v>
      </c>
      <c r="AL665">
        <v>1.74</v>
      </c>
    </row>
    <row r="666" spans="1:38" x14ac:dyDescent="0.3">
      <c r="A666" t="s">
        <v>852</v>
      </c>
      <c r="B666">
        <v>122682</v>
      </c>
      <c r="C666">
        <v>1</v>
      </c>
      <c r="D666" t="s">
        <v>951</v>
      </c>
      <c r="E666">
        <v>2021.01</v>
      </c>
      <c r="F666">
        <v>3850</v>
      </c>
      <c r="G666">
        <v>17.43</v>
      </c>
      <c r="H666">
        <v>57.64</v>
      </c>
      <c r="I666">
        <v>11.87</v>
      </c>
      <c r="J666">
        <v>39.26</v>
      </c>
      <c r="K666">
        <v>463</v>
      </c>
      <c r="T666">
        <v>2</v>
      </c>
      <c r="U666">
        <v>1</v>
      </c>
      <c r="V666" t="s">
        <v>94</v>
      </c>
      <c r="W666">
        <v>57</v>
      </c>
      <c r="X666">
        <v>29</v>
      </c>
      <c r="Y666">
        <v>15</v>
      </c>
      <c r="Z666" t="s">
        <v>952</v>
      </c>
      <c r="AA666" t="s">
        <v>953</v>
      </c>
      <c r="AB666" t="s">
        <v>89</v>
      </c>
      <c r="AC666" t="s">
        <v>90</v>
      </c>
      <c r="AD666" t="s">
        <v>91</v>
      </c>
      <c r="AE666" t="s">
        <v>856</v>
      </c>
      <c r="AG666" t="s">
        <v>954</v>
      </c>
      <c r="AH666">
        <v>193</v>
      </c>
      <c r="AI666">
        <v>265</v>
      </c>
      <c r="AJ666">
        <v>18</v>
      </c>
      <c r="AK666">
        <v>4466</v>
      </c>
      <c r="AL666">
        <v>1.1599999999999999</v>
      </c>
    </row>
    <row r="667" spans="1:38" x14ac:dyDescent="0.3">
      <c r="A667" t="s">
        <v>852</v>
      </c>
      <c r="B667">
        <v>122682</v>
      </c>
      <c r="C667">
        <v>2</v>
      </c>
      <c r="D667" t="s">
        <v>951</v>
      </c>
      <c r="E667">
        <v>2021.01</v>
      </c>
      <c r="F667">
        <v>3850</v>
      </c>
      <c r="G667">
        <v>20.46</v>
      </c>
      <c r="H667">
        <v>67.650000000000006</v>
      </c>
      <c r="I667">
        <v>14.19</v>
      </c>
      <c r="J667">
        <v>46.94</v>
      </c>
      <c r="K667">
        <v>80</v>
      </c>
      <c r="T667">
        <v>2</v>
      </c>
      <c r="U667">
        <v>1</v>
      </c>
      <c r="V667" t="s">
        <v>94</v>
      </c>
      <c r="W667" t="s">
        <v>955</v>
      </c>
      <c r="X667">
        <v>29</v>
      </c>
      <c r="Y667">
        <v>15</v>
      </c>
      <c r="Z667" t="s">
        <v>952</v>
      </c>
      <c r="AA667" t="s">
        <v>953</v>
      </c>
      <c r="AB667" t="s">
        <v>89</v>
      </c>
      <c r="AC667" t="s">
        <v>90</v>
      </c>
      <c r="AD667" t="s">
        <v>91</v>
      </c>
      <c r="AE667" t="s">
        <v>856</v>
      </c>
      <c r="AG667" t="s">
        <v>954</v>
      </c>
      <c r="AH667">
        <v>193</v>
      </c>
      <c r="AI667">
        <v>265</v>
      </c>
      <c r="AJ667">
        <v>18</v>
      </c>
      <c r="AK667">
        <v>4466</v>
      </c>
      <c r="AL667">
        <v>1.1599999999999999</v>
      </c>
    </row>
    <row r="668" spans="1:38" x14ac:dyDescent="0.3">
      <c r="A668" t="s">
        <v>852</v>
      </c>
      <c r="B668">
        <v>122682</v>
      </c>
      <c r="C668">
        <v>3</v>
      </c>
      <c r="D668" t="s">
        <v>951</v>
      </c>
      <c r="E668">
        <v>2021.01</v>
      </c>
      <c r="F668">
        <v>3850</v>
      </c>
      <c r="G668">
        <v>20.55</v>
      </c>
      <c r="H668">
        <v>67.959999999999994</v>
      </c>
      <c r="I668">
        <v>14.18</v>
      </c>
      <c r="J668">
        <v>46.89</v>
      </c>
      <c r="K668">
        <v>38</v>
      </c>
      <c r="T668">
        <v>2</v>
      </c>
      <c r="U668">
        <v>1</v>
      </c>
      <c r="V668" t="s">
        <v>94</v>
      </c>
      <c r="W668" t="s">
        <v>956</v>
      </c>
      <c r="X668">
        <v>29</v>
      </c>
      <c r="Y668">
        <v>15</v>
      </c>
      <c r="Z668" t="s">
        <v>952</v>
      </c>
      <c r="AA668" t="s">
        <v>953</v>
      </c>
      <c r="AB668" t="s">
        <v>89</v>
      </c>
      <c r="AC668" t="s">
        <v>90</v>
      </c>
      <c r="AD668" t="s">
        <v>91</v>
      </c>
      <c r="AE668" t="s">
        <v>856</v>
      </c>
      <c r="AG668" t="s">
        <v>954</v>
      </c>
      <c r="AH668">
        <v>193</v>
      </c>
      <c r="AI668">
        <v>265</v>
      </c>
      <c r="AJ668">
        <v>18</v>
      </c>
      <c r="AK668">
        <v>4466</v>
      </c>
      <c r="AL668">
        <v>1.1599999999999999</v>
      </c>
    </row>
    <row r="669" spans="1:38" x14ac:dyDescent="0.3">
      <c r="A669" t="s">
        <v>852</v>
      </c>
      <c r="B669">
        <v>122682</v>
      </c>
      <c r="C669">
        <v>4</v>
      </c>
      <c r="D669" t="s">
        <v>951</v>
      </c>
      <c r="E669">
        <v>2021.01</v>
      </c>
      <c r="F669">
        <v>3850</v>
      </c>
      <c r="G669">
        <v>20.69</v>
      </c>
      <c r="H669">
        <v>68.41</v>
      </c>
      <c r="I669">
        <v>14.19</v>
      </c>
      <c r="J669">
        <v>46.92</v>
      </c>
      <c r="K669">
        <v>40</v>
      </c>
      <c r="T669">
        <v>2</v>
      </c>
      <c r="U669">
        <v>1</v>
      </c>
      <c r="V669" t="s">
        <v>94</v>
      </c>
      <c r="W669" t="s">
        <v>249</v>
      </c>
      <c r="X669">
        <v>29</v>
      </c>
      <c r="Y669">
        <v>15</v>
      </c>
      <c r="Z669" t="s">
        <v>952</v>
      </c>
      <c r="AA669" t="s">
        <v>953</v>
      </c>
      <c r="AB669" t="s">
        <v>89</v>
      </c>
      <c r="AC669" t="s">
        <v>90</v>
      </c>
      <c r="AD669" t="s">
        <v>91</v>
      </c>
      <c r="AE669" t="s">
        <v>856</v>
      </c>
      <c r="AG669" t="s">
        <v>954</v>
      </c>
      <c r="AH669">
        <v>193</v>
      </c>
      <c r="AI669">
        <v>265</v>
      </c>
      <c r="AJ669">
        <v>18</v>
      </c>
      <c r="AK669">
        <v>4466</v>
      </c>
      <c r="AL669">
        <v>1.1599999999999999</v>
      </c>
    </row>
    <row r="670" spans="1:38" x14ac:dyDescent="0.3">
      <c r="A670" t="s">
        <v>852</v>
      </c>
      <c r="B670">
        <v>122682</v>
      </c>
      <c r="C670">
        <v>5</v>
      </c>
      <c r="D670" t="s">
        <v>951</v>
      </c>
      <c r="E670">
        <v>2021.01</v>
      </c>
      <c r="F670">
        <v>3850</v>
      </c>
      <c r="G670">
        <v>25.83</v>
      </c>
      <c r="H670">
        <v>85.42</v>
      </c>
      <c r="I670">
        <v>18.11</v>
      </c>
      <c r="J670">
        <v>59.87</v>
      </c>
      <c r="K670">
        <v>1397</v>
      </c>
      <c r="T670">
        <v>3</v>
      </c>
      <c r="U670">
        <v>2</v>
      </c>
      <c r="V670" t="s">
        <v>94</v>
      </c>
      <c r="W670" t="s">
        <v>957</v>
      </c>
      <c r="X670">
        <v>29</v>
      </c>
      <c r="Y670">
        <v>15</v>
      </c>
      <c r="Z670" t="s">
        <v>952</v>
      </c>
      <c r="AA670" t="s">
        <v>953</v>
      </c>
      <c r="AB670" t="s">
        <v>89</v>
      </c>
      <c r="AC670" t="s">
        <v>90</v>
      </c>
      <c r="AD670" t="s">
        <v>91</v>
      </c>
      <c r="AE670" t="s">
        <v>856</v>
      </c>
      <c r="AG670" t="s">
        <v>954</v>
      </c>
      <c r="AH670">
        <v>193</v>
      </c>
      <c r="AI670">
        <v>265</v>
      </c>
      <c r="AJ670">
        <v>18</v>
      </c>
      <c r="AK670">
        <v>4466</v>
      </c>
      <c r="AL670">
        <v>1.1599999999999999</v>
      </c>
    </row>
    <row r="671" spans="1:38" x14ac:dyDescent="0.3">
      <c r="A671" t="s">
        <v>852</v>
      </c>
      <c r="B671">
        <v>122682</v>
      </c>
      <c r="C671">
        <v>6</v>
      </c>
      <c r="D671" t="s">
        <v>951</v>
      </c>
      <c r="E671">
        <v>2021.01</v>
      </c>
      <c r="F671">
        <v>3850</v>
      </c>
      <c r="G671">
        <v>25.97</v>
      </c>
      <c r="H671">
        <v>85.88</v>
      </c>
      <c r="I671">
        <v>18</v>
      </c>
      <c r="J671">
        <v>59.52</v>
      </c>
      <c r="K671">
        <v>471</v>
      </c>
      <c r="T671">
        <v>3</v>
      </c>
      <c r="U671">
        <v>2</v>
      </c>
      <c r="V671" t="s">
        <v>94</v>
      </c>
      <c r="W671" t="s">
        <v>628</v>
      </c>
      <c r="X671">
        <v>29</v>
      </c>
      <c r="Y671">
        <v>15</v>
      </c>
      <c r="Z671" t="s">
        <v>952</v>
      </c>
      <c r="AA671" t="s">
        <v>953</v>
      </c>
      <c r="AB671" t="s">
        <v>89</v>
      </c>
      <c r="AC671" t="s">
        <v>90</v>
      </c>
      <c r="AD671" t="s">
        <v>91</v>
      </c>
      <c r="AE671" t="s">
        <v>856</v>
      </c>
      <c r="AG671" t="s">
        <v>954</v>
      </c>
      <c r="AH671">
        <v>193</v>
      </c>
      <c r="AI671">
        <v>265</v>
      </c>
      <c r="AJ671">
        <v>18</v>
      </c>
      <c r="AK671">
        <v>4466</v>
      </c>
      <c r="AL671">
        <v>1.1599999999999999</v>
      </c>
    </row>
    <row r="672" spans="1:38" x14ac:dyDescent="0.3">
      <c r="A672" t="s">
        <v>852</v>
      </c>
      <c r="B672">
        <v>122682</v>
      </c>
      <c r="C672">
        <v>7</v>
      </c>
      <c r="D672" t="s">
        <v>951</v>
      </c>
      <c r="E672">
        <v>2021.01</v>
      </c>
      <c r="F672">
        <v>3850</v>
      </c>
      <c r="G672">
        <v>30.65</v>
      </c>
      <c r="H672">
        <v>101.34</v>
      </c>
      <c r="I672">
        <v>22.59</v>
      </c>
      <c r="J672">
        <v>74.69</v>
      </c>
      <c r="K672">
        <v>111</v>
      </c>
      <c r="T672">
        <v>3</v>
      </c>
      <c r="U672">
        <v>2</v>
      </c>
      <c r="V672" t="s">
        <v>94</v>
      </c>
      <c r="W672">
        <v>101</v>
      </c>
      <c r="X672">
        <v>29</v>
      </c>
      <c r="Y672">
        <v>15</v>
      </c>
      <c r="Z672" t="s">
        <v>952</v>
      </c>
      <c r="AA672" t="s">
        <v>953</v>
      </c>
      <c r="AB672" t="s">
        <v>89</v>
      </c>
      <c r="AC672" t="s">
        <v>90</v>
      </c>
      <c r="AD672" t="s">
        <v>91</v>
      </c>
      <c r="AE672" t="s">
        <v>856</v>
      </c>
      <c r="AG672" t="s">
        <v>954</v>
      </c>
      <c r="AH672">
        <v>193</v>
      </c>
      <c r="AI672">
        <v>265</v>
      </c>
      <c r="AJ672">
        <v>18</v>
      </c>
      <c r="AK672">
        <v>4466</v>
      </c>
      <c r="AL672">
        <v>1.1599999999999999</v>
      </c>
    </row>
    <row r="673" spans="1:38" x14ac:dyDescent="0.3">
      <c r="A673" t="s">
        <v>852</v>
      </c>
      <c r="B673">
        <v>122682</v>
      </c>
      <c r="C673">
        <v>8</v>
      </c>
      <c r="D673" t="s">
        <v>951</v>
      </c>
      <c r="E673">
        <v>2021.01</v>
      </c>
      <c r="F673">
        <v>3850</v>
      </c>
      <c r="G673">
        <v>34.58</v>
      </c>
      <c r="H673">
        <v>114.34</v>
      </c>
      <c r="I673">
        <v>25.59</v>
      </c>
      <c r="J673">
        <v>84.6</v>
      </c>
      <c r="K673">
        <v>926</v>
      </c>
      <c r="T673">
        <v>3</v>
      </c>
      <c r="U673">
        <v>2</v>
      </c>
      <c r="V673" t="s">
        <v>94</v>
      </c>
      <c r="W673" t="s">
        <v>714</v>
      </c>
      <c r="X673">
        <v>29</v>
      </c>
      <c r="Y673">
        <v>15</v>
      </c>
      <c r="Z673" t="s">
        <v>952</v>
      </c>
      <c r="AA673" t="s">
        <v>953</v>
      </c>
      <c r="AB673" t="s">
        <v>89</v>
      </c>
      <c r="AC673" t="s">
        <v>90</v>
      </c>
      <c r="AD673" t="s">
        <v>91</v>
      </c>
      <c r="AE673" t="s">
        <v>856</v>
      </c>
      <c r="AG673" t="s">
        <v>954</v>
      </c>
      <c r="AH673">
        <v>193</v>
      </c>
      <c r="AI673">
        <v>265</v>
      </c>
      <c r="AJ673">
        <v>18</v>
      </c>
      <c r="AK673">
        <v>4466</v>
      </c>
      <c r="AL673">
        <v>1.1599999999999999</v>
      </c>
    </row>
    <row r="674" spans="1:38" x14ac:dyDescent="0.3">
      <c r="A674" t="s">
        <v>852</v>
      </c>
      <c r="B674">
        <v>122682</v>
      </c>
      <c r="C674">
        <v>9</v>
      </c>
      <c r="D674" t="s">
        <v>951</v>
      </c>
      <c r="E674">
        <v>2021.01</v>
      </c>
      <c r="F674">
        <v>3850</v>
      </c>
      <c r="G674">
        <v>34.82</v>
      </c>
      <c r="H674">
        <v>115.12</v>
      </c>
      <c r="I674">
        <v>25.44</v>
      </c>
      <c r="J674">
        <v>84.13</v>
      </c>
      <c r="K674">
        <v>131</v>
      </c>
      <c r="T674">
        <v>3</v>
      </c>
      <c r="U674">
        <v>2</v>
      </c>
      <c r="V674" t="s">
        <v>94</v>
      </c>
      <c r="W674" t="s">
        <v>549</v>
      </c>
      <c r="X674">
        <v>29</v>
      </c>
      <c r="Y674">
        <v>15</v>
      </c>
      <c r="Z674" t="s">
        <v>952</v>
      </c>
      <c r="AA674" t="s">
        <v>953</v>
      </c>
      <c r="AB674" t="s">
        <v>89</v>
      </c>
      <c r="AC674" t="s">
        <v>90</v>
      </c>
      <c r="AD674" t="s">
        <v>91</v>
      </c>
      <c r="AE674" t="s">
        <v>856</v>
      </c>
      <c r="AG674" t="s">
        <v>954</v>
      </c>
      <c r="AH674">
        <v>193</v>
      </c>
      <c r="AI674">
        <v>265</v>
      </c>
      <c r="AJ674">
        <v>18</v>
      </c>
      <c r="AK674">
        <v>4466</v>
      </c>
      <c r="AL674">
        <v>1.1599999999999999</v>
      </c>
    </row>
    <row r="675" spans="1:38" x14ac:dyDescent="0.3">
      <c r="A675" t="s">
        <v>852</v>
      </c>
      <c r="B675">
        <v>8799</v>
      </c>
      <c r="C675">
        <v>1</v>
      </c>
      <c r="D675" t="s">
        <v>958</v>
      </c>
      <c r="E675">
        <v>1998.12</v>
      </c>
      <c r="F675">
        <v>130</v>
      </c>
      <c r="G675">
        <v>23.79</v>
      </c>
      <c r="H675">
        <v>78.650000000000006</v>
      </c>
      <c r="I675">
        <v>17.95</v>
      </c>
      <c r="J675">
        <v>59.37</v>
      </c>
      <c r="K675">
        <v>4</v>
      </c>
      <c r="T675">
        <v>2</v>
      </c>
      <c r="U675">
        <v>1</v>
      </c>
      <c r="V675" t="s">
        <v>94</v>
      </c>
      <c r="W675" t="s">
        <v>343</v>
      </c>
      <c r="X675">
        <v>14</v>
      </c>
      <c r="Y675">
        <v>10</v>
      </c>
      <c r="Z675" t="s">
        <v>959</v>
      </c>
      <c r="AA675" t="s">
        <v>960</v>
      </c>
      <c r="AB675" t="s">
        <v>89</v>
      </c>
      <c r="AC675" t="s">
        <v>90</v>
      </c>
      <c r="AD675" t="s">
        <v>91</v>
      </c>
      <c r="AE675" t="s">
        <v>856</v>
      </c>
      <c r="AG675" t="s">
        <v>961</v>
      </c>
      <c r="AH675">
        <v>0</v>
      </c>
      <c r="AI675">
        <v>289</v>
      </c>
      <c r="AJ675">
        <v>29</v>
      </c>
      <c r="AK675">
        <v>132</v>
      </c>
      <c r="AL675">
        <v>1.02</v>
      </c>
    </row>
    <row r="676" spans="1:38" x14ac:dyDescent="0.3">
      <c r="A676" t="s">
        <v>852</v>
      </c>
      <c r="B676">
        <v>8799</v>
      </c>
      <c r="C676">
        <v>2</v>
      </c>
      <c r="D676" t="s">
        <v>958</v>
      </c>
      <c r="E676">
        <v>1998.12</v>
      </c>
      <c r="F676">
        <v>130</v>
      </c>
      <c r="G676">
        <v>24.07</v>
      </c>
      <c r="H676">
        <v>79.59</v>
      </c>
      <c r="I676">
        <v>17.989999999999998</v>
      </c>
      <c r="J676">
        <v>59.49</v>
      </c>
      <c r="K676">
        <v>36</v>
      </c>
      <c r="T676">
        <v>3</v>
      </c>
      <c r="U676">
        <v>1</v>
      </c>
      <c r="V676" t="s">
        <v>128</v>
      </c>
      <c r="W676" t="s">
        <v>163</v>
      </c>
      <c r="X676">
        <v>14</v>
      </c>
      <c r="Y676">
        <v>10</v>
      </c>
      <c r="Z676" t="s">
        <v>959</v>
      </c>
      <c r="AA676" t="s">
        <v>960</v>
      </c>
      <c r="AB676" t="s">
        <v>89</v>
      </c>
      <c r="AC676" t="s">
        <v>90</v>
      </c>
      <c r="AD676" t="s">
        <v>91</v>
      </c>
      <c r="AE676" t="s">
        <v>856</v>
      </c>
      <c r="AG676" t="s">
        <v>961</v>
      </c>
      <c r="AH676">
        <v>0</v>
      </c>
      <c r="AI676">
        <v>289</v>
      </c>
      <c r="AJ676">
        <v>29</v>
      </c>
      <c r="AK676">
        <v>132</v>
      </c>
      <c r="AL676">
        <v>1.02</v>
      </c>
    </row>
    <row r="677" spans="1:38" x14ac:dyDescent="0.3">
      <c r="A677" t="s">
        <v>852</v>
      </c>
      <c r="B677">
        <v>8799</v>
      </c>
      <c r="C677">
        <v>3</v>
      </c>
      <c r="D677" t="s">
        <v>958</v>
      </c>
      <c r="E677">
        <v>1998.12</v>
      </c>
      <c r="F677">
        <v>130</v>
      </c>
      <c r="G677">
        <v>32.22</v>
      </c>
      <c r="H677">
        <v>106.52</v>
      </c>
      <c r="I677">
        <v>25.63</v>
      </c>
      <c r="J677">
        <v>84.75</v>
      </c>
      <c r="K677">
        <v>90</v>
      </c>
      <c r="T677">
        <v>3</v>
      </c>
      <c r="U677">
        <v>2</v>
      </c>
      <c r="V677" t="s">
        <v>94</v>
      </c>
      <c r="W677">
        <v>106</v>
      </c>
      <c r="X677">
        <v>14</v>
      </c>
      <c r="Y677">
        <v>10</v>
      </c>
      <c r="Z677" t="s">
        <v>959</v>
      </c>
      <c r="AA677" t="s">
        <v>960</v>
      </c>
      <c r="AB677" t="s">
        <v>89</v>
      </c>
      <c r="AC677" t="s">
        <v>90</v>
      </c>
      <c r="AD677" t="s">
        <v>91</v>
      </c>
      <c r="AE677" t="s">
        <v>856</v>
      </c>
      <c r="AG677" t="s">
        <v>961</v>
      </c>
      <c r="AH677">
        <v>0</v>
      </c>
      <c r="AI677">
        <v>289</v>
      </c>
      <c r="AJ677">
        <v>29</v>
      </c>
      <c r="AK677">
        <v>132</v>
      </c>
      <c r="AL677">
        <v>1.02</v>
      </c>
    </row>
    <row r="678" spans="1:38" x14ac:dyDescent="0.3">
      <c r="A678" t="s">
        <v>852</v>
      </c>
      <c r="B678">
        <v>108673</v>
      </c>
      <c r="C678">
        <v>1</v>
      </c>
      <c r="D678" t="s">
        <v>962</v>
      </c>
      <c r="E678">
        <v>2014.04</v>
      </c>
      <c r="F678">
        <v>63</v>
      </c>
      <c r="G678">
        <v>5.29</v>
      </c>
      <c r="H678">
        <v>17.5</v>
      </c>
      <c r="I678">
        <v>3.97</v>
      </c>
      <c r="J678">
        <v>13.14</v>
      </c>
      <c r="K678">
        <v>28</v>
      </c>
      <c r="T678">
        <v>1</v>
      </c>
      <c r="U678">
        <v>1</v>
      </c>
      <c r="V678" t="s">
        <v>128</v>
      </c>
      <c r="W678" t="s">
        <v>963</v>
      </c>
      <c r="X678">
        <v>13</v>
      </c>
      <c r="Y678">
        <v>13</v>
      </c>
      <c r="Z678" t="s">
        <v>964</v>
      </c>
      <c r="AA678" t="s">
        <v>965</v>
      </c>
      <c r="AB678" t="s">
        <v>89</v>
      </c>
      <c r="AC678" t="s">
        <v>90</v>
      </c>
      <c r="AD678" t="s">
        <v>91</v>
      </c>
      <c r="AE678" t="s">
        <v>856</v>
      </c>
      <c r="AG678" t="s">
        <v>966</v>
      </c>
      <c r="AH678">
        <v>0</v>
      </c>
      <c r="AI678">
        <v>549</v>
      </c>
      <c r="AJ678">
        <v>59</v>
      </c>
      <c r="AK678">
        <v>20</v>
      </c>
      <c r="AL678">
        <v>0.32</v>
      </c>
    </row>
    <row r="679" spans="1:38" x14ac:dyDescent="0.3">
      <c r="A679" t="s">
        <v>852</v>
      </c>
      <c r="B679">
        <v>108673</v>
      </c>
      <c r="C679">
        <v>2</v>
      </c>
      <c r="D679" t="s">
        <v>962</v>
      </c>
      <c r="E679">
        <v>2014.04</v>
      </c>
      <c r="F679">
        <v>63</v>
      </c>
      <c r="G679">
        <v>5.21</v>
      </c>
      <c r="H679">
        <v>17.239999999999998</v>
      </c>
      <c r="I679">
        <v>3.92</v>
      </c>
      <c r="J679">
        <v>12.96</v>
      </c>
      <c r="K679">
        <v>7</v>
      </c>
      <c r="T679">
        <v>1</v>
      </c>
      <c r="U679">
        <v>1</v>
      </c>
      <c r="V679" t="s">
        <v>128</v>
      </c>
      <c r="W679" t="s">
        <v>967</v>
      </c>
      <c r="X679">
        <v>13</v>
      </c>
      <c r="Y679">
        <v>13</v>
      </c>
      <c r="Z679" t="s">
        <v>964</v>
      </c>
      <c r="AA679" t="s">
        <v>965</v>
      </c>
      <c r="AB679" t="s">
        <v>89</v>
      </c>
      <c r="AC679" t="s">
        <v>90</v>
      </c>
      <c r="AD679" t="s">
        <v>91</v>
      </c>
      <c r="AE679" t="s">
        <v>856</v>
      </c>
      <c r="AG679" t="s">
        <v>966</v>
      </c>
      <c r="AH679">
        <v>0</v>
      </c>
      <c r="AI679">
        <v>549</v>
      </c>
      <c r="AJ679">
        <v>59</v>
      </c>
      <c r="AK679">
        <v>20</v>
      </c>
      <c r="AL679">
        <v>0.32</v>
      </c>
    </row>
    <row r="680" spans="1:38" x14ac:dyDescent="0.3">
      <c r="A680" t="s">
        <v>852</v>
      </c>
      <c r="B680">
        <v>108673</v>
      </c>
      <c r="C680">
        <v>3</v>
      </c>
      <c r="D680" t="s">
        <v>962</v>
      </c>
      <c r="E680">
        <v>2014.04</v>
      </c>
      <c r="F680">
        <v>63</v>
      </c>
      <c r="G680">
        <v>5.49</v>
      </c>
      <c r="H680">
        <v>18.18</v>
      </c>
      <c r="I680">
        <v>4.12</v>
      </c>
      <c r="J680">
        <v>13.65</v>
      </c>
      <c r="K680">
        <v>28</v>
      </c>
      <c r="T680">
        <v>1</v>
      </c>
      <c r="U680">
        <v>1</v>
      </c>
      <c r="V680" t="s">
        <v>128</v>
      </c>
      <c r="W680">
        <v>18</v>
      </c>
      <c r="X680">
        <v>13</v>
      </c>
      <c r="Y680">
        <v>13</v>
      </c>
      <c r="Z680" t="s">
        <v>964</v>
      </c>
      <c r="AA680" t="s">
        <v>965</v>
      </c>
      <c r="AB680" t="s">
        <v>89</v>
      </c>
      <c r="AC680" t="s">
        <v>90</v>
      </c>
      <c r="AD680" t="s">
        <v>91</v>
      </c>
      <c r="AE680" t="s">
        <v>856</v>
      </c>
      <c r="AG680" t="s">
        <v>966</v>
      </c>
      <c r="AH680">
        <v>0</v>
      </c>
      <c r="AI680">
        <v>549</v>
      </c>
      <c r="AJ680">
        <v>59</v>
      </c>
      <c r="AK680">
        <v>20</v>
      </c>
      <c r="AL680">
        <v>0.32</v>
      </c>
    </row>
    <row r="681" spans="1:38" x14ac:dyDescent="0.3">
      <c r="A681" t="s">
        <v>852</v>
      </c>
      <c r="B681">
        <v>3082</v>
      </c>
      <c r="C681">
        <v>1</v>
      </c>
      <c r="D681" t="s">
        <v>968</v>
      </c>
      <c r="E681">
        <v>2003.11</v>
      </c>
      <c r="F681">
        <v>1977</v>
      </c>
      <c r="G681">
        <v>24.85</v>
      </c>
      <c r="H681">
        <v>82.16</v>
      </c>
      <c r="I681">
        <v>18.14</v>
      </c>
      <c r="J681">
        <v>59.97</v>
      </c>
      <c r="K681">
        <v>264</v>
      </c>
      <c r="T681">
        <v>3</v>
      </c>
      <c r="U681">
        <v>2</v>
      </c>
      <c r="V681" t="s">
        <v>94</v>
      </c>
      <c r="W681">
        <v>82</v>
      </c>
      <c r="X681">
        <v>27</v>
      </c>
      <c r="Y681">
        <v>11</v>
      </c>
      <c r="Z681" t="s">
        <v>969</v>
      </c>
      <c r="AA681" t="s">
        <v>970</v>
      </c>
      <c r="AB681" t="s">
        <v>89</v>
      </c>
      <c r="AC681" t="s">
        <v>90</v>
      </c>
      <c r="AD681" t="s">
        <v>91</v>
      </c>
      <c r="AE681" t="s">
        <v>856</v>
      </c>
      <c r="AG681" t="s">
        <v>971</v>
      </c>
      <c r="AH681">
        <v>0</v>
      </c>
      <c r="AI681">
        <v>350</v>
      </c>
      <c r="AJ681">
        <v>18</v>
      </c>
      <c r="AK681">
        <v>2448</v>
      </c>
      <c r="AL681">
        <v>1.24</v>
      </c>
    </row>
    <row r="682" spans="1:38" x14ac:dyDescent="0.3">
      <c r="A682" t="s">
        <v>852</v>
      </c>
      <c r="B682">
        <v>3082</v>
      </c>
      <c r="C682">
        <v>2</v>
      </c>
      <c r="D682" t="s">
        <v>968</v>
      </c>
      <c r="E682">
        <v>2003.11</v>
      </c>
      <c r="F682">
        <v>1977</v>
      </c>
      <c r="G682">
        <v>32.520000000000003</v>
      </c>
      <c r="H682">
        <v>107.52</v>
      </c>
      <c r="I682">
        <v>25.68</v>
      </c>
      <c r="J682">
        <v>84.91</v>
      </c>
      <c r="K682">
        <v>296</v>
      </c>
      <c r="T682">
        <v>3</v>
      </c>
      <c r="U682">
        <v>2</v>
      </c>
      <c r="V682" t="s">
        <v>94</v>
      </c>
      <c r="W682">
        <v>107</v>
      </c>
      <c r="X682">
        <v>27</v>
      </c>
      <c r="Y682">
        <v>11</v>
      </c>
      <c r="Z682" t="s">
        <v>969</v>
      </c>
      <c r="AA682" t="s">
        <v>970</v>
      </c>
      <c r="AB682" t="s">
        <v>89</v>
      </c>
      <c r="AC682" t="s">
        <v>90</v>
      </c>
      <c r="AD682" t="s">
        <v>91</v>
      </c>
      <c r="AE682" t="s">
        <v>856</v>
      </c>
      <c r="AG682" t="s">
        <v>971</v>
      </c>
      <c r="AH682">
        <v>0</v>
      </c>
      <c r="AI682">
        <v>350</v>
      </c>
      <c r="AJ682">
        <v>18</v>
      </c>
      <c r="AK682">
        <v>2448</v>
      </c>
      <c r="AL682">
        <v>1.24</v>
      </c>
    </row>
    <row r="683" spans="1:38" x14ac:dyDescent="0.3">
      <c r="A683" t="s">
        <v>852</v>
      </c>
      <c r="B683">
        <v>3082</v>
      </c>
      <c r="C683">
        <v>3</v>
      </c>
      <c r="D683" t="s">
        <v>968</v>
      </c>
      <c r="E683">
        <v>2003.11</v>
      </c>
      <c r="F683">
        <v>1977</v>
      </c>
      <c r="G683">
        <v>33.76</v>
      </c>
      <c r="H683">
        <v>111.61</v>
      </c>
      <c r="I683">
        <v>25.7</v>
      </c>
      <c r="J683">
        <v>84.97</v>
      </c>
      <c r="K683">
        <v>898</v>
      </c>
      <c r="T683">
        <v>3</v>
      </c>
      <c r="U683">
        <v>2</v>
      </c>
      <c r="V683" t="s">
        <v>94</v>
      </c>
      <c r="W683">
        <v>111</v>
      </c>
      <c r="X683">
        <v>27</v>
      </c>
      <c r="Y683">
        <v>11</v>
      </c>
      <c r="Z683" t="s">
        <v>969</v>
      </c>
      <c r="AA683" t="s">
        <v>970</v>
      </c>
      <c r="AB683" t="s">
        <v>89</v>
      </c>
      <c r="AC683" t="s">
        <v>90</v>
      </c>
      <c r="AD683" t="s">
        <v>91</v>
      </c>
      <c r="AE683" t="s">
        <v>856</v>
      </c>
      <c r="AG683" t="s">
        <v>971</v>
      </c>
      <c r="AH683">
        <v>0</v>
      </c>
      <c r="AI683">
        <v>350</v>
      </c>
      <c r="AJ683">
        <v>18</v>
      </c>
      <c r="AK683">
        <v>2448</v>
      </c>
      <c r="AL683">
        <v>1.24</v>
      </c>
    </row>
    <row r="684" spans="1:38" x14ac:dyDescent="0.3">
      <c r="A684" t="s">
        <v>852</v>
      </c>
      <c r="B684">
        <v>3082</v>
      </c>
      <c r="C684">
        <v>4</v>
      </c>
      <c r="D684" t="s">
        <v>968</v>
      </c>
      <c r="E684">
        <v>2003.11</v>
      </c>
      <c r="F684">
        <v>1977</v>
      </c>
      <c r="G684">
        <v>38.340000000000003</v>
      </c>
      <c r="H684">
        <v>126.76</v>
      </c>
      <c r="I684">
        <v>29.88</v>
      </c>
      <c r="J684">
        <v>98.78</v>
      </c>
      <c r="K684">
        <v>108</v>
      </c>
      <c r="T684">
        <v>4</v>
      </c>
      <c r="U684">
        <v>2</v>
      </c>
      <c r="V684" t="s">
        <v>94</v>
      </c>
      <c r="W684">
        <v>126</v>
      </c>
      <c r="X684">
        <v>27</v>
      </c>
      <c r="Y684">
        <v>11</v>
      </c>
      <c r="Z684" t="s">
        <v>969</v>
      </c>
      <c r="AA684" t="s">
        <v>970</v>
      </c>
      <c r="AB684" t="s">
        <v>89</v>
      </c>
      <c r="AC684" t="s">
        <v>90</v>
      </c>
      <c r="AD684" t="s">
        <v>91</v>
      </c>
      <c r="AE684" t="s">
        <v>856</v>
      </c>
      <c r="AG684" t="s">
        <v>971</v>
      </c>
      <c r="AH684">
        <v>0</v>
      </c>
      <c r="AI684">
        <v>350</v>
      </c>
      <c r="AJ684">
        <v>18</v>
      </c>
      <c r="AK684">
        <v>2448</v>
      </c>
      <c r="AL684">
        <v>1.24</v>
      </c>
    </row>
    <row r="685" spans="1:38" x14ac:dyDescent="0.3">
      <c r="A685" t="s">
        <v>852</v>
      </c>
      <c r="B685">
        <v>3082</v>
      </c>
      <c r="C685">
        <v>5</v>
      </c>
      <c r="D685" t="s">
        <v>968</v>
      </c>
      <c r="E685">
        <v>2003.11</v>
      </c>
      <c r="F685">
        <v>1977</v>
      </c>
      <c r="G685">
        <v>43.8</v>
      </c>
      <c r="H685">
        <v>144.81</v>
      </c>
      <c r="I685">
        <v>34.799999999999997</v>
      </c>
      <c r="J685">
        <v>115.07</v>
      </c>
      <c r="K685">
        <v>303</v>
      </c>
      <c r="T685">
        <v>4</v>
      </c>
      <c r="U685">
        <v>2</v>
      </c>
      <c r="V685" t="s">
        <v>94</v>
      </c>
      <c r="W685">
        <v>144</v>
      </c>
      <c r="X685">
        <v>27</v>
      </c>
      <c r="Y685">
        <v>11</v>
      </c>
      <c r="Z685" t="s">
        <v>969</v>
      </c>
      <c r="AA685" t="s">
        <v>970</v>
      </c>
      <c r="AB685" t="s">
        <v>89</v>
      </c>
      <c r="AC685" t="s">
        <v>90</v>
      </c>
      <c r="AD685" t="s">
        <v>91</v>
      </c>
      <c r="AE685" t="s">
        <v>856</v>
      </c>
      <c r="AG685" t="s">
        <v>971</v>
      </c>
      <c r="AH685">
        <v>0</v>
      </c>
      <c r="AI685">
        <v>350</v>
      </c>
      <c r="AJ685">
        <v>18</v>
      </c>
      <c r="AK685">
        <v>2448</v>
      </c>
      <c r="AL685">
        <v>1.24</v>
      </c>
    </row>
    <row r="686" spans="1:38" x14ac:dyDescent="0.3">
      <c r="A686" t="s">
        <v>852</v>
      </c>
      <c r="B686">
        <v>3082</v>
      </c>
      <c r="C686">
        <v>6</v>
      </c>
      <c r="D686" t="s">
        <v>968</v>
      </c>
      <c r="E686">
        <v>2003.11</v>
      </c>
      <c r="F686">
        <v>1977</v>
      </c>
      <c r="G686">
        <v>52.07</v>
      </c>
      <c r="H686">
        <v>172.16</v>
      </c>
      <c r="I686">
        <v>43.16</v>
      </c>
      <c r="J686">
        <v>142.68</v>
      </c>
      <c r="K686">
        <v>108</v>
      </c>
      <c r="T686">
        <v>4</v>
      </c>
      <c r="U686">
        <v>2</v>
      </c>
      <c r="V686" t="s">
        <v>94</v>
      </c>
      <c r="W686">
        <v>172</v>
      </c>
      <c r="X686">
        <v>27</v>
      </c>
      <c r="Y686">
        <v>11</v>
      </c>
      <c r="Z686" t="s">
        <v>969</v>
      </c>
      <c r="AA686" t="s">
        <v>970</v>
      </c>
      <c r="AB686" t="s">
        <v>89</v>
      </c>
      <c r="AC686" t="s">
        <v>90</v>
      </c>
      <c r="AD686" t="s">
        <v>91</v>
      </c>
      <c r="AE686" t="s">
        <v>856</v>
      </c>
      <c r="AG686" t="s">
        <v>971</v>
      </c>
      <c r="AH686">
        <v>0</v>
      </c>
      <c r="AI686">
        <v>350</v>
      </c>
      <c r="AJ686">
        <v>18</v>
      </c>
      <c r="AK686">
        <v>2448</v>
      </c>
      <c r="AL686">
        <v>1.24</v>
      </c>
    </row>
    <row r="687" spans="1:38" x14ac:dyDescent="0.3">
      <c r="A687" t="s">
        <v>852</v>
      </c>
      <c r="B687">
        <v>2037</v>
      </c>
      <c r="C687">
        <v>1</v>
      </c>
      <c r="D687" t="s">
        <v>786</v>
      </c>
      <c r="E687">
        <v>1981.06</v>
      </c>
      <c r="F687">
        <v>49</v>
      </c>
      <c r="G687">
        <v>23.34</v>
      </c>
      <c r="H687">
        <v>77.19</v>
      </c>
      <c r="I687">
        <v>19.79</v>
      </c>
      <c r="J687">
        <v>65.45</v>
      </c>
      <c r="K687">
        <v>38</v>
      </c>
      <c r="T687">
        <v>3</v>
      </c>
      <c r="U687">
        <v>1</v>
      </c>
      <c r="V687" t="s">
        <v>128</v>
      </c>
      <c r="W687" t="s">
        <v>101</v>
      </c>
      <c r="X687">
        <v>5</v>
      </c>
      <c r="Y687">
        <v>5</v>
      </c>
      <c r="Z687" t="s">
        <v>972</v>
      </c>
      <c r="AA687" t="s">
        <v>973</v>
      </c>
      <c r="AB687" t="s">
        <v>89</v>
      </c>
      <c r="AC687" t="s">
        <v>90</v>
      </c>
      <c r="AD687" t="s">
        <v>91</v>
      </c>
      <c r="AE687" t="s">
        <v>856</v>
      </c>
      <c r="AG687" t="s">
        <v>438</v>
      </c>
      <c r="AH687">
        <v>0</v>
      </c>
      <c r="AI687">
        <v>0</v>
      </c>
      <c r="AJ687">
        <v>0</v>
      </c>
      <c r="AK687">
        <v>90</v>
      </c>
      <c r="AL687">
        <v>1.84</v>
      </c>
    </row>
    <row r="688" spans="1:38" x14ac:dyDescent="0.3">
      <c r="A688" t="s">
        <v>852</v>
      </c>
      <c r="B688">
        <v>2037</v>
      </c>
      <c r="C688">
        <v>2</v>
      </c>
      <c r="D688" t="s">
        <v>786</v>
      </c>
      <c r="E688">
        <v>1981.06</v>
      </c>
      <c r="F688">
        <v>49</v>
      </c>
      <c r="G688">
        <v>23.34</v>
      </c>
      <c r="H688">
        <v>77.16</v>
      </c>
      <c r="I688">
        <v>19.78</v>
      </c>
      <c r="J688">
        <v>65.42</v>
      </c>
      <c r="K688">
        <v>11</v>
      </c>
      <c r="T688">
        <v>2</v>
      </c>
      <c r="U688">
        <v>1</v>
      </c>
      <c r="V688" t="s">
        <v>94</v>
      </c>
      <c r="W688" t="s">
        <v>974</v>
      </c>
      <c r="X688">
        <v>5</v>
      </c>
      <c r="Y688">
        <v>5</v>
      </c>
      <c r="Z688" t="s">
        <v>972</v>
      </c>
      <c r="AA688" t="s">
        <v>973</v>
      </c>
      <c r="AB688" t="s">
        <v>89</v>
      </c>
      <c r="AC688" t="s">
        <v>90</v>
      </c>
      <c r="AD688" t="s">
        <v>91</v>
      </c>
      <c r="AE688" t="s">
        <v>856</v>
      </c>
      <c r="AG688" t="s">
        <v>438</v>
      </c>
      <c r="AH688">
        <v>0</v>
      </c>
      <c r="AI688">
        <v>0</v>
      </c>
      <c r="AJ688">
        <v>0</v>
      </c>
      <c r="AK688">
        <v>90</v>
      </c>
      <c r="AL688">
        <v>1.84</v>
      </c>
    </row>
    <row r="689" spans="1:38" x14ac:dyDescent="0.3">
      <c r="A689" t="s">
        <v>852</v>
      </c>
      <c r="B689">
        <v>10777</v>
      </c>
      <c r="C689">
        <v>1</v>
      </c>
      <c r="D689" t="s">
        <v>975</v>
      </c>
      <c r="E689">
        <v>1988.11</v>
      </c>
      <c r="F689">
        <v>45</v>
      </c>
      <c r="G689">
        <v>12.93</v>
      </c>
      <c r="H689">
        <v>42.76</v>
      </c>
      <c r="I689">
        <v>9.14</v>
      </c>
      <c r="J689">
        <v>30.24</v>
      </c>
      <c r="K689">
        <v>5</v>
      </c>
      <c r="T689">
        <v>2</v>
      </c>
      <c r="U689">
        <v>1</v>
      </c>
      <c r="V689" t="s">
        <v>94</v>
      </c>
      <c r="W689">
        <v>42</v>
      </c>
      <c r="X689">
        <v>5</v>
      </c>
      <c r="Y689">
        <v>5</v>
      </c>
      <c r="Z689" t="s">
        <v>976</v>
      </c>
      <c r="AA689" t="s">
        <v>977</v>
      </c>
      <c r="AB689" t="s">
        <v>89</v>
      </c>
      <c r="AC689" t="s">
        <v>90</v>
      </c>
      <c r="AD689" t="s">
        <v>91</v>
      </c>
      <c r="AE689" t="s">
        <v>856</v>
      </c>
      <c r="AG689" t="s">
        <v>438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38" x14ac:dyDescent="0.3">
      <c r="A690" t="s">
        <v>852</v>
      </c>
      <c r="B690">
        <v>10777</v>
      </c>
      <c r="C690">
        <v>2</v>
      </c>
      <c r="D690" t="s">
        <v>975</v>
      </c>
      <c r="E690">
        <v>1988.11</v>
      </c>
      <c r="F690">
        <v>45</v>
      </c>
      <c r="G690">
        <v>15.02</v>
      </c>
      <c r="H690">
        <v>49.68</v>
      </c>
      <c r="I690">
        <v>10.89</v>
      </c>
      <c r="J690">
        <v>36</v>
      </c>
      <c r="K690">
        <v>25</v>
      </c>
      <c r="T690">
        <v>2</v>
      </c>
      <c r="U690">
        <v>1</v>
      </c>
      <c r="V690" t="s">
        <v>94</v>
      </c>
      <c r="W690" t="s">
        <v>978</v>
      </c>
      <c r="X690">
        <v>5</v>
      </c>
      <c r="Y690">
        <v>5</v>
      </c>
      <c r="Z690" t="s">
        <v>976</v>
      </c>
      <c r="AA690" t="s">
        <v>977</v>
      </c>
      <c r="AB690" t="s">
        <v>89</v>
      </c>
      <c r="AC690" t="s">
        <v>90</v>
      </c>
      <c r="AD690" t="s">
        <v>91</v>
      </c>
      <c r="AE690" t="s">
        <v>856</v>
      </c>
      <c r="AG690" t="s">
        <v>438</v>
      </c>
      <c r="AH690">
        <v>0</v>
      </c>
      <c r="AI690">
        <v>0</v>
      </c>
      <c r="AJ690">
        <v>0</v>
      </c>
      <c r="AK690">
        <v>0</v>
      </c>
      <c r="AL690">
        <v>0</v>
      </c>
    </row>
    <row r="691" spans="1:38" x14ac:dyDescent="0.3">
      <c r="A691" t="s">
        <v>852</v>
      </c>
      <c r="B691">
        <v>10777</v>
      </c>
      <c r="C691">
        <v>3</v>
      </c>
      <c r="D691" t="s">
        <v>975</v>
      </c>
      <c r="E691">
        <v>1988.11</v>
      </c>
      <c r="F691">
        <v>45</v>
      </c>
      <c r="G691">
        <v>14.99</v>
      </c>
      <c r="H691">
        <v>49.57</v>
      </c>
      <c r="I691">
        <v>10.86</v>
      </c>
      <c r="J691">
        <v>35.909999999999997</v>
      </c>
      <c r="K691">
        <v>5</v>
      </c>
      <c r="T691">
        <v>3</v>
      </c>
      <c r="U691">
        <v>2</v>
      </c>
      <c r="V691" t="s">
        <v>94</v>
      </c>
      <c r="W691" t="s">
        <v>979</v>
      </c>
      <c r="X691">
        <v>5</v>
      </c>
      <c r="Y691">
        <v>5</v>
      </c>
      <c r="Z691" t="s">
        <v>976</v>
      </c>
      <c r="AA691" t="s">
        <v>977</v>
      </c>
      <c r="AB691" t="s">
        <v>89</v>
      </c>
      <c r="AC691" t="s">
        <v>90</v>
      </c>
      <c r="AD691" t="s">
        <v>91</v>
      </c>
      <c r="AE691" t="s">
        <v>856</v>
      </c>
      <c r="AG691" t="s">
        <v>438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38" x14ac:dyDescent="0.3">
      <c r="A692" t="s">
        <v>852</v>
      </c>
      <c r="B692">
        <v>10777</v>
      </c>
      <c r="C692">
        <v>4</v>
      </c>
      <c r="D692" t="s">
        <v>975</v>
      </c>
      <c r="E692">
        <v>1988.11</v>
      </c>
      <c r="F692">
        <v>45</v>
      </c>
      <c r="G692">
        <v>15.39</v>
      </c>
      <c r="H692">
        <v>50.88</v>
      </c>
      <c r="I692">
        <v>11.25</v>
      </c>
      <c r="J692">
        <v>37.200000000000003</v>
      </c>
      <c r="K692">
        <v>5</v>
      </c>
      <c r="T692">
        <v>3</v>
      </c>
      <c r="U692">
        <v>2</v>
      </c>
      <c r="V692" t="s">
        <v>94</v>
      </c>
      <c r="W692" t="s">
        <v>980</v>
      </c>
      <c r="X692">
        <v>5</v>
      </c>
      <c r="Y692">
        <v>5</v>
      </c>
      <c r="Z692" t="s">
        <v>976</v>
      </c>
      <c r="AA692" t="s">
        <v>977</v>
      </c>
      <c r="AB692" t="s">
        <v>89</v>
      </c>
      <c r="AC692" t="s">
        <v>90</v>
      </c>
      <c r="AD692" t="s">
        <v>91</v>
      </c>
      <c r="AE692" t="s">
        <v>856</v>
      </c>
      <c r="AG692" t="s">
        <v>438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38" x14ac:dyDescent="0.3">
      <c r="A693" t="s">
        <v>852</v>
      </c>
      <c r="B693">
        <v>10777</v>
      </c>
      <c r="C693">
        <v>5</v>
      </c>
      <c r="D693" t="s">
        <v>975</v>
      </c>
      <c r="E693">
        <v>1988.11</v>
      </c>
      <c r="F693">
        <v>45</v>
      </c>
      <c r="G693">
        <v>26.15</v>
      </c>
      <c r="H693">
        <v>86.45</v>
      </c>
      <c r="I693">
        <v>17.649999999999999</v>
      </c>
      <c r="J693">
        <v>58.36</v>
      </c>
      <c r="K693">
        <v>5</v>
      </c>
      <c r="T693">
        <v>3</v>
      </c>
      <c r="U693">
        <v>1</v>
      </c>
      <c r="V693" t="s">
        <v>94</v>
      </c>
      <c r="W693">
        <v>86</v>
      </c>
      <c r="X693">
        <v>5</v>
      </c>
      <c r="Y693">
        <v>5</v>
      </c>
      <c r="Z693" t="s">
        <v>976</v>
      </c>
      <c r="AA693" t="s">
        <v>977</v>
      </c>
      <c r="AB693" t="s">
        <v>89</v>
      </c>
      <c r="AC693" t="s">
        <v>90</v>
      </c>
      <c r="AD693" t="s">
        <v>91</v>
      </c>
      <c r="AE693" t="s">
        <v>856</v>
      </c>
      <c r="AG693" t="s">
        <v>438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38" x14ac:dyDescent="0.3">
      <c r="A694" t="s">
        <v>852</v>
      </c>
      <c r="B694">
        <v>113297</v>
      </c>
      <c r="C694">
        <v>1</v>
      </c>
      <c r="D694" t="s">
        <v>981</v>
      </c>
      <c r="E694">
        <v>2019.03</v>
      </c>
      <c r="F694">
        <v>1174</v>
      </c>
      <c r="G694">
        <v>24.85</v>
      </c>
      <c r="H694">
        <v>82.15</v>
      </c>
      <c r="I694">
        <v>18.13</v>
      </c>
      <c r="J694">
        <v>59.94</v>
      </c>
      <c r="K694">
        <v>310</v>
      </c>
      <c r="T694">
        <v>3</v>
      </c>
      <c r="U694">
        <v>2</v>
      </c>
      <c r="V694" t="s">
        <v>94</v>
      </c>
      <c r="W694" t="s">
        <v>519</v>
      </c>
      <c r="X694">
        <v>33</v>
      </c>
      <c r="Y694">
        <v>11</v>
      </c>
      <c r="Z694" t="s">
        <v>982</v>
      </c>
      <c r="AA694" t="s">
        <v>983</v>
      </c>
      <c r="AB694" t="s">
        <v>89</v>
      </c>
      <c r="AC694" t="s">
        <v>90</v>
      </c>
      <c r="AD694" t="s">
        <v>91</v>
      </c>
      <c r="AE694" t="s">
        <v>856</v>
      </c>
      <c r="AG694" t="s">
        <v>984</v>
      </c>
      <c r="AH694">
        <v>36</v>
      </c>
      <c r="AI694">
        <v>273</v>
      </c>
      <c r="AJ694">
        <v>19</v>
      </c>
      <c r="AK694">
        <v>1535</v>
      </c>
      <c r="AL694">
        <v>1.31</v>
      </c>
    </row>
    <row r="695" spans="1:38" x14ac:dyDescent="0.3">
      <c r="A695" t="s">
        <v>852</v>
      </c>
      <c r="B695">
        <v>113297</v>
      </c>
      <c r="C695">
        <v>2</v>
      </c>
      <c r="D695" t="s">
        <v>981</v>
      </c>
      <c r="E695">
        <v>2019.03</v>
      </c>
      <c r="F695">
        <v>1174</v>
      </c>
      <c r="G695">
        <v>24.96</v>
      </c>
      <c r="H695">
        <v>82.52</v>
      </c>
      <c r="I695">
        <v>18.079999999999998</v>
      </c>
      <c r="J695">
        <v>59.8</v>
      </c>
      <c r="K695">
        <v>107</v>
      </c>
      <c r="T695">
        <v>3</v>
      </c>
      <c r="U695">
        <v>2</v>
      </c>
      <c r="V695" t="s">
        <v>94</v>
      </c>
      <c r="W695" t="s">
        <v>804</v>
      </c>
      <c r="X695">
        <v>33</v>
      </c>
      <c r="Y695">
        <v>11</v>
      </c>
      <c r="Z695" t="s">
        <v>982</v>
      </c>
      <c r="AA695" t="s">
        <v>983</v>
      </c>
      <c r="AB695" t="s">
        <v>89</v>
      </c>
      <c r="AC695" t="s">
        <v>90</v>
      </c>
      <c r="AD695" t="s">
        <v>91</v>
      </c>
      <c r="AE695" t="s">
        <v>856</v>
      </c>
      <c r="AG695" t="s">
        <v>984</v>
      </c>
      <c r="AH695">
        <v>36</v>
      </c>
      <c r="AI695">
        <v>273</v>
      </c>
      <c r="AJ695">
        <v>19</v>
      </c>
      <c r="AK695">
        <v>1535</v>
      </c>
      <c r="AL695">
        <v>1.31</v>
      </c>
    </row>
    <row r="696" spans="1:38" x14ac:dyDescent="0.3">
      <c r="A696" t="s">
        <v>852</v>
      </c>
      <c r="B696">
        <v>113297</v>
      </c>
      <c r="C696">
        <v>3</v>
      </c>
      <c r="D696" t="s">
        <v>981</v>
      </c>
      <c r="E696">
        <v>2019.03</v>
      </c>
      <c r="F696">
        <v>1174</v>
      </c>
      <c r="G696">
        <v>30.41</v>
      </c>
      <c r="H696">
        <v>100.56</v>
      </c>
      <c r="I696">
        <v>22.66</v>
      </c>
      <c r="J696">
        <v>74.91</v>
      </c>
      <c r="K696">
        <v>205</v>
      </c>
      <c r="T696">
        <v>3</v>
      </c>
      <c r="U696">
        <v>2</v>
      </c>
      <c r="V696" t="s">
        <v>94</v>
      </c>
      <c r="W696">
        <v>100</v>
      </c>
      <c r="X696">
        <v>33</v>
      </c>
      <c r="Y696">
        <v>11</v>
      </c>
      <c r="Z696" t="s">
        <v>982</v>
      </c>
      <c r="AA696" t="s">
        <v>983</v>
      </c>
      <c r="AB696" t="s">
        <v>89</v>
      </c>
      <c r="AC696" t="s">
        <v>90</v>
      </c>
      <c r="AD696" t="s">
        <v>91</v>
      </c>
      <c r="AE696" t="s">
        <v>856</v>
      </c>
      <c r="AG696" t="s">
        <v>984</v>
      </c>
      <c r="AH696">
        <v>36</v>
      </c>
      <c r="AI696">
        <v>273</v>
      </c>
      <c r="AJ696">
        <v>19</v>
      </c>
      <c r="AK696">
        <v>1535</v>
      </c>
      <c r="AL696">
        <v>1.31</v>
      </c>
    </row>
    <row r="697" spans="1:38" x14ac:dyDescent="0.3">
      <c r="A697" t="s">
        <v>852</v>
      </c>
      <c r="B697">
        <v>113297</v>
      </c>
      <c r="C697">
        <v>4</v>
      </c>
      <c r="D697" t="s">
        <v>981</v>
      </c>
      <c r="E697">
        <v>2019.03</v>
      </c>
      <c r="F697">
        <v>1174</v>
      </c>
      <c r="G697">
        <v>34.11</v>
      </c>
      <c r="H697">
        <v>112.77</v>
      </c>
      <c r="I697">
        <v>25.7</v>
      </c>
      <c r="J697">
        <v>84.98</v>
      </c>
      <c r="K697">
        <v>396</v>
      </c>
      <c r="T697">
        <v>3</v>
      </c>
      <c r="U697">
        <v>2</v>
      </c>
      <c r="V697" t="s">
        <v>94</v>
      </c>
      <c r="W697" t="s">
        <v>261</v>
      </c>
      <c r="X697">
        <v>33</v>
      </c>
      <c r="Y697">
        <v>11</v>
      </c>
      <c r="Z697" t="s">
        <v>982</v>
      </c>
      <c r="AA697" t="s">
        <v>983</v>
      </c>
      <c r="AB697" t="s">
        <v>89</v>
      </c>
      <c r="AC697" t="s">
        <v>90</v>
      </c>
      <c r="AD697" t="s">
        <v>91</v>
      </c>
      <c r="AE697" t="s">
        <v>856</v>
      </c>
      <c r="AG697" t="s">
        <v>984</v>
      </c>
      <c r="AH697">
        <v>36</v>
      </c>
      <c r="AI697">
        <v>273</v>
      </c>
      <c r="AJ697">
        <v>19</v>
      </c>
      <c r="AK697">
        <v>1535</v>
      </c>
      <c r="AL697">
        <v>1.31</v>
      </c>
    </row>
    <row r="698" spans="1:38" x14ac:dyDescent="0.3">
      <c r="A698" t="s">
        <v>852</v>
      </c>
      <c r="B698">
        <v>113297</v>
      </c>
      <c r="C698">
        <v>5</v>
      </c>
      <c r="D698" t="s">
        <v>981</v>
      </c>
      <c r="E698">
        <v>2019.03</v>
      </c>
      <c r="F698">
        <v>1174</v>
      </c>
      <c r="G698">
        <v>34.08</v>
      </c>
      <c r="H698">
        <v>112.68</v>
      </c>
      <c r="I698">
        <v>25.67</v>
      </c>
      <c r="J698">
        <v>84.89</v>
      </c>
      <c r="K698">
        <v>87</v>
      </c>
      <c r="T698">
        <v>3</v>
      </c>
      <c r="U698">
        <v>2</v>
      </c>
      <c r="V698" t="s">
        <v>94</v>
      </c>
      <c r="W698" t="s">
        <v>580</v>
      </c>
      <c r="X698">
        <v>33</v>
      </c>
      <c r="Y698">
        <v>11</v>
      </c>
      <c r="Z698" t="s">
        <v>982</v>
      </c>
      <c r="AA698" t="s">
        <v>983</v>
      </c>
      <c r="AB698" t="s">
        <v>89</v>
      </c>
      <c r="AC698" t="s">
        <v>90</v>
      </c>
      <c r="AD698" t="s">
        <v>91</v>
      </c>
      <c r="AE698" t="s">
        <v>856</v>
      </c>
      <c r="AG698" t="s">
        <v>984</v>
      </c>
      <c r="AH698">
        <v>36</v>
      </c>
      <c r="AI698">
        <v>273</v>
      </c>
      <c r="AJ698">
        <v>19</v>
      </c>
      <c r="AK698">
        <v>1535</v>
      </c>
      <c r="AL698">
        <v>1.31</v>
      </c>
    </row>
    <row r="699" spans="1:38" x14ac:dyDescent="0.3">
      <c r="A699" t="s">
        <v>852</v>
      </c>
      <c r="B699">
        <v>113297</v>
      </c>
      <c r="C699">
        <v>6</v>
      </c>
      <c r="D699" t="s">
        <v>981</v>
      </c>
      <c r="E699">
        <v>2019.03</v>
      </c>
      <c r="F699">
        <v>1174</v>
      </c>
      <c r="G699">
        <v>43.19</v>
      </c>
      <c r="H699">
        <v>142.79</v>
      </c>
      <c r="I699">
        <v>34.76</v>
      </c>
      <c r="J699">
        <v>114.92</v>
      </c>
      <c r="K699">
        <v>33</v>
      </c>
      <c r="T699">
        <v>4</v>
      </c>
      <c r="U699">
        <v>2</v>
      </c>
      <c r="V699" t="s">
        <v>94</v>
      </c>
      <c r="W699">
        <v>142</v>
      </c>
      <c r="X699">
        <v>33</v>
      </c>
      <c r="Y699">
        <v>11</v>
      </c>
      <c r="Z699" t="s">
        <v>982</v>
      </c>
      <c r="AA699" t="s">
        <v>983</v>
      </c>
      <c r="AB699" t="s">
        <v>89</v>
      </c>
      <c r="AC699" t="s">
        <v>90</v>
      </c>
      <c r="AD699" t="s">
        <v>91</v>
      </c>
      <c r="AE699" t="s">
        <v>856</v>
      </c>
      <c r="AG699" t="s">
        <v>984</v>
      </c>
      <c r="AH699">
        <v>36</v>
      </c>
      <c r="AI699">
        <v>273</v>
      </c>
      <c r="AJ699">
        <v>19</v>
      </c>
      <c r="AK699">
        <v>1535</v>
      </c>
      <c r="AL699">
        <v>1.31</v>
      </c>
    </row>
    <row r="700" spans="1:38" x14ac:dyDescent="0.3">
      <c r="A700" t="s">
        <v>852</v>
      </c>
      <c r="B700">
        <v>26273</v>
      </c>
      <c r="C700">
        <v>1</v>
      </c>
      <c r="D700" t="s">
        <v>985</v>
      </c>
      <c r="E700">
        <v>2006.11</v>
      </c>
      <c r="F700">
        <v>59</v>
      </c>
      <c r="G700">
        <v>24</v>
      </c>
      <c r="H700">
        <v>79.37</v>
      </c>
      <c r="I700">
        <v>18.059999999999999</v>
      </c>
      <c r="J700">
        <v>59.73</v>
      </c>
      <c r="K700">
        <v>35</v>
      </c>
      <c r="T700">
        <v>3</v>
      </c>
      <c r="U700">
        <v>2</v>
      </c>
      <c r="V700" t="s">
        <v>128</v>
      </c>
      <c r="W700">
        <v>79</v>
      </c>
      <c r="X700">
        <v>13</v>
      </c>
      <c r="Y700">
        <v>12</v>
      </c>
      <c r="Z700" t="s">
        <v>986</v>
      </c>
      <c r="AA700" t="s">
        <v>987</v>
      </c>
      <c r="AB700" t="s">
        <v>89</v>
      </c>
      <c r="AC700" t="s">
        <v>90</v>
      </c>
      <c r="AD700" t="s">
        <v>91</v>
      </c>
      <c r="AE700" t="s">
        <v>856</v>
      </c>
      <c r="AG700" t="s">
        <v>988</v>
      </c>
      <c r="AH700">
        <v>0</v>
      </c>
      <c r="AI700">
        <v>244</v>
      </c>
      <c r="AJ700">
        <v>68</v>
      </c>
      <c r="AK700">
        <v>59</v>
      </c>
      <c r="AL700">
        <v>1</v>
      </c>
    </row>
    <row r="701" spans="1:38" x14ac:dyDescent="0.3">
      <c r="A701" t="s">
        <v>852</v>
      </c>
      <c r="B701">
        <v>26273</v>
      </c>
      <c r="C701">
        <v>2</v>
      </c>
      <c r="D701" t="s">
        <v>985</v>
      </c>
      <c r="E701">
        <v>2006.11</v>
      </c>
      <c r="F701">
        <v>59</v>
      </c>
      <c r="G701">
        <v>33.619999999999997</v>
      </c>
      <c r="H701">
        <v>111.17</v>
      </c>
      <c r="I701">
        <v>25.64</v>
      </c>
      <c r="J701">
        <v>84.77</v>
      </c>
      <c r="K701">
        <v>24</v>
      </c>
      <c r="T701">
        <v>3</v>
      </c>
      <c r="U701">
        <v>2</v>
      </c>
      <c r="V701" t="s">
        <v>94</v>
      </c>
      <c r="W701">
        <v>111</v>
      </c>
      <c r="X701">
        <v>13</v>
      </c>
      <c r="Y701">
        <v>12</v>
      </c>
      <c r="Z701" t="s">
        <v>986</v>
      </c>
      <c r="AA701" t="s">
        <v>987</v>
      </c>
      <c r="AB701" t="s">
        <v>89</v>
      </c>
      <c r="AC701" t="s">
        <v>90</v>
      </c>
      <c r="AD701" t="s">
        <v>91</v>
      </c>
      <c r="AE701" t="s">
        <v>856</v>
      </c>
      <c r="AG701" t="s">
        <v>988</v>
      </c>
      <c r="AH701">
        <v>0</v>
      </c>
      <c r="AI701">
        <v>244</v>
      </c>
      <c r="AJ701">
        <v>68</v>
      </c>
      <c r="AK701">
        <v>59</v>
      </c>
      <c r="AL701">
        <v>1</v>
      </c>
    </row>
    <row r="702" spans="1:38" x14ac:dyDescent="0.3">
      <c r="A702" t="s">
        <v>852</v>
      </c>
      <c r="B702">
        <v>127325</v>
      </c>
      <c r="C702">
        <v>1</v>
      </c>
      <c r="D702" t="s">
        <v>989</v>
      </c>
      <c r="E702">
        <v>2015.08</v>
      </c>
      <c r="F702">
        <v>15</v>
      </c>
      <c r="G702">
        <v>29.69</v>
      </c>
      <c r="H702">
        <v>98.17</v>
      </c>
      <c r="I702">
        <v>24.95</v>
      </c>
      <c r="J702">
        <v>82.5</v>
      </c>
      <c r="K702">
        <v>5</v>
      </c>
      <c r="T702">
        <v>3</v>
      </c>
      <c r="U702">
        <v>2</v>
      </c>
      <c r="V702" t="s">
        <v>94</v>
      </c>
      <c r="W702" t="s">
        <v>114</v>
      </c>
      <c r="X702">
        <v>7</v>
      </c>
      <c r="Y702">
        <v>7</v>
      </c>
      <c r="Z702" t="s">
        <v>990</v>
      </c>
      <c r="AA702" t="s">
        <v>991</v>
      </c>
      <c r="AB702" t="s">
        <v>89</v>
      </c>
      <c r="AC702" t="s">
        <v>90</v>
      </c>
      <c r="AD702" t="s">
        <v>91</v>
      </c>
      <c r="AE702" t="s">
        <v>856</v>
      </c>
      <c r="AG702" t="s">
        <v>992</v>
      </c>
      <c r="AH702">
        <v>0</v>
      </c>
      <c r="AI702">
        <v>341</v>
      </c>
      <c r="AJ702">
        <v>65</v>
      </c>
      <c r="AK702">
        <v>15</v>
      </c>
      <c r="AL702">
        <v>1</v>
      </c>
    </row>
    <row r="703" spans="1:38" x14ac:dyDescent="0.3">
      <c r="A703" t="s">
        <v>852</v>
      </c>
      <c r="B703">
        <v>127325</v>
      </c>
      <c r="C703">
        <v>2</v>
      </c>
      <c r="D703" t="s">
        <v>989</v>
      </c>
      <c r="E703">
        <v>2015.08</v>
      </c>
      <c r="F703">
        <v>15</v>
      </c>
      <c r="G703">
        <v>29.73</v>
      </c>
      <c r="H703">
        <v>98.3</v>
      </c>
      <c r="I703">
        <v>24.98</v>
      </c>
      <c r="J703">
        <v>82.61</v>
      </c>
      <c r="K703">
        <v>5</v>
      </c>
      <c r="T703">
        <v>3</v>
      </c>
      <c r="U703">
        <v>2</v>
      </c>
      <c r="V703" t="s">
        <v>94</v>
      </c>
      <c r="W703" t="s">
        <v>993</v>
      </c>
      <c r="X703">
        <v>7</v>
      </c>
      <c r="Y703">
        <v>7</v>
      </c>
      <c r="Z703" t="s">
        <v>990</v>
      </c>
      <c r="AA703" t="s">
        <v>991</v>
      </c>
      <c r="AB703" t="s">
        <v>89</v>
      </c>
      <c r="AC703" t="s">
        <v>90</v>
      </c>
      <c r="AD703" t="s">
        <v>91</v>
      </c>
      <c r="AE703" t="s">
        <v>856</v>
      </c>
      <c r="AG703" t="s">
        <v>992</v>
      </c>
      <c r="AH703">
        <v>0</v>
      </c>
      <c r="AI703">
        <v>341</v>
      </c>
      <c r="AJ703">
        <v>65</v>
      </c>
      <c r="AK703">
        <v>15</v>
      </c>
      <c r="AL703">
        <v>1</v>
      </c>
    </row>
    <row r="704" spans="1:38" x14ac:dyDescent="0.3">
      <c r="A704" t="s">
        <v>852</v>
      </c>
      <c r="B704">
        <v>127325</v>
      </c>
      <c r="C704">
        <v>3</v>
      </c>
      <c r="D704" t="s">
        <v>989</v>
      </c>
      <c r="E704">
        <v>2015.08</v>
      </c>
      <c r="F704">
        <v>15</v>
      </c>
      <c r="G704">
        <v>30.53</v>
      </c>
      <c r="H704">
        <v>100.93</v>
      </c>
      <c r="I704">
        <v>25.65</v>
      </c>
      <c r="J704">
        <v>84.82</v>
      </c>
      <c r="K704">
        <v>5</v>
      </c>
      <c r="T704">
        <v>3</v>
      </c>
      <c r="U704">
        <v>2</v>
      </c>
      <c r="V704" t="s">
        <v>94</v>
      </c>
      <c r="W704">
        <v>100</v>
      </c>
      <c r="X704">
        <v>7</v>
      </c>
      <c r="Y704">
        <v>7</v>
      </c>
      <c r="Z704" t="s">
        <v>990</v>
      </c>
      <c r="AA704" t="s">
        <v>991</v>
      </c>
      <c r="AB704" t="s">
        <v>89</v>
      </c>
      <c r="AC704" t="s">
        <v>90</v>
      </c>
      <c r="AD704" t="s">
        <v>91</v>
      </c>
      <c r="AE704" t="s">
        <v>856</v>
      </c>
      <c r="AG704" t="s">
        <v>992</v>
      </c>
      <c r="AH704">
        <v>0</v>
      </c>
      <c r="AI704">
        <v>341</v>
      </c>
      <c r="AJ704">
        <v>65</v>
      </c>
      <c r="AK704">
        <v>15</v>
      </c>
      <c r="AL704">
        <v>1</v>
      </c>
    </row>
    <row r="705" spans="1:38" x14ac:dyDescent="0.3">
      <c r="A705" t="s">
        <v>852</v>
      </c>
      <c r="B705">
        <v>8961</v>
      </c>
      <c r="C705">
        <v>1</v>
      </c>
      <c r="D705" t="s">
        <v>994</v>
      </c>
      <c r="E705">
        <v>1986.02</v>
      </c>
      <c r="F705">
        <v>80</v>
      </c>
      <c r="G705">
        <v>19.239999999999998</v>
      </c>
      <c r="H705">
        <v>63.61</v>
      </c>
      <c r="I705">
        <v>14.4</v>
      </c>
      <c r="J705">
        <v>47.61</v>
      </c>
      <c r="K705">
        <v>50</v>
      </c>
      <c r="T705">
        <v>2</v>
      </c>
      <c r="U705">
        <v>1</v>
      </c>
      <c r="V705" t="s">
        <v>94</v>
      </c>
      <c r="W705">
        <v>63</v>
      </c>
      <c r="X705">
        <v>5</v>
      </c>
      <c r="Y705">
        <v>5</v>
      </c>
      <c r="Z705" t="s">
        <v>995</v>
      </c>
      <c r="AA705" t="s">
        <v>996</v>
      </c>
      <c r="AB705" t="s">
        <v>89</v>
      </c>
      <c r="AC705" t="s">
        <v>90</v>
      </c>
      <c r="AD705" t="s">
        <v>91</v>
      </c>
      <c r="AE705" t="s">
        <v>856</v>
      </c>
      <c r="AG705" t="s">
        <v>997</v>
      </c>
      <c r="AH705">
        <v>0</v>
      </c>
      <c r="AI705">
        <v>139</v>
      </c>
      <c r="AJ705">
        <v>29</v>
      </c>
      <c r="AK705">
        <v>27</v>
      </c>
      <c r="AL705">
        <v>0.34</v>
      </c>
    </row>
    <row r="706" spans="1:38" x14ac:dyDescent="0.3">
      <c r="A706" t="s">
        <v>852</v>
      </c>
      <c r="B706">
        <v>8961</v>
      </c>
      <c r="C706">
        <v>2</v>
      </c>
      <c r="D706" t="s">
        <v>994</v>
      </c>
      <c r="E706">
        <v>1986.02</v>
      </c>
      <c r="F706">
        <v>80</v>
      </c>
      <c r="G706">
        <v>22.54</v>
      </c>
      <c r="H706">
        <v>74.52</v>
      </c>
      <c r="I706">
        <v>17.149999999999999</v>
      </c>
      <c r="J706">
        <v>56.7</v>
      </c>
      <c r="K706">
        <v>30</v>
      </c>
      <c r="T706">
        <v>2</v>
      </c>
      <c r="U706">
        <v>1</v>
      </c>
      <c r="V706" t="s">
        <v>94</v>
      </c>
      <c r="W706">
        <v>74</v>
      </c>
      <c r="X706">
        <v>5</v>
      </c>
      <c r="Y706">
        <v>5</v>
      </c>
      <c r="Z706" t="s">
        <v>995</v>
      </c>
      <c r="AA706" t="s">
        <v>996</v>
      </c>
      <c r="AB706" t="s">
        <v>89</v>
      </c>
      <c r="AC706" t="s">
        <v>90</v>
      </c>
      <c r="AD706" t="s">
        <v>91</v>
      </c>
      <c r="AE706" t="s">
        <v>856</v>
      </c>
      <c r="AG706" t="s">
        <v>997</v>
      </c>
      <c r="AH706">
        <v>0</v>
      </c>
      <c r="AI706">
        <v>139</v>
      </c>
      <c r="AJ706">
        <v>29</v>
      </c>
      <c r="AK706">
        <v>27</v>
      </c>
      <c r="AL706">
        <v>0.34</v>
      </c>
    </row>
    <row r="707" spans="1:38" x14ac:dyDescent="0.3">
      <c r="A707" t="s">
        <v>852</v>
      </c>
      <c r="B707">
        <v>152005</v>
      </c>
      <c r="C707">
        <v>1</v>
      </c>
      <c r="D707" t="s">
        <v>998</v>
      </c>
      <c r="E707">
        <v>2025.06</v>
      </c>
      <c r="F707">
        <v>456</v>
      </c>
      <c r="G707">
        <v>21.68</v>
      </c>
      <c r="H707">
        <v>71.67</v>
      </c>
      <c r="I707">
        <v>15.1</v>
      </c>
      <c r="J707">
        <v>49.95</v>
      </c>
      <c r="K707">
        <v>88</v>
      </c>
      <c r="T707">
        <v>2</v>
      </c>
      <c r="U707">
        <v>2</v>
      </c>
      <c r="V707" t="s">
        <v>94</v>
      </c>
      <c r="W707">
        <v>71</v>
      </c>
      <c r="X707">
        <v>32</v>
      </c>
      <c r="Y707">
        <v>20</v>
      </c>
      <c r="Z707" t="s">
        <v>999</v>
      </c>
      <c r="AA707" t="s">
        <v>1000</v>
      </c>
      <c r="AB707" t="s">
        <v>89</v>
      </c>
      <c r="AC707" t="s">
        <v>90</v>
      </c>
      <c r="AD707" t="s">
        <v>91</v>
      </c>
      <c r="AE707" t="s">
        <v>856</v>
      </c>
      <c r="AG707" t="s">
        <v>438</v>
      </c>
      <c r="AH707">
        <v>19</v>
      </c>
      <c r="AI707">
        <v>299</v>
      </c>
      <c r="AJ707">
        <v>19</v>
      </c>
      <c r="AK707">
        <v>468</v>
      </c>
      <c r="AL707">
        <v>1.03</v>
      </c>
    </row>
    <row r="708" spans="1:38" x14ac:dyDescent="0.3">
      <c r="A708" t="s">
        <v>852</v>
      </c>
      <c r="B708">
        <v>152005</v>
      </c>
      <c r="C708">
        <v>2</v>
      </c>
      <c r="D708" t="s">
        <v>998</v>
      </c>
      <c r="E708">
        <v>2025.06</v>
      </c>
      <c r="F708">
        <v>456</v>
      </c>
      <c r="G708">
        <v>25</v>
      </c>
      <c r="H708">
        <v>82.67</v>
      </c>
      <c r="I708">
        <v>18.14</v>
      </c>
      <c r="J708">
        <v>59.99</v>
      </c>
      <c r="K708">
        <v>287</v>
      </c>
      <c r="T708">
        <v>3</v>
      </c>
      <c r="U708">
        <v>2</v>
      </c>
      <c r="V708" t="s">
        <v>94</v>
      </c>
      <c r="W708">
        <v>82</v>
      </c>
      <c r="X708">
        <v>32</v>
      </c>
      <c r="Y708">
        <v>20</v>
      </c>
      <c r="Z708" t="s">
        <v>999</v>
      </c>
      <c r="AA708" t="s">
        <v>1000</v>
      </c>
      <c r="AB708" t="s">
        <v>89</v>
      </c>
      <c r="AC708" t="s">
        <v>90</v>
      </c>
      <c r="AD708" t="s">
        <v>91</v>
      </c>
      <c r="AE708" t="s">
        <v>856</v>
      </c>
      <c r="AG708" t="s">
        <v>438</v>
      </c>
      <c r="AH708">
        <v>19</v>
      </c>
      <c r="AI708">
        <v>299</v>
      </c>
      <c r="AJ708">
        <v>19</v>
      </c>
      <c r="AK708">
        <v>468</v>
      </c>
      <c r="AL708">
        <v>1.03</v>
      </c>
    </row>
    <row r="709" spans="1:38" x14ac:dyDescent="0.3">
      <c r="A709" t="s">
        <v>852</v>
      </c>
      <c r="B709">
        <v>152005</v>
      </c>
      <c r="C709">
        <v>3</v>
      </c>
      <c r="D709" t="s">
        <v>998</v>
      </c>
      <c r="E709">
        <v>2025.06</v>
      </c>
      <c r="F709">
        <v>456</v>
      </c>
      <c r="G709">
        <v>33.020000000000003</v>
      </c>
      <c r="H709">
        <v>109.18</v>
      </c>
      <c r="I709">
        <v>25.68</v>
      </c>
      <c r="J709">
        <v>84.9</v>
      </c>
      <c r="K709">
        <v>62</v>
      </c>
      <c r="T709">
        <v>4</v>
      </c>
      <c r="U709">
        <v>2</v>
      </c>
      <c r="V709" t="s">
        <v>94</v>
      </c>
      <c r="W709">
        <v>109</v>
      </c>
      <c r="X709">
        <v>32</v>
      </c>
      <c r="Y709">
        <v>20</v>
      </c>
      <c r="Z709" t="s">
        <v>999</v>
      </c>
      <c r="AA709" t="s">
        <v>1000</v>
      </c>
      <c r="AB709" t="s">
        <v>89</v>
      </c>
      <c r="AC709" t="s">
        <v>90</v>
      </c>
      <c r="AD709" t="s">
        <v>91</v>
      </c>
      <c r="AE709" t="s">
        <v>856</v>
      </c>
      <c r="AG709" t="s">
        <v>438</v>
      </c>
      <c r="AH709">
        <v>19</v>
      </c>
      <c r="AI709">
        <v>299</v>
      </c>
      <c r="AJ709">
        <v>19</v>
      </c>
      <c r="AK709">
        <v>468</v>
      </c>
      <c r="AL709">
        <v>1.03</v>
      </c>
    </row>
    <row r="710" spans="1:38" x14ac:dyDescent="0.3">
      <c r="A710" t="s">
        <v>852</v>
      </c>
      <c r="B710">
        <v>1457</v>
      </c>
      <c r="C710">
        <v>1</v>
      </c>
      <c r="D710" t="s">
        <v>1001</v>
      </c>
      <c r="E710">
        <v>1992.11</v>
      </c>
      <c r="F710">
        <v>480</v>
      </c>
      <c r="G710">
        <v>35.47</v>
      </c>
      <c r="H710">
        <v>117.27</v>
      </c>
      <c r="I710">
        <v>29.91</v>
      </c>
      <c r="J710">
        <v>98.9</v>
      </c>
      <c r="K710">
        <v>124</v>
      </c>
      <c r="T710">
        <v>3</v>
      </c>
      <c r="U710">
        <v>2</v>
      </c>
      <c r="V710" t="s">
        <v>94</v>
      </c>
      <c r="W710">
        <v>117</v>
      </c>
      <c r="X710">
        <v>25</v>
      </c>
      <c r="Y710">
        <v>13</v>
      </c>
      <c r="Z710" t="s">
        <v>1002</v>
      </c>
      <c r="AA710" t="s">
        <v>1003</v>
      </c>
      <c r="AB710" t="s">
        <v>89</v>
      </c>
      <c r="AC710" t="s">
        <v>90</v>
      </c>
      <c r="AD710" t="s">
        <v>91</v>
      </c>
      <c r="AE710" t="s">
        <v>856</v>
      </c>
      <c r="AG710" t="s">
        <v>1004</v>
      </c>
      <c r="AH710">
        <v>0</v>
      </c>
      <c r="AI710">
        <v>186</v>
      </c>
      <c r="AJ710">
        <v>14</v>
      </c>
      <c r="AK710">
        <v>585</v>
      </c>
      <c r="AL710">
        <v>1.22</v>
      </c>
    </row>
    <row r="711" spans="1:38" x14ac:dyDescent="0.3">
      <c r="A711" t="s">
        <v>852</v>
      </c>
      <c r="B711">
        <v>1457</v>
      </c>
      <c r="C711">
        <v>2</v>
      </c>
      <c r="D711" t="s">
        <v>1001</v>
      </c>
      <c r="E711">
        <v>1992.11</v>
      </c>
      <c r="F711">
        <v>480</v>
      </c>
      <c r="G711">
        <v>42.93</v>
      </c>
      <c r="H711">
        <v>141.91999999999999</v>
      </c>
      <c r="I711">
        <v>37.03</v>
      </c>
      <c r="J711">
        <v>122.44</v>
      </c>
      <c r="K711">
        <v>182</v>
      </c>
      <c r="T711">
        <v>4</v>
      </c>
      <c r="U711">
        <v>2</v>
      </c>
      <c r="V711" t="s">
        <v>94</v>
      </c>
      <c r="W711">
        <v>141</v>
      </c>
      <c r="X711">
        <v>25</v>
      </c>
      <c r="Y711">
        <v>13</v>
      </c>
      <c r="Z711" t="s">
        <v>1002</v>
      </c>
      <c r="AA711" t="s">
        <v>1003</v>
      </c>
      <c r="AB711" t="s">
        <v>89</v>
      </c>
      <c r="AC711" t="s">
        <v>90</v>
      </c>
      <c r="AD711" t="s">
        <v>91</v>
      </c>
      <c r="AE711" t="s">
        <v>856</v>
      </c>
      <c r="AG711" t="s">
        <v>1004</v>
      </c>
      <c r="AH711">
        <v>0</v>
      </c>
      <c r="AI711">
        <v>186</v>
      </c>
      <c r="AJ711">
        <v>14</v>
      </c>
      <c r="AK711">
        <v>585</v>
      </c>
      <c r="AL711">
        <v>1.22</v>
      </c>
    </row>
    <row r="712" spans="1:38" x14ac:dyDescent="0.3">
      <c r="A712" t="s">
        <v>852</v>
      </c>
      <c r="B712">
        <v>1457</v>
      </c>
      <c r="C712">
        <v>3</v>
      </c>
      <c r="D712" t="s">
        <v>1001</v>
      </c>
      <c r="E712">
        <v>1992.11</v>
      </c>
      <c r="F712">
        <v>480</v>
      </c>
      <c r="G712">
        <v>47.38</v>
      </c>
      <c r="H712">
        <v>156.63</v>
      </c>
      <c r="I712">
        <v>40.71</v>
      </c>
      <c r="J712">
        <v>134.59</v>
      </c>
      <c r="K712">
        <v>100</v>
      </c>
      <c r="T712">
        <v>4</v>
      </c>
      <c r="U712">
        <v>2</v>
      </c>
      <c r="V712" t="s">
        <v>94</v>
      </c>
      <c r="W712">
        <v>156</v>
      </c>
      <c r="X712">
        <v>25</v>
      </c>
      <c r="Y712">
        <v>13</v>
      </c>
      <c r="Z712" t="s">
        <v>1002</v>
      </c>
      <c r="AA712" t="s">
        <v>1003</v>
      </c>
      <c r="AB712" t="s">
        <v>89</v>
      </c>
      <c r="AC712" t="s">
        <v>90</v>
      </c>
      <c r="AD712" t="s">
        <v>91</v>
      </c>
      <c r="AE712" t="s">
        <v>856</v>
      </c>
      <c r="AG712" t="s">
        <v>1004</v>
      </c>
      <c r="AH712">
        <v>0</v>
      </c>
      <c r="AI712">
        <v>186</v>
      </c>
      <c r="AJ712">
        <v>14</v>
      </c>
      <c r="AK712">
        <v>585</v>
      </c>
      <c r="AL712">
        <v>1.22</v>
      </c>
    </row>
    <row r="713" spans="1:38" x14ac:dyDescent="0.3">
      <c r="A713" t="s">
        <v>852</v>
      </c>
      <c r="B713">
        <v>1457</v>
      </c>
      <c r="C713">
        <v>4</v>
      </c>
      <c r="D713" t="s">
        <v>1001</v>
      </c>
      <c r="E713">
        <v>1992.11</v>
      </c>
      <c r="F713">
        <v>480</v>
      </c>
      <c r="G713">
        <v>52.62</v>
      </c>
      <c r="H713">
        <v>173.96</v>
      </c>
      <c r="I713">
        <v>45.98</v>
      </c>
      <c r="J713">
        <v>152.02000000000001</v>
      </c>
      <c r="K713">
        <v>10</v>
      </c>
      <c r="T713">
        <v>5</v>
      </c>
      <c r="U713">
        <v>2</v>
      </c>
      <c r="V713" t="s">
        <v>94</v>
      </c>
      <c r="W713" t="s">
        <v>207</v>
      </c>
      <c r="X713">
        <v>25</v>
      </c>
      <c r="Y713">
        <v>13</v>
      </c>
      <c r="Z713" t="s">
        <v>1002</v>
      </c>
      <c r="AA713" t="s">
        <v>1003</v>
      </c>
      <c r="AB713" t="s">
        <v>89</v>
      </c>
      <c r="AC713" t="s">
        <v>90</v>
      </c>
      <c r="AD713" t="s">
        <v>91</v>
      </c>
      <c r="AE713" t="s">
        <v>856</v>
      </c>
      <c r="AG713" t="s">
        <v>1004</v>
      </c>
      <c r="AH713">
        <v>0</v>
      </c>
      <c r="AI713">
        <v>186</v>
      </c>
      <c r="AJ713">
        <v>14</v>
      </c>
      <c r="AK713">
        <v>585</v>
      </c>
      <c r="AL713">
        <v>1.22</v>
      </c>
    </row>
    <row r="714" spans="1:38" x14ac:dyDescent="0.3">
      <c r="A714" t="s">
        <v>852</v>
      </c>
      <c r="B714">
        <v>1457</v>
      </c>
      <c r="C714">
        <v>5</v>
      </c>
      <c r="D714" t="s">
        <v>1001</v>
      </c>
      <c r="E714">
        <v>1992.11</v>
      </c>
      <c r="F714">
        <v>480</v>
      </c>
      <c r="G714">
        <v>53.3</v>
      </c>
      <c r="H714">
        <v>176.22</v>
      </c>
      <c r="I714">
        <v>46.27</v>
      </c>
      <c r="J714">
        <v>152.99</v>
      </c>
      <c r="K714">
        <v>50</v>
      </c>
      <c r="T714">
        <v>4</v>
      </c>
      <c r="U714">
        <v>2</v>
      </c>
      <c r="V714" t="s">
        <v>94</v>
      </c>
      <c r="W714" t="s">
        <v>1005</v>
      </c>
      <c r="X714">
        <v>25</v>
      </c>
      <c r="Y714">
        <v>13</v>
      </c>
      <c r="Z714" t="s">
        <v>1002</v>
      </c>
      <c r="AA714" t="s">
        <v>1003</v>
      </c>
      <c r="AB714" t="s">
        <v>89</v>
      </c>
      <c r="AC714" t="s">
        <v>90</v>
      </c>
      <c r="AD714" t="s">
        <v>91</v>
      </c>
      <c r="AE714" t="s">
        <v>856</v>
      </c>
      <c r="AG714" t="s">
        <v>1004</v>
      </c>
      <c r="AH714">
        <v>0</v>
      </c>
      <c r="AI714">
        <v>186</v>
      </c>
      <c r="AJ714">
        <v>14</v>
      </c>
      <c r="AK714">
        <v>585</v>
      </c>
      <c r="AL714">
        <v>1.22</v>
      </c>
    </row>
    <row r="715" spans="1:38" x14ac:dyDescent="0.3">
      <c r="A715" t="s">
        <v>852</v>
      </c>
      <c r="B715">
        <v>1457</v>
      </c>
      <c r="C715">
        <v>6</v>
      </c>
      <c r="D715" t="s">
        <v>1001</v>
      </c>
      <c r="E715">
        <v>1992.11</v>
      </c>
      <c r="F715">
        <v>480</v>
      </c>
      <c r="G715">
        <v>58.93</v>
      </c>
      <c r="H715">
        <v>194.82</v>
      </c>
      <c r="I715">
        <v>52.04</v>
      </c>
      <c r="J715">
        <v>172.06</v>
      </c>
      <c r="K715">
        <v>14</v>
      </c>
      <c r="T715">
        <v>3</v>
      </c>
      <c r="U715">
        <v>2</v>
      </c>
      <c r="V715" t="s">
        <v>94</v>
      </c>
      <c r="W715">
        <v>194</v>
      </c>
      <c r="X715">
        <v>25</v>
      </c>
      <c r="Y715">
        <v>13</v>
      </c>
      <c r="Z715" t="s">
        <v>1002</v>
      </c>
      <c r="AA715" t="s">
        <v>1003</v>
      </c>
      <c r="AB715" t="s">
        <v>89</v>
      </c>
      <c r="AC715" t="s">
        <v>90</v>
      </c>
      <c r="AD715" t="s">
        <v>91</v>
      </c>
      <c r="AE715" t="s">
        <v>856</v>
      </c>
      <c r="AG715" t="s">
        <v>1004</v>
      </c>
      <c r="AH715">
        <v>0</v>
      </c>
      <c r="AI715">
        <v>186</v>
      </c>
      <c r="AJ715">
        <v>14</v>
      </c>
      <c r="AK715">
        <v>585</v>
      </c>
      <c r="AL715">
        <v>1.22</v>
      </c>
    </row>
    <row r="716" spans="1:38" x14ac:dyDescent="0.3">
      <c r="A716" t="s">
        <v>852</v>
      </c>
      <c r="B716">
        <v>2046</v>
      </c>
      <c r="C716">
        <v>1</v>
      </c>
      <c r="D716" t="s">
        <v>1006</v>
      </c>
      <c r="E716">
        <v>1996.1</v>
      </c>
      <c r="F716">
        <v>261</v>
      </c>
      <c r="G716">
        <v>24.65</v>
      </c>
      <c r="H716">
        <v>81.52</v>
      </c>
      <c r="I716">
        <v>18.100000000000001</v>
      </c>
      <c r="J716">
        <v>59.85</v>
      </c>
      <c r="K716">
        <v>110</v>
      </c>
      <c r="T716">
        <v>2</v>
      </c>
      <c r="U716">
        <v>1</v>
      </c>
      <c r="V716" t="s">
        <v>94</v>
      </c>
      <c r="W716">
        <v>81</v>
      </c>
      <c r="X716">
        <v>22</v>
      </c>
      <c r="Y716">
        <v>11</v>
      </c>
      <c r="Z716" t="s">
        <v>1007</v>
      </c>
      <c r="AA716" t="s">
        <v>1008</v>
      </c>
      <c r="AB716" t="s">
        <v>89</v>
      </c>
      <c r="AC716" t="s">
        <v>90</v>
      </c>
      <c r="AD716" t="s">
        <v>91</v>
      </c>
      <c r="AE716" t="s">
        <v>856</v>
      </c>
      <c r="AG716" t="s">
        <v>1009</v>
      </c>
      <c r="AH716">
        <v>0</v>
      </c>
      <c r="AI716">
        <v>396</v>
      </c>
      <c r="AJ716">
        <v>27</v>
      </c>
      <c r="AK716">
        <v>190</v>
      </c>
      <c r="AL716">
        <v>0.73</v>
      </c>
    </row>
    <row r="717" spans="1:38" x14ac:dyDescent="0.3">
      <c r="A717" t="s">
        <v>852</v>
      </c>
      <c r="B717">
        <v>2046</v>
      </c>
      <c r="C717">
        <v>2</v>
      </c>
      <c r="D717" t="s">
        <v>1006</v>
      </c>
      <c r="E717">
        <v>1996.1</v>
      </c>
      <c r="F717">
        <v>261</v>
      </c>
      <c r="G717">
        <v>29.46</v>
      </c>
      <c r="H717">
        <v>97.41</v>
      </c>
      <c r="I717">
        <v>21.63</v>
      </c>
      <c r="J717">
        <v>71.52</v>
      </c>
      <c r="K717">
        <v>71</v>
      </c>
      <c r="T717">
        <v>3</v>
      </c>
      <c r="U717">
        <v>1</v>
      </c>
      <c r="V717" t="s">
        <v>94</v>
      </c>
      <c r="W717" t="s">
        <v>474</v>
      </c>
      <c r="X717">
        <v>22</v>
      </c>
      <c r="Y717">
        <v>11</v>
      </c>
      <c r="Z717" t="s">
        <v>1007</v>
      </c>
      <c r="AA717" t="s">
        <v>1008</v>
      </c>
      <c r="AB717" t="s">
        <v>89</v>
      </c>
      <c r="AC717" t="s">
        <v>90</v>
      </c>
      <c r="AD717" t="s">
        <v>91</v>
      </c>
      <c r="AE717" t="s">
        <v>856</v>
      </c>
      <c r="AG717" t="s">
        <v>1009</v>
      </c>
      <c r="AH717">
        <v>0</v>
      </c>
      <c r="AI717">
        <v>396</v>
      </c>
      <c r="AJ717">
        <v>27</v>
      </c>
      <c r="AK717">
        <v>190</v>
      </c>
      <c r="AL717">
        <v>0.73</v>
      </c>
    </row>
    <row r="718" spans="1:38" x14ac:dyDescent="0.3">
      <c r="A718" t="s">
        <v>852</v>
      </c>
      <c r="B718">
        <v>2046</v>
      </c>
      <c r="C718">
        <v>3</v>
      </c>
      <c r="D718" t="s">
        <v>1006</v>
      </c>
      <c r="E718">
        <v>1996.1</v>
      </c>
      <c r="F718">
        <v>261</v>
      </c>
      <c r="G718">
        <v>29.53</v>
      </c>
      <c r="H718">
        <v>97.65</v>
      </c>
      <c r="I718">
        <v>21.68</v>
      </c>
      <c r="J718">
        <v>71.7</v>
      </c>
      <c r="K718">
        <v>20</v>
      </c>
      <c r="T718">
        <v>3</v>
      </c>
      <c r="U718">
        <v>1</v>
      </c>
      <c r="V718" t="s">
        <v>94</v>
      </c>
      <c r="W718" t="s">
        <v>110</v>
      </c>
      <c r="X718">
        <v>22</v>
      </c>
      <c r="Y718">
        <v>11</v>
      </c>
      <c r="Z718" t="s">
        <v>1007</v>
      </c>
      <c r="AA718" t="s">
        <v>1008</v>
      </c>
      <c r="AB718" t="s">
        <v>89</v>
      </c>
      <c r="AC718" t="s">
        <v>90</v>
      </c>
      <c r="AD718" t="s">
        <v>91</v>
      </c>
      <c r="AE718" t="s">
        <v>856</v>
      </c>
      <c r="AG718" t="s">
        <v>1009</v>
      </c>
      <c r="AH718">
        <v>0</v>
      </c>
      <c r="AI718">
        <v>396</v>
      </c>
      <c r="AJ718">
        <v>27</v>
      </c>
      <c r="AK718">
        <v>190</v>
      </c>
      <c r="AL718">
        <v>0.73</v>
      </c>
    </row>
    <row r="719" spans="1:38" x14ac:dyDescent="0.3">
      <c r="A719" t="s">
        <v>852</v>
      </c>
      <c r="B719">
        <v>2046</v>
      </c>
      <c r="C719">
        <v>4</v>
      </c>
      <c r="D719" t="s">
        <v>1006</v>
      </c>
      <c r="E719">
        <v>1996.1</v>
      </c>
      <c r="F719">
        <v>261</v>
      </c>
      <c r="G719">
        <v>35</v>
      </c>
      <c r="H719">
        <v>115.72</v>
      </c>
      <c r="I719">
        <v>25.7</v>
      </c>
      <c r="J719">
        <v>84.96</v>
      </c>
      <c r="K719">
        <v>60</v>
      </c>
      <c r="T719">
        <v>3</v>
      </c>
      <c r="U719">
        <v>2</v>
      </c>
      <c r="V719" t="s">
        <v>94</v>
      </c>
      <c r="W719">
        <v>115</v>
      </c>
      <c r="X719">
        <v>22</v>
      </c>
      <c r="Y719">
        <v>11</v>
      </c>
      <c r="Z719" t="s">
        <v>1007</v>
      </c>
      <c r="AA719" t="s">
        <v>1008</v>
      </c>
      <c r="AB719" t="s">
        <v>89</v>
      </c>
      <c r="AC719" t="s">
        <v>90</v>
      </c>
      <c r="AD719" t="s">
        <v>91</v>
      </c>
      <c r="AE719" t="s">
        <v>856</v>
      </c>
      <c r="AG719" t="s">
        <v>1009</v>
      </c>
      <c r="AH719">
        <v>0</v>
      </c>
      <c r="AI719">
        <v>396</v>
      </c>
      <c r="AJ719">
        <v>27</v>
      </c>
      <c r="AK719">
        <v>190</v>
      </c>
      <c r="AL719">
        <v>0.73</v>
      </c>
    </row>
    <row r="720" spans="1:38" x14ac:dyDescent="0.3">
      <c r="A720" t="s">
        <v>852</v>
      </c>
      <c r="B720">
        <v>10509</v>
      </c>
      <c r="C720">
        <v>1</v>
      </c>
      <c r="D720" t="s">
        <v>1010</v>
      </c>
      <c r="E720">
        <v>2004.12</v>
      </c>
      <c r="F720">
        <v>361</v>
      </c>
      <c r="G720">
        <v>24.28</v>
      </c>
      <c r="H720">
        <v>80.290000000000006</v>
      </c>
      <c r="I720">
        <v>18.09</v>
      </c>
      <c r="J720">
        <v>59.83</v>
      </c>
      <c r="K720">
        <v>100</v>
      </c>
      <c r="T720">
        <v>3</v>
      </c>
      <c r="U720">
        <v>1</v>
      </c>
      <c r="V720" t="s">
        <v>94</v>
      </c>
      <c r="W720">
        <v>80</v>
      </c>
      <c r="X720">
        <v>22</v>
      </c>
      <c r="Y720">
        <v>7</v>
      </c>
      <c r="Z720" t="s">
        <v>1011</v>
      </c>
      <c r="AA720" t="s">
        <v>1012</v>
      </c>
      <c r="AB720" t="s">
        <v>89</v>
      </c>
      <c r="AC720" t="s">
        <v>90</v>
      </c>
      <c r="AD720" t="s">
        <v>91</v>
      </c>
      <c r="AE720" t="s">
        <v>856</v>
      </c>
      <c r="AG720" t="s">
        <v>1013</v>
      </c>
      <c r="AH720">
        <v>0</v>
      </c>
      <c r="AI720">
        <v>303</v>
      </c>
      <c r="AJ720">
        <v>21</v>
      </c>
      <c r="AK720">
        <v>365</v>
      </c>
      <c r="AL720">
        <v>1.01</v>
      </c>
    </row>
    <row r="721" spans="1:38" x14ac:dyDescent="0.3">
      <c r="A721" t="s">
        <v>852</v>
      </c>
      <c r="B721">
        <v>10509</v>
      </c>
      <c r="C721">
        <v>2</v>
      </c>
      <c r="D721" t="s">
        <v>1010</v>
      </c>
      <c r="E721">
        <v>2004.12</v>
      </c>
      <c r="F721">
        <v>361</v>
      </c>
      <c r="G721">
        <v>28.8</v>
      </c>
      <c r="H721">
        <v>95.21</v>
      </c>
      <c r="I721">
        <v>22.69</v>
      </c>
      <c r="J721">
        <v>75.03</v>
      </c>
      <c r="K721">
        <v>42</v>
      </c>
      <c r="T721">
        <v>3</v>
      </c>
      <c r="U721">
        <v>2</v>
      </c>
      <c r="V721" t="s">
        <v>94</v>
      </c>
      <c r="W721">
        <v>95</v>
      </c>
      <c r="X721">
        <v>22</v>
      </c>
      <c r="Y721">
        <v>7</v>
      </c>
      <c r="Z721" t="s">
        <v>1011</v>
      </c>
      <c r="AA721" t="s">
        <v>1012</v>
      </c>
      <c r="AB721" t="s">
        <v>89</v>
      </c>
      <c r="AC721" t="s">
        <v>90</v>
      </c>
      <c r="AD721" t="s">
        <v>91</v>
      </c>
      <c r="AE721" t="s">
        <v>856</v>
      </c>
      <c r="AG721" t="s">
        <v>1013</v>
      </c>
      <c r="AH721">
        <v>0</v>
      </c>
      <c r="AI721">
        <v>303</v>
      </c>
      <c r="AJ721">
        <v>21</v>
      </c>
      <c r="AK721">
        <v>365</v>
      </c>
      <c r="AL721">
        <v>1.01</v>
      </c>
    </row>
    <row r="722" spans="1:38" x14ac:dyDescent="0.3">
      <c r="A722" t="s">
        <v>852</v>
      </c>
      <c r="B722">
        <v>10509</v>
      </c>
      <c r="C722">
        <v>3</v>
      </c>
      <c r="D722" t="s">
        <v>1010</v>
      </c>
      <c r="E722">
        <v>2004.12</v>
      </c>
      <c r="F722">
        <v>361</v>
      </c>
      <c r="G722">
        <v>32.159999999999997</v>
      </c>
      <c r="H722">
        <v>106.34</v>
      </c>
      <c r="I722">
        <v>25.68</v>
      </c>
      <c r="J722">
        <v>84.92</v>
      </c>
      <c r="K722">
        <v>142</v>
      </c>
      <c r="T722">
        <v>3</v>
      </c>
      <c r="U722">
        <v>2</v>
      </c>
      <c r="V722" t="s">
        <v>94</v>
      </c>
      <c r="W722" t="s">
        <v>1014</v>
      </c>
      <c r="X722">
        <v>22</v>
      </c>
      <c r="Y722">
        <v>7</v>
      </c>
      <c r="Z722" t="s">
        <v>1011</v>
      </c>
      <c r="AA722" t="s">
        <v>1012</v>
      </c>
      <c r="AB722" t="s">
        <v>89</v>
      </c>
      <c r="AC722" t="s">
        <v>90</v>
      </c>
      <c r="AD722" t="s">
        <v>91</v>
      </c>
      <c r="AE722" t="s">
        <v>856</v>
      </c>
      <c r="AG722" t="s">
        <v>1013</v>
      </c>
      <c r="AH722">
        <v>0</v>
      </c>
      <c r="AI722">
        <v>303</v>
      </c>
      <c r="AJ722">
        <v>21</v>
      </c>
      <c r="AK722">
        <v>365</v>
      </c>
      <c r="AL722">
        <v>1.01</v>
      </c>
    </row>
    <row r="723" spans="1:38" x14ac:dyDescent="0.3">
      <c r="A723" t="s">
        <v>852</v>
      </c>
      <c r="B723">
        <v>10509</v>
      </c>
      <c r="C723">
        <v>4</v>
      </c>
      <c r="D723" t="s">
        <v>1010</v>
      </c>
      <c r="E723">
        <v>2004.12</v>
      </c>
      <c r="F723">
        <v>361</v>
      </c>
      <c r="G723">
        <v>32.270000000000003</v>
      </c>
      <c r="H723">
        <v>106.71</v>
      </c>
      <c r="I723">
        <v>25.7</v>
      </c>
      <c r="J723">
        <v>84.98</v>
      </c>
      <c r="K723">
        <v>43</v>
      </c>
      <c r="T723">
        <v>3</v>
      </c>
      <c r="U723">
        <v>2</v>
      </c>
      <c r="V723" t="s">
        <v>94</v>
      </c>
      <c r="W723" t="s">
        <v>291</v>
      </c>
      <c r="X723">
        <v>22</v>
      </c>
      <c r="Y723">
        <v>7</v>
      </c>
      <c r="Z723" t="s">
        <v>1011</v>
      </c>
      <c r="AA723" t="s">
        <v>1012</v>
      </c>
      <c r="AB723" t="s">
        <v>89</v>
      </c>
      <c r="AC723" t="s">
        <v>90</v>
      </c>
      <c r="AD723" t="s">
        <v>91</v>
      </c>
      <c r="AE723" t="s">
        <v>856</v>
      </c>
      <c r="AG723" t="s">
        <v>1013</v>
      </c>
      <c r="AH723">
        <v>0</v>
      </c>
      <c r="AI723">
        <v>303</v>
      </c>
      <c r="AJ723">
        <v>21</v>
      </c>
      <c r="AK723">
        <v>365</v>
      </c>
      <c r="AL723">
        <v>1.01</v>
      </c>
    </row>
    <row r="724" spans="1:38" x14ac:dyDescent="0.3">
      <c r="A724" t="s">
        <v>852</v>
      </c>
      <c r="B724">
        <v>10509</v>
      </c>
      <c r="C724">
        <v>5</v>
      </c>
      <c r="D724" t="s">
        <v>1010</v>
      </c>
      <c r="E724">
        <v>2004.12</v>
      </c>
      <c r="F724">
        <v>361</v>
      </c>
      <c r="G724">
        <v>32.270000000000003</v>
      </c>
      <c r="H724">
        <v>106.68</v>
      </c>
      <c r="I724">
        <v>25.48</v>
      </c>
      <c r="J724">
        <v>84.26</v>
      </c>
      <c r="K724">
        <v>20</v>
      </c>
      <c r="T724">
        <v>3</v>
      </c>
      <c r="U724">
        <v>2</v>
      </c>
      <c r="V724" t="s">
        <v>94</v>
      </c>
      <c r="W724" t="s">
        <v>488</v>
      </c>
      <c r="X724">
        <v>22</v>
      </c>
      <c r="Y724">
        <v>7</v>
      </c>
      <c r="Z724" t="s">
        <v>1011</v>
      </c>
      <c r="AA724" t="s">
        <v>1012</v>
      </c>
      <c r="AB724" t="s">
        <v>89</v>
      </c>
      <c r="AC724" t="s">
        <v>90</v>
      </c>
      <c r="AD724" t="s">
        <v>91</v>
      </c>
      <c r="AE724" t="s">
        <v>856</v>
      </c>
      <c r="AG724" t="s">
        <v>1013</v>
      </c>
      <c r="AH724">
        <v>0</v>
      </c>
      <c r="AI724">
        <v>303</v>
      </c>
      <c r="AJ724">
        <v>21</v>
      </c>
      <c r="AK724">
        <v>365</v>
      </c>
      <c r="AL724">
        <v>1.01</v>
      </c>
    </row>
    <row r="725" spans="1:38" x14ac:dyDescent="0.3">
      <c r="A725" t="s">
        <v>852</v>
      </c>
      <c r="B725">
        <v>10509</v>
      </c>
      <c r="C725">
        <v>6</v>
      </c>
      <c r="D725" t="s">
        <v>1010</v>
      </c>
      <c r="E725">
        <v>2004.12</v>
      </c>
      <c r="F725">
        <v>361</v>
      </c>
      <c r="G725">
        <v>38.75</v>
      </c>
      <c r="H725">
        <v>128.13</v>
      </c>
      <c r="I725">
        <v>31.27</v>
      </c>
      <c r="J725">
        <v>103.38</v>
      </c>
      <c r="K725">
        <v>14</v>
      </c>
      <c r="T725">
        <v>3</v>
      </c>
      <c r="U725">
        <v>2</v>
      </c>
      <c r="V725" t="s">
        <v>94</v>
      </c>
      <c r="W725">
        <v>128</v>
      </c>
      <c r="X725">
        <v>22</v>
      </c>
      <c r="Y725">
        <v>7</v>
      </c>
      <c r="Z725" t="s">
        <v>1011</v>
      </c>
      <c r="AA725" t="s">
        <v>1012</v>
      </c>
      <c r="AB725" t="s">
        <v>89</v>
      </c>
      <c r="AC725" t="s">
        <v>90</v>
      </c>
      <c r="AD725" t="s">
        <v>91</v>
      </c>
      <c r="AE725" t="s">
        <v>856</v>
      </c>
      <c r="AG725" t="s">
        <v>1013</v>
      </c>
      <c r="AH725">
        <v>0</v>
      </c>
      <c r="AI725">
        <v>303</v>
      </c>
      <c r="AJ725">
        <v>21</v>
      </c>
      <c r="AK725">
        <v>365</v>
      </c>
      <c r="AL725">
        <v>1.01</v>
      </c>
    </row>
    <row r="726" spans="1:38" x14ac:dyDescent="0.3">
      <c r="A726" t="s">
        <v>852</v>
      </c>
      <c r="B726">
        <v>101236</v>
      </c>
      <c r="C726">
        <v>1</v>
      </c>
      <c r="D726" t="s">
        <v>1015</v>
      </c>
      <c r="E726">
        <v>2004.08</v>
      </c>
      <c r="F726">
        <v>15</v>
      </c>
      <c r="G726">
        <v>21.91</v>
      </c>
      <c r="H726">
        <v>72.45</v>
      </c>
      <c r="I726">
        <v>18.829999999999998</v>
      </c>
      <c r="J726">
        <v>62.26</v>
      </c>
      <c r="K726">
        <v>5</v>
      </c>
      <c r="T726">
        <v>2</v>
      </c>
      <c r="U726">
        <v>2</v>
      </c>
      <c r="V726" t="s">
        <v>94</v>
      </c>
      <c r="W726">
        <v>72</v>
      </c>
      <c r="X726">
        <v>6</v>
      </c>
      <c r="Y726">
        <v>6</v>
      </c>
      <c r="Z726" t="s">
        <v>1016</v>
      </c>
      <c r="AA726" t="s">
        <v>1017</v>
      </c>
      <c r="AB726" t="s">
        <v>89</v>
      </c>
      <c r="AC726" t="s">
        <v>90</v>
      </c>
      <c r="AD726" t="s">
        <v>91</v>
      </c>
      <c r="AE726" t="s">
        <v>856</v>
      </c>
      <c r="AG726" t="s">
        <v>1018</v>
      </c>
      <c r="AH726">
        <v>0</v>
      </c>
      <c r="AI726">
        <v>316</v>
      </c>
      <c r="AJ726">
        <v>71</v>
      </c>
      <c r="AK726">
        <v>16</v>
      </c>
      <c r="AL726">
        <v>1.07</v>
      </c>
    </row>
    <row r="727" spans="1:38" x14ac:dyDescent="0.3">
      <c r="A727" t="s">
        <v>852</v>
      </c>
      <c r="B727">
        <v>101236</v>
      </c>
      <c r="C727">
        <v>2</v>
      </c>
      <c r="D727" t="s">
        <v>1015</v>
      </c>
      <c r="E727">
        <v>2004.08</v>
      </c>
      <c r="F727">
        <v>15</v>
      </c>
      <c r="G727">
        <v>23.75</v>
      </c>
      <c r="H727">
        <v>78.540000000000006</v>
      </c>
      <c r="I727">
        <v>20.41</v>
      </c>
      <c r="J727">
        <v>67.5</v>
      </c>
      <c r="K727">
        <v>1</v>
      </c>
      <c r="T727">
        <v>3</v>
      </c>
      <c r="U727">
        <v>2</v>
      </c>
      <c r="V727" t="s">
        <v>94</v>
      </c>
      <c r="W727">
        <v>78</v>
      </c>
      <c r="X727">
        <v>6</v>
      </c>
      <c r="Y727">
        <v>6</v>
      </c>
      <c r="Z727" t="s">
        <v>1016</v>
      </c>
      <c r="AA727" t="s">
        <v>1017</v>
      </c>
      <c r="AB727" t="s">
        <v>89</v>
      </c>
      <c r="AC727" t="s">
        <v>90</v>
      </c>
      <c r="AD727" t="s">
        <v>91</v>
      </c>
      <c r="AE727" t="s">
        <v>856</v>
      </c>
      <c r="AG727" t="s">
        <v>1018</v>
      </c>
      <c r="AH727">
        <v>0</v>
      </c>
      <c r="AI727">
        <v>316</v>
      </c>
      <c r="AJ727">
        <v>71</v>
      </c>
      <c r="AK727">
        <v>16</v>
      </c>
      <c r="AL727">
        <v>1.07</v>
      </c>
    </row>
    <row r="728" spans="1:38" x14ac:dyDescent="0.3">
      <c r="A728" t="s">
        <v>852</v>
      </c>
      <c r="B728">
        <v>101236</v>
      </c>
      <c r="C728">
        <v>3</v>
      </c>
      <c r="D728" t="s">
        <v>1015</v>
      </c>
      <c r="E728">
        <v>2004.08</v>
      </c>
      <c r="F728">
        <v>15</v>
      </c>
      <c r="G728">
        <v>29.88</v>
      </c>
      <c r="H728">
        <v>98.78</v>
      </c>
      <c r="I728">
        <v>25.67</v>
      </c>
      <c r="J728">
        <v>84.89</v>
      </c>
      <c r="K728">
        <v>9</v>
      </c>
      <c r="T728">
        <v>3</v>
      </c>
      <c r="U728">
        <v>2</v>
      </c>
      <c r="V728" t="s">
        <v>94</v>
      </c>
      <c r="W728">
        <v>98</v>
      </c>
      <c r="X728">
        <v>6</v>
      </c>
      <c r="Y728">
        <v>6</v>
      </c>
      <c r="Z728" t="s">
        <v>1016</v>
      </c>
      <c r="AA728" t="s">
        <v>1017</v>
      </c>
      <c r="AB728" t="s">
        <v>89</v>
      </c>
      <c r="AC728" t="s">
        <v>90</v>
      </c>
      <c r="AD728" t="s">
        <v>91</v>
      </c>
      <c r="AE728" t="s">
        <v>856</v>
      </c>
      <c r="AG728" t="s">
        <v>1018</v>
      </c>
      <c r="AH728">
        <v>0</v>
      </c>
      <c r="AI728">
        <v>316</v>
      </c>
      <c r="AJ728">
        <v>71</v>
      </c>
      <c r="AK728">
        <v>16</v>
      </c>
      <c r="AL728">
        <v>1.07</v>
      </c>
    </row>
    <row r="729" spans="1:38" x14ac:dyDescent="0.3">
      <c r="A729" t="s">
        <v>852</v>
      </c>
      <c r="B729">
        <v>8606</v>
      </c>
      <c r="C729">
        <v>1</v>
      </c>
      <c r="D729" t="s">
        <v>1019</v>
      </c>
      <c r="E729">
        <v>1984.03</v>
      </c>
      <c r="F729">
        <v>102</v>
      </c>
      <c r="G729">
        <v>22</v>
      </c>
      <c r="H729">
        <v>72.73</v>
      </c>
      <c r="I729">
        <v>16</v>
      </c>
      <c r="J729">
        <v>52.92</v>
      </c>
      <c r="K729">
        <v>102</v>
      </c>
      <c r="T729">
        <v>3</v>
      </c>
      <c r="U729">
        <v>1</v>
      </c>
      <c r="V729" t="s">
        <v>94</v>
      </c>
      <c r="W729">
        <v>72</v>
      </c>
      <c r="X729">
        <v>6</v>
      </c>
      <c r="Y729">
        <v>6</v>
      </c>
      <c r="Z729" t="s">
        <v>1020</v>
      </c>
      <c r="AA729" t="s">
        <v>1021</v>
      </c>
      <c r="AB729" t="s">
        <v>89</v>
      </c>
      <c r="AC729" t="s">
        <v>90</v>
      </c>
      <c r="AD729" t="s">
        <v>91</v>
      </c>
      <c r="AE729" t="s">
        <v>856</v>
      </c>
      <c r="AG729" t="s">
        <v>1022</v>
      </c>
      <c r="AH729">
        <v>0</v>
      </c>
      <c r="AI729">
        <v>0</v>
      </c>
      <c r="AJ729">
        <v>0</v>
      </c>
      <c r="AK729">
        <v>102</v>
      </c>
      <c r="AL729">
        <v>1</v>
      </c>
    </row>
    <row r="730" spans="1:38" x14ac:dyDescent="0.3">
      <c r="A730" t="s">
        <v>852</v>
      </c>
      <c r="B730">
        <v>14304</v>
      </c>
      <c r="C730">
        <v>1</v>
      </c>
      <c r="D730" t="s">
        <v>1023</v>
      </c>
      <c r="E730">
        <v>1978.12</v>
      </c>
      <c r="F730">
        <v>29</v>
      </c>
      <c r="G730">
        <v>17.989999999999998</v>
      </c>
      <c r="H730">
        <v>59.5</v>
      </c>
      <c r="I730">
        <v>15.23</v>
      </c>
      <c r="J730">
        <v>50.38</v>
      </c>
      <c r="K730">
        <v>29</v>
      </c>
      <c r="T730">
        <v>3</v>
      </c>
      <c r="U730">
        <v>1</v>
      </c>
      <c r="V730" t="s">
        <v>94</v>
      </c>
      <c r="W730">
        <v>59</v>
      </c>
      <c r="X730">
        <v>3</v>
      </c>
      <c r="Y730">
        <v>3</v>
      </c>
      <c r="Z730" t="s">
        <v>1024</v>
      </c>
      <c r="AA730" t="s">
        <v>1025</v>
      </c>
      <c r="AB730" t="s">
        <v>89</v>
      </c>
      <c r="AC730" t="s">
        <v>90</v>
      </c>
      <c r="AD730" t="s">
        <v>91</v>
      </c>
      <c r="AE730" t="s">
        <v>856</v>
      </c>
      <c r="AG730" t="s">
        <v>1026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38" x14ac:dyDescent="0.3">
      <c r="A731" t="s">
        <v>852</v>
      </c>
      <c r="B731">
        <v>8918</v>
      </c>
      <c r="C731">
        <v>1</v>
      </c>
      <c r="D731" t="s">
        <v>1027</v>
      </c>
      <c r="E731">
        <v>1985.12</v>
      </c>
      <c r="F731">
        <v>90</v>
      </c>
      <c r="G731">
        <v>21.61</v>
      </c>
      <c r="H731">
        <v>71.44</v>
      </c>
      <c r="I731">
        <v>16.809999999999999</v>
      </c>
      <c r="J731">
        <v>55.6</v>
      </c>
      <c r="K731">
        <v>80</v>
      </c>
      <c r="T731">
        <v>2</v>
      </c>
      <c r="U731">
        <v>1</v>
      </c>
      <c r="V731" t="s">
        <v>94</v>
      </c>
      <c r="W731">
        <v>71</v>
      </c>
      <c r="X731">
        <v>5</v>
      </c>
      <c r="Y731">
        <v>5</v>
      </c>
      <c r="Z731" t="s">
        <v>1028</v>
      </c>
      <c r="AA731" t="s">
        <v>1029</v>
      </c>
      <c r="AB731" t="s">
        <v>89</v>
      </c>
      <c r="AC731" t="s">
        <v>90</v>
      </c>
      <c r="AD731" t="s">
        <v>91</v>
      </c>
      <c r="AE731" t="s">
        <v>856</v>
      </c>
      <c r="AG731" t="s">
        <v>1030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38" x14ac:dyDescent="0.3">
      <c r="A732" t="s">
        <v>852</v>
      </c>
      <c r="B732">
        <v>8918</v>
      </c>
      <c r="C732">
        <v>2</v>
      </c>
      <c r="D732" t="s">
        <v>1027</v>
      </c>
      <c r="E732">
        <v>1985.12</v>
      </c>
      <c r="F732">
        <v>90</v>
      </c>
      <c r="G732">
        <v>21.61</v>
      </c>
      <c r="H732">
        <v>71.44</v>
      </c>
      <c r="I732">
        <v>16.71</v>
      </c>
      <c r="J732">
        <v>55.24</v>
      </c>
      <c r="K732">
        <v>10</v>
      </c>
      <c r="T732">
        <v>2</v>
      </c>
      <c r="U732">
        <v>1</v>
      </c>
      <c r="V732" t="s">
        <v>86</v>
      </c>
      <c r="W732">
        <v>71</v>
      </c>
      <c r="X732">
        <v>5</v>
      </c>
      <c r="Y732">
        <v>5</v>
      </c>
      <c r="Z732" t="s">
        <v>1028</v>
      </c>
      <c r="AA732" t="s">
        <v>1029</v>
      </c>
      <c r="AB732" t="s">
        <v>89</v>
      </c>
      <c r="AC732" t="s">
        <v>90</v>
      </c>
      <c r="AD732" t="s">
        <v>91</v>
      </c>
      <c r="AE732" t="s">
        <v>856</v>
      </c>
      <c r="AG732" t="s">
        <v>1030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38" x14ac:dyDescent="0.3">
      <c r="A733" t="s">
        <v>852</v>
      </c>
      <c r="B733">
        <v>10795</v>
      </c>
      <c r="C733">
        <v>1</v>
      </c>
      <c r="D733" t="s">
        <v>1031</v>
      </c>
      <c r="E733">
        <v>2004.03</v>
      </c>
      <c r="F733">
        <v>96</v>
      </c>
      <c r="G733">
        <v>17.170000000000002</v>
      </c>
      <c r="H733">
        <v>56.78</v>
      </c>
      <c r="I733">
        <v>12.93</v>
      </c>
      <c r="J733">
        <v>42.76</v>
      </c>
      <c r="K733">
        <v>1</v>
      </c>
      <c r="T733">
        <v>2</v>
      </c>
      <c r="U733">
        <v>1</v>
      </c>
      <c r="V733" t="s">
        <v>94</v>
      </c>
      <c r="W733">
        <v>56</v>
      </c>
      <c r="X733">
        <v>12</v>
      </c>
      <c r="Y733">
        <v>12</v>
      </c>
      <c r="Z733" t="s">
        <v>1032</v>
      </c>
      <c r="AA733" t="s">
        <v>1033</v>
      </c>
      <c r="AB733" t="s">
        <v>89</v>
      </c>
      <c r="AC733" t="s">
        <v>90</v>
      </c>
      <c r="AD733" t="s">
        <v>91</v>
      </c>
      <c r="AE733" t="s">
        <v>856</v>
      </c>
      <c r="AG733" t="s">
        <v>438</v>
      </c>
      <c r="AH733">
        <v>0</v>
      </c>
      <c r="AI733">
        <v>316</v>
      </c>
      <c r="AJ733">
        <v>32</v>
      </c>
      <c r="AK733">
        <v>96</v>
      </c>
      <c r="AL733">
        <v>1</v>
      </c>
    </row>
    <row r="734" spans="1:38" x14ac:dyDescent="0.3">
      <c r="A734" t="s">
        <v>852</v>
      </c>
      <c r="B734">
        <v>10795</v>
      </c>
      <c r="C734">
        <v>2</v>
      </c>
      <c r="D734" t="s">
        <v>1031</v>
      </c>
      <c r="E734">
        <v>2004.03</v>
      </c>
      <c r="F734">
        <v>96</v>
      </c>
      <c r="G734">
        <v>21.37</v>
      </c>
      <c r="H734">
        <v>70.66</v>
      </c>
      <c r="I734">
        <v>16.22</v>
      </c>
      <c r="J734">
        <v>53.63</v>
      </c>
      <c r="K734">
        <v>1</v>
      </c>
      <c r="T734">
        <v>2</v>
      </c>
      <c r="U734">
        <v>1</v>
      </c>
      <c r="V734" t="s">
        <v>94</v>
      </c>
      <c r="W734">
        <v>70</v>
      </c>
      <c r="X734">
        <v>12</v>
      </c>
      <c r="Y734">
        <v>12</v>
      </c>
      <c r="Z734" t="s">
        <v>1032</v>
      </c>
      <c r="AA734" t="s">
        <v>1033</v>
      </c>
      <c r="AB734" t="s">
        <v>89</v>
      </c>
      <c r="AC734" t="s">
        <v>90</v>
      </c>
      <c r="AD734" t="s">
        <v>91</v>
      </c>
      <c r="AE734" t="s">
        <v>856</v>
      </c>
      <c r="AG734" t="s">
        <v>438</v>
      </c>
      <c r="AH734">
        <v>0</v>
      </c>
      <c r="AI734">
        <v>316</v>
      </c>
      <c r="AJ734">
        <v>32</v>
      </c>
      <c r="AK734">
        <v>96</v>
      </c>
      <c r="AL734">
        <v>1</v>
      </c>
    </row>
    <row r="735" spans="1:38" x14ac:dyDescent="0.3">
      <c r="A735" t="s">
        <v>852</v>
      </c>
      <c r="B735">
        <v>10795</v>
      </c>
      <c r="C735">
        <v>3</v>
      </c>
      <c r="D735" t="s">
        <v>1031</v>
      </c>
      <c r="E735">
        <v>2004.03</v>
      </c>
      <c r="F735">
        <v>96</v>
      </c>
      <c r="G735">
        <v>22.43</v>
      </c>
      <c r="H735">
        <v>74.17</v>
      </c>
      <c r="I735">
        <v>16.89</v>
      </c>
      <c r="J735">
        <v>55.85</v>
      </c>
      <c r="K735">
        <v>1</v>
      </c>
      <c r="T735">
        <v>3</v>
      </c>
      <c r="U735">
        <v>1</v>
      </c>
      <c r="V735" t="s">
        <v>94</v>
      </c>
      <c r="W735">
        <v>74</v>
      </c>
      <c r="X735">
        <v>12</v>
      </c>
      <c r="Y735">
        <v>12</v>
      </c>
      <c r="Z735" t="s">
        <v>1032</v>
      </c>
      <c r="AA735" t="s">
        <v>1033</v>
      </c>
      <c r="AB735" t="s">
        <v>89</v>
      </c>
      <c r="AC735" t="s">
        <v>90</v>
      </c>
      <c r="AD735" t="s">
        <v>91</v>
      </c>
      <c r="AE735" t="s">
        <v>856</v>
      </c>
      <c r="AG735" t="s">
        <v>438</v>
      </c>
      <c r="AH735">
        <v>0</v>
      </c>
      <c r="AI735">
        <v>316</v>
      </c>
      <c r="AJ735">
        <v>32</v>
      </c>
      <c r="AK735">
        <v>96</v>
      </c>
      <c r="AL735">
        <v>1</v>
      </c>
    </row>
    <row r="736" spans="1:38" x14ac:dyDescent="0.3">
      <c r="A736" t="s">
        <v>852</v>
      </c>
      <c r="B736">
        <v>10795</v>
      </c>
      <c r="C736">
        <v>4</v>
      </c>
      <c r="D736" t="s">
        <v>1031</v>
      </c>
      <c r="E736">
        <v>2004.03</v>
      </c>
      <c r="F736">
        <v>96</v>
      </c>
      <c r="G736">
        <v>25.5</v>
      </c>
      <c r="H736">
        <v>84.3</v>
      </c>
      <c r="I736">
        <v>19.489999999999998</v>
      </c>
      <c r="J736">
        <v>64.45</v>
      </c>
      <c r="K736">
        <v>1</v>
      </c>
      <c r="T736">
        <v>3</v>
      </c>
      <c r="U736">
        <v>2</v>
      </c>
      <c r="V736" t="s">
        <v>94</v>
      </c>
      <c r="W736" t="s">
        <v>445</v>
      </c>
      <c r="X736">
        <v>12</v>
      </c>
      <c r="Y736">
        <v>12</v>
      </c>
      <c r="Z736" t="s">
        <v>1032</v>
      </c>
      <c r="AA736" t="s">
        <v>1033</v>
      </c>
      <c r="AB736" t="s">
        <v>89</v>
      </c>
      <c r="AC736" t="s">
        <v>90</v>
      </c>
      <c r="AD736" t="s">
        <v>91</v>
      </c>
      <c r="AE736" t="s">
        <v>856</v>
      </c>
      <c r="AG736" t="s">
        <v>438</v>
      </c>
      <c r="AH736">
        <v>0</v>
      </c>
      <c r="AI736">
        <v>316</v>
      </c>
      <c r="AJ736">
        <v>32</v>
      </c>
      <c r="AK736">
        <v>96</v>
      </c>
      <c r="AL736">
        <v>1</v>
      </c>
    </row>
    <row r="737" spans="1:38" x14ac:dyDescent="0.3">
      <c r="A737" t="s">
        <v>852</v>
      </c>
      <c r="B737">
        <v>10795</v>
      </c>
      <c r="C737">
        <v>5</v>
      </c>
      <c r="D737" t="s">
        <v>1031</v>
      </c>
      <c r="E737">
        <v>2004.03</v>
      </c>
      <c r="F737">
        <v>96</v>
      </c>
      <c r="G737">
        <v>25.79</v>
      </c>
      <c r="H737">
        <v>85.27</v>
      </c>
      <c r="I737">
        <v>19.41</v>
      </c>
      <c r="J737">
        <v>64.19</v>
      </c>
      <c r="K737">
        <v>1</v>
      </c>
      <c r="T737">
        <v>3</v>
      </c>
      <c r="U737">
        <v>1</v>
      </c>
      <c r="V737" t="s">
        <v>94</v>
      </c>
      <c r="W737" t="s">
        <v>628</v>
      </c>
      <c r="X737">
        <v>12</v>
      </c>
      <c r="Y737">
        <v>12</v>
      </c>
      <c r="Z737" t="s">
        <v>1032</v>
      </c>
      <c r="AA737" t="s">
        <v>1033</v>
      </c>
      <c r="AB737" t="s">
        <v>89</v>
      </c>
      <c r="AC737" t="s">
        <v>90</v>
      </c>
      <c r="AD737" t="s">
        <v>91</v>
      </c>
      <c r="AE737" t="s">
        <v>856</v>
      </c>
      <c r="AG737" t="s">
        <v>438</v>
      </c>
      <c r="AH737">
        <v>0</v>
      </c>
      <c r="AI737">
        <v>316</v>
      </c>
      <c r="AJ737">
        <v>32</v>
      </c>
      <c r="AK737">
        <v>96</v>
      </c>
      <c r="AL737">
        <v>1</v>
      </c>
    </row>
    <row r="738" spans="1:38" x14ac:dyDescent="0.3">
      <c r="A738" t="s">
        <v>852</v>
      </c>
      <c r="B738">
        <v>10795</v>
      </c>
      <c r="C738">
        <v>6</v>
      </c>
      <c r="D738" t="s">
        <v>1031</v>
      </c>
      <c r="E738">
        <v>2004.03</v>
      </c>
      <c r="F738">
        <v>96</v>
      </c>
      <c r="G738">
        <v>28.5</v>
      </c>
      <c r="H738">
        <v>94.23</v>
      </c>
      <c r="I738">
        <v>21.84</v>
      </c>
      <c r="J738">
        <v>72.23</v>
      </c>
      <c r="K738">
        <v>1</v>
      </c>
      <c r="T738">
        <v>3</v>
      </c>
      <c r="U738">
        <v>2</v>
      </c>
      <c r="V738" t="s">
        <v>94</v>
      </c>
      <c r="W738" t="s">
        <v>700</v>
      </c>
      <c r="X738">
        <v>12</v>
      </c>
      <c r="Y738">
        <v>12</v>
      </c>
      <c r="Z738" t="s">
        <v>1032</v>
      </c>
      <c r="AA738" t="s">
        <v>1033</v>
      </c>
      <c r="AB738" t="s">
        <v>89</v>
      </c>
      <c r="AC738" t="s">
        <v>90</v>
      </c>
      <c r="AD738" t="s">
        <v>91</v>
      </c>
      <c r="AE738" t="s">
        <v>856</v>
      </c>
      <c r="AG738" t="s">
        <v>438</v>
      </c>
      <c r="AH738">
        <v>0</v>
      </c>
      <c r="AI738">
        <v>316</v>
      </c>
      <c r="AJ738">
        <v>32</v>
      </c>
      <c r="AK738">
        <v>96</v>
      </c>
      <c r="AL738">
        <v>1</v>
      </c>
    </row>
    <row r="739" spans="1:38" x14ac:dyDescent="0.3">
      <c r="A739" t="s">
        <v>852</v>
      </c>
      <c r="B739">
        <v>10795</v>
      </c>
      <c r="C739">
        <v>7</v>
      </c>
      <c r="D739" t="s">
        <v>1031</v>
      </c>
      <c r="E739">
        <v>2004.03</v>
      </c>
      <c r="F739">
        <v>96</v>
      </c>
      <c r="G739">
        <v>28.44</v>
      </c>
      <c r="H739">
        <v>94.04</v>
      </c>
      <c r="I739">
        <v>21.59</v>
      </c>
      <c r="J739">
        <v>71.400000000000006</v>
      </c>
      <c r="K739">
        <v>1</v>
      </c>
      <c r="T739">
        <v>3</v>
      </c>
      <c r="U739">
        <v>1</v>
      </c>
      <c r="V739" t="s">
        <v>94</v>
      </c>
      <c r="W739" t="s">
        <v>699</v>
      </c>
      <c r="X739">
        <v>12</v>
      </c>
      <c r="Y739">
        <v>12</v>
      </c>
      <c r="Z739" t="s">
        <v>1032</v>
      </c>
      <c r="AA739" t="s">
        <v>1033</v>
      </c>
      <c r="AB739" t="s">
        <v>89</v>
      </c>
      <c r="AC739" t="s">
        <v>90</v>
      </c>
      <c r="AD739" t="s">
        <v>91</v>
      </c>
      <c r="AE739" t="s">
        <v>856</v>
      </c>
      <c r="AG739" t="s">
        <v>438</v>
      </c>
      <c r="AH739">
        <v>0</v>
      </c>
      <c r="AI739">
        <v>316</v>
      </c>
      <c r="AJ739">
        <v>32</v>
      </c>
      <c r="AK739">
        <v>96</v>
      </c>
      <c r="AL739">
        <v>1</v>
      </c>
    </row>
    <row r="740" spans="1:38" x14ac:dyDescent="0.3">
      <c r="A740" t="s">
        <v>852</v>
      </c>
      <c r="B740">
        <v>10795</v>
      </c>
      <c r="C740">
        <v>8</v>
      </c>
      <c r="D740" t="s">
        <v>1031</v>
      </c>
      <c r="E740">
        <v>2004.03</v>
      </c>
      <c r="F740">
        <v>96</v>
      </c>
      <c r="G740">
        <v>29.33</v>
      </c>
      <c r="H740">
        <v>96.99</v>
      </c>
      <c r="I740">
        <v>22.27</v>
      </c>
      <c r="J740">
        <v>73.62</v>
      </c>
      <c r="K740">
        <v>27</v>
      </c>
      <c r="T740">
        <v>3</v>
      </c>
      <c r="U740">
        <v>2</v>
      </c>
      <c r="V740" t="s">
        <v>94</v>
      </c>
      <c r="W740" t="s">
        <v>870</v>
      </c>
      <c r="X740">
        <v>12</v>
      </c>
      <c r="Y740">
        <v>12</v>
      </c>
      <c r="Z740" t="s">
        <v>1032</v>
      </c>
      <c r="AA740" t="s">
        <v>1033</v>
      </c>
      <c r="AB740" t="s">
        <v>89</v>
      </c>
      <c r="AC740" t="s">
        <v>90</v>
      </c>
      <c r="AD740" t="s">
        <v>91</v>
      </c>
      <c r="AE740" t="s">
        <v>856</v>
      </c>
      <c r="AG740" t="s">
        <v>438</v>
      </c>
      <c r="AH740">
        <v>0</v>
      </c>
      <c r="AI740">
        <v>316</v>
      </c>
      <c r="AJ740">
        <v>32</v>
      </c>
      <c r="AK740">
        <v>96</v>
      </c>
      <c r="AL740">
        <v>1</v>
      </c>
    </row>
    <row r="741" spans="1:38" x14ac:dyDescent="0.3">
      <c r="A741" t="s">
        <v>852</v>
      </c>
      <c r="B741">
        <v>10795</v>
      </c>
      <c r="C741">
        <v>9</v>
      </c>
      <c r="D741" t="s">
        <v>1031</v>
      </c>
      <c r="E741">
        <v>2004.03</v>
      </c>
      <c r="F741">
        <v>96</v>
      </c>
      <c r="G741">
        <v>29.32</v>
      </c>
      <c r="H741">
        <v>96.95</v>
      </c>
      <c r="I741">
        <v>22.35</v>
      </c>
      <c r="J741">
        <v>73.91</v>
      </c>
      <c r="K741">
        <v>5</v>
      </c>
      <c r="T741">
        <v>3</v>
      </c>
      <c r="U741">
        <v>2</v>
      </c>
      <c r="V741" t="s">
        <v>94</v>
      </c>
      <c r="W741" t="s">
        <v>1034</v>
      </c>
      <c r="X741">
        <v>12</v>
      </c>
      <c r="Y741">
        <v>12</v>
      </c>
      <c r="Z741" t="s">
        <v>1032</v>
      </c>
      <c r="AA741" t="s">
        <v>1033</v>
      </c>
      <c r="AB741" t="s">
        <v>89</v>
      </c>
      <c r="AC741" t="s">
        <v>90</v>
      </c>
      <c r="AD741" t="s">
        <v>91</v>
      </c>
      <c r="AE741" t="s">
        <v>856</v>
      </c>
      <c r="AG741" t="s">
        <v>438</v>
      </c>
      <c r="AH741">
        <v>0</v>
      </c>
      <c r="AI741">
        <v>316</v>
      </c>
      <c r="AJ741">
        <v>32</v>
      </c>
      <c r="AK741">
        <v>96</v>
      </c>
      <c r="AL741">
        <v>1</v>
      </c>
    </row>
    <row r="742" spans="1:38" x14ac:dyDescent="0.3">
      <c r="A742" t="s">
        <v>852</v>
      </c>
      <c r="B742">
        <v>10795</v>
      </c>
      <c r="C742">
        <v>10</v>
      </c>
      <c r="D742" t="s">
        <v>1031</v>
      </c>
      <c r="E742">
        <v>2004.03</v>
      </c>
      <c r="F742">
        <v>96</v>
      </c>
      <c r="G742">
        <v>32.229999999999997</v>
      </c>
      <c r="H742">
        <v>106.57</v>
      </c>
      <c r="I742">
        <v>24.69</v>
      </c>
      <c r="J742">
        <v>81.650000000000006</v>
      </c>
      <c r="K742">
        <v>57</v>
      </c>
      <c r="T742">
        <v>3</v>
      </c>
      <c r="U742">
        <v>2</v>
      </c>
      <c r="V742" t="s">
        <v>94</v>
      </c>
      <c r="W742">
        <v>106</v>
      </c>
      <c r="X742">
        <v>12</v>
      </c>
      <c r="Y742">
        <v>12</v>
      </c>
      <c r="Z742" t="s">
        <v>1032</v>
      </c>
      <c r="AA742" t="s">
        <v>1033</v>
      </c>
      <c r="AB742" t="s">
        <v>89</v>
      </c>
      <c r="AC742" t="s">
        <v>90</v>
      </c>
      <c r="AD742" t="s">
        <v>91</v>
      </c>
      <c r="AE742" t="s">
        <v>856</v>
      </c>
      <c r="AG742" t="s">
        <v>438</v>
      </c>
      <c r="AH742">
        <v>0</v>
      </c>
      <c r="AI742">
        <v>316</v>
      </c>
      <c r="AJ742">
        <v>32</v>
      </c>
      <c r="AK742">
        <v>96</v>
      </c>
      <c r="AL742">
        <v>1</v>
      </c>
    </row>
    <row r="743" spans="1:38" x14ac:dyDescent="0.3">
      <c r="A743" t="s">
        <v>852</v>
      </c>
      <c r="B743">
        <v>8812</v>
      </c>
      <c r="C743">
        <v>1</v>
      </c>
      <c r="D743" t="s">
        <v>1035</v>
      </c>
      <c r="E743">
        <v>2001.04</v>
      </c>
      <c r="F743">
        <v>136</v>
      </c>
      <c r="G743">
        <v>17.350000000000001</v>
      </c>
      <c r="H743">
        <v>57.37</v>
      </c>
      <c r="I743">
        <v>10.97</v>
      </c>
      <c r="J743">
        <v>36.29</v>
      </c>
      <c r="K743">
        <v>14</v>
      </c>
      <c r="T743">
        <v>1</v>
      </c>
      <c r="U743">
        <v>1</v>
      </c>
      <c r="V743" t="s">
        <v>94</v>
      </c>
      <c r="W743">
        <v>57</v>
      </c>
      <c r="X743">
        <v>16</v>
      </c>
      <c r="Y743">
        <v>14</v>
      </c>
      <c r="Z743" t="s">
        <v>1036</v>
      </c>
      <c r="AA743" t="s">
        <v>1037</v>
      </c>
      <c r="AB743" t="s">
        <v>89</v>
      </c>
      <c r="AC743" t="s">
        <v>90</v>
      </c>
      <c r="AD743" t="s">
        <v>91</v>
      </c>
      <c r="AE743" t="s">
        <v>856</v>
      </c>
      <c r="AG743" t="s">
        <v>1038</v>
      </c>
      <c r="AH743">
        <v>0</v>
      </c>
      <c r="AI743">
        <v>336</v>
      </c>
      <c r="AJ743">
        <v>21</v>
      </c>
      <c r="AK743">
        <v>138</v>
      </c>
      <c r="AL743">
        <v>1.01</v>
      </c>
    </row>
    <row r="744" spans="1:38" x14ac:dyDescent="0.3">
      <c r="A744" t="s">
        <v>852</v>
      </c>
      <c r="B744">
        <v>8812</v>
      </c>
      <c r="C744">
        <v>2</v>
      </c>
      <c r="D744" t="s">
        <v>1035</v>
      </c>
      <c r="E744">
        <v>2001.04</v>
      </c>
      <c r="F744">
        <v>136</v>
      </c>
      <c r="G744">
        <v>22</v>
      </c>
      <c r="H744">
        <v>72.75</v>
      </c>
      <c r="I744">
        <v>13.92</v>
      </c>
      <c r="J744">
        <v>46.02</v>
      </c>
      <c r="K744">
        <v>14</v>
      </c>
      <c r="T744">
        <v>1</v>
      </c>
      <c r="U744">
        <v>1</v>
      </c>
      <c r="V744" t="s">
        <v>94</v>
      </c>
      <c r="W744">
        <v>72</v>
      </c>
      <c r="X744">
        <v>16</v>
      </c>
      <c r="Y744">
        <v>14</v>
      </c>
      <c r="Z744" t="s">
        <v>1036</v>
      </c>
      <c r="AA744" t="s">
        <v>1037</v>
      </c>
      <c r="AB744" t="s">
        <v>89</v>
      </c>
      <c r="AC744" t="s">
        <v>90</v>
      </c>
      <c r="AD744" t="s">
        <v>91</v>
      </c>
      <c r="AE744" t="s">
        <v>856</v>
      </c>
      <c r="AG744" t="s">
        <v>1038</v>
      </c>
      <c r="AH744">
        <v>0</v>
      </c>
      <c r="AI744">
        <v>336</v>
      </c>
      <c r="AJ744">
        <v>21</v>
      </c>
      <c r="AK744">
        <v>138</v>
      </c>
      <c r="AL744">
        <v>1.01</v>
      </c>
    </row>
    <row r="745" spans="1:38" x14ac:dyDescent="0.3">
      <c r="A745" t="s">
        <v>852</v>
      </c>
      <c r="B745">
        <v>8812</v>
      </c>
      <c r="C745">
        <v>3</v>
      </c>
      <c r="D745" t="s">
        <v>1035</v>
      </c>
      <c r="E745">
        <v>2001.04</v>
      </c>
      <c r="F745">
        <v>136</v>
      </c>
      <c r="G745">
        <v>40.61</v>
      </c>
      <c r="H745">
        <v>134.26</v>
      </c>
      <c r="I745">
        <v>25.69</v>
      </c>
      <c r="J745">
        <v>84.93</v>
      </c>
      <c r="K745">
        <v>92</v>
      </c>
      <c r="T745">
        <v>3</v>
      </c>
      <c r="U745">
        <v>2</v>
      </c>
      <c r="V745" t="s">
        <v>94</v>
      </c>
      <c r="W745">
        <v>134</v>
      </c>
      <c r="X745">
        <v>16</v>
      </c>
      <c r="Y745">
        <v>14</v>
      </c>
      <c r="Z745" t="s">
        <v>1036</v>
      </c>
      <c r="AA745" t="s">
        <v>1037</v>
      </c>
      <c r="AB745" t="s">
        <v>89</v>
      </c>
      <c r="AC745" t="s">
        <v>90</v>
      </c>
      <c r="AD745" t="s">
        <v>91</v>
      </c>
      <c r="AE745" t="s">
        <v>856</v>
      </c>
      <c r="AG745" t="s">
        <v>1038</v>
      </c>
      <c r="AH745">
        <v>0</v>
      </c>
      <c r="AI745">
        <v>336</v>
      </c>
      <c r="AJ745">
        <v>21</v>
      </c>
      <c r="AK745">
        <v>138</v>
      </c>
      <c r="AL745">
        <v>1.01</v>
      </c>
    </row>
    <row r="746" spans="1:38" x14ac:dyDescent="0.3">
      <c r="A746" t="s">
        <v>852</v>
      </c>
      <c r="B746">
        <v>8812</v>
      </c>
      <c r="C746">
        <v>4</v>
      </c>
      <c r="D746" t="s">
        <v>1035</v>
      </c>
      <c r="E746">
        <v>2001.04</v>
      </c>
      <c r="F746">
        <v>136</v>
      </c>
      <c r="G746">
        <v>65.25</v>
      </c>
      <c r="H746">
        <v>215.71</v>
      </c>
      <c r="I746">
        <v>41.27</v>
      </c>
      <c r="J746">
        <v>136.44999999999999</v>
      </c>
      <c r="K746">
        <v>16</v>
      </c>
      <c r="T746">
        <v>4</v>
      </c>
      <c r="U746">
        <v>2</v>
      </c>
      <c r="V746" t="s">
        <v>94</v>
      </c>
      <c r="W746">
        <v>215</v>
      </c>
      <c r="X746">
        <v>16</v>
      </c>
      <c r="Y746">
        <v>14</v>
      </c>
      <c r="Z746" t="s">
        <v>1036</v>
      </c>
      <c r="AA746" t="s">
        <v>1037</v>
      </c>
      <c r="AB746" t="s">
        <v>89</v>
      </c>
      <c r="AC746" t="s">
        <v>90</v>
      </c>
      <c r="AD746" t="s">
        <v>91</v>
      </c>
      <c r="AE746" t="s">
        <v>856</v>
      </c>
      <c r="AG746" t="s">
        <v>1038</v>
      </c>
      <c r="AH746">
        <v>0</v>
      </c>
      <c r="AI746">
        <v>336</v>
      </c>
      <c r="AJ746">
        <v>21</v>
      </c>
      <c r="AK746">
        <v>138</v>
      </c>
      <c r="AL746">
        <v>1.01</v>
      </c>
    </row>
    <row r="747" spans="1:38" x14ac:dyDescent="0.3">
      <c r="A747" t="s">
        <v>852</v>
      </c>
      <c r="B747">
        <v>11385</v>
      </c>
      <c r="C747">
        <v>1</v>
      </c>
      <c r="D747" t="s">
        <v>353</v>
      </c>
      <c r="E747">
        <v>1982.05</v>
      </c>
      <c r="F747">
        <v>22</v>
      </c>
      <c r="G747">
        <v>18.09</v>
      </c>
      <c r="H747">
        <v>59.82</v>
      </c>
      <c r="I747">
        <v>12.06</v>
      </c>
      <c r="J747">
        <v>39.9</v>
      </c>
      <c r="K747">
        <v>6</v>
      </c>
      <c r="T747">
        <v>2</v>
      </c>
      <c r="U747">
        <v>1</v>
      </c>
      <c r="V747" t="s">
        <v>94</v>
      </c>
      <c r="W747" t="s">
        <v>1039</v>
      </c>
      <c r="X747">
        <v>4</v>
      </c>
      <c r="Y747">
        <v>4</v>
      </c>
      <c r="Z747" t="s">
        <v>1040</v>
      </c>
      <c r="AA747" t="s">
        <v>1041</v>
      </c>
      <c r="AB747" t="s">
        <v>89</v>
      </c>
      <c r="AC747" t="s">
        <v>90</v>
      </c>
      <c r="AD747" t="s">
        <v>91</v>
      </c>
      <c r="AE747" t="s">
        <v>856</v>
      </c>
      <c r="AG747" t="s">
        <v>1042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38" x14ac:dyDescent="0.3">
      <c r="A748" t="s">
        <v>852</v>
      </c>
      <c r="B748">
        <v>11385</v>
      </c>
      <c r="C748">
        <v>2</v>
      </c>
      <c r="D748" t="s">
        <v>353</v>
      </c>
      <c r="E748">
        <v>1982.05</v>
      </c>
      <c r="F748">
        <v>22</v>
      </c>
      <c r="G748">
        <v>18.39</v>
      </c>
      <c r="H748">
        <v>60.82</v>
      </c>
      <c r="I748">
        <v>14.91</v>
      </c>
      <c r="J748">
        <v>49.3</v>
      </c>
      <c r="K748">
        <v>16</v>
      </c>
      <c r="T748">
        <v>3</v>
      </c>
      <c r="U748">
        <v>1</v>
      </c>
      <c r="V748" t="s">
        <v>94</v>
      </c>
      <c r="W748" t="s">
        <v>587</v>
      </c>
      <c r="X748">
        <v>4</v>
      </c>
      <c r="Y748">
        <v>4</v>
      </c>
      <c r="Z748" t="s">
        <v>1040</v>
      </c>
      <c r="AA748" t="s">
        <v>1041</v>
      </c>
      <c r="AB748" t="s">
        <v>89</v>
      </c>
      <c r="AC748" t="s">
        <v>90</v>
      </c>
      <c r="AD748" t="s">
        <v>91</v>
      </c>
      <c r="AE748" t="s">
        <v>856</v>
      </c>
      <c r="AG748" t="s">
        <v>1042</v>
      </c>
      <c r="AH748">
        <v>0</v>
      </c>
      <c r="AI748">
        <v>0</v>
      </c>
      <c r="AJ748">
        <v>0</v>
      </c>
      <c r="AK748">
        <v>0</v>
      </c>
      <c r="AL748">
        <v>0</v>
      </c>
    </row>
    <row r="749" spans="1:38" x14ac:dyDescent="0.3">
      <c r="A749" t="s">
        <v>852</v>
      </c>
      <c r="B749">
        <v>107639</v>
      </c>
      <c r="C749">
        <v>1</v>
      </c>
      <c r="D749" t="s">
        <v>1043</v>
      </c>
      <c r="E749">
        <v>2015.08</v>
      </c>
      <c r="F749">
        <v>410</v>
      </c>
      <c r="G749">
        <v>24.48</v>
      </c>
      <c r="H749">
        <v>80.94</v>
      </c>
      <c r="I749">
        <v>18.13</v>
      </c>
      <c r="J749">
        <v>59.94</v>
      </c>
      <c r="K749">
        <v>179</v>
      </c>
      <c r="T749">
        <v>3</v>
      </c>
      <c r="U749">
        <v>2</v>
      </c>
      <c r="V749" t="s">
        <v>94</v>
      </c>
      <c r="W749" t="s">
        <v>1044</v>
      </c>
      <c r="X749">
        <v>18</v>
      </c>
      <c r="Y749">
        <v>9</v>
      </c>
      <c r="Z749" t="s">
        <v>1045</v>
      </c>
      <c r="AA749" t="s">
        <v>1046</v>
      </c>
      <c r="AB749" t="s">
        <v>89</v>
      </c>
      <c r="AC749" t="s">
        <v>90</v>
      </c>
      <c r="AD749" t="s">
        <v>91</v>
      </c>
      <c r="AE749" t="s">
        <v>856</v>
      </c>
      <c r="AG749" t="s">
        <v>1047</v>
      </c>
      <c r="AH749">
        <v>0</v>
      </c>
      <c r="AI749">
        <v>179</v>
      </c>
      <c r="AJ749">
        <v>18</v>
      </c>
      <c r="AK749">
        <v>418</v>
      </c>
      <c r="AL749">
        <v>1.02</v>
      </c>
    </row>
    <row r="750" spans="1:38" x14ac:dyDescent="0.3">
      <c r="A750" t="s">
        <v>852</v>
      </c>
      <c r="B750">
        <v>107639</v>
      </c>
      <c r="C750">
        <v>2</v>
      </c>
      <c r="D750" t="s">
        <v>1043</v>
      </c>
      <c r="E750">
        <v>2015.08</v>
      </c>
      <c r="F750">
        <v>410</v>
      </c>
      <c r="G750">
        <v>24.49</v>
      </c>
      <c r="H750">
        <v>80.98</v>
      </c>
      <c r="I750">
        <v>18.14</v>
      </c>
      <c r="J750">
        <v>59.97</v>
      </c>
      <c r="K750">
        <v>18</v>
      </c>
      <c r="T750">
        <v>3</v>
      </c>
      <c r="U750">
        <v>2</v>
      </c>
      <c r="V750" t="s">
        <v>94</v>
      </c>
      <c r="W750" t="s">
        <v>1048</v>
      </c>
      <c r="X750">
        <v>18</v>
      </c>
      <c r="Y750">
        <v>9</v>
      </c>
      <c r="Z750" t="s">
        <v>1045</v>
      </c>
      <c r="AA750" t="s">
        <v>1046</v>
      </c>
      <c r="AB750" t="s">
        <v>89</v>
      </c>
      <c r="AC750" t="s">
        <v>90</v>
      </c>
      <c r="AD750" t="s">
        <v>91</v>
      </c>
      <c r="AE750" t="s">
        <v>856</v>
      </c>
      <c r="AG750" t="s">
        <v>1047</v>
      </c>
      <c r="AH750">
        <v>0</v>
      </c>
      <c r="AI750">
        <v>179</v>
      </c>
      <c r="AJ750">
        <v>18</v>
      </c>
      <c r="AK750">
        <v>418</v>
      </c>
      <c r="AL750">
        <v>1.02</v>
      </c>
    </row>
    <row r="751" spans="1:38" x14ac:dyDescent="0.3">
      <c r="A751" t="s">
        <v>852</v>
      </c>
      <c r="B751">
        <v>107639</v>
      </c>
      <c r="C751">
        <v>3</v>
      </c>
      <c r="D751" t="s">
        <v>1043</v>
      </c>
      <c r="E751">
        <v>2015.08</v>
      </c>
      <c r="F751">
        <v>410</v>
      </c>
      <c r="G751">
        <v>24.57</v>
      </c>
      <c r="H751">
        <v>81.23</v>
      </c>
      <c r="I751">
        <v>18.13</v>
      </c>
      <c r="J751">
        <v>59.96</v>
      </c>
      <c r="K751">
        <v>18</v>
      </c>
      <c r="T751">
        <v>3</v>
      </c>
      <c r="U751">
        <v>2</v>
      </c>
      <c r="V751" t="s">
        <v>94</v>
      </c>
      <c r="W751" t="s">
        <v>464</v>
      </c>
      <c r="X751">
        <v>18</v>
      </c>
      <c r="Y751">
        <v>9</v>
      </c>
      <c r="Z751" t="s">
        <v>1045</v>
      </c>
      <c r="AA751" t="s">
        <v>1046</v>
      </c>
      <c r="AB751" t="s">
        <v>89</v>
      </c>
      <c r="AC751" t="s">
        <v>90</v>
      </c>
      <c r="AD751" t="s">
        <v>91</v>
      </c>
      <c r="AE751" t="s">
        <v>856</v>
      </c>
      <c r="AG751" t="s">
        <v>1047</v>
      </c>
      <c r="AH751">
        <v>0</v>
      </c>
      <c r="AI751">
        <v>179</v>
      </c>
      <c r="AJ751">
        <v>18</v>
      </c>
      <c r="AK751">
        <v>418</v>
      </c>
      <c r="AL751">
        <v>1.02</v>
      </c>
    </row>
    <row r="752" spans="1:38" x14ac:dyDescent="0.3">
      <c r="A752" t="s">
        <v>852</v>
      </c>
      <c r="B752">
        <v>107639</v>
      </c>
      <c r="C752">
        <v>4</v>
      </c>
      <c r="D752" t="s">
        <v>1043</v>
      </c>
      <c r="E752">
        <v>2015.08</v>
      </c>
      <c r="F752">
        <v>410</v>
      </c>
      <c r="G752">
        <v>24.62</v>
      </c>
      <c r="H752">
        <v>81.41</v>
      </c>
      <c r="I752">
        <v>18.13</v>
      </c>
      <c r="J752">
        <v>59.94</v>
      </c>
      <c r="K752">
        <v>10</v>
      </c>
      <c r="T752">
        <v>3</v>
      </c>
      <c r="U752">
        <v>2</v>
      </c>
      <c r="V752" t="s">
        <v>94</v>
      </c>
      <c r="W752" t="s">
        <v>260</v>
      </c>
      <c r="X752">
        <v>18</v>
      </c>
      <c r="Y752">
        <v>9</v>
      </c>
      <c r="Z752" t="s">
        <v>1045</v>
      </c>
      <c r="AA752" t="s">
        <v>1046</v>
      </c>
      <c r="AB752" t="s">
        <v>89</v>
      </c>
      <c r="AC752" t="s">
        <v>90</v>
      </c>
      <c r="AD752" t="s">
        <v>91</v>
      </c>
      <c r="AE752" t="s">
        <v>856</v>
      </c>
      <c r="AG752" t="s">
        <v>1047</v>
      </c>
      <c r="AH752">
        <v>0</v>
      </c>
      <c r="AI752">
        <v>179</v>
      </c>
      <c r="AJ752">
        <v>18</v>
      </c>
      <c r="AK752">
        <v>418</v>
      </c>
      <c r="AL752">
        <v>1.02</v>
      </c>
    </row>
    <row r="753" spans="1:38" x14ac:dyDescent="0.3">
      <c r="A753" t="s">
        <v>852</v>
      </c>
      <c r="B753">
        <v>107639</v>
      </c>
      <c r="C753">
        <v>5</v>
      </c>
      <c r="D753" t="s">
        <v>1043</v>
      </c>
      <c r="E753">
        <v>2015.08</v>
      </c>
      <c r="F753">
        <v>410</v>
      </c>
      <c r="G753">
        <v>29.85</v>
      </c>
      <c r="H753">
        <v>98.68</v>
      </c>
      <c r="I753">
        <v>22.68</v>
      </c>
      <c r="J753">
        <v>74.98</v>
      </c>
      <c r="K753">
        <v>30</v>
      </c>
      <c r="T753">
        <v>3</v>
      </c>
      <c r="U753">
        <v>2</v>
      </c>
      <c r="V753" t="s">
        <v>94</v>
      </c>
      <c r="W753" t="s">
        <v>114</v>
      </c>
      <c r="X753">
        <v>18</v>
      </c>
      <c r="Y753">
        <v>9</v>
      </c>
      <c r="Z753" t="s">
        <v>1045</v>
      </c>
      <c r="AA753" t="s">
        <v>1046</v>
      </c>
      <c r="AB753" t="s">
        <v>89</v>
      </c>
      <c r="AC753" t="s">
        <v>90</v>
      </c>
      <c r="AD753" t="s">
        <v>91</v>
      </c>
      <c r="AE753" t="s">
        <v>856</v>
      </c>
      <c r="AG753" t="s">
        <v>1047</v>
      </c>
      <c r="AH753">
        <v>0</v>
      </c>
      <c r="AI753">
        <v>179</v>
      </c>
      <c r="AJ753">
        <v>18</v>
      </c>
      <c r="AK753">
        <v>418</v>
      </c>
      <c r="AL753">
        <v>1.02</v>
      </c>
    </row>
    <row r="754" spans="1:38" x14ac:dyDescent="0.3">
      <c r="A754" t="s">
        <v>852</v>
      </c>
      <c r="B754">
        <v>107639</v>
      </c>
      <c r="C754">
        <v>6</v>
      </c>
      <c r="D754" t="s">
        <v>1043</v>
      </c>
      <c r="E754">
        <v>2015.08</v>
      </c>
      <c r="F754">
        <v>410</v>
      </c>
      <c r="G754">
        <v>30.05</v>
      </c>
      <c r="H754">
        <v>99.37</v>
      </c>
      <c r="I754">
        <v>22.66</v>
      </c>
      <c r="J754">
        <v>74.92</v>
      </c>
      <c r="K754">
        <v>24</v>
      </c>
      <c r="T754">
        <v>3</v>
      </c>
      <c r="U754">
        <v>2</v>
      </c>
      <c r="V754" t="s">
        <v>94</v>
      </c>
      <c r="W754" t="s">
        <v>577</v>
      </c>
      <c r="X754">
        <v>18</v>
      </c>
      <c r="Y754">
        <v>9</v>
      </c>
      <c r="Z754" t="s">
        <v>1045</v>
      </c>
      <c r="AA754" t="s">
        <v>1046</v>
      </c>
      <c r="AB754" t="s">
        <v>89</v>
      </c>
      <c r="AC754" t="s">
        <v>90</v>
      </c>
      <c r="AD754" t="s">
        <v>91</v>
      </c>
      <c r="AE754" t="s">
        <v>856</v>
      </c>
      <c r="AG754" t="s">
        <v>1047</v>
      </c>
      <c r="AH754">
        <v>0</v>
      </c>
      <c r="AI754">
        <v>179</v>
      </c>
      <c r="AJ754">
        <v>18</v>
      </c>
      <c r="AK754">
        <v>418</v>
      </c>
      <c r="AL754">
        <v>1.02</v>
      </c>
    </row>
    <row r="755" spans="1:38" x14ac:dyDescent="0.3">
      <c r="A755" t="s">
        <v>852</v>
      </c>
      <c r="B755">
        <v>107639</v>
      </c>
      <c r="C755">
        <v>7</v>
      </c>
      <c r="D755" t="s">
        <v>1043</v>
      </c>
      <c r="E755">
        <v>2015.08</v>
      </c>
      <c r="F755">
        <v>410</v>
      </c>
      <c r="G755">
        <v>30.14</v>
      </c>
      <c r="H755">
        <v>99.65</v>
      </c>
      <c r="I755">
        <v>22.4</v>
      </c>
      <c r="J755">
        <v>74.05</v>
      </c>
      <c r="K755">
        <v>22</v>
      </c>
      <c r="T755">
        <v>3</v>
      </c>
      <c r="U755">
        <v>2</v>
      </c>
      <c r="V755" t="s">
        <v>94</v>
      </c>
      <c r="W755" t="s">
        <v>578</v>
      </c>
      <c r="X755">
        <v>18</v>
      </c>
      <c r="Y755">
        <v>9</v>
      </c>
      <c r="Z755" t="s">
        <v>1045</v>
      </c>
      <c r="AA755" t="s">
        <v>1046</v>
      </c>
      <c r="AB755" t="s">
        <v>89</v>
      </c>
      <c r="AC755" t="s">
        <v>90</v>
      </c>
      <c r="AD755" t="s">
        <v>91</v>
      </c>
      <c r="AE755" t="s">
        <v>856</v>
      </c>
      <c r="AG755" t="s">
        <v>1047</v>
      </c>
      <c r="AH755">
        <v>0</v>
      </c>
      <c r="AI755">
        <v>179</v>
      </c>
      <c r="AJ755">
        <v>18</v>
      </c>
      <c r="AK755">
        <v>418</v>
      </c>
      <c r="AL755">
        <v>1.02</v>
      </c>
    </row>
    <row r="756" spans="1:38" x14ac:dyDescent="0.3">
      <c r="A756" t="s">
        <v>852</v>
      </c>
      <c r="B756">
        <v>107639</v>
      </c>
      <c r="C756">
        <v>8</v>
      </c>
      <c r="D756" t="s">
        <v>1043</v>
      </c>
      <c r="E756">
        <v>2015.08</v>
      </c>
      <c r="F756">
        <v>410</v>
      </c>
      <c r="G756">
        <v>30.84</v>
      </c>
      <c r="H756">
        <v>101.98</v>
      </c>
      <c r="I756">
        <v>24.16</v>
      </c>
      <c r="J756">
        <v>79.87</v>
      </c>
      <c r="K756">
        <v>2</v>
      </c>
      <c r="T756">
        <v>3</v>
      </c>
      <c r="U756">
        <v>2</v>
      </c>
      <c r="V756" t="s">
        <v>94</v>
      </c>
      <c r="W756">
        <v>101</v>
      </c>
      <c r="X756">
        <v>18</v>
      </c>
      <c r="Y756">
        <v>9</v>
      </c>
      <c r="Z756" t="s">
        <v>1045</v>
      </c>
      <c r="AA756" t="s">
        <v>1046</v>
      </c>
      <c r="AB756" t="s">
        <v>89</v>
      </c>
      <c r="AC756" t="s">
        <v>90</v>
      </c>
      <c r="AD756" t="s">
        <v>91</v>
      </c>
      <c r="AE756" t="s">
        <v>856</v>
      </c>
      <c r="AG756" t="s">
        <v>1047</v>
      </c>
      <c r="AH756">
        <v>0</v>
      </c>
      <c r="AI756">
        <v>179</v>
      </c>
      <c r="AJ756">
        <v>18</v>
      </c>
      <c r="AK756">
        <v>418</v>
      </c>
      <c r="AL756">
        <v>1.02</v>
      </c>
    </row>
    <row r="757" spans="1:38" x14ac:dyDescent="0.3">
      <c r="A757" t="s">
        <v>852</v>
      </c>
      <c r="B757">
        <v>107639</v>
      </c>
      <c r="C757">
        <v>9</v>
      </c>
      <c r="D757" t="s">
        <v>1043</v>
      </c>
      <c r="E757">
        <v>2015.08</v>
      </c>
      <c r="F757">
        <v>410</v>
      </c>
      <c r="G757">
        <v>32.74</v>
      </c>
      <c r="H757">
        <v>108.26</v>
      </c>
      <c r="I757">
        <v>25.69</v>
      </c>
      <c r="J757">
        <v>84.93</v>
      </c>
      <c r="K757">
        <v>105</v>
      </c>
      <c r="T757">
        <v>3</v>
      </c>
      <c r="U757">
        <v>2</v>
      </c>
      <c r="V757" t="s">
        <v>94</v>
      </c>
      <c r="W757">
        <v>108</v>
      </c>
      <c r="X757">
        <v>18</v>
      </c>
      <c r="Y757">
        <v>9</v>
      </c>
      <c r="Z757" t="s">
        <v>1045</v>
      </c>
      <c r="AA757" t="s">
        <v>1046</v>
      </c>
      <c r="AB757" t="s">
        <v>89</v>
      </c>
      <c r="AC757" t="s">
        <v>90</v>
      </c>
      <c r="AD757" t="s">
        <v>91</v>
      </c>
      <c r="AE757" t="s">
        <v>856</v>
      </c>
      <c r="AG757" t="s">
        <v>1047</v>
      </c>
      <c r="AH757">
        <v>0</v>
      </c>
      <c r="AI757">
        <v>179</v>
      </c>
      <c r="AJ757">
        <v>18</v>
      </c>
      <c r="AK757">
        <v>418</v>
      </c>
      <c r="AL757">
        <v>1.02</v>
      </c>
    </row>
    <row r="758" spans="1:38" x14ac:dyDescent="0.3">
      <c r="A758" t="s">
        <v>852</v>
      </c>
      <c r="B758">
        <v>107639</v>
      </c>
      <c r="C758">
        <v>10</v>
      </c>
      <c r="D758" t="s">
        <v>1043</v>
      </c>
      <c r="E758">
        <v>2015.08</v>
      </c>
      <c r="F758">
        <v>410</v>
      </c>
      <c r="G758">
        <v>34.65</v>
      </c>
      <c r="H758">
        <v>114.56</v>
      </c>
      <c r="I758">
        <v>25.67</v>
      </c>
      <c r="J758">
        <v>84.89</v>
      </c>
      <c r="K758">
        <v>2</v>
      </c>
      <c r="T758">
        <v>3</v>
      </c>
      <c r="U758">
        <v>2</v>
      </c>
      <c r="V758" t="s">
        <v>94</v>
      </c>
      <c r="W758">
        <v>114</v>
      </c>
      <c r="X758">
        <v>18</v>
      </c>
      <c r="Y758">
        <v>9</v>
      </c>
      <c r="Z758" t="s">
        <v>1045</v>
      </c>
      <c r="AA758" t="s">
        <v>1046</v>
      </c>
      <c r="AB758" t="s">
        <v>89</v>
      </c>
      <c r="AC758" t="s">
        <v>90</v>
      </c>
      <c r="AD758" t="s">
        <v>91</v>
      </c>
      <c r="AE758" t="s">
        <v>856</v>
      </c>
      <c r="AG758" t="s">
        <v>1047</v>
      </c>
      <c r="AH758">
        <v>0</v>
      </c>
      <c r="AI758">
        <v>179</v>
      </c>
      <c r="AJ758">
        <v>18</v>
      </c>
      <c r="AK758">
        <v>418</v>
      </c>
      <c r="AL758">
        <v>1.02</v>
      </c>
    </row>
    <row r="759" spans="1:38" x14ac:dyDescent="0.3">
      <c r="A759" t="s">
        <v>852</v>
      </c>
      <c r="B759">
        <v>137583</v>
      </c>
      <c r="C759">
        <v>1</v>
      </c>
      <c r="D759" t="s">
        <v>1049</v>
      </c>
      <c r="E759">
        <v>2017.09</v>
      </c>
      <c r="F759">
        <v>7</v>
      </c>
      <c r="G759">
        <v>20.010000000000002</v>
      </c>
      <c r="H759">
        <v>66.17</v>
      </c>
      <c r="I759">
        <v>15.11</v>
      </c>
      <c r="J759">
        <v>49.96</v>
      </c>
      <c r="K759">
        <v>4</v>
      </c>
      <c r="T759">
        <v>1</v>
      </c>
      <c r="U759">
        <v>1</v>
      </c>
      <c r="V759" t="s">
        <v>94</v>
      </c>
      <c r="W759" t="s">
        <v>600</v>
      </c>
      <c r="X759">
        <v>7</v>
      </c>
      <c r="Y759">
        <v>6</v>
      </c>
      <c r="Z759" t="s">
        <v>1050</v>
      </c>
      <c r="AA759" t="s">
        <v>1051</v>
      </c>
      <c r="AB759" t="s">
        <v>89</v>
      </c>
      <c r="AC759" t="s">
        <v>90</v>
      </c>
      <c r="AD759" t="s">
        <v>91</v>
      </c>
      <c r="AE759" t="s">
        <v>856</v>
      </c>
      <c r="AG759" t="s">
        <v>1052</v>
      </c>
      <c r="AH759">
        <v>0</v>
      </c>
      <c r="AI759">
        <v>264</v>
      </c>
      <c r="AJ759">
        <v>55</v>
      </c>
      <c r="AK759">
        <v>5</v>
      </c>
      <c r="AL759">
        <v>0.71</v>
      </c>
    </row>
    <row r="760" spans="1:38" x14ac:dyDescent="0.3">
      <c r="A760" t="s">
        <v>852</v>
      </c>
      <c r="B760">
        <v>137583</v>
      </c>
      <c r="C760">
        <v>2</v>
      </c>
      <c r="D760" t="s">
        <v>1049</v>
      </c>
      <c r="E760">
        <v>2017.09</v>
      </c>
      <c r="F760">
        <v>7</v>
      </c>
      <c r="G760">
        <v>19.97</v>
      </c>
      <c r="H760">
        <v>66.040000000000006</v>
      </c>
      <c r="I760">
        <v>15.08</v>
      </c>
      <c r="J760">
        <v>49.86</v>
      </c>
      <c r="K760">
        <v>3</v>
      </c>
      <c r="T760">
        <v>1</v>
      </c>
      <c r="U760">
        <v>1</v>
      </c>
      <c r="V760" t="s">
        <v>94</v>
      </c>
      <c r="W760" t="s">
        <v>599</v>
      </c>
      <c r="X760">
        <v>7</v>
      </c>
      <c r="Y760">
        <v>6</v>
      </c>
      <c r="Z760" t="s">
        <v>1050</v>
      </c>
      <c r="AA760" t="s">
        <v>1051</v>
      </c>
      <c r="AB760" t="s">
        <v>89</v>
      </c>
      <c r="AC760" t="s">
        <v>90</v>
      </c>
      <c r="AD760" t="s">
        <v>91</v>
      </c>
      <c r="AE760" t="s">
        <v>856</v>
      </c>
      <c r="AG760" t="s">
        <v>1052</v>
      </c>
      <c r="AH760">
        <v>0</v>
      </c>
      <c r="AI760">
        <v>264</v>
      </c>
      <c r="AJ760">
        <v>55</v>
      </c>
      <c r="AK760">
        <v>5</v>
      </c>
      <c r="AL760">
        <v>0.71</v>
      </c>
    </row>
    <row r="761" spans="1:38" x14ac:dyDescent="0.3">
      <c r="A761" t="s">
        <v>852</v>
      </c>
      <c r="B761">
        <v>2032</v>
      </c>
      <c r="C761">
        <v>1</v>
      </c>
      <c r="D761" t="s">
        <v>1053</v>
      </c>
      <c r="E761">
        <v>1984.12</v>
      </c>
      <c r="F761">
        <v>100</v>
      </c>
      <c r="G761">
        <v>15.24</v>
      </c>
      <c r="H761">
        <v>50.4</v>
      </c>
      <c r="I761">
        <v>13.61</v>
      </c>
      <c r="J761">
        <v>45</v>
      </c>
      <c r="K761">
        <v>100</v>
      </c>
      <c r="T761">
        <v>3</v>
      </c>
      <c r="U761">
        <v>1</v>
      </c>
      <c r="V761" t="s">
        <v>94</v>
      </c>
      <c r="W761">
        <v>50</v>
      </c>
      <c r="X761">
        <v>5</v>
      </c>
      <c r="Y761">
        <v>5</v>
      </c>
      <c r="Z761" t="s">
        <v>1054</v>
      </c>
      <c r="AA761" t="s">
        <v>1055</v>
      </c>
      <c r="AB761" t="s">
        <v>89</v>
      </c>
      <c r="AC761" t="s">
        <v>90</v>
      </c>
      <c r="AD761" t="s">
        <v>91</v>
      </c>
      <c r="AE761" t="s">
        <v>856</v>
      </c>
      <c r="AG761" t="s">
        <v>1056</v>
      </c>
      <c r="AH761">
        <v>0</v>
      </c>
      <c r="AI761">
        <v>130</v>
      </c>
      <c r="AJ761">
        <v>26</v>
      </c>
      <c r="AK761">
        <v>0</v>
      </c>
      <c r="AL761">
        <v>0</v>
      </c>
    </row>
    <row r="762" spans="1:38" x14ac:dyDescent="0.3">
      <c r="A762" t="s">
        <v>852</v>
      </c>
      <c r="B762">
        <v>3015</v>
      </c>
      <c r="C762">
        <v>1</v>
      </c>
      <c r="D762" t="s">
        <v>1057</v>
      </c>
      <c r="E762">
        <v>1992.03</v>
      </c>
      <c r="F762">
        <v>994</v>
      </c>
      <c r="G762">
        <v>13.99</v>
      </c>
      <c r="H762">
        <v>46.27</v>
      </c>
      <c r="I762">
        <v>10.41</v>
      </c>
      <c r="J762">
        <v>34.44</v>
      </c>
      <c r="K762">
        <v>384</v>
      </c>
      <c r="T762">
        <v>2</v>
      </c>
      <c r="U762">
        <v>1</v>
      </c>
      <c r="V762" t="s">
        <v>128</v>
      </c>
      <c r="W762">
        <v>46</v>
      </c>
      <c r="X762">
        <v>15</v>
      </c>
      <c r="Y762">
        <v>14</v>
      </c>
      <c r="Z762" t="s">
        <v>1058</v>
      </c>
      <c r="AA762" t="s">
        <v>1059</v>
      </c>
      <c r="AB762" t="s">
        <v>89</v>
      </c>
      <c r="AC762" t="s">
        <v>90</v>
      </c>
      <c r="AD762" t="s">
        <v>91</v>
      </c>
      <c r="AE762" t="s">
        <v>856</v>
      </c>
      <c r="AG762" t="s">
        <v>1060</v>
      </c>
      <c r="AH762">
        <v>0</v>
      </c>
      <c r="AI762">
        <v>193</v>
      </c>
      <c r="AJ762">
        <v>15</v>
      </c>
      <c r="AK762">
        <v>994</v>
      </c>
      <c r="AL762">
        <v>1</v>
      </c>
    </row>
    <row r="763" spans="1:38" x14ac:dyDescent="0.3">
      <c r="A763" t="s">
        <v>852</v>
      </c>
      <c r="B763">
        <v>3015</v>
      </c>
      <c r="C763">
        <v>2</v>
      </c>
      <c r="D763" t="s">
        <v>1057</v>
      </c>
      <c r="E763">
        <v>1992.03</v>
      </c>
      <c r="F763">
        <v>994</v>
      </c>
      <c r="G763">
        <v>23.33</v>
      </c>
      <c r="H763">
        <v>77.13</v>
      </c>
      <c r="I763">
        <v>17.64</v>
      </c>
      <c r="J763">
        <v>58.32</v>
      </c>
      <c r="K763">
        <v>610</v>
      </c>
      <c r="T763">
        <v>2</v>
      </c>
      <c r="U763">
        <v>1</v>
      </c>
      <c r="V763" t="s">
        <v>128</v>
      </c>
      <c r="W763">
        <v>77</v>
      </c>
      <c r="X763">
        <v>15</v>
      </c>
      <c r="Y763">
        <v>14</v>
      </c>
      <c r="Z763" t="s">
        <v>1058</v>
      </c>
      <c r="AA763" t="s">
        <v>1059</v>
      </c>
      <c r="AB763" t="s">
        <v>89</v>
      </c>
      <c r="AC763" t="s">
        <v>90</v>
      </c>
      <c r="AD763" t="s">
        <v>91</v>
      </c>
      <c r="AE763" t="s">
        <v>856</v>
      </c>
      <c r="AG763" t="s">
        <v>1060</v>
      </c>
      <c r="AH763">
        <v>0</v>
      </c>
      <c r="AI763">
        <v>193</v>
      </c>
      <c r="AJ763">
        <v>15</v>
      </c>
      <c r="AK763">
        <v>994</v>
      </c>
      <c r="AL763">
        <v>1</v>
      </c>
    </row>
    <row r="764" spans="1:38" x14ac:dyDescent="0.3">
      <c r="A764" t="s">
        <v>852</v>
      </c>
      <c r="B764">
        <v>1472</v>
      </c>
      <c r="C764">
        <v>1</v>
      </c>
      <c r="D764" t="s">
        <v>1061</v>
      </c>
      <c r="E764">
        <v>1992.08</v>
      </c>
      <c r="F764">
        <v>438</v>
      </c>
      <c r="G764">
        <v>22.39</v>
      </c>
      <c r="H764">
        <v>74.040000000000006</v>
      </c>
      <c r="I764">
        <v>18.09</v>
      </c>
      <c r="J764">
        <v>59.82</v>
      </c>
      <c r="K764">
        <v>90</v>
      </c>
      <c r="T764">
        <v>3</v>
      </c>
      <c r="U764">
        <v>1</v>
      </c>
      <c r="V764" t="s">
        <v>94</v>
      </c>
      <c r="W764">
        <v>74</v>
      </c>
      <c r="X764">
        <v>15</v>
      </c>
      <c r="Y764">
        <v>10</v>
      </c>
      <c r="Z764" t="s">
        <v>1062</v>
      </c>
      <c r="AA764" t="s">
        <v>1063</v>
      </c>
      <c r="AB764" t="s">
        <v>89</v>
      </c>
      <c r="AC764" t="s">
        <v>90</v>
      </c>
      <c r="AD764" t="s">
        <v>91</v>
      </c>
      <c r="AE764" t="s">
        <v>856</v>
      </c>
      <c r="AG764" t="s">
        <v>1064</v>
      </c>
      <c r="AH764">
        <v>0</v>
      </c>
      <c r="AI764">
        <v>215</v>
      </c>
      <c r="AJ764">
        <v>19</v>
      </c>
      <c r="AK764">
        <v>317</v>
      </c>
      <c r="AL764">
        <v>0.72</v>
      </c>
    </row>
    <row r="765" spans="1:38" x14ac:dyDescent="0.3">
      <c r="A765" t="s">
        <v>852</v>
      </c>
      <c r="B765">
        <v>1472</v>
      </c>
      <c r="C765">
        <v>2</v>
      </c>
      <c r="D765" t="s">
        <v>1061</v>
      </c>
      <c r="E765">
        <v>1992.08</v>
      </c>
      <c r="F765">
        <v>438</v>
      </c>
      <c r="G765">
        <v>26.9</v>
      </c>
      <c r="H765">
        <v>88.93</v>
      </c>
      <c r="I765">
        <v>22.04</v>
      </c>
      <c r="J765">
        <v>72.89</v>
      </c>
      <c r="K765">
        <v>60</v>
      </c>
      <c r="T765">
        <v>3</v>
      </c>
      <c r="U765">
        <v>2</v>
      </c>
      <c r="V765" t="s">
        <v>94</v>
      </c>
      <c r="W765">
        <v>88</v>
      </c>
      <c r="X765">
        <v>15</v>
      </c>
      <c r="Y765">
        <v>10</v>
      </c>
      <c r="Z765" t="s">
        <v>1062</v>
      </c>
      <c r="AA765" t="s">
        <v>1063</v>
      </c>
      <c r="AB765" t="s">
        <v>89</v>
      </c>
      <c r="AC765" t="s">
        <v>90</v>
      </c>
      <c r="AD765" t="s">
        <v>91</v>
      </c>
      <c r="AE765" t="s">
        <v>856</v>
      </c>
      <c r="AG765" t="s">
        <v>1064</v>
      </c>
      <c r="AH765">
        <v>0</v>
      </c>
      <c r="AI765">
        <v>215</v>
      </c>
      <c r="AJ765">
        <v>19</v>
      </c>
      <c r="AK765">
        <v>317</v>
      </c>
      <c r="AL765">
        <v>0.72</v>
      </c>
    </row>
    <row r="766" spans="1:38" x14ac:dyDescent="0.3">
      <c r="A766" t="s">
        <v>852</v>
      </c>
      <c r="B766">
        <v>1472</v>
      </c>
      <c r="C766">
        <v>3</v>
      </c>
      <c r="D766" t="s">
        <v>1061</v>
      </c>
      <c r="E766">
        <v>1992.08</v>
      </c>
      <c r="F766">
        <v>438</v>
      </c>
      <c r="G766">
        <v>31.18</v>
      </c>
      <c r="H766">
        <v>103.08</v>
      </c>
      <c r="I766">
        <v>25.68</v>
      </c>
      <c r="J766">
        <v>84.9</v>
      </c>
      <c r="K766">
        <v>288</v>
      </c>
      <c r="T766">
        <v>3</v>
      </c>
      <c r="U766">
        <v>2</v>
      </c>
      <c r="V766" t="s">
        <v>94</v>
      </c>
      <c r="W766">
        <v>103</v>
      </c>
      <c r="X766">
        <v>15</v>
      </c>
      <c r="Y766">
        <v>10</v>
      </c>
      <c r="Z766" t="s">
        <v>1062</v>
      </c>
      <c r="AA766" t="s">
        <v>1063</v>
      </c>
      <c r="AB766" t="s">
        <v>89</v>
      </c>
      <c r="AC766" t="s">
        <v>90</v>
      </c>
      <c r="AD766" t="s">
        <v>91</v>
      </c>
      <c r="AE766" t="s">
        <v>856</v>
      </c>
      <c r="AG766" t="s">
        <v>1064</v>
      </c>
      <c r="AH766">
        <v>0</v>
      </c>
      <c r="AI766">
        <v>215</v>
      </c>
      <c r="AJ766">
        <v>19</v>
      </c>
      <c r="AK766">
        <v>317</v>
      </c>
      <c r="AL766">
        <v>0.72</v>
      </c>
    </row>
    <row r="767" spans="1:38" x14ac:dyDescent="0.3">
      <c r="A767" t="s">
        <v>852</v>
      </c>
      <c r="B767">
        <v>148980</v>
      </c>
      <c r="C767">
        <v>1</v>
      </c>
      <c r="D767" t="s">
        <v>1065</v>
      </c>
      <c r="E767">
        <v>2024.1</v>
      </c>
      <c r="F767">
        <v>304</v>
      </c>
      <c r="G767">
        <v>25.66</v>
      </c>
      <c r="H767">
        <v>84.84</v>
      </c>
      <c r="I767">
        <v>18.12</v>
      </c>
      <c r="J767">
        <v>59.91</v>
      </c>
      <c r="K767">
        <v>16</v>
      </c>
      <c r="T767">
        <v>3</v>
      </c>
      <c r="U767">
        <v>2</v>
      </c>
      <c r="V767" t="s">
        <v>94</v>
      </c>
      <c r="W767" t="s">
        <v>1066</v>
      </c>
      <c r="X767">
        <v>29</v>
      </c>
      <c r="Y767">
        <v>23</v>
      </c>
      <c r="Z767" t="s">
        <v>1067</v>
      </c>
      <c r="AA767" t="s">
        <v>1068</v>
      </c>
      <c r="AB767" t="s">
        <v>89</v>
      </c>
      <c r="AC767" t="s">
        <v>90</v>
      </c>
      <c r="AD767" t="s">
        <v>91</v>
      </c>
      <c r="AE767" t="s">
        <v>856</v>
      </c>
      <c r="AG767" t="s">
        <v>438</v>
      </c>
      <c r="AH767">
        <v>140</v>
      </c>
      <c r="AI767">
        <v>249</v>
      </c>
      <c r="AJ767">
        <v>18</v>
      </c>
      <c r="AK767">
        <v>419</v>
      </c>
      <c r="AL767">
        <v>1.38</v>
      </c>
    </row>
    <row r="768" spans="1:38" x14ac:dyDescent="0.3">
      <c r="A768" t="s">
        <v>852</v>
      </c>
      <c r="B768">
        <v>148980</v>
      </c>
      <c r="C768">
        <v>2</v>
      </c>
      <c r="D768" t="s">
        <v>1065</v>
      </c>
      <c r="E768">
        <v>2024.1</v>
      </c>
      <c r="F768">
        <v>304</v>
      </c>
      <c r="G768">
        <v>41.36</v>
      </c>
      <c r="H768">
        <v>136.76</v>
      </c>
      <c r="I768">
        <v>31.37</v>
      </c>
      <c r="J768">
        <v>103.72</v>
      </c>
      <c r="K768">
        <v>148</v>
      </c>
      <c r="T768">
        <v>3</v>
      </c>
      <c r="U768">
        <v>2</v>
      </c>
      <c r="V768" t="s">
        <v>94</v>
      </c>
      <c r="W768">
        <v>136</v>
      </c>
      <c r="X768">
        <v>29</v>
      </c>
      <c r="Y768">
        <v>23</v>
      </c>
      <c r="Z768" t="s">
        <v>1067</v>
      </c>
      <c r="AA768" t="s">
        <v>1068</v>
      </c>
      <c r="AB768" t="s">
        <v>89</v>
      </c>
      <c r="AC768" t="s">
        <v>90</v>
      </c>
      <c r="AD768" t="s">
        <v>91</v>
      </c>
      <c r="AE768" t="s">
        <v>856</v>
      </c>
      <c r="AG768" t="s">
        <v>438</v>
      </c>
      <c r="AH768">
        <v>140</v>
      </c>
      <c r="AI768">
        <v>249</v>
      </c>
      <c r="AJ768">
        <v>18</v>
      </c>
      <c r="AK768">
        <v>419</v>
      </c>
      <c r="AL768">
        <v>1.38</v>
      </c>
    </row>
    <row r="769" spans="1:38" x14ac:dyDescent="0.3">
      <c r="A769" t="s">
        <v>852</v>
      </c>
      <c r="B769">
        <v>18830</v>
      </c>
      <c r="C769">
        <v>1</v>
      </c>
      <c r="D769" t="s">
        <v>1069</v>
      </c>
      <c r="E769">
        <v>2006.01</v>
      </c>
      <c r="F769">
        <v>71</v>
      </c>
      <c r="G769">
        <v>30</v>
      </c>
      <c r="H769">
        <v>99.2</v>
      </c>
      <c r="I769">
        <v>24.19</v>
      </c>
      <c r="J769">
        <v>79.97</v>
      </c>
      <c r="K769">
        <v>2</v>
      </c>
      <c r="T769">
        <v>3</v>
      </c>
      <c r="U769">
        <v>2</v>
      </c>
      <c r="V769" t="s">
        <v>94</v>
      </c>
      <c r="W769">
        <v>99</v>
      </c>
      <c r="X769">
        <v>14</v>
      </c>
      <c r="Y769">
        <v>11</v>
      </c>
      <c r="Z769" t="s">
        <v>1070</v>
      </c>
      <c r="AA769" t="s">
        <v>1071</v>
      </c>
      <c r="AB769" t="s">
        <v>89</v>
      </c>
      <c r="AC769" t="s">
        <v>90</v>
      </c>
      <c r="AD769" t="s">
        <v>91</v>
      </c>
      <c r="AE769" t="s">
        <v>856</v>
      </c>
      <c r="AG769" t="s">
        <v>1072</v>
      </c>
      <c r="AH769">
        <v>0</v>
      </c>
      <c r="AI769">
        <v>0</v>
      </c>
      <c r="AJ769">
        <v>0</v>
      </c>
      <c r="AK769">
        <v>77</v>
      </c>
      <c r="AL769">
        <v>1.08</v>
      </c>
    </row>
    <row r="770" spans="1:38" x14ac:dyDescent="0.3">
      <c r="A770" t="s">
        <v>852</v>
      </c>
      <c r="B770">
        <v>18830</v>
      </c>
      <c r="C770">
        <v>2</v>
      </c>
      <c r="D770" t="s">
        <v>1069</v>
      </c>
      <c r="E770">
        <v>2006.01</v>
      </c>
      <c r="F770">
        <v>71</v>
      </c>
      <c r="G770">
        <v>31.81</v>
      </c>
      <c r="H770">
        <v>105.19</v>
      </c>
      <c r="I770">
        <v>25.69</v>
      </c>
      <c r="J770">
        <v>84.93</v>
      </c>
      <c r="K770">
        <v>25</v>
      </c>
      <c r="T770">
        <v>3</v>
      </c>
      <c r="U770">
        <v>2</v>
      </c>
      <c r="V770" t="s">
        <v>94</v>
      </c>
      <c r="W770" t="s">
        <v>487</v>
      </c>
      <c r="X770">
        <v>14</v>
      </c>
      <c r="Y770">
        <v>11</v>
      </c>
      <c r="Z770" t="s">
        <v>1070</v>
      </c>
      <c r="AA770" t="s">
        <v>1071</v>
      </c>
      <c r="AB770" t="s">
        <v>89</v>
      </c>
      <c r="AC770" t="s">
        <v>90</v>
      </c>
      <c r="AD770" t="s">
        <v>91</v>
      </c>
      <c r="AE770" t="s">
        <v>856</v>
      </c>
      <c r="AG770" t="s">
        <v>1072</v>
      </c>
      <c r="AH770">
        <v>0</v>
      </c>
      <c r="AI770">
        <v>0</v>
      </c>
      <c r="AJ770">
        <v>0</v>
      </c>
      <c r="AK770">
        <v>77</v>
      </c>
      <c r="AL770">
        <v>1.08</v>
      </c>
    </row>
    <row r="771" spans="1:38" x14ac:dyDescent="0.3">
      <c r="A771" t="s">
        <v>852</v>
      </c>
      <c r="B771">
        <v>18830</v>
      </c>
      <c r="C771">
        <v>3</v>
      </c>
      <c r="D771" t="s">
        <v>1069</v>
      </c>
      <c r="E771">
        <v>2006.01</v>
      </c>
      <c r="F771">
        <v>71</v>
      </c>
      <c r="G771">
        <v>31.78</v>
      </c>
      <c r="H771">
        <v>105.09</v>
      </c>
      <c r="I771">
        <v>25.7</v>
      </c>
      <c r="J771">
        <v>84.99</v>
      </c>
      <c r="K771">
        <v>22</v>
      </c>
      <c r="T771">
        <v>3</v>
      </c>
      <c r="U771">
        <v>2</v>
      </c>
      <c r="V771" t="s">
        <v>94</v>
      </c>
      <c r="W771" t="s">
        <v>621</v>
      </c>
      <c r="X771">
        <v>14</v>
      </c>
      <c r="Y771">
        <v>11</v>
      </c>
      <c r="Z771" t="s">
        <v>1070</v>
      </c>
      <c r="AA771" t="s">
        <v>1071</v>
      </c>
      <c r="AB771" t="s">
        <v>89</v>
      </c>
      <c r="AC771" t="s">
        <v>90</v>
      </c>
      <c r="AD771" t="s">
        <v>91</v>
      </c>
      <c r="AE771" t="s">
        <v>856</v>
      </c>
      <c r="AG771" t="s">
        <v>1072</v>
      </c>
      <c r="AH771">
        <v>0</v>
      </c>
      <c r="AI771">
        <v>0</v>
      </c>
      <c r="AJ771">
        <v>0</v>
      </c>
      <c r="AK771">
        <v>77</v>
      </c>
      <c r="AL771">
        <v>1.08</v>
      </c>
    </row>
    <row r="772" spans="1:38" x14ac:dyDescent="0.3">
      <c r="A772" t="s">
        <v>852</v>
      </c>
      <c r="B772">
        <v>18830</v>
      </c>
      <c r="C772">
        <v>4</v>
      </c>
      <c r="D772" t="s">
        <v>1069</v>
      </c>
      <c r="E772">
        <v>2006.01</v>
      </c>
      <c r="F772">
        <v>71</v>
      </c>
      <c r="G772">
        <v>31.91</v>
      </c>
      <c r="H772">
        <v>105.52</v>
      </c>
      <c r="I772">
        <v>25.69</v>
      </c>
      <c r="J772">
        <v>84.94</v>
      </c>
      <c r="K772">
        <v>22</v>
      </c>
      <c r="T772">
        <v>3</v>
      </c>
      <c r="U772">
        <v>2</v>
      </c>
      <c r="V772" t="s">
        <v>94</v>
      </c>
      <c r="W772" t="s">
        <v>620</v>
      </c>
      <c r="X772">
        <v>14</v>
      </c>
      <c r="Y772">
        <v>11</v>
      </c>
      <c r="Z772" t="s">
        <v>1070</v>
      </c>
      <c r="AA772" t="s">
        <v>1071</v>
      </c>
      <c r="AB772" t="s">
        <v>89</v>
      </c>
      <c r="AC772" t="s">
        <v>90</v>
      </c>
      <c r="AD772" t="s">
        <v>91</v>
      </c>
      <c r="AE772" t="s">
        <v>856</v>
      </c>
      <c r="AG772" t="s">
        <v>1072</v>
      </c>
      <c r="AH772">
        <v>0</v>
      </c>
      <c r="AI772">
        <v>0</v>
      </c>
      <c r="AJ772">
        <v>0</v>
      </c>
      <c r="AK772">
        <v>77</v>
      </c>
      <c r="AL772">
        <v>1.08</v>
      </c>
    </row>
    <row r="773" spans="1:38" x14ac:dyDescent="0.3">
      <c r="A773" t="s">
        <v>852</v>
      </c>
      <c r="B773">
        <v>123900</v>
      </c>
      <c r="C773">
        <v>1</v>
      </c>
      <c r="D773" t="s">
        <v>1073</v>
      </c>
      <c r="E773">
        <v>2022.05</v>
      </c>
      <c r="F773">
        <v>855</v>
      </c>
      <c r="G773">
        <v>17.27</v>
      </c>
      <c r="H773">
        <v>57.12</v>
      </c>
      <c r="I773">
        <v>11.17</v>
      </c>
      <c r="J773">
        <v>36.94</v>
      </c>
      <c r="K773">
        <v>40</v>
      </c>
      <c r="T773">
        <v>2</v>
      </c>
      <c r="U773">
        <v>1</v>
      </c>
      <c r="V773" t="s">
        <v>94</v>
      </c>
      <c r="W773" t="s">
        <v>682</v>
      </c>
      <c r="X773">
        <v>37</v>
      </c>
      <c r="Y773">
        <v>25</v>
      </c>
      <c r="Z773" t="s">
        <v>1074</v>
      </c>
      <c r="AA773" t="s">
        <v>1075</v>
      </c>
      <c r="AB773" t="s">
        <v>89</v>
      </c>
      <c r="AC773" t="s">
        <v>90</v>
      </c>
      <c r="AD773" t="s">
        <v>91</v>
      </c>
      <c r="AE773" t="s">
        <v>856</v>
      </c>
      <c r="AG773" t="s">
        <v>1076</v>
      </c>
      <c r="AH773">
        <v>69</v>
      </c>
      <c r="AI773">
        <v>263</v>
      </c>
      <c r="AJ773">
        <v>17</v>
      </c>
      <c r="AK773">
        <v>1060</v>
      </c>
      <c r="AL773">
        <v>1.24</v>
      </c>
    </row>
    <row r="774" spans="1:38" x14ac:dyDescent="0.3">
      <c r="A774" t="s">
        <v>852</v>
      </c>
      <c r="B774">
        <v>123900</v>
      </c>
      <c r="C774">
        <v>2</v>
      </c>
      <c r="D774" t="s">
        <v>1073</v>
      </c>
      <c r="E774">
        <v>2022.05</v>
      </c>
      <c r="F774">
        <v>855</v>
      </c>
      <c r="G774">
        <v>19.989999999999998</v>
      </c>
      <c r="H774">
        <v>66.11</v>
      </c>
      <c r="I774">
        <v>13.03</v>
      </c>
      <c r="J774">
        <v>43.1</v>
      </c>
      <c r="K774">
        <v>20</v>
      </c>
      <c r="T774">
        <v>2</v>
      </c>
      <c r="U774">
        <v>1</v>
      </c>
      <c r="V774" t="s">
        <v>94</v>
      </c>
      <c r="W774" t="s">
        <v>599</v>
      </c>
      <c r="X774">
        <v>37</v>
      </c>
      <c r="Y774">
        <v>25</v>
      </c>
      <c r="Z774" t="s">
        <v>1074</v>
      </c>
      <c r="AA774" t="s">
        <v>1075</v>
      </c>
      <c r="AB774" t="s">
        <v>89</v>
      </c>
      <c r="AC774" t="s">
        <v>90</v>
      </c>
      <c r="AD774" t="s">
        <v>91</v>
      </c>
      <c r="AE774" t="s">
        <v>856</v>
      </c>
      <c r="AG774" t="s">
        <v>1076</v>
      </c>
      <c r="AH774">
        <v>69</v>
      </c>
      <c r="AI774">
        <v>263</v>
      </c>
      <c r="AJ774">
        <v>17</v>
      </c>
      <c r="AK774">
        <v>1060</v>
      </c>
      <c r="AL774">
        <v>1.24</v>
      </c>
    </row>
    <row r="775" spans="1:38" x14ac:dyDescent="0.3">
      <c r="A775" t="s">
        <v>852</v>
      </c>
      <c r="B775">
        <v>123900</v>
      </c>
      <c r="C775">
        <v>3</v>
      </c>
      <c r="D775" t="s">
        <v>1073</v>
      </c>
      <c r="E775">
        <v>2022.05</v>
      </c>
      <c r="F775">
        <v>855</v>
      </c>
      <c r="G775">
        <v>20.309999999999999</v>
      </c>
      <c r="H775">
        <v>67.150000000000006</v>
      </c>
      <c r="I775">
        <v>13.04</v>
      </c>
      <c r="J775">
        <v>43.11</v>
      </c>
      <c r="K775">
        <v>17</v>
      </c>
      <c r="T775">
        <v>2</v>
      </c>
      <c r="U775">
        <v>1</v>
      </c>
      <c r="V775" t="s">
        <v>94</v>
      </c>
      <c r="W775" t="s">
        <v>1077</v>
      </c>
      <c r="X775">
        <v>37</v>
      </c>
      <c r="Y775">
        <v>25</v>
      </c>
      <c r="Z775" t="s">
        <v>1074</v>
      </c>
      <c r="AA775" t="s">
        <v>1075</v>
      </c>
      <c r="AB775" t="s">
        <v>89</v>
      </c>
      <c r="AC775" t="s">
        <v>90</v>
      </c>
      <c r="AD775" t="s">
        <v>91</v>
      </c>
      <c r="AE775" t="s">
        <v>856</v>
      </c>
      <c r="AG775" t="s">
        <v>1076</v>
      </c>
      <c r="AH775">
        <v>69</v>
      </c>
      <c r="AI775">
        <v>263</v>
      </c>
      <c r="AJ775">
        <v>17</v>
      </c>
      <c r="AK775">
        <v>1060</v>
      </c>
      <c r="AL775">
        <v>1.24</v>
      </c>
    </row>
    <row r="776" spans="1:38" x14ac:dyDescent="0.3">
      <c r="A776" t="s">
        <v>852</v>
      </c>
      <c r="B776">
        <v>123900</v>
      </c>
      <c r="C776">
        <v>4</v>
      </c>
      <c r="D776" t="s">
        <v>1073</v>
      </c>
      <c r="E776">
        <v>2022.05</v>
      </c>
      <c r="F776">
        <v>855</v>
      </c>
      <c r="G776">
        <v>24.24</v>
      </c>
      <c r="H776">
        <v>80.150000000000006</v>
      </c>
      <c r="I776">
        <v>18.14</v>
      </c>
      <c r="J776">
        <v>59.99</v>
      </c>
      <c r="K776">
        <v>30</v>
      </c>
      <c r="T776">
        <v>3</v>
      </c>
      <c r="U776">
        <v>2</v>
      </c>
      <c r="V776" t="s">
        <v>94</v>
      </c>
      <c r="W776" t="s">
        <v>1078</v>
      </c>
      <c r="X776">
        <v>37</v>
      </c>
      <c r="Y776">
        <v>25</v>
      </c>
      <c r="Z776" t="s">
        <v>1074</v>
      </c>
      <c r="AA776" t="s">
        <v>1075</v>
      </c>
      <c r="AB776" t="s">
        <v>89</v>
      </c>
      <c r="AC776" t="s">
        <v>90</v>
      </c>
      <c r="AD776" t="s">
        <v>91</v>
      </c>
      <c r="AE776" t="s">
        <v>856</v>
      </c>
      <c r="AG776" t="s">
        <v>1076</v>
      </c>
      <c r="AH776">
        <v>69</v>
      </c>
      <c r="AI776">
        <v>263</v>
      </c>
      <c r="AJ776">
        <v>17</v>
      </c>
      <c r="AK776">
        <v>1060</v>
      </c>
      <c r="AL776">
        <v>1.24</v>
      </c>
    </row>
    <row r="777" spans="1:38" x14ac:dyDescent="0.3">
      <c r="A777" t="s">
        <v>852</v>
      </c>
      <c r="B777">
        <v>123900</v>
      </c>
      <c r="C777">
        <v>5</v>
      </c>
      <c r="D777" t="s">
        <v>1073</v>
      </c>
      <c r="E777">
        <v>2022.05</v>
      </c>
      <c r="F777">
        <v>855</v>
      </c>
      <c r="G777">
        <v>24.55</v>
      </c>
      <c r="H777">
        <v>81.180000000000007</v>
      </c>
      <c r="I777">
        <v>18.14</v>
      </c>
      <c r="J777">
        <v>59.99</v>
      </c>
      <c r="K777">
        <v>26</v>
      </c>
      <c r="T777">
        <v>3</v>
      </c>
      <c r="U777">
        <v>2</v>
      </c>
      <c r="V777" t="s">
        <v>94</v>
      </c>
      <c r="W777" t="s">
        <v>464</v>
      </c>
      <c r="X777">
        <v>37</v>
      </c>
      <c r="Y777">
        <v>25</v>
      </c>
      <c r="Z777" t="s">
        <v>1074</v>
      </c>
      <c r="AA777" t="s">
        <v>1075</v>
      </c>
      <c r="AB777" t="s">
        <v>89</v>
      </c>
      <c r="AC777" t="s">
        <v>90</v>
      </c>
      <c r="AD777" t="s">
        <v>91</v>
      </c>
      <c r="AE777" t="s">
        <v>856</v>
      </c>
      <c r="AG777" t="s">
        <v>1076</v>
      </c>
      <c r="AH777">
        <v>69</v>
      </c>
      <c r="AI777">
        <v>263</v>
      </c>
      <c r="AJ777">
        <v>17</v>
      </c>
      <c r="AK777">
        <v>1060</v>
      </c>
      <c r="AL777">
        <v>1.24</v>
      </c>
    </row>
    <row r="778" spans="1:38" x14ac:dyDescent="0.3">
      <c r="A778" t="s">
        <v>852</v>
      </c>
      <c r="B778">
        <v>123900</v>
      </c>
      <c r="C778">
        <v>6</v>
      </c>
      <c r="D778" t="s">
        <v>1073</v>
      </c>
      <c r="E778">
        <v>2022.05</v>
      </c>
      <c r="F778">
        <v>855</v>
      </c>
      <c r="G778">
        <v>24.58</v>
      </c>
      <c r="H778">
        <v>81.27</v>
      </c>
      <c r="I778">
        <v>18.14</v>
      </c>
      <c r="J778">
        <v>59.99</v>
      </c>
      <c r="K778">
        <v>21</v>
      </c>
      <c r="T778">
        <v>3</v>
      </c>
      <c r="U778">
        <v>2</v>
      </c>
      <c r="V778" t="s">
        <v>94</v>
      </c>
      <c r="W778" t="s">
        <v>1079</v>
      </c>
      <c r="X778">
        <v>37</v>
      </c>
      <c r="Y778">
        <v>25</v>
      </c>
      <c r="Z778" t="s">
        <v>1074</v>
      </c>
      <c r="AA778" t="s">
        <v>1075</v>
      </c>
      <c r="AB778" t="s">
        <v>89</v>
      </c>
      <c r="AC778" t="s">
        <v>90</v>
      </c>
      <c r="AD778" t="s">
        <v>91</v>
      </c>
      <c r="AE778" t="s">
        <v>856</v>
      </c>
      <c r="AG778" t="s">
        <v>1076</v>
      </c>
      <c r="AH778">
        <v>69</v>
      </c>
      <c r="AI778">
        <v>263</v>
      </c>
      <c r="AJ778">
        <v>17</v>
      </c>
      <c r="AK778">
        <v>1060</v>
      </c>
      <c r="AL778">
        <v>1.24</v>
      </c>
    </row>
    <row r="779" spans="1:38" x14ac:dyDescent="0.3">
      <c r="A779" t="s">
        <v>852</v>
      </c>
      <c r="B779">
        <v>123900</v>
      </c>
      <c r="C779">
        <v>7</v>
      </c>
      <c r="D779" t="s">
        <v>1073</v>
      </c>
      <c r="E779">
        <v>2022.05</v>
      </c>
      <c r="F779">
        <v>855</v>
      </c>
      <c r="G779">
        <v>24.87</v>
      </c>
      <c r="H779">
        <v>82.23</v>
      </c>
      <c r="I779">
        <v>18.14</v>
      </c>
      <c r="J779">
        <v>59.99</v>
      </c>
      <c r="K779">
        <v>18</v>
      </c>
      <c r="T779">
        <v>3</v>
      </c>
      <c r="U779">
        <v>2</v>
      </c>
      <c r="V779" t="s">
        <v>94</v>
      </c>
      <c r="W779" t="s">
        <v>1080</v>
      </c>
      <c r="X779">
        <v>37</v>
      </c>
      <c r="Y779">
        <v>25</v>
      </c>
      <c r="Z779" t="s">
        <v>1074</v>
      </c>
      <c r="AA779" t="s">
        <v>1075</v>
      </c>
      <c r="AB779" t="s">
        <v>89</v>
      </c>
      <c r="AC779" t="s">
        <v>90</v>
      </c>
      <c r="AD779" t="s">
        <v>91</v>
      </c>
      <c r="AE779" t="s">
        <v>856</v>
      </c>
      <c r="AG779" t="s">
        <v>1076</v>
      </c>
      <c r="AH779">
        <v>69</v>
      </c>
      <c r="AI779">
        <v>263</v>
      </c>
      <c r="AJ779">
        <v>17</v>
      </c>
      <c r="AK779">
        <v>1060</v>
      </c>
      <c r="AL779">
        <v>1.24</v>
      </c>
    </row>
    <row r="780" spans="1:38" x14ac:dyDescent="0.3">
      <c r="A780" t="s">
        <v>852</v>
      </c>
      <c r="B780">
        <v>123900</v>
      </c>
      <c r="C780">
        <v>8</v>
      </c>
      <c r="D780" t="s">
        <v>1073</v>
      </c>
      <c r="E780">
        <v>2022.05</v>
      </c>
      <c r="F780">
        <v>855</v>
      </c>
      <c r="G780">
        <v>25.68</v>
      </c>
      <c r="H780">
        <v>84.9</v>
      </c>
      <c r="I780">
        <v>18.14</v>
      </c>
      <c r="J780">
        <v>59.99</v>
      </c>
      <c r="K780">
        <v>24</v>
      </c>
      <c r="T780">
        <v>3</v>
      </c>
      <c r="U780">
        <v>2</v>
      </c>
      <c r="V780" t="s">
        <v>94</v>
      </c>
      <c r="W780" t="s">
        <v>1081</v>
      </c>
      <c r="X780">
        <v>37</v>
      </c>
      <c r="Y780">
        <v>25</v>
      </c>
      <c r="Z780" t="s">
        <v>1074</v>
      </c>
      <c r="AA780" t="s">
        <v>1075</v>
      </c>
      <c r="AB780" t="s">
        <v>89</v>
      </c>
      <c r="AC780" t="s">
        <v>90</v>
      </c>
      <c r="AD780" t="s">
        <v>91</v>
      </c>
      <c r="AE780" t="s">
        <v>856</v>
      </c>
      <c r="AG780" t="s">
        <v>1076</v>
      </c>
      <c r="AH780">
        <v>69</v>
      </c>
      <c r="AI780">
        <v>263</v>
      </c>
      <c r="AJ780">
        <v>17</v>
      </c>
      <c r="AK780">
        <v>1060</v>
      </c>
      <c r="AL780">
        <v>1.24</v>
      </c>
    </row>
    <row r="781" spans="1:38" x14ac:dyDescent="0.3">
      <c r="A781" t="s">
        <v>852</v>
      </c>
      <c r="B781">
        <v>123900</v>
      </c>
      <c r="C781">
        <v>9</v>
      </c>
      <c r="D781" t="s">
        <v>1073</v>
      </c>
      <c r="E781">
        <v>2022.05</v>
      </c>
      <c r="F781">
        <v>855</v>
      </c>
      <c r="G781">
        <v>25.84</v>
      </c>
      <c r="H781">
        <v>85.45</v>
      </c>
      <c r="I781">
        <v>18.14</v>
      </c>
      <c r="J781">
        <v>59.99</v>
      </c>
      <c r="K781">
        <v>28</v>
      </c>
      <c r="T781">
        <v>3</v>
      </c>
      <c r="U781">
        <v>2</v>
      </c>
      <c r="V781" t="s">
        <v>94</v>
      </c>
      <c r="W781" t="s">
        <v>957</v>
      </c>
      <c r="X781">
        <v>37</v>
      </c>
      <c r="Y781">
        <v>25</v>
      </c>
      <c r="Z781" t="s">
        <v>1074</v>
      </c>
      <c r="AA781" t="s">
        <v>1075</v>
      </c>
      <c r="AB781" t="s">
        <v>89</v>
      </c>
      <c r="AC781" t="s">
        <v>90</v>
      </c>
      <c r="AD781" t="s">
        <v>91</v>
      </c>
      <c r="AE781" t="s">
        <v>856</v>
      </c>
      <c r="AG781" t="s">
        <v>1076</v>
      </c>
      <c r="AH781">
        <v>69</v>
      </c>
      <c r="AI781">
        <v>263</v>
      </c>
      <c r="AJ781">
        <v>17</v>
      </c>
      <c r="AK781">
        <v>1060</v>
      </c>
      <c r="AL781">
        <v>1.24</v>
      </c>
    </row>
    <row r="782" spans="1:38" x14ac:dyDescent="0.3">
      <c r="A782" t="s">
        <v>852</v>
      </c>
      <c r="B782">
        <v>123900</v>
      </c>
      <c r="C782">
        <v>10</v>
      </c>
      <c r="D782" t="s">
        <v>1073</v>
      </c>
      <c r="E782">
        <v>2022.05</v>
      </c>
      <c r="F782">
        <v>855</v>
      </c>
      <c r="G782">
        <v>25.79</v>
      </c>
      <c r="H782">
        <v>85.26</v>
      </c>
      <c r="I782">
        <v>18.14</v>
      </c>
      <c r="J782">
        <v>59.99</v>
      </c>
      <c r="K782">
        <v>24</v>
      </c>
      <c r="T782">
        <v>3</v>
      </c>
      <c r="U782">
        <v>2</v>
      </c>
      <c r="V782" t="s">
        <v>94</v>
      </c>
      <c r="W782" t="s">
        <v>628</v>
      </c>
      <c r="X782">
        <v>37</v>
      </c>
      <c r="Y782">
        <v>25</v>
      </c>
      <c r="Z782" t="s">
        <v>1074</v>
      </c>
      <c r="AA782" t="s">
        <v>1075</v>
      </c>
      <c r="AB782" t="s">
        <v>89</v>
      </c>
      <c r="AC782" t="s">
        <v>90</v>
      </c>
      <c r="AD782" t="s">
        <v>91</v>
      </c>
      <c r="AE782" t="s">
        <v>856</v>
      </c>
      <c r="AG782" t="s">
        <v>1076</v>
      </c>
      <c r="AH782">
        <v>69</v>
      </c>
      <c r="AI782">
        <v>263</v>
      </c>
      <c r="AJ782">
        <v>17</v>
      </c>
      <c r="AK782">
        <v>1060</v>
      </c>
      <c r="AL782">
        <v>1.24</v>
      </c>
    </row>
    <row r="783" spans="1:38" x14ac:dyDescent="0.3">
      <c r="A783" t="s">
        <v>852</v>
      </c>
      <c r="B783">
        <v>123900</v>
      </c>
      <c r="C783">
        <v>11</v>
      </c>
      <c r="D783" t="s">
        <v>1073</v>
      </c>
      <c r="E783">
        <v>2022.05</v>
      </c>
      <c r="F783">
        <v>855</v>
      </c>
      <c r="G783">
        <v>26.54</v>
      </c>
      <c r="H783">
        <v>87.75</v>
      </c>
      <c r="I783">
        <v>18.14</v>
      </c>
      <c r="J783">
        <v>59.99</v>
      </c>
      <c r="K783">
        <v>37</v>
      </c>
      <c r="T783">
        <v>3</v>
      </c>
      <c r="U783">
        <v>2</v>
      </c>
      <c r="V783" t="s">
        <v>94</v>
      </c>
      <c r="W783" t="s">
        <v>1082</v>
      </c>
      <c r="X783">
        <v>37</v>
      </c>
      <c r="Y783">
        <v>25</v>
      </c>
      <c r="Z783" t="s">
        <v>1074</v>
      </c>
      <c r="AA783" t="s">
        <v>1075</v>
      </c>
      <c r="AB783" t="s">
        <v>89</v>
      </c>
      <c r="AC783" t="s">
        <v>90</v>
      </c>
      <c r="AD783" t="s">
        <v>91</v>
      </c>
      <c r="AE783" t="s">
        <v>856</v>
      </c>
      <c r="AG783" t="s">
        <v>1076</v>
      </c>
      <c r="AH783">
        <v>69</v>
      </c>
      <c r="AI783">
        <v>263</v>
      </c>
      <c r="AJ783">
        <v>17</v>
      </c>
      <c r="AK783">
        <v>1060</v>
      </c>
      <c r="AL783">
        <v>1.24</v>
      </c>
    </row>
    <row r="784" spans="1:38" x14ac:dyDescent="0.3">
      <c r="A784" t="s">
        <v>852</v>
      </c>
      <c r="B784">
        <v>123900</v>
      </c>
      <c r="C784">
        <v>12</v>
      </c>
      <c r="D784" t="s">
        <v>1073</v>
      </c>
      <c r="E784">
        <v>2022.05</v>
      </c>
      <c r="F784">
        <v>855</v>
      </c>
      <c r="G784">
        <v>28.28</v>
      </c>
      <c r="H784">
        <v>93.52</v>
      </c>
      <c r="I784">
        <v>21.19</v>
      </c>
      <c r="J784">
        <v>70.06</v>
      </c>
      <c r="K784">
        <v>33</v>
      </c>
      <c r="T784">
        <v>3</v>
      </c>
      <c r="U784">
        <v>2</v>
      </c>
      <c r="V784" t="s">
        <v>94</v>
      </c>
      <c r="W784" t="s">
        <v>613</v>
      </c>
      <c r="X784">
        <v>37</v>
      </c>
      <c r="Y784">
        <v>25</v>
      </c>
      <c r="Z784" t="s">
        <v>1074</v>
      </c>
      <c r="AA784" t="s">
        <v>1075</v>
      </c>
      <c r="AB784" t="s">
        <v>89</v>
      </c>
      <c r="AC784" t="s">
        <v>90</v>
      </c>
      <c r="AD784" t="s">
        <v>91</v>
      </c>
      <c r="AE784" t="s">
        <v>856</v>
      </c>
      <c r="AG784" t="s">
        <v>1076</v>
      </c>
      <c r="AH784">
        <v>69</v>
      </c>
      <c r="AI784">
        <v>263</v>
      </c>
      <c r="AJ784">
        <v>17</v>
      </c>
      <c r="AK784">
        <v>1060</v>
      </c>
      <c r="AL784">
        <v>1.24</v>
      </c>
    </row>
    <row r="785" spans="1:38" x14ac:dyDescent="0.3">
      <c r="A785" t="s">
        <v>852</v>
      </c>
      <c r="B785">
        <v>123900</v>
      </c>
      <c r="C785">
        <v>13</v>
      </c>
      <c r="D785" t="s">
        <v>1073</v>
      </c>
      <c r="E785">
        <v>2022.05</v>
      </c>
      <c r="F785">
        <v>855</v>
      </c>
      <c r="G785">
        <v>28.68</v>
      </c>
      <c r="H785">
        <v>94.83</v>
      </c>
      <c r="I785">
        <v>21.19</v>
      </c>
      <c r="J785">
        <v>70.06</v>
      </c>
      <c r="K785">
        <v>16</v>
      </c>
      <c r="T785">
        <v>3</v>
      </c>
      <c r="U785">
        <v>2</v>
      </c>
      <c r="V785" t="s">
        <v>94</v>
      </c>
      <c r="W785" t="s">
        <v>701</v>
      </c>
      <c r="X785">
        <v>37</v>
      </c>
      <c r="Y785">
        <v>25</v>
      </c>
      <c r="Z785" t="s">
        <v>1074</v>
      </c>
      <c r="AA785" t="s">
        <v>1075</v>
      </c>
      <c r="AB785" t="s">
        <v>89</v>
      </c>
      <c r="AC785" t="s">
        <v>90</v>
      </c>
      <c r="AD785" t="s">
        <v>91</v>
      </c>
      <c r="AE785" t="s">
        <v>856</v>
      </c>
      <c r="AG785" t="s">
        <v>1076</v>
      </c>
      <c r="AH785">
        <v>69</v>
      </c>
      <c r="AI785">
        <v>263</v>
      </c>
      <c r="AJ785">
        <v>17</v>
      </c>
      <c r="AK785">
        <v>1060</v>
      </c>
      <c r="AL785">
        <v>1.24</v>
      </c>
    </row>
    <row r="786" spans="1:38" x14ac:dyDescent="0.3">
      <c r="A786" t="s">
        <v>852</v>
      </c>
      <c r="B786">
        <v>123900</v>
      </c>
      <c r="C786">
        <v>14</v>
      </c>
      <c r="D786" t="s">
        <v>1073</v>
      </c>
      <c r="E786">
        <v>2022.05</v>
      </c>
      <c r="F786">
        <v>855</v>
      </c>
      <c r="G786">
        <v>30.08</v>
      </c>
      <c r="H786">
        <v>99.46</v>
      </c>
      <c r="I786">
        <v>21.19</v>
      </c>
      <c r="J786">
        <v>70.06</v>
      </c>
      <c r="K786">
        <v>20</v>
      </c>
      <c r="T786">
        <v>3</v>
      </c>
      <c r="U786">
        <v>2</v>
      </c>
      <c r="V786" t="s">
        <v>94</v>
      </c>
      <c r="W786" t="s">
        <v>577</v>
      </c>
      <c r="X786">
        <v>37</v>
      </c>
      <c r="Y786">
        <v>25</v>
      </c>
      <c r="Z786" t="s">
        <v>1074</v>
      </c>
      <c r="AA786" t="s">
        <v>1075</v>
      </c>
      <c r="AB786" t="s">
        <v>89</v>
      </c>
      <c r="AC786" t="s">
        <v>90</v>
      </c>
      <c r="AD786" t="s">
        <v>91</v>
      </c>
      <c r="AE786" t="s">
        <v>856</v>
      </c>
      <c r="AG786" t="s">
        <v>1076</v>
      </c>
      <c r="AH786">
        <v>69</v>
      </c>
      <c r="AI786">
        <v>263</v>
      </c>
      <c r="AJ786">
        <v>17</v>
      </c>
      <c r="AK786">
        <v>1060</v>
      </c>
      <c r="AL786">
        <v>1.24</v>
      </c>
    </row>
    <row r="787" spans="1:38" x14ac:dyDescent="0.3">
      <c r="A787" t="s">
        <v>852</v>
      </c>
      <c r="B787">
        <v>123900</v>
      </c>
      <c r="C787">
        <v>15</v>
      </c>
      <c r="D787" t="s">
        <v>1073</v>
      </c>
      <c r="E787">
        <v>2022.05</v>
      </c>
      <c r="F787">
        <v>855</v>
      </c>
      <c r="G787">
        <v>30.15</v>
      </c>
      <c r="H787">
        <v>99.69</v>
      </c>
      <c r="I787">
        <v>21.19</v>
      </c>
      <c r="J787">
        <v>70.06</v>
      </c>
      <c r="K787">
        <v>17</v>
      </c>
      <c r="T787">
        <v>3</v>
      </c>
      <c r="U787">
        <v>2</v>
      </c>
      <c r="V787" t="s">
        <v>94</v>
      </c>
      <c r="W787" t="s">
        <v>1083</v>
      </c>
      <c r="X787">
        <v>37</v>
      </c>
      <c r="Y787">
        <v>25</v>
      </c>
      <c r="Z787" t="s">
        <v>1074</v>
      </c>
      <c r="AA787" t="s">
        <v>1075</v>
      </c>
      <c r="AB787" t="s">
        <v>89</v>
      </c>
      <c r="AC787" t="s">
        <v>90</v>
      </c>
      <c r="AD787" t="s">
        <v>91</v>
      </c>
      <c r="AE787" t="s">
        <v>856</v>
      </c>
      <c r="AG787" t="s">
        <v>1076</v>
      </c>
      <c r="AH787">
        <v>69</v>
      </c>
      <c r="AI787">
        <v>263</v>
      </c>
      <c r="AJ787">
        <v>17</v>
      </c>
      <c r="AK787">
        <v>1060</v>
      </c>
      <c r="AL787">
        <v>1.24</v>
      </c>
    </row>
    <row r="788" spans="1:38" x14ac:dyDescent="0.3">
      <c r="A788" t="s">
        <v>852</v>
      </c>
      <c r="B788">
        <v>123900</v>
      </c>
      <c r="C788">
        <v>16</v>
      </c>
      <c r="D788" t="s">
        <v>1073</v>
      </c>
      <c r="E788">
        <v>2022.05</v>
      </c>
      <c r="F788">
        <v>855</v>
      </c>
      <c r="G788">
        <v>30.7</v>
      </c>
      <c r="H788">
        <v>101.49</v>
      </c>
      <c r="I788">
        <v>21.17</v>
      </c>
      <c r="J788">
        <v>70</v>
      </c>
      <c r="K788">
        <v>72</v>
      </c>
      <c r="T788">
        <v>3</v>
      </c>
      <c r="U788">
        <v>2</v>
      </c>
      <c r="V788" t="s">
        <v>94</v>
      </c>
      <c r="W788" t="s">
        <v>1084</v>
      </c>
      <c r="X788">
        <v>37</v>
      </c>
      <c r="Y788">
        <v>25</v>
      </c>
      <c r="Z788" t="s">
        <v>1074</v>
      </c>
      <c r="AA788" t="s">
        <v>1075</v>
      </c>
      <c r="AB788" t="s">
        <v>89</v>
      </c>
      <c r="AC788" t="s">
        <v>90</v>
      </c>
      <c r="AD788" t="s">
        <v>91</v>
      </c>
      <c r="AE788" t="s">
        <v>856</v>
      </c>
      <c r="AG788" t="s">
        <v>1076</v>
      </c>
      <c r="AH788">
        <v>69</v>
      </c>
      <c r="AI788">
        <v>263</v>
      </c>
      <c r="AJ788">
        <v>17</v>
      </c>
      <c r="AK788">
        <v>1060</v>
      </c>
      <c r="AL788">
        <v>1.24</v>
      </c>
    </row>
    <row r="789" spans="1:38" x14ac:dyDescent="0.3">
      <c r="A789" t="s">
        <v>852</v>
      </c>
      <c r="B789">
        <v>123900</v>
      </c>
      <c r="C789">
        <v>17</v>
      </c>
      <c r="D789" t="s">
        <v>1073</v>
      </c>
      <c r="E789">
        <v>2022.05</v>
      </c>
      <c r="F789">
        <v>855</v>
      </c>
      <c r="G789">
        <v>31.08</v>
      </c>
      <c r="H789">
        <v>102.76</v>
      </c>
      <c r="I789">
        <v>21.17</v>
      </c>
      <c r="J789">
        <v>70.010000000000005</v>
      </c>
      <c r="K789">
        <v>71</v>
      </c>
      <c r="T789">
        <v>4</v>
      </c>
      <c r="U789">
        <v>2</v>
      </c>
      <c r="V789" t="s">
        <v>94</v>
      </c>
      <c r="W789" t="s">
        <v>1085</v>
      </c>
      <c r="X789">
        <v>37</v>
      </c>
      <c r="Y789">
        <v>25</v>
      </c>
      <c r="Z789" t="s">
        <v>1074</v>
      </c>
      <c r="AA789" t="s">
        <v>1075</v>
      </c>
      <c r="AB789" t="s">
        <v>89</v>
      </c>
      <c r="AC789" t="s">
        <v>90</v>
      </c>
      <c r="AD789" t="s">
        <v>91</v>
      </c>
      <c r="AE789" t="s">
        <v>856</v>
      </c>
      <c r="AG789" t="s">
        <v>1076</v>
      </c>
      <c r="AH789">
        <v>69</v>
      </c>
      <c r="AI789">
        <v>263</v>
      </c>
      <c r="AJ789">
        <v>17</v>
      </c>
      <c r="AK789">
        <v>1060</v>
      </c>
      <c r="AL789">
        <v>1.24</v>
      </c>
    </row>
    <row r="790" spans="1:38" x14ac:dyDescent="0.3">
      <c r="A790" t="s">
        <v>852</v>
      </c>
      <c r="B790">
        <v>123900</v>
      </c>
      <c r="C790">
        <v>18</v>
      </c>
      <c r="D790" t="s">
        <v>1073</v>
      </c>
      <c r="E790">
        <v>2022.05</v>
      </c>
      <c r="F790">
        <v>855</v>
      </c>
      <c r="G790">
        <v>33.67</v>
      </c>
      <c r="H790">
        <v>111.31</v>
      </c>
      <c r="I790">
        <v>25.7</v>
      </c>
      <c r="J790">
        <v>84.99</v>
      </c>
      <c r="K790">
        <v>66</v>
      </c>
      <c r="T790">
        <v>3</v>
      </c>
      <c r="U790">
        <v>2</v>
      </c>
      <c r="V790" t="s">
        <v>94</v>
      </c>
      <c r="W790" t="s">
        <v>118</v>
      </c>
      <c r="X790">
        <v>37</v>
      </c>
      <c r="Y790">
        <v>25</v>
      </c>
      <c r="Z790" t="s">
        <v>1074</v>
      </c>
      <c r="AA790" t="s">
        <v>1075</v>
      </c>
      <c r="AB790" t="s">
        <v>89</v>
      </c>
      <c r="AC790" t="s">
        <v>90</v>
      </c>
      <c r="AD790" t="s">
        <v>91</v>
      </c>
      <c r="AE790" t="s">
        <v>856</v>
      </c>
      <c r="AG790" t="s">
        <v>1076</v>
      </c>
      <c r="AH790">
        <v>69</v>
      </c>
      <c r="AI790">
        <v>263</v>
      </c>
      <c r="AJ790">
        <v>17</v>
      </c>
      <c r="AK790">
        <v>1060</v>
      </c>
      <c r="AL790">
        <v>1.24</v>
      </c>
    </row>
    <row r="791" spans="1:38" x14ac:dyDescent="0.3">
      <c r="A791" t="s">
        <v>852</v>
      </c>
      <c r="B791">
        <v>123900</v>
      </c>
      <c r="C791">
        <v>19</v>
      </c>
      <c r="D791" t="s">
        <v>1073</v>
      </c>
      <c r="E791">
        <v>2022.05</v>
      </c>
      <c r="F791">
        <v>855</v>
      </c>
      <c r="G791">
        <v>33.76</v>
      </c>
      <c r="H791">
        <v>111.61</v>
      </c>
      <c r="I791">
        <v>25.7</v>
      </c>
      <c r="J791">
        <v>84.99</v>
      </c>
      <c r="K791">
        <v>48</v>
      </c>
      <c r="T791">
        <v>3</v>
      </c>
      <c r="U791">
        <v>2</v>
      </c>
      <c r="V791" t="s">
        <v>94</v>
      </c>
      <c r="W791" t="s">
        <v>124</v>
      </c>
      <c r="X791">
        <v>37</v>
      </c>
      <c r="Y791">
        <v>25</v>
      </c>
      <c r="Z791" t="s">
        <v>1074</v>
      </c>
      <c r="AA791" t="s">
        <v>1075</v>
      </c>
      <c r="AB791" t="s">
        <v>89</v>
      </c>
      <c r="AC791" t="s">
        <v>90</v>
      </c>
      <c r="AD791" t="s">
        <v>91</v>
      </c>
      <c r="AE791" t="s">
        <v>856</v>
      </c>
      <c r="AG791" t="s">
        <v>1076</v>
      </c>
      <c r="AH791">
        <v>69</v>
      </c>
      <c r="AI791">
        <v>263</v>
      </c>
      <c r="AJ791">
        <v>17</v>
      </c>
      <c r="AK791">
        <v>1060</v>
      </c>
      <c r="AL791">
        <v>1.24</v>
      </c>
    </row>
    <row r="792" spans="1:38" x14ac:dyDescent="0.3">
      <c r="A792" t="s">
        <v>852</v>
      </c>
      <c r="B792">
        <v>123900</v>
      </c>
      <c r="C792">
        <v>20</v>
      </c>
      <c r="D792" t="s">
        <v>1073</v>
      </c>
      <c r="E792">
        <v>2022.05</v>
      </c>
      <c r="F792">
        <v>855</v>
      </c>
      <c r="G792">
        <v>33.67</v>
      </c>
      <c r="H792">
        <v>111.33</v>
      </c>
      <c r="I792">
        <v>25.7</v>
      </c>
      <c r="J792">
        <v>84.99</v>
      </c>
      <c r="K792">
        <v>33</v>
      </c>
      <c r="T792">
        <v>3</v>
      </c>
      <c r="U792">
        <v>2</v>
      </c>
      <c r="V792" t="s">
        <v>94</v>
      </c>
      <c r="W792" t="s">
        <v>121</v>
      </c>
      <c r="X792">
        <v>37</v>
      </c>
      <c r="Y792">
        <v>25</v>
      </c>
      <c r="Z792" t="s">
        <v>1074</v>
      </c>
      <c r="AA792" t="s">
        <v>1075</v>
      </c>
      <c r="AB792" t="s">
        <v>89</v>
      </c>
      <c r="AC792" t="s">
        <v>90</v>
      </c>
      <c r="AD792" t="s">
        <v>91</v>
      </c>
      <c r="AE792" t="s">
        <v>856</v>
      </c>
      <c r="AG792" t="s">
        <v>1076</v>
      </c>
      <c r="AH792">
        <v>69</v>
      </c>
      <c r="AI792">
        <v>263</v>
      </c>
      <c r="AJ792">
        <v>17</v>
      </c>
      <c r="AK792">
        <v>1060</v>
      </c>
      <c r="AL792">
        <v>1.24</v>
      </c>
    </row>
    <row r="793" spans="1:38" x14ac:dyDescent="0.3">
      <c r="A793" t="s">
        <v>852</v>
      </c>
      <c r="B793">
        <v>123900</v>
      </c>
      <c r="C793">
        <v>21</v>
      </c>
      <c r="D793" t="s">
        <v>1073</v>
      </c>
      <c r="E793">
        <v>2022.05</v>
      </c>
      <c r="F793">
        <v>855</v>
      </c>
      <c r="G793">
        <v>33.92</v>
      </c>
      <c r="H793">
        <v>112.16</v>
      </c>
      <c r="I793">
        <v>25.7</v>
      </c>
      <c r="J793">
        <v>84.99</v>
      </c>
      <c r="K793">
        <v>27</v>
      </c>
      <c r="T793">
        <v>3</v>
      </c>
      <c r="U793">
        <v>2</v>
      </c>
      <c r="V793" t="s">
        <v>94</v>
      </c>
      <c r="W793" t="s">
        <v>799</v>
      </c>
      <c r="X793">
        <v>37</v>
      </c>
      <c r="Y793">
        <v>25</v>
      </c>
      <c r="Z793" t="s">
        <v>1074</v>
      </c>
      <c r="AA793" t="s">
        <v>1075</v>
      </c>
      <c r="AB793" t="s">
        <v>89</v>
      </c>
      <c r="AC793" t="s">
        <v>90</v>
      </c>
      <c r="AD793" t="s">
        <v>91</v>
      </c>
      <c r="AE793" t="s">
        <v>856</v>
      </c>
      <c r="AG793" t="s">
        <v>1076</v>
      </c>
      <c r="AH793">
        <v>69</v>
      </c>
      <c r="AI793">
        <v>263</v>
      </c>
      <c r="AJ793">
        <v>17</v>
      </c>
      <c r="AK793">
        <v>1060</v>
      </c>
      <c r="AL793">
        <v>1.24</v>
      </c>
    </row>
    <row r="794" spans="1:38" x14ac:dyDescent="0.3">
      <c r="A794" t="s">
        <v>852</v>
      </c>
      <c r="B794">
        <v>123900</v>
      </c>
      <c r="C794">
        <v>22</v>
      </c>
      <c r="D794" t="s">
        <v>1073</v>
      </c>
      <c r="E794">
        <v>2022.05</v>
      </c>
      <c r="F794">
        <v>855</v>
      </c>
      <c r="G794">
        <v>34.43</v>
      </c>
      <c r="H794">
        <v>113.82</v>
      </c>
      <c r="I794">
        <v>25.7</v>
      </c>
      <c r="J794">
        <v>84.99</v>
      </c>
      <c r="K794">
        <v>26</v>
      </c>
      <c r="T794">
        <v>3</v>
      </c>
      <c r="U794">
        <v>2</v>
      </c>
      <c r="V794" t="s">
        <v>94</v>
      </c>
      <c r="W794" t="s">
        <v>847</v>
      </c>
      <c r="X794">
        <v>37</v>
      </c>
      <c r="Y794">
        <v>25</v>
      </c>
      <c r="Z794" t="s">
        <v>1074</v>
      </c>
      <c r="AA794" t="s">
        <v>1075</v>
      </c>
      <c r="AB794" t="s">
        <v>89</v>
      </c>
      <c r="AC794" t="s">
        <v>90</v>
      </c>
      <c r="AD794" t="s">
        <v>91</v>
      </c>
      <c r="AE794" t="s">
        <v>856</v>
      </c>
      <c r="AG794" t="s">
        <v>1076</v>
      </c>
      <c r="AH794">
        <v>69</v>
      </c>
      <c r="AI794">
        <v>263</v>
      </c>
      <c r="AJ794">
        <v>17</v>
      </c>
      <c r="AK794">
        <v>1060</v>
      </c>
      <c r="AL794">
        <v>1.24</v>
      </c>
    </row>
    <row r="795" spans="1:38" x14ac:dyDescent="0.3">
      <c r="A795" t="s">
        <v>852</v>
      </c>
      <c r="B795">
        <v>123900</v>
      </c>
      <c r="C795">
        <v>23</v>
      </c>
      <c r="D795" t="s">
        <v>1073</v>
      </c>
      <c r="E795">
        <v>2022.05</v>
      </c>
      <c r="F795">
        <v>855</v>
      </c>
      <c r="G795">
        <v>34.56</v>
      </c>
      <c r="H795">
        <v>114.27</v>
      </c>
      <c r="I795">
        <v>25.7</v>
      </c>
      <c r="J795">
        <v>84.99</v>
      </c>
      <c r="K795">
        <v>26</v>
      </c>
      <c r="T795">
        <v>3</v>
      </c>
      <c r="U795">
        <v>2</v>
      </c>
      <c r="V795" t="s">
        <v>94</v>
      </c>
      <c r="W795" t="s">
        <v>1086</v>
      </c>
      <c r="X795">
        <v>37</v>
      </c>
      <c r="Y795">
        <v>25</v>
      </c>
      <c r="Z795" t="s">
        <v>1074</v>
      </c>
      <c r="AA795" t="s">
        <v>1075</v>
      </c>
      <c r="AB795" t="s">
        <v>89</v>
      </c>
      <c r="AC795" t="s">
        <v>90</v>
      </c>
      <c r="AD795" t="s">
        <v>91</v>
      </c>
      <c r="AE795" t="s">
        <v>856</v>
      </c>
      <c r="AG795" t="s">
        <v>1076</v>
      </c>
      <c r="AH795">
        <v>69</v>
      </c>
      <c r="AI795">
        <v>263</v>
      </c>
      <c r="AJ795">
        <v>17</v>
      </c>
      <c r="AK795">
        <v>1060</v>
      </c>
      <c r="AL795">
        <v>1.24</v>
      </c>
    </row>
    <row r="796" spans="1:38" x14ac:dyDescent="0.3">
      <c r="A796" t="s">
        <v>852</v>
      </c>
      <c r="B796">
        <v>123900</v>
      </c>
      <c r="C796">
        <v>24</v>
      </c>
      <c r="D796" t="s">
        <v>1073</v>
      </c>
      <c r="E796">
        <v>2022.05</v>
      </c>
      <c r="F796">
        <v>855</v>
      </c>
      <c r="G796">
        <v>34.880000000000003</v>
      </c>
      <c r="H796">
        <v>115.31</v>
      </c>
      <c r="I796">
        <v>25.7</v>
      </c>
      <c r="J796">
        <v>84.99</v>
      </c>
      <c r="K796">
        <v>23</v>
      </c>
      <c r="T796">
        <v>3</v>
      </c>
      <c r="U796">
        <v>2</v>
      </c>
      <c r="V796" t="s">
        <v>94</v>
      </c>
      <c r="W796" t="s">
        <v>549</v>
      </c>
      <c r="X796">
        <v>37</v>
      </c>
      <c r="Y796">
        <v>25</v>
      </c>
      <c r="Z796" t="s">
        <v>1074</v>
      </c>
      <c r="AA796" t="s">
        <v>1075</v>
      </c>
      <c r="AB796" t="s">
        <v>89</v>
      </c>
      <c r="AC796" t="s">
        <v>90</v>
      </c>
      <c r="AD796" t="s">
        <v>91</v>
      </c>
      <c r="AE796" t="s">
        <v>856</v>
      </c>
      <c r="AG796" t="s">
        <v>1076</v>
      </c>
      <c r="AH796">
        <v>69</v>
      </c>
      <c r="AI796">
        <v>263</v>
      </c>
      <c r="AJ796">
        <v>17</v>
      </c>
      <c r="AK796">
        <v>1060</v>
      </c>
      <c r="AL796">
        <v>1.24</v>
      </c>
    </row>
    <row r="797" spans="1:38" x14ac:dyDescent="0.3">
      <c r="A797" t="s">
        <v>852</v>
      </c>
      <c r="B797">
        <v>123900</v>
      </c>
      <c r="C797">
        <v>25</v>
      </c>
      <c r="D797" t="s">
        <v>1073</v>
      </c>
      <c r="E797">
        <v>2022.05</v>
      </c>
      <c r="F797">
        <v>855</v>
      </c>
      <c r="G797">
        <v>35.01</v>
      </c>
      <c r="H797">
        <v>115.76</v>
      </c>
      <c r="I797">
        <v>25.7</v>
      </c>
      <c r="J797">
        <v>84.99</v>
      </c>
      <c r="K797">
        <v>23</v>
      </c>
      <c r="T797">
        <v>3</v>
      </c>
      <c r="U797">
        <v>2</v>
      </c>
      <c r="V797" t="s">
        <v>94</v>
      </c>
      <c r="W797" t="s">
        <v>1087</v>
      </c>
      <c r="X797">
        <v>37</v>
      </c>
      <c r="Y797">
        <v>25</v>
      </c>
      <c r="Z797" t="s">
        <v>1074</v>
      </c>
      <c r="AA797" t="s">
        <v>1075</v>
      </c>
      <c r="AB797" t="s">
        <v>89</v>
      </c>
      <c r="AC797" t="s">
        <v>90</v>
      </c>
      <c r="AD797" t="s">
        <v>91</v>
      </c>
      <c r="AE797" t="s">
        <v>856</v>
      </c>
      <c r="AG797" t="s">
        <v>1076</v>
      </c>
      <c r="AH797">
        <v>69</v>
      </c>
      <c r="AI797">
        <v>263</v>
      </c>
      <c r="AJ797">
        <v>17</v>
      </c>
      <c r="AK797">
        <v>1060</v>
      </c>
      <c r="AL797">
        <v>1.24</v>
      </c>
    </row>
    <row r="798" spans="1:38" x14ac:dyDescent="0.3">
      <c r="A798" t="s">
        <v>852</v>
      </c>
      <c r="B798">
        <v>10801</v>
      </c>
      <c r="C798">
        <v>1</v>
      </c>
      <c r="D798" t="s">
        <v>1088</v>
      </c>
      <c r="E798">
        <v>1980.1</v>
      </c>
      <c r="F798">
        <v>44</v>
      </c>
      <c r="G798">
        <v>15.91</v>
      </c>
      <c r="H798">
        <v>52.61</v>
      </c>
      <c r="I798">
        <v>12.7</v>
      </c>
      <c r="J798">
        <v>42</v>
      </c>
      <c r="K798">
        <v>4</v>
      </c>
      <c r="T798">
        <v>2</v>
      </c>
      <c r="U798">
        <v>1</v>
      </c>
      <c r="V798" t="s">
        <v>94</v>
      </c>
      <c r="W798" t="s">
        <v>1089</v>
      </c>
      <c r="X798">
        <v>6</v>
      </c>
      <c r="Y798">
        <v>6</v>
      </c>
      <c r="Z798" t="s">
        <v>1090</v>
      </c>
      <c r="AA798" t="s">
        <v>1091</v>
      </c>
      <c r="AB798" t="s">
        <v>89</v>
      </c>
      <c r="AC798" t="s">
        <v>90</v>
      </c>
      <c r="AD798" t="s">
        <v>91</v>
      </c>
      <c r="AE798" t="s">
        <v>856</v>
      </c>
      <c r="AG798" t="s">
        <v>1092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38" x14ac:dyDescent="0.3">
      <c r="A799" t="s">
        <v>852</v>
      </c>
      <c r="B799">
        <v>10801</v>
      </c>
      <c r="C799">
        <v>2</v>
      </c>
      <c r="D799" t="s">
        <v>1088</v>
      </c>
      <c r="E799">
        <v>1980.1</v>
      </c>
      <c r="F799">
        <v>44</v>
      </c>
      <c r="G799">
        <v>16.48</v>
      </c>
      <c r="H799">
        <v>54.49</v>
      </c>
      <c r="I799">
        <v>13.15</v>
      </c>
      <c r="J799">
        <v>43.5</v>
      </c>
      <c r="K799">
        <v>16</v>
      </c>
      <c r="T799">
        <v>2</v>
      </c>
      <c r="U799">
        <v>1</v>
      </c>
      <c r="V799" t="s">
        <v>94</v>
      </c>
      <c r="W799" t="s">
        <v>1093</v>
      </c>
      <c r="X799">
        <v>6</v>
      </c>
      <c r="Y799">
        <v>6</v>
      </c>
      <c r="Z799" t="s">
        <v>1090</v>
      </c>
      <c r="AA799" t="s">
        <v>1091</v>
      </c>
      <c r="AB799" t="s">
        <v>89</v>
      </c>
      <c r="AC799" t="s">
        <v>90</v>
      </c>
      <c r="AD799" t="s">
        <v>91</v>
      </c>
      <c r="AE799" t="s">
        <v>856</v>
      </c>
      <c r="AG799" t="s">
        <v>1092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38" x14ac:dyDescent="0.3">
      <c r="A800" t="s">
        <v>852</v>
      </c>
      <c r="B800">
        <v>10801</v>
      </c>
      <c r="C800">
        <v>3</v>
      </c>
      <c r="D800" t="s">
        <v>1088</v>
      </c>
      <c r="E800">
        <v>1980.1</v>
      </c>
      <c r="F800">
        <v>44</v>
      </c>
      <c r="G800">
        <v>17.62</v>
      </c>
      <c r="H800">
        <v>58.25</v>
      </c>
      <c r="I800">
        <v>14.06</v>
      </c>
      <c r="J800">
        <v>46.5</v>
      </c>
      <c r="K800">
        <v>12</v>
      </c>
      <c r="T800">
        <v>2</v>
      </c>
      <c r="U800">
        <v>1</v>
      </c>
      <c r="V800" t="s">
        <v>94</v>
      </c>
      <c r="W800" t="s">
        <v>1094</v>
      </c>
      <c r="X800">
        <v>6</v>
      </c>
      <c r="Y800">
        <v>6</v>
      </c>
      <c r="Z800" t="s">
        <v>1090</v>
      </c>
      <c r="AA800" t="s">
        <v>1091</v>
      </c>
      <c r="AB800" t="s">
        <v>89</v>
      </c>
      <c r="AC800" t="s">
        <v>90</v>
      </c>
      <c r="AD800" t="s">
        <v>91</v>
      </c>
      <c r="AE800" t="s">
        <v>856</v>
      </c>
      <c r="AG800" t="s">
        <v>1092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38" x14ac:dyDescent="0.3">
      <c r="A801" t="s">
        <v>852</v>
      </c>
      <c r="B801">
        <v>10801</v>
      </c>
      <c r="C801">
        <v>4</v>
      </c>
      <c r="D801" t="s">
        <v>1088</v>
      </c>
      <c r="E801">
        <v>1980.1</v>
      </c>
      <c r="F801">
        <v>44</v>
      </c>
      <c r="G801">
        <v>18.12</v>
      </c>
      <c r="H801">
        <v>59.91</v>
      </c>
      <c r="I801">
        <v>14.52</v>
      </c>
      <c r="J801">
        <v>48</v>
      </c>
      <c r="K801">
        <v>4</v>
      </c>
      <c r="T801">
        <v>2</v>
      </c>
      <c r="U801">
        <v>1</v>
      </c>
      <c r="V801" t="s">
        <v>94</v>
      </c>
      <c r="W801" t="s">
        <v>1095</v>
      </c>
      <c r="X801">
        <v>6</v>
      </c>
      <c r="Y801">
        <v>6</v>
      </c>
      <c r="Z801" t="s">
        <v>1090</v>
      </c>
      <c r="AA801" t="s">
        <v>1091</v>
      </c>
      <c r="AB801" t="s">
        <v>89</v>
      </c>
      <c r="AC801" t="s">
        <v>90</v>
      </c>
      <c r="AD801" t="s">
        <v>91</v>
      </c>
      <c r="AE801" t="s">
        <v>856</v>
      </c>
      <c r="AG801" t="s">
        <v>1092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38" x14ac:dyDescent="0.3">
      <c r="A802" t="s">
        <v>852</v>
      </c>
      <c r="B802">
        <v>10801</v>
      </c>
      <c r="C802">
        <v>5</v>
      </c>
      <c r="D802" t="s">
        <v>1088</v>
      </c>
      <c r="E802">
        <v>1980.1</v>
      </c>
      <c r="F802">
        <v>44</v>
      </c>
      <c r="G802">
        <v>19.32</v>
      </c>
      <c r="H802">
        <v>63.88</v>
      </c>
      <c r="I802">
        <v>15.42</v>
      </c>
      <c r="J802">
        <v>51</v>
      </c>
      <c r="K802">
        <v>4</v>
      </c>
      <c r="T802">
        <v>2</v>
      </c>
      <c r="U802">
        <v>1</v>
      </c>
      <c r="V802" t="s">
        <v>94</v>
      </c>
      <c r="W802">
        <v>63</v>
      </c>
      <c r="X802">
        <v>6</v>
      </c>
      <c r="Y802">
        <v>6</v>
      </c>
      <c r="Z802" t="s">
        <v>1090</v>
      </c>
      <c r="AA802" t="s">
        <v>1091</v>
      </c>
      <c r="AB802" t="s">
        <v>89</v>
      </c>
      <c r="AC802" t="s">
        <v>90</v>
      </c>
      <c r="AD802" t="s">
        <v>91</v>
      </c>
      <c r="AE802" t="s">
        <v>856</v>
      </c>
      <c r="AG802" t="s">
        <v>1092</v>
      </c>
      <c r="AH802">
        <v>0</v>
      </c>
      <c r="AI802">
        <v>0</v>
      </c>
      <c r="AJ802">
        <v>0</v>
      </c>
      <c r="AK802">
        <v>0</v>
      </c>
      <c r="AL802">
        <v>0</v>
      </c>
    </row>
    <row r="803" spans="1:38" x14ac:dyDescent="0.3">
      <c r="A803" t="s">
        <v>852</v>
      </c>
      <c r="B803">
        <v>10801</v>
      </c>
      <c r="C803">
        <v>6</v>
      </c>
      <c r="D803" t="s">
        <v>1088</v>
      </c>
      <c r="E803">
        <v>1980.1</v>
      </c>
      <c r="F803">
        <v>44</v>
      </c>
      <c r="G803">
        <v>19.600000000000001</v>
      </c>
      <c r="H803">
        <v>64.819999999999993</v>
      </c>
      <c r="I803">
        <v>15.65</v>
      </c>
      <c r="J803">
        <v>51.75</v>
      </c>
      <c r="K803">
        <v>4</v>
      </c>
      <c r="T803">
        <v>2</v>
      </c>
      <c r="U803">
        <v>1</v>
      </c>
      <c r="V803" t="s">
        <v>94</v>
      </c>
      <c r="W803">
        <v>64</v>
      </c>
      <c r="X803">
        <v>6</v>
      </c>
      <c r="Y803">
        <v>6</v>
      </c>
      <c r="Z803" t="s">
        <v>1090</v>
      </c>
      <c r="AA803" t="s">
        <v>1091</v>
      </c>
      <c r="AB803" t="s">
        <v>89</v>
      </c>
      <c r="AC803" t="s">
        <v>90</v>
      </c>
      <c r="AD803" t="s">
        <v>91</v>
      </c>
      <c r="AE803" t="s">
        <v>856</v>
      </c>
      <c r="AG803" t="s">
        <v>1092</v>
      </c>
      <c r="AH803">
        <v>0</v>
      </c>
      <c r="AI803">
        <v>0</v>
      </c>
      <c r="AJ803">
        <v>0</v>
      </c>
      <c r="AK803">
        <v>0</v>
      </c>
      <c r="AL803">
        <v>0</v>
      </c>
    </row>
    <row r="804" spans="1:38" x14ac:dyDescent="0.3">
      <c r="A804" t="s">
        <v>852</v>
      </c>
      <c r="B804">
        <v>13948</v>
      </c>
      <c r="C804">
        <v>1</v>
      </c>
      <c r="D804" t="s">
        <v>1096</v>
      </c>
      <c r="E804">
        <v>2003.09</v>
      </c>
      <c r="F804">
        <v>19</v>
      </c>
      <c r="G804">
        <v>28.9</v>
      </c>
      <c r="H804">
        <v>95.54</v>
      </c>
      <c r="I804">
        <v>25.58</v>
      </c>
      <c r="J804">
        <v>84.59</v>
      </c>
      <c r="K804">
        <v>17</v>
      </c>
      <c r="T804">
        <v>3</v>
      </c>
      <c r="U804">
        <v>2</v>
      </c>
      <c r="V804" t="s">
        <v>94</v>
      </c>
      <c r="W804">
        <v>95</v>
      </c>
      <c r="X804">
        <v>6</v>
      </c>
      <c r="Y804">
        <v>5</v>
      </c>
      <c r="Z804" t="s">
        <v>1097</v>
      </c>
      <c r="AA804" t="s">
        <v>1098</v>
      </c>
      <c r="AB804" t="s">
        <v>89</v>
      </c>
      <c r="AC804" t="s">
        <v>90</v>
      </c>
      <c r="AD804" t="s">
        <v>91</v>
      </c>
      <c r="AE804" t="s">
        <v>856</v>
      </c>
      <c r="AG804" t="s">
        <v>438</v>
      </c>
      <c r="AH804">
        <v>0</v>
      </c>
      <c r="AI804">
        <v>191</v>
      </c>
      <c r="AJ804">
        <v>39</v>
      </c>
      <c r="AK804">
        <v>22</v>
      </c>
      <c r="AL804">
        <v>1.1599999999999999</v>
      </c>
    </row>
    <row r="805" spans="1:38" x14ac:dyDescent="0.3">
      <c r="A805" t="s">
        <v>852</v>
      </c>
      <c r="B805">
        <v>13948</v>
      </c>
      <c r="C805">
        <v>2</v>
      </c>
      <c r="D805" t="s">
        <v>1096</v>
      </c>
      <c r="E805">
        <v>2003.09</v>
      </c>
      <c r="F805">
        <v>19</v>
      </c>
      <c r="G805">
        <v>30.2</v>
      </c>
      <c r="H805">
        <v>99.85</v>
      </c>
      <c r="I805">
        <v>25.63</v>
      </c>
      <c r="J805">
        <v>84.74</v>
      </c>
      <c r="K805">
        <v>1</v>
      </c>
      <c r="T805">
        <v>3</v>
      </c>
      <c r="U805">
        <v>2</v>
      </c>
      <c r="V805" t="s">
        <v>94</v>
      </c>
      <c r="W805">
        <v>99</v>
      </c>
      <c r="X805">
        <v>6</v>
      </c>
      <c r="Y805">
        <v>5</v>
      </c>
      <c r="Z805" t="s">
        <v>1097</v>
      </c>
      <c r="AA805" t="s">
        <v>1098</v>
      </c>
      <c r="AB805" t="s">
        <v>89</v>
      </c>
      <c r="AC805" t="s">
        <v>90</v>
      </c>
      <c r="AD805" t="s">
        <v>91</v>
      </c>
      <c r="AE805" t="s">
        <v>856</v>
      </c>
      <c r="AG805" t="s">
        <v>438</v>
      </c>
      <c r="AH805">
        <v>0</v>
      </c>
      <c r="AI805">
        <v>191</v>
      </c>
      <c r="AJ805">
        <v>39</v>
      </c>
      <c r="AK805">
        <v>22</v>
      </c>
      <c r="AL805">
        <v>1.1599999999999999</v>
      </c>
    </row>
    <row r="806" spans="1:38" x14ac:dyDescent="0.3">
      <c r="A806" t="s">
        <v>852</v>
      </c>
      <c r="B806">
        <v>13948</v>
      </c>
      <c r="C806">
        <v>3</v>
      </c>
      <c r="D806" t="s">
        <v>1096</v>
      </c>
      <c r="E806">
        <v>2003.09</v>
      </c>
      <c r="F806">
        <v>19</v>
      </c>
      <c r="G806">
        <v>38.74</v>
      </c>
      <c r="H806">
        <v>128.07</v>
      </c>
      <c r="I806">
        <v>34.72</v>
      </c>
      <c r="J806">
        <v>114.78</v>
      </c>
      <c r="K806">
        <v>1</v>
      </c>
      <c r="T806">
        <v>4</v>
      </c>
      <c r="U806">
        <v>2</v>
      </c>
      <c r="V806" t="s">
        <v>94</v>
      </c>
      <c r="W806">
        <v>128</v>
      </c>
      <c r="X806">
        <v>6</v>
      </c>
      <c r="Y806">
        <v>5</v>
      </c>
      <c r="Z806" t="s">
        <v>1097</v>
      </c>
      <c r="AA806" t="s">
        <v>1098</v>
      </c>
      <c r="AB806" t="s">
        <v>89</v>
      </c>
      <c r="AC806" t="s">
        <v>90</v>
      </c>
      <c r="AD806" t="s">
        <v>91</v>
      </c>
      <c r="AE806" t="s">
        <v>856</v>
      </c>
      <c r="AG806" t="s">
        <v>438</v>
      </c>
      <c r="AH806">
        <v>0</v>
      </c>
      <c r="AI806">
        <v>191</v>
      </c>
      <c r="AJ806">
        <v>39</v>
      </c>
      <c r="AK806">
        <v>22</v>
      </c>
      <c r="AL806">
        <v>1.1599999999999999</v>
      </c>
    </row>
    <row r="807" spans="1:38" x14ac:dyDescent="0.3">
      <c r="A807" t="s">
        <v>852</v>
      </c>
      <c r="B807">
        <v>9061</v>
      </c>
      <c r="C807">
        <v>1</v>
      </c>
      <c r="D807" t="s">
        <v>1099</v>
      </c>
      <c r="E807">
        <v>1999.01</v>
      </c>
      <c r="F807">
        <v>113</v>
      </c>
      <c r="G807">
        <v>24</v>
      </c>
      <c r="H807">
        <v>79.37</v>
      </c>
      <c r="I807">
        <v>18.11</v>
      </c>
      <c r="J807">
        <v>59.88</v>
      </c>
      <c r="K807">
        <v>55</v>
      </c>
      <c r="T807">
        <v>3</v>
      </c>
      <c r="U807">
        <v>1</v>
      </c>
      <c r="V807" t="s">
        <v>128</v>
      </c>
      <c r="W807">
        <v>79</v>
      </c>
      <c r="X807">
        <v>17</v>
      </c>
      <c r="Y807">
        <v>8</v>
      </c>
      <c r="Z807" t="s">
        <v>1100</v>
      </c>
      <c r="AA807" t="s">
        <v>1101</v>
      </c>
      <c r="AB807" t="s">
        <v>89</v>
      </c>
      <c r="AC807" t="s">
        <v>90</v>
      </c>
      <c r="AD807" t="s">
        <v>91</v>
      </c>
      <c r="AE807" t="s">
        <v>856</v>
      </c>
      <c r="AG807" t="s">
        <v>1102</v>
      </c>
      <c r="AH807">
        <v>0</v>
      </c>
      <c r="AI807">
        <v>303</v>
      </c>
      <c r="AJ807">
        <v>30</v>
      </c>
      <c r="AK807">
        <v>113</v>
      </c>
      <c r="AL807">
        <v>1</v>
      </c>
    </row>
    <row r="808" spans="1:38" x14ac:dyDescent="0.3">
      <c r="A808" t="s">
        <v>852</v>
      </c>
      <c r="B808">
        <v>9061</v>
      </c>
      <c r="C808">
        <v>2</v>
      </c>
      <c r="D808" t="s">
        <v>1099</v>
      </c>
      <c r="E808">
        <v>1999.01</v>
      </c>
      <c r="F808">
        <v>113</v>
      </c>
      <c r="G808">
        <v>32.44</v>
      </c>
      <c r="H808">
        <v>107.26</v>
      </c>
      <c r="I808">
        <v>24.5</v>
      </c>
      <c r="J808">
        <v>81</v>
      </c>
      <c r="K808">
        <v>2</v>
      </c>
      <c r="T808">
        <v>3</v>
      </c>
      <c r="U808">
        <v>2</v>
      </c>
      <c r="V808" t="s">
        <v>94</v>
      </c>
      <c r="W808">
        <v>107</v>
      </c>
      <c r="X808">
        <v>17</v>
      </c>
      <c r="Y808">
        <v>8</v>
      </c>
      <c r="Z808" t="s">
        <v>1100</v>
      </c>
      <c r="AA808" t="s">
        <v>1101</v>
      </c>
      <c r="AB808" t="s">
        <v>89</v>
      </c>
      <c r="AC808" t="s">
        <v>90</v>
      </c>
      <c r="AD808" t="s">
        <v>91</v>
      </c>
      <c r="AE808" t="s">
        <v>856</v>
      </c>
      <c r="AG808" t="s">
        <v>1102</v>
      </c>
      <c r="AH808">
        <v>0</v>
      </c>
      <c r="AI808">
        <v>303</v>
      </c>
      <c r="AJ808">
        <v>30</v>
      </c>
      <c r="AK808">
        <v>113</v>
      </c>
      <c r="AL808">
        <v>1</v>
      </c>
    </row>
    <row r="809" spans="1:38" x14ac:dyDescent="0.3">
      <c r="A809" t="s">
        <v>852</v>
      </c>
      <c r="B809">
        <v>9061</v>
      </c>
      <c r="C809">
        <v>3</v>
      </c>
      <c r="D809" t="s">
        <v>1099</v>
      </c>
      <c r="E809">
        <v>1999.01</v>
      </c>
      <c r="F809">
        <v>113</v>
      </c>
      <c r="G809">
        <v>33.9</v>
      </c>
      <c r="H809">
        <v>112.09</v>
      </c>
      <c r="I809">
        <v>25.58</v>
      </c>
      <c r="J809">
        <v>84.57</v>
      </c>
      <c r="K809">
        <v>56</v>
      </c>
      <c r="T809">
        <v>3</v>
      </c>
      <c r="U809">
        <v>2</v>
      </c>
      <c r="V809" t="s">
        <v>94</v>
      </c>
      <c r="W809">
        <v>112</v>
      </c>
      <c r="X809">
        <v>17</v>
      </c>
      <c r="Y809">
        <v>8</v>
      </c>
      <c r="Z809" t="s">
        <v>1100</v>
      </c>
      <c r="AA809" t="s">
        <v>1101</v>
      </c>
      <c r="AB809" t="s">
        <v>89</v>
      </c>
      <c r="AC809" t="s">
        <v>90</v>
      </c>
      <c r="AD809" t="s">
        <v>91</v>
      </c>
      <c r="AE809" t="s">
        <v>856</v>
      </c>
      <c r="AG809" t="s">
        <v>1102</v>
      </c>
      <c r="AH809">
        <v>0</v>
      </c>
      <c r="AI809">
        <v>303</v>
      </c>
      <c r="AJ809">
        <v>30</v>
      </c>
      <c r="AK809">
        <v>113</v>
      </c>
      <c r="AL809">
        <v>1</v>
      </c>
    </row>
    <row r="810" spans="1:38" x14ac:dyDescent="0.3">
      <c r="A810" t="s">
        <v>852</v>
      </c>
      <c r="B810">
        <v>142558</v>
      </c>
      <c r="C810">
        <v>1</v>
      </c>
      <c r="D810" t="s">
        <v>1103</v>
      </c>
      <c r="E810">
        <v>2024.08</v>
      </c>
      <c r="F810">
        <v>2417</v>
      </c>
      <c r="G810">
        <v>25.37</v>
      </c>
      <c r="H810">
        <v>83.9</v>
      </c>
      <c r="I810">
        <v>18.14</v>
      </c>
      <c r="J810">
        <v>59.99</v>
      </c>
      <c r="K810">
        <v>768</v>
      </c>
      <c r="T810">
        <v>3</v>
      </c>
      <c r="U810">
        <v>2</v>
      </c>
      <c r="V810" t="s">
        <v>94</v>
      </c>
      <c r="W810" t="s">
        <v>575</v>
      </c>
      <c r="X810">
        <v>34</v>
      </c>
      <c r="Y810">
        <v>12</v>
      </c>
      <c r="Z810" t="s">
        <v>1104</v>
      </c>
      <c r="AA810" t="s">
        <v>1105</v>
      </c>
      <c r="AB810" t="s">
        <v>89</v>
      </c>
      <c r="AC810" t="s">
        <v>90</v>
      </c>
      <c r="AD810" t="s">
        <v>91</v>
      </c>
      <c r="AE810" t="s">
        <v>856</v>
      </c>
      <c r="AG810" t="s">
        <v>1106</v>
      </c>
      <c r="AH810">
        <v>196</v>
      </c>
      <c r="AI810">
        <v>0</v>
      </c>
      <c r="AJ810">
        <v>0</v>
      </c>
      <c r="AK810">
        <v>2996</v>
      </c>
      <c r="AL810">
        <v>1.24</v>
      </c>
    </row>
    <row r="811" spans="1:38" x14ac:dyDescent="0.3">
      <c r="A811" t="s">
        <v>852</v>
      </c>
      <c r="B811">
        <v>142558</v>
      </c>
      <c r="C811">
        <v>2</v>
      </c>
      <c r="D811" t="s">
        <v>1103</v>
      </c>
      <c r="E811">
        <v>2024.08</v>
      </c>
      <c r="F811">
        <v>2417</v>
      </c>
      <c r="G811">
        <v>25.93</v>
      </c>
      <c r="H811">
        <v>85.74</v>
      </c>
      <c r="I811">
        <v>18.14</v>
      </c>
      <c r="J811">
        <v>59.98</v>
      </c>
      <c r="K811">
        <v>444</v>
      </c>
      <c r="T811">
        <v>3</v>
      </c>
      <c r="U811">
        <v>2</v>
      </c>
      <c r="V811" t="s">
        <v>94</v>
      </c>
      <c r="W811" t="s">
        <v>628</v>
      </c>
      <c r="X811">
        <v>34</v>
      </c>
      <c r="Y811">
        <v>12</v>
      </c>
      <c r="Z811" t="s">
        <v>1104</v>
      </c>
      <c r="AA811" t="s">
        <v>1105</v>
      </c>
      <c r="AB811" t="s">
        <v>89</v>
      </c>
      <c r="AC811" t="s">
        <v>90</v>
      </c>
      <c r="AD811" t="s">
        <v>91</v>
      </c>
      <c r="AE811" t="s">
        <v>856</v>
      </c>
      <c r="AG811" t="s">
        <v>1106</v>
      </c>
      <c r="AH811">
        <v>196</v>
      </c>
      <c r="AI811">
        <v>0</v>
      </c>
      <c r="AJ811">
        <v>0</v>
      </c>
      <c r="AK811">
        <v>2996</v>
      </c>
      <c r="AL811">
        <v>1.24</v>
      </c>
    </row>
    <row r="812" spans="1:38" x14ac:dyDescent="0.3">
      <c r="A812" t="s">
        <v>852</v>
      </c>
      <c r="B812">
        <v>142558</v>
      </c>
      <c r="C812">
        <v>3</v>
      </c>
      <c r="D812" t="s">
        <v>1103</v>
      </c>
      <c r="E812">
        <v>2024.08</v>
      </c>
      <c r="F812">
        <v>2417</v>
      </c>
      <c r="G812">
        <v>30.77</v>
      </c>
      <c r="H812">
        <v>101.73</v>
      </c>
      <c r="I812">
        <v>22.65</v>
      </c>
      <c r="J812">
        <v>74.900000000000006</v>
      </c>
      <c r="K812">
        <v>509</v>
      </c>
      <c r="T812">
        <v>3</v>
      </c>
      <c r="U812">
        <v>2</v>
      </c>
      <c r="V812" t="s">
        <v>94</v>
      </c>
      <c r="W812">
        <v>101</v>
      </c>
      <c r="X812">
        <v>34</v>
      </c>
      <c r="Y812">
        <v>12</v>
      </c>
      <c r="Z812" t="s">
        <v>1104</v>
      </c>
      <c r="AA812" t="s">
        <v>1105</v>
      </c>
      <c r="AB812" t="s">
        <v>89</v>
      </c>
      <c r="AC812" t="s">
        <v>90</v>
      </c>
      <c r="AD812" t="s">
        <v>91</v>
      </c>
      <c r="AE812" t="s">
        <v>856</v>
      </c>
      <c r="AG812" t="s">
        <v>1106</v>
      </c>
      <c r="AH812">
        <v>196</v>
      </c>
      <c r="AI812">
        <v>0</v>
      </c>
      <c r="AJ812">
        <v>0</v>
      </c>
      <c r="AK812">
        <v>2996</v>
      </c>
      <c r="AL812">
        <v>1.24</v>
      </c>
    </row>
    <row r="813" spans="1:38" x14ac:dyDescent="0.3">
      <c r="A813" t="s">
        <v>852</v>
      </c>
      <c r="B813">
        <v>142558</v>
      </c>
      <c r="C813">
        <v>4</v>
      </c>
      <c r="D813" t="s">
        <v>1103</v>
      </c>
      <c r="E813">
        <v>2024.08</v>
      </c>
      <c r="F813">
        <v>2417</v>
      </c>
      <c r="G813">
        <v>33.39</v>
      </c>
      <c r="H813">
        <v>110.41</v>
      </c>
      <c r="I813">
        <v>25.7</v>
      </c>
      <c r="J813">
        <v>84.98</v>
      </c>
      <c r="K813">
        <v>87</v>
      </c>
      <c r="T813">
        <v>3</v>
      </c>
      <c r="U813">
        <v>2</v>
      </c>
      <c r="V813" t="s">
        <v>94</v>
      </c>
      <c r="W813" t="s">
        <v>457</v>
      </c>
      <c r="X813">
        <v>34</v>
      </c>
      <c r="Y813">
        <v>12</v>
      </c>
      <c r="Z813" t="s">
        <v>1104</v>
      </c>
      <c r="AA813" t="s">
        <v>1105</v>
      </c>
      <c r="AB813" t="s">
        <v>89</v>
      </c>
      <c r="AC813" t="s">
        <v>90</v>
      </c>
      <c r="AD813" t="s">
        <v>91</v>
      </c>
      <c r="AE813" t="s">
        <v>856</v>
      </c>
      <c r="AG813" t="s">
        <v>1106</v>
      </c>
      <c r="AH813">
        <v>196</v>
      </c>
      <c r="AI813">
        <v>0</v>
      </c>
      <c r="AJ813">
        <v>0</v>
      </c>
      <c r="AK813">
        <v>2996</v>
      </c>
      <c r="AL813">
        <v>1.24</v>
      </c>
    </row>
    <row r="814" spans="1:38" x14ac:dyDescent="0.3">
      <c r="A814" t="s">
        <v>852</v>
      </c>
      <c r="B814">
        <v>142558</v>
      </c>
      <c r="C814">
        <v>5</v>
      </c>
      <c r="D814" t="s">
        <v>1103</v>
      </c>
      <c r="E814">
        <v>2024.08</v>
      </c>
      <c r="F814">
        <v>2417</v>
      </c>
      <c r="G814">
        <v>33.74</v>
      </c>
      <c r="H814">
        <v>111.57</v>
      </c>
      <c r="I814">
        <v>25.7</v>
      </c>
      <c r="J814">
        <v>84.99</v>
      </c>
      <c r="K814">
        <v>413</v>
      </c>
      <c r="T814">
        <v>3</v>
      </c>
      <c r="U814">
        <v>2</v>
      </c>
      <c r="V814" t="s">
        <v>94</v>
      </c>
      <c r="W814" t="s">
        <v>120</v>
      </c>
      <c r="X814">
        <v>34</v>
      </c>
      <c r="Y814">
        <v>12</v>
      </c>
      <c r="Z814" t="s">
        <v>1104</v>
      </c>
      <c r="AA814" t="s">
        <v>1105</v>
      </c>
      <c r="AB814" t="s">
        <v>89</v>
      </c>
      <c r="AC814" t="s">
        <v>90</v>
      </c>
      <c r="AD814" t="s">
        <v>91</v>
      </c>
      <c r="AE814" t="s">
        <v>856</v>
      </c>
      <c r="AG814" t="s">
        <v>1106</v>
      </c>
      <c r="AH814">
        <v>196</v>
      </c>
      <c r="AI814">
        <v>0</v>
      </c>
      <c r="AJ814">
        <v>0</v>
      </c>
      <c r="AK814">
        <v>2996</v>
      </c>
      <c r="AL814">
        <v>1.24</v>
      </c>
    </row>
    <row r="815" spans="1:38" x14ac:dyDescent="0.3">
      <c r="A815" t="s">
        <v>852</v>
      </c>
      <c r="B815">
        <v>115703</v>
      </c>
      <c r="C815">
        <v>1</v>
      </c>
      <c r="D815" t="s">
        <v>1107</v>
      </c>
      <c r="E815">
        <v>2019.04</v>
      </c>
      <c r="F815">
        <v>203</v>
      </c>
      <c r="G815">
        <v>19.77</v>
      </c>
      <c r="H815">
        <v>65.36</v>
      </c>
      <c r="I815">
        <v>13.84</v>
      </c>
      <c r="J815">
        <v>45.77</v>
      </c>
      <c r="K815">
        <v>62</v>
      </c>
      <c r="T815">
        <v>2</v>
      </c>
      <c r="U815">
        <v>1</v>
      </c>
      <c r="V815" t="s">
        <v>94</v>
      </c>
      <c r="W815" t="s">
        <v>709</v>
      </c>
      <c r="X815">
        <v>26</v>
      </c>
      <c r="Y815">
        <v>15</v>
      </c>
      <c r="Z815" t="s">
        <v>1108</v>
      </c>
      <c r="AA815" t="s">
        <v>1109</v>
      </c>
      <c r="AB815" t="s">
        <v>89</v>
      </c>
      <c r="AC815" t="s">
        <v>90</v>
      </c>
      <c r="AD815" t="s">
        <v>91</v>
      </c>
      <c r="AE815" t="s">
        <v>856</v>
      </c>
      <c r="AG815" t="s">
        <v>1110</v>
      </c>
      <c r="AH815">
        <v>0</v>
      </c>
      <c r="AI815">
        <v>269</v>
      </c>
      <c r="AJ815">
        <v>20</v>
      </c>
      <c r="AK815">
        <v>227</v>
      </c>
      <c r="AL815">
        <v>1.1200000000000001</v>
      </c>
    </row>
    <row r="816" spans="1:38" x14ac:dyDescent="0.3">
      <c r="A816" t="s">
        <v>852</v>
      </c>
      <c r="B816">
        <v>115703</v>
      </c>
      <c r="C816">
        <v>2</v>
      </c>
      <c r="D816" t="s">
        <v>1107</v>
      </c>
      <c r="E816">
        <v>2019.04</v>
      </c>
      <c r="F816">
        <v>203</v>
      </c>
      <c r="G816">
        <v>19.77</v>
      </c>
      <c r="H816">
        <v>65.36</v>
      </c>
      <c r="I816">
        <v>13.84</v>
      </c>
      <c r="J816">
        <v>45.77</v>
      </c>
      <c r="K816">
        <v>10</v>
      </c>
      <c r="T816">
        <v>2</v>
      </c>
      <c r="U816">
        <v>1</v>
      </c>
      <c r="V816" t="s">
        <v>94</v>
      </c>
      <c r="W816" t="s">
        <v>1111</v>
      </c>
      <c r="X816">
        <v>26</v>
      </c>
      <c r="Y816">
        <v>15</v>
      </c>
      <c r="Z816" t="s">
        <v>1108</v>
      </c>
      <c r="AA816" t="s">
        <v>1109</v>
      </c>
      <c r="AB816" t="s">
        <v>89</v>
      </c>
      <c r="AC816" t="s">
        <v>90</v>
      </c>
      <c r="AD816" t="s">
        <v>91</v>
      </c>
      <c r="AE816" t="s">
        <v>856</v>
      </c>
      <c r="AG816" t="s">
        <v>1110</v>
      </c>
      <c r="AH816">
        <v>0</v>
      </c>
      <c r="AI816">
        <v>269</v>
      </c>
      <c r="AJ816">
        <v>20</v>
      </c>
      <c r="AK816">
        <v>227</v>
      </c>
      <c r="AL816">
        <v>1.1200000000000001</v>
      </c>
    </row>
    <row r="817" spans="1:38" x14ac:dyDescent="0.3">
      <c r="A817" t="s">
        <v>852</v>
      </c>
      <c r="B817">
        <v>115703</v>
      </c>
      <c r="C817">
        <v>3</v>
      </c>
      <c r="D817" t="s">
        <v>1107</v>
      </c>
      <c r="E817">
        <v>2019.04</v>
      </c>
      <c r="F817">
        <v>203</v>
      </c>
      <c r="G817">
        <v>25.67</v>
      </c>
      <c r="H817">
        <v>84.89</v>
      </c>
      <c r="I817">
        <v>18.11</v>
      </c>
      <c r="J817">
        <v>59.88</v>
      </c>
      <c r="K817">
        <v>68</v>
      </c>
      <c r="T817">
        <v>3</v>
      </c>
      <c r="U817">
        <v>2</v>
      </c>
      <c r="V817" t="s">
        <v>94</v>
      </c>
      <c r="W817" t="s">
        <v>445</v>
      </c>
      <c r="X817">
        <v>26</v>
      </c>
      <c r="Y817">
        <v>15</v>
      </c>
      <c r="Z817" t="s">
        <v>1108</v>
      </c>
      <c r="AA817" t="s">
        <v>1109</v>
      </c>
      <c r="AB817" t="s">
        <v>89</v>
      </c>
      <c r="AC817" t="s">
        <v>90</v>
      </c>
      <c r="AD817" t="s">
        <v>91</v>
      </c>
      <c r="AE817" t="s">
        <v>856</v>
      </c>
      <c r="AG817" t="s">
        <v>1110</v>
      </c>
      <c r="AH817">
        <v>0</v>
      </c>
      <c r="AI817">
        <v>269</v>
      </c>
      <c r="AJ817">
        <v>20</v>
      </c>
      <c r="AK817">
        <v>227</v>
      </c>
      <c r="AL817">
        <v>1.1200000000000001</v>
      </c>
    </row>
    <row r="818" spans="1:38" x14ac:dyDescent="0.3">
      <c r="A818" t="s">
        <v>852</v>
      </c>
      <c r="B818">
        <v>115703</v>
      </c>
      <c r="C818">
        <v>4</v>
      </c>
      <c r="D818" t="s">
        <v>1107</v>
      </c>
      <c r="E818">
        <v>2019.04</v>
      </c>
      <c r="F818">
        <v>203</v>
      </c>
      <c r="G818">
        <v>25.67</v>
      </c>
      <c r="H818">
        <v>84.89</v>
      </c>
      <c r="I818">
        <v>18.11</v>
      </c>
      <c r="J818">
        <v>59.88</v>
      </c>
      <c r="K818">
        <v>24</v>
      </c>
      <c r="T818">
        <v>3</v>
      </c>
      <c r="U818">
        <v>2</v>
      </c>
      <c r="V818" t="s">
        <v>94</v>
      </c>
      <c r="W818" t="s">
        <v>1066</v>
      </c>
      <c r="X818">
        <v>26</v>
      </c>
      <c r="Y818">
        <v>15</v>
      </c>
      <c r="Z818" t="s">
        <v>1108</v>
      </c>
      <c r="AA818" t="s">
        <v>1109</v>
      </c>
      <c r="AB818" t="s">
        <v>89</v>
      </c>
      <c r="AC818" t="s">
        <v>90</v>
      </c>
      <c r="AD818" t="s">
        <v>91</v>
      </c>
      <c r="AE818" t="s">
        <v>856</v>
      </c>
      <c r="AG818" t="s">
        <v>1110</v>
      </c>
      <c r="AH818">
        <v>0</v>
      </c>
      <c r="AI818">
        <v>269</v>
      </c>
      <c r="AJ818">
        <v>20</v>
      </c>
      <c r="AK818">
        <v>227</v>
      </c>
      <c r="AL818">
        <v>1.1200000000000001</v>
      </c>
    </row>
    <row r="819" spans="1:38" x14ac:dyDescent="0.3">
      <c r="A819" t="s">
        <v>852</v>
      </c>
      <c r="B819">
        <v>115703</v>
      </c>
      <c r="C819">
        <v>5</v>
      </c>
      <c r="D819" t="s">
        <v>1107</v>
      </c>
      <c r="E819">
        <v>2019.04</v>
      </c>
      <c r="F819">
        <v>203</v>
      </c>
      <c r="G819">
        <v>25.67</v>
      </c>
      <c r="H819">
        <v>84.89</v>
      </c>
      <c r="I819">
        <v>18.11</v>
      </c>
      <c r="J819">
        <v>59.88</v>
      </c>
      <c r="K819">
        <v>15</v>
      </c>
      <c r="T819">
        <v>3</v>
      </c>
      <c r="U819">
        <v>2</v>
      </c>
      <c r="V819" t="s">
        <v>94</v>
      </c>
      <c r="W819" t="s">
        <v>1112</v>
      </c>
      <c r="X819">
        <v>26</v>
      </c>
      <c r="Y819">
        <v>15</v>
      </c>
      <c r="Z819" t="s">
        <v>1108</v>
      </c>
      <c r="AA819" t="s">
        <v>1109</v>
      </c>
      <c r="AB819" t="s">
        <v>89</v>
      </c>
      <c r="AC819" t="s">
        <v>90</v>
      </c>
      <c r="AD819" t="s">
        <v>91</v>
      </c>
      <c r="AE819" t="s">
        <v>856</v>
      </c>
      <c r="AG819" t="s">
        <v>1110</v>
      </c>
      <c r="AH819">
        <v>0</v>
      </c>
      <c r="AI819">
        <v>269</v>
      </c>
      <c r="AJ819">
        <v>20</v>
      </c>
      <c r="AK819">
        <v>227</v>
      </c>
      <c r="AL819">
        <v>1.1200000000000001</v>
      </c>
    </row>
    <row r="820" spans="1:38" x14ac:dyDescent="0.3">
      <c r="A820" t="s">
        <v>852</v>
      </c>
      <c r="B820">
        <v>115703</v>
      </c>
      <c r="C820">
        <v>6</v>
      </c>
      <c r="D820" t="s">
        <v>1107</v>
      </c>
      <c r="E820">
        <v>2019.04</v>
      </c>
      <c r="F820">
        <v>203</v>
      </c>
      <c r="G820">
        <v>25.9</v>
      </c>
      <c r="H820">
        <v>85.63</v>
      </c>
      <c r="I820">
        <v>18.04</v>
      </c>
      <c r="J820">
        <v>59.66</v>
      </c>
      <c r="K820">
        <v>24</v>
      </c>
      <c r="T820">
        <v>3</v>
      </c>
      <c r="U820">
        <v>2</v>
      </c>
      <c r="V820" t="s">
        <v>94</v>
      </c>
      <c r="W820" t="s">
        <v>628</v>
      </c>
      <c r="X820">
        <v>26</v>
      </c>
      <c r="Y820">
        <v>15</v>
      </c>
      <c r="Z820" t="s">
        <v>1108</v>
      </c>
      <c r="AA820" t="s">
        <v>1109</v>
      </c>
      <c r="AB820" t="s">
        <v>89</v>
      </c>
      <c r="AC820" t="s">
        <v>90</v>
      </c>
      <c r="AD820" t="s">
        <v>91</v>
      </c>
      <c r="AE820" t="s">
        <v>856</v>
      </c>
      <c r="AG820" t="s">
        <v>1110</v>
      </c>
      <c r="AH820">
        <v>0</v>
      </c>
      <c r="AI820">
        <v>269</v>
      </c>
      <c r="AJ820">
        <v>20</v>
      </c>
      <c r="AK820">
        <v>227</v>
      </c>
      <c r="AL820">
        <v>1.1200000000000001</v>
      </c>
    </row>
    <row r="821" spans="1:38" x14ac:dyDescent="0.3">
      <c r="A821" t="s">
        <v>852</v>
      </c>
      <c r="B821">
        <v>1456</v>
      </c>
      <c r="C821">
        <v>1</v>
      </c>
      <c r="D821" t="s">
        <v>1113</v>
      </c>
      <c r="E821">
        <v>1993.07</v>
      </c>
      <c r="F821">
        <v>440</v>
      </c>
      <c r="G821">
        <v>37.24</v>
      </c>
      <c r="H821">
        <v>123.11</v>
      </c>
      <c r="I821">
        <v>30.83</v>
      </c>
      <c r="J821">
        <v>101.94</v>
      </c>
      <c r="K821">
        <v>224</v>
      </c>
      <c r="T821">
        <v>4</v>
      </c>
      <c r="U821">
        <v>2</v>
      </c>
      <c r="V821" t="s">
        <v>94</v>
      </c>
      <c r="W821">
        <v>123</v>
      </c>
      <c r="X821">
        <v>19</v>
      </c>
      <c r="Y821">
        <v>14</v>
      </c>
      <c r="Z821" t="s">
        <v>1114</v>
      </c>
      <c r="AA821" t="s">
        <v>1115</v>
      </c>
      <c r="AB821" t="s">
        <v>89</v>
      </c>
      <c r="AC821" t="s">
        <v>90</v>
      </c>
      <c r="AD821" t="s">
        <v>91</v>
      </c>
      <c r="AE821" t="s">
        <v>856</v>
      </c>
      <c r="AG821" t="s">
        <v>1116</v>
      </c>
      <c r="AH821">
        <v>0</v>
      </c>
      <c r="AI821">
        <v>207</v>
      </c>
      <c r="AJ821">
        <v>16</v>
      </c>
      <c r="AK821">
        <v>607</v>
      </c>
      <c r="AL821">
        <v>1.38</v>
      </c>
    </row>
    <row r="822" spans="1:38" x14ac:dyDescent="0.3">
      <c r="A822" t="s">
        <v>852</v>
      </c>
      <c r="B822">
        <v>1456</v>
      </c>
      <c r="C822">
        <v>2</v>
      </c>
      <c r="D822" t="s">
        <v>1113</v>
      </c>
      <c r="E822">
        <v>1993.07</v>
      </c>
      <c r="F822">
        <v>440</v>
      </c>
      <c r="G822">
        <v>48.03</v>
      </c>
      <c r="H822">
        <v>158.79</v>
      </c>
      <c r="I822">
        <v>39.880000000000003</v>
      </c>
      <c r="J822">
        <v>131.85</v>
      </c>
      <c r="K822">
        <v>140</v>
      </c>
      <c r="T822">
        <v>4</v>
      </c>
      <c r="U822">
        <v>2</v>
      </c>
      <c r="V822" t="s">
        <v>94</v>
      </c>
      <c r="W822">
        <v>158</v>
      </c>
      <c r="X822">
        <v>19</v>
      </c>
      <c r="Y822">
        <v>14</v>
      </c>
      <c r="Z822" t="s">
        <v>1114</v>
      </c>
      <c r="AA822" t="s">
        <v>1115</v>
      </c>
      <c r="AB822" t="s">
        <v>89</v>
      </c>
      <c r="AC822" t="s">
        <v>90</v>
      </c>
      <c r="AD822" t="s">
        <v>91</v>
      </c>
      <c r="AE822" t="s">
        <v>856</v>
      </c>
      <c r="AG822" t="s">
        <v>1116</v>
      </c>
      <c r="AH822">
        <v>0</v>
      </c>
      <c r="AI822">
        <v>207</v>
      </c>
      <c r="AJ822">
        <v>16</v>
      </c>
      <c r="AK822">
        <v>607</v>
      </c>
      <c r="AL822">
        <v>1.38</v>
      </c>
    </row>
    <row r="823" spans="1:38" x14ac:dyDescent="0.3">
      <c r="A823" t="s">
        <v>852</v>
      </c>
      <c r="B823">
        <v>1456</v>
      </c>
      <c r="C823">
        <v>3</v>
      </c>
      <c r="D823" t="s">
        <v>1113</v>
      </c>
      <c r="E823">
        <v>1993.07</v>
      </c>
      <c r="F823">
        <v>440</v>
      </c>
      <c r="G823">
        <v>58.48</v>
      </c>
      <c r="H823">
        <v>193.34</v>
      </c>
      <c r="I823">
        <v>48.93</v>
      </c>
      <c r="J823">
        <v>161.76</v>
      </c>
      <c r="K823">
        <v>76</v>
      </c>
      <c r="T823">
        <v>5</v>
      </c>
      <c r="U823">
        <v>2</v>
      </c>
      <c r="V823" t="s">
        <v>94</v>
      </c>
      <c r="W823">
        <v>193</v>
      </c>
      <c r="X823">
        <v>19</v>
      </c>
      <c r="Y823">
        <v>14</v>
      </c>
      <c r="Z823" t="s">
        <v>1114</v>
      </c>
      <c r="AA823" t="s">
        <v>1115</v>
      </c>
      <c r="AB823" t="s">
        <v>89</v>
      </c>
      <c r="AC823" t="s">
        <v>90</v>
      </c>
      <c r="AD823" t="s">
        <v>91</v>
      </c>
      <c r="AE823" t="s">
        <v>856</v>
      </c>
      <c r="AG823" t="s">
        <v>1116</v>
      </c>
      <c r="AH823">
        <v>0</v>
      </c>
      <c r="AI823">
        <v>207</v>
      </c>
      <c r="AJ823">
        <v>16</v>
      </c>
      <c r="AK823">
        <v>607</v>
      </c>
      <c r="AL823">
        <v>1.38</v>
      </c>
    </row>
    <row r="824" spans="1:38" x14ac:dyDescent="0.3">
      <c r="A824" t="s">
        <v>852</v>
      </c>
      <c r="B824">
        <v>106767</v>
      </c>
      <c r="C824">
        <v>1</v>
      </c>
      <c r="D824" t="s">
        <v>1117</v>
      </c>
      <c r="E824">
        <v>2013.02</v>
      </c>
      <c r="F824">
        <v>48</v>
      </c>
      <c r="G824">
        <v>36.89</v>
      </c>
      <c r="H824">
        <v>121.96</v>
      </c>
      <c r="I824">
        <v>25.63</v>
      </c>
      <c r="J824">
        <v>84.73</v>
      </c>
      <c r="K824">
        <v>48</v>
      </c>
      <c r="T824">
        <v>3</v>
      </c>
      <c r="U824">
        <v>2</v>
      </c>
      <c r="V824" t="s">
        <v>86</v>
      </c>
      <c r="W824">
        <v>121</v>
      </c>
      <c r="X824">
        <v>13</v>
      </c>
      <c r="Y824">
        <v>13</v>
      </c>
      <c r="Z824" t="s">
        <v>1118</v>
      </c>
      <c r="AA824" t="s">
        <v>1119</v>
      </c>
      <c r="AB824" t="s">
        <v>89</v>
      </c>
      <c r="AC824" t="s">
        <v>90</v>
      </c>
      <c r="AD824" t="s">
        <v>91</v>
      </c>
      <c r="AE824" t="s">
        <v>856</v>
      </c>
      <c r="AG824" t="s">
        <v>1120</v>
      </c>
      <c r="AH824">
        <v>0</v>
      </c>
      <c r="AI824">
        <v>210</v>
      </c>
      <c r="AJ824">
        <v>31</v>
      </c>
      <c r="AK824">
        <v>51</v>
      </c>
      <c r="AL824">
        <v>1.06</v>
      </c>
    </row>
    <row r="825" spans="1:38" x14ac:dyDescent="0.3">
      <c r="A825" t="s">
        <v>852</v>
      </c>
      <c r="B825">
        <v>11636</v>
      </c>
      <c r="C825">
        <v>1</v>
      </c>
      <c r="D825" t="s">
        <v>1121</v>
      </c>
      <c r="E825">
        <v>1988.03</v>
      </c>
      <c r="F825">
        <v>75</v>
      </c>
      <c r="G825">
        <v>17.350000000000001</v>
      </c>
      <c r="H825">
        <v>57.38</v>
      </c>
      <c r="I825">
        <v>12.95</v>
      </c>
      <c r="J825">
        <v>42.84</v>
      </c>
      <c r="K825">
        <v>40</v>
      </c>
      <c r="T825">
        <v>2</v>
      </c>
      <c r="U825">
        <v>1</v>
      </c>
      <c r="V825" t="s">
        <v>94</v>
      </c>
      <c r="W825">
        <v>57</v>
      </c>
      <c r="X825">
        <v>5</v>
      </c>
      <c r="Y825">
        <v>5</v>
      </c>
      <c r="Z825" t="s">
        <v>1122</v>
      </c>
      <c r="AA825" t="s">
        <v>1123</v>
      </c>
      <c r="AB825" t="s">
        <v>89</v>
      </c>
      <c r="AC825" t="s">
        <v>90</v>
      </c>
      <c r="AD825" t="s">
        <v>91</v>
      </c>
      <c r="AE825" t="s">
        <v>856</v>
      </c>
      <c r="AG825" t="s">
        <v>1124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 x14ac:dyDescent="0.3">
      <c r="A826" t="s">
        <v>852</v>
      </c>
      <c r="B826">
        <v>11636</v>
      </c>
      <c r="C826">
        <v>2</v>
      </c>
      <c r="D826" t="s">
        <v>1121</v>
      </c>
      <c r="E826">
        <v>1988.03</v>
      </c>
      <c r="F826">
        <v>75</v>
      </c>
      <c r="G826">
        <v>20.21</v>
      </c>
      <c r="H826">
        <v>66.81</v>
      </c>
      <c r="I826">
        <v>15.51</v>
      </c>
      <c r="J826">
        <v>51.3</v>
      </c>
      <c r="K826">
        <v>25</v>
      </c>
      <c r="T826">
        <v>2</v>
      </c>
      <c r="U826">
        <v>1</v>
      </c>
      <c r="V826" t="s">
        <v>94</v>
      </c>
      <c r="W826">
        <v>66</v>
      </c>
      <c r="X826">
        <v>5</v>
      </c>
      <c r="Y826">
        <v>5</v>
      </c>
      <c r="Z826" t="s">
        <v>1122</v>
      </c>
      <c r="AA826" t="s">
        <v>1123</v>
      </c>
      <c r="AB826" t="s">
        <v>89</v>
      </c>
      <c r="AC826" t="s">
        <v>90</v>
      </c>
      <c r="AD826" t="s">
        <v>91</v>
      </c>
      <c r="AE826" t="s">
        <v>856</v>
      </c>
      <c r="AG826" t="s">
        <v>1124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38" x14ac:dyDescent="0.3">
      <c r="A827" t="s">
        <v>852</v>
      </c>
      <c r="B827">
        <v>11636</v>
      </c>
      <c r="C827">
        <v>3</v>
      </c>
      <c r="D827" t="s">
        <v>1121</v>
      </c>
      <c r="E827">
        <v>1988.03</v>
      </c>
      <c r="F827">
        <v>75</v>
      </c>
      <c r="G827">
        <v>23.19</v>
      </c>
      <c r="H827">
        <v>76.680000000000007</v>
      </c>
      <c r="I827">
        <v>17.91</v>
      </c>
      <c r="J827">
        <v>59.22</v>
      </c>
      <c r="K827">
        <v>10</v>
      </c>
      <c r="T827">
        <v>3</v>
      </c>
      <c r="U827">
        <v>1</v>
      </c>
      <c r="V827" t="s">
        <v>94</v>
      </c>
      <c r="W827">
        <v>76</v>
      </c>
      <c r="X827">
        <v>5</v>
      </c>
      <c r="Y827">
        <v>5</v>
      </c>
      <c r="Z827" t="s">
        <v>1122</v>
      </c>
      <c r="AA827" t="s">
        <v>1123</v>
      </c>
      <c r="AB827" t="s">
        <v>89</v>
      </c>
      <c r="AC827" t="s">
        <v>90</v>
      </c>
      <c r="AD827" t="s">
        <v>91</v>
      </c>
      <c r="AE827" t="s">
        <v>856</v>
      </c>
      <c r="AG827" t="s">
        <v>1124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">
      <c r="A828" t="s">
        <v>852</v>
      </c>
      <c r="B828">
        <v>111921</v>
      </c>
      <c r="C828">
        <v>1</v>
      </c>
      <c r="D828" t="s">
        <v>1125</v>
      </c>
      <c r="E828">
        <v>2018.03</v>
      </c>
      <c r="F828">
        <v>200</v>
      </c>
      <c r="G828">
        <v>25.74</v>
      </c>
      <c r="H828">
        <v>85.1</v>
      </c>
      <c r="I828">
        <v>18.12</v>
      </c>
      <c r="J828">
        <v>59.92</v>
      </c>
      <c r="K828">
        <v>58</v>
      </c>
      <c r="T828">
        <v>3</v>
      </c>
      <c r="U828">
        <v>2</v>
      </c>
      <c r="V828" t="s">
        <v>94</v>
      </c>
      <c r="W828" t="s">
        <v>957</v>
      </c>
      <c r="X828">
        <v>29</v>
      </c>
      <c r="Y828">
        <v>20</v>
      </c>
      <c r="Z828" t="s">
        <v>1126</v>
      </c>
      <c r="AA828" t="s">
        <v>1127</v>
      </c>
      <c r="AB828" t="s">
        <v>89</v>
      </c>
      <c r="AC828" t="s">
        <v>90</v>
      </c>
      <c r="AD828" t="s">
        <v>91</v>
      </c>
      <c r="AE828" t="s">
        <v>856</v>
      </c>
      <c r="AG828" t="s">
        <v>1128</v>
      </c>
      <c r="AH828">
        <v>0</v>
      </c>
      <c r="AI828">
        <v>264</v>
      </c>
      <c r="AJ828">
        <v>22</v>
      </c>
      <c r="AK828">
        <v>226</v>
      </c>
      <c r="AL828">
        <v>1.1299999999999999</v>
      </c>
    </row>
    <row r="829" spans="1:38" x14ac:dyDescent="0.3">
      <c r="A829" t="s">
        <v>852</v>
      </c>
      <c r="B829">
        <v>111921</v>
      </c>
      <c r="C829">
        <v>2</v>
      </c>
      <c r="D829" t="s">
        <v>1125</v>
      </c>
      <c r="E829">
        <v>2018.03</v>
      </c>
      <c r="F829">
        <v>200</v>
      </c>
      <c r="G829">
        <v>25.99</v>
      </c>
      <c r="H829">
        <v>85.92</v>
      </c>
      <c r="I829">
        <v>18.079999999999998</v>
      </c>
      <c r="J829">
        <v>59.77</v>
      </c>
      <c r="K829">
        <v>29</v>
      </c>
      <c r="T829">
        <v>3</v>
      </c>
      <c r="U829">
        <v>2</v>
      </c>
      <c r="V829" t="s">
        <v>94</v>
      </c>
      <c r="W829" t="s">
        <v>628</v>
      </c>
      <c r="X829">
        <v>29</v>
      </c>
      <c r="Y829">
        <v>20</v>
      </c>
      <c r="Z829" t="s">
        <v>1126</v>
      </c>
      <c r="AA829" t="s">
        <v>1127</v>
      </c>
      <c r="AB829" t="s">
        <v>89</v>
      </c>
      <c r="AC829" t="s">
        <v>90</v>
      </c>
      <c r="AD829" t="s">
        <v>91</v>
      </c>
      <c r="AE829" t="s">
        <v>856</v>
      </c>
      <c r="AG829" t="s">
        <v>1128</v>
      </c>
      <c r="AH829">
        <v>0</v>
      </c>
      <c r="AI829">
        <v>264</v>
      </c>
      <c r="AJ829">
        <v>22</v>
      </c>
      <c r="AK829">
        <v>226</v>
      </c>
      <c r="AL829">
        <v>1.1299999999999999</v>
      </c>
    </row>
    <row r="830" spans="1:38" x14ac:dyDescent="0.3">
      <c r="A830" t="s">
        <v>852</v>
      </c>
      <c r="B830">
        <v>111921</v>
      </c>
      <c r="C830">
        <v>3</v>
      </c>
      <c r="D830" t="s">
        <v>1125</v>
      </c>
      <c r="E830">
        <v>2018.03</v>
      </c>
      <c r="F830">
        <v>200</v>
      </c>
      <c r="G830">
        <v>25.94</v>
      </c>
      <c r="H830">
        <v>85.78</v>
      </c>
      <c r="I830">
        <v>17.97</v>
      </c>
      <c r="J830">
        <v>59.43</v>
      </c>
      <c r="K830">
        <v>29</v>
      </c>
      <c r="T830">
        <v>3</v>
      </c>
      <c r="U830">
        <v>2</v>
      </c>
      <c r="V830" t="s">
        <v>94</v>
      </c>
      <c r="W830" t="s">
        <v>1129</v>
      </c>
      <c r="X830">
        <v>29</v>
      </c>
      <c r="Y830">
        <v>20</v>
      </c>
      <c r="Z830" t="s">
        <v>1126</v>
      </c>
      <c r="AA830" t="s">
        <v>1127</v>
      </c>
      <c r="AB830" t="s">
        <v>89</v>
      </c>
      <c r="AC830" t="s">
        <v>90</v>
      </c>
      <c r="AD830" t="s">
        <v>91</v>
      </c>
      <c r="AE830" t="s">
        <v>856</v>
      </c>
      <c r="AG830" t="s">
        <v>1128</v>
      </c>
      <c r="AH830">
        <v>0</v>
      </c>
      <c r="AI830">
        <v>264</v>
      </c>
      <c r="AJ830">
        <v>22</v>
      </c>
      <c r="AK830">
        <v>226</v>
      </c>
      <c r="AL830">
        <v>1.1299999999999999</v>
      </c>
    </row>
    <row r="831" spans="1:38" x14ac:dyDescent="0.3">
      <c r="A831" t="s">
        <v>852</v>
      </c>
      <c r="B831">
        <v>111921</v>
      </c>
      <c r="C831">
        <v>4</v>
      </c>
      <c r="D831" t="s">
        <v>1125</v>
      </c>
      <c r="E831">
        <v>2018.03</v>
      </c>
      <c r="F831">
        <v>200</v>
      </c>
      <c r="G831">
        <v>30</v>
      </c>
      <c r="H831">
        <v>99.18</v>
      </c>
      <c r="I831">
        <v>22.23</v>
      </c>
      <c r="J831">
        <v>73.489999999999995</v>
      </c>
      <c r="K831">
        <v>44</v>
      </c>
      <c r="T831">
        <v>3</v>
      </c>
      <c r="U831">
        <v>2</v>
      </c>
      <c r="V831" t="s">
        <v>94</v>
      </c>
      <c r="W831">
        <v>99</v>
      </c>
      <c r="X831">
        <v>29</v>
      </c>
      <c r="Y831">
        <v>20</v>
      </c>
      <c r="Z831" t="s">
        <v>1126</v>
      </c>
      <c r="AA831" t="s">
        <v>1127</v>
      </c>
      <c r="AB831" t="s">
        <v>89</v>
      </c>
      <c r="AC831" t="s">
        <v>90</v>
      </c>
      <c r="AD831" t="s">
        <v>91</v>
      </c>
      <c r="AE831" t="s">
        <v>856</v>
      </c>
      <c r="AG831" t="s">
        <v>1128</v>
      </c>
      <c r="AH831">
        <v>0</v>
      </c>
      <c r="AI831">
        <v>264</v>
      </c>
      <c r="AJ831">
        <v>22</v>
      </c>
      <c r="AK831">
        <v>226</v>
      </c>
      <c r="AL831">
        <v>1.1299999999999999</v>
      </c>
    </row>
    <row r="832" spans="1:38" x14ac:dyDescent="0.3">
      <c r="A832" t="s">
        <v>852</v>
      </c>
      <c r="B832">
        <v>111921</v>
      </c>
      <c r="C832">
        <v>5</v>
      </c>
      <c r="D832" t="s">
        <v>1125</v>
      </c>
      <c r="E832">
        <v>2018.03</v>
      </c>
      <c r="F832">
        <v>200</v>
      </c>
      <c r="G832">
        <v>33.090000000000003</v>
      </c>
      <c r="H832">
        <v>109.42</v>
      </c>
      <c r="I832">
        <v>24.62</v>
      </c>
      <c r="J832">
        <v>81.39</v>
      </c>
      <c r="K832">
        <v>20</v>
      </c>
      <c r="T832">
        <v>3</v>
      </c>
      <c r="U832">
        <v>2</v>
      </c>
      <c r="V832" t="s">
        <v>94</v>
      </c>
      <c r="W832" t="s">
        <v>805</v>
      </c>
      <c r="X832">
        <v>29</v>
      </c>
      <c r="Y832">
        <v>20</v>
      </c>
      <c r="Z832" t="s">
        <v>1126</v>
      </c>
      <c r="AA832" t="s">
        <v>1127</v>
      </c>
      <c r="AB832" t="s">
        <v>89</v>
      </c>
      <c r="AC832" t="s">
        <v>90</v>
      </c>
      <c r="AD832" t="s">
        <v>91</v>
      </c>
      <c r="AE832" t="s">
        <v>856</v>
      </c>
      <c r="AG832" t="s">
        <v>1128</v>
      </c>
      <c r="AH832">
        <v>0</v>
      </c>
      <c r="AI832">
        <v>264</v>
      </c>
      <c r="AJ832">
        <v>22</v>
      </c>
      <c r="AK832">
        <v>226</v>
      </c>
      <c r="AL832">
        <v>1.1299999999999999</v>
      </c>
    </row>
    <row r="833" spans="1:38" x14ac:dyDescent="0.3">
      <c r="A833" t="s">
        <v>852</v>
      </c>
      <c r="B833">
        <v>111921</v>
      </c>
      <c r="C833">
        <v>6</v>
      </c>
      <c r="D833" t="s">
        <v>1125</v>
      </c>
      <c r="E833">
        <v>2018.03</v>
      </c>
      <c r="F833">
        <v>200</v>
      </c>
      <c r="G833">
        <v>33.19</v>
      </c>
      <c r="H833">
        <v>109.74</v>
      </c>
      <c r="I833">
        <v>24.97</v>
      </c>
      <c r="J833">
        <v>82.55</v>
      </c>
      <c r="K833">
        <v>20</v>
      </c>
      <c r="T833">
        <v>3</v>
      </c>
      <c r="U833">
        <v>2</v>
      </c>
      <c r="V833" t="s">
        <v>94</v>
      </c>
      <c r="W833" t="s">
        <v>521</v>
      </c>
      <c r="X833">
        <v>29</v>
      </c>
      <c r="Y833">
        <v>20</v>
      </c>
      <c r="Z833" t="s">
        <v>1126</v>
      </c>
      <c r="AA833" t="s">
        <v>1127</v>
      </c>
      <c r="AB833" t="s">
        <v>89</v>
      </c>
      <c r="AC833" t="s">
        <v>90</v>
      </c>
      <c r="AD833" t="s">
        <v>91</v>
      </c>
      <c r="AE833" t="s">
        <v>856</v>
      </c>
      <c r="AG833" t="s">
        <v>1128</v>
      </c>
      <c r="AH833">
        <v>0</v>
      </c>
      <c r="AI833">
        <v>264</v>
      </c>
      <c r="AJ833">
        <v>22</v>
      </c>
      <c r="AK833">
        <v>226</v>
      </c>
      <c r="AL833">
        <v>1.1299999999999999</v>
      </c>
    </row>
    <row r="834" spans="1:38" x14ac:dyDescent="0.3">
      <c r="A834" t="s">
        <v>852</v>
      </c>
      <c r="B834">
        <v>120224</v>
      </c>
      <c r="C834">
        <v>1</v>
      </c>
      <c r="D834" t="s">
        <v>1130</v>
      </c>
      <c r="E834">
        <v>2017.01</v>
      </c>
      <c r="F834">
        <v>24</v>
      </c>
      <c r="G834">
        <v>20.71</v>
      </c>
      <c r="H834">
        <v>68.489999999999995</v>
      </c>
      <c r="I834">
        <v>17.29</v>
      </c>
      <c r="J834">
        <v>57.17</v>
      </c>
      <c r="K834">
        <v>6</v>
      </c>
      <c r="T834">
        <v>3</v>
      </c>
      <c r="U834">
        <v>1</v>
      </c>
      <c r="V834" t="s">
        <v>94</v>
      </c>
      <c r="W834" t="s">
        <v>245</v>
      </c>
      <c r="X834">
        <v>8</v>
      </c>
      <c r="Y834">
        <v>8</v>
      </c>
      <c r="Z834" t="s">
        <v>1131</v>
      </c>
      <c r="AA834" t="s">
        <v>1132</v>
      </c>
      <c r="AB834" t="s">
        <v>89</v>
      </c>
      <c r="AC834" t="s">
        <v>90</v>
      </c>
      <c r="AD834" t="s">
        <v>91</v>
      </c>
      <c r="AE834" t="s">
        <v>856</v>
      </c>
      <c r="AG834" t="s">
        <v>1133</v>
      </c>
      <c r="AH834">
        <v>0</v>
      </c>
      <c r="AI834">
        <v>660</v>
      </c>
      <c r="AJ834">
        <v>67</v>
      </c>
      <c r="AK834">
        <v>22</v>
      </c>
      <c r="AL834">
        <v>0.92</v>
      </c>
    </row>
    <row r="835" spans="1:38" x14ac:dyDescent="0.3">
      <c r="A835" t="s">
        <v>852</v>
      </c>
      <c r="B835">
        <v>120224</v>
      </c>
      <c r="C835">
        <v>2</v>
      </c>
      <c r="D835" t="s">
        <v>1130</v>
      </c>
      <c r="E835">
        <v>2017.01</v>
      </c>
      <c r="F835">
        <v>24</v>
      </c>
      <c r="G835">
        <v>21.17</v>
      </c>
      <c r="H835">
        <v>69.989999999999995</v>
      </c>
      <c r="I835">
        <v>17.670000000000002</v>
      </c>
      <c r="J835">
        <v>58.42</v>
      </c>
      <c r="K835">
        <v>6</v>
      </c>
      <c r="T835">
        <v>3</v>
      </c>
      <c r="U835">
        <v>1</v>
      </c>
      <c r="V835" t="s">
        <v>94</v>
      </c>
      <c r="W835" t="s">
        <v>276</v>
      </c>
      <c r="X835">
        <v>8</v>
      </c>
      <c r="Y835">
        <v>8</v>
      </c>
      <c r="Z835" t="s">
        <v>1131</v>
      </c>
      <c r="AA835" t="s">
        <v>1132</v>
      </c>
      <c r="AB835" t="s">
        <v>89</v>
      </c>
      <c r="AC835" t="s">
        <v>90</v>
      </c>
      <c r="AD835" t="s">
        <v>91</v>
      </c>
      <c r="AE835" t="s">
        <v>856</v>
      </c>
      <c r="AG835" t="s">
        <v>1133</v>
      </c>
      <c r="AH835">
        <v>0</v>
      </c>
      <c r="AI835">
        <v>660</v>
      </c>
      <c r="AJ835">
        <v>67</v>
      </c>
      <c r="AK835">
        <v>22</v>
      </c>
      <c r="AL835">
        <v>0.92</v>
      </c>
    </row>
    <row r="836" spans="1:38" x14ac:dyDescent="0.3">
      <c r="A836" t="s">
        <v>852</v>
      </c>
      <c r="B836">
        <v>120224</v>
      </c>
      <c r="C836">
        <v>3</v>
      </c>
      <c r="D836" t="s">
        <v>1130</v>
      </c>
      <c r="E836">
        <v>2017.01</v>
      </c>
      <c r="F836">
        <v>24</v>
      </c>
      <c r="G836">
        <v>21.5</v>
      </c>
      <c r="H836">
        <v>71.08</v>
      </c>
      <c r="I836">
        <v>17.940000000000001</v>
      </c>
      <c r="J836">
        <v>59.33</v>
      </c>
      <c r="K836">
        <v>6</v>
      </c>
      <c r="T836">
        <v>3</v>
      </c>
      <c r="U836">
        <v>1</v>
      </c>
      <c r="V836" t="s">
        <v>94</v>
      </c>
      <c r="W836" t="s">
        <v>1134</v>
      </c>
      <c r="X836">
        <v>8</v>
      </c>
      <c r="Y836">
        <v>8</v>
      </c>
      <c r="Z836" t="s">
        <v>1131</v>
      </c>
      <c r="AA836" t="s">
        <v>1132</v>
      </c>
      <c r="AB836" t="s">
        <v>89</v>
      </c>
      <c r="AC836" t="s">
        <v>90</v>
      </c>
      <c r="AD836" t="s">
        <v>91</v>
      </c>
      <c r="AE836" t="s">
        <v>856</v>
      </c>
      <c r="AG836" t="s">
        <v>1133</v>
      </c>
      <c r="AH836">
        <v>0</v>
      </c>
      <c r="AI836">
        <v>660</v>
      </c>
      <c r="AJ836">
        <v>67</v>
      </c>
      <c r="AK836">
        <v>22</v>
      </c>
      <c r="AL836">
        <v>0.92</v>
      </c>
    </row>
    <row r="837" spans="1:38" x14ac:dyDescent="0.3">
      <c r="A837" t="s">
        <v>852</v>
      </c>
      <c r="B837">
        <v>120224</v>
      </c>
      <c r="C837">
        <v>4</v>
      </c>
      <c r="D837" t="s">
        <v>1130</v>
      </c>
      <c r="E837">
        <v>2017.01</v>
      </c>
      <c r="F837">
        <v>24</v>
      </c>
      <c r="G837">
        <v>21.51</v>
      </c>
      <c r="H837">
        <v>71.11</v>
      </c>
      <c r="I837">
        <v>17.95</v>
      </c>
      <c r="J837">
        <v>59.36</v>
      </c>
      <c r="K837">
        <v>6</v>
      </c>
      <c r="T837">
        <v>3</v>
      </c>
      <c r="U837">
        <v>1</v>
      </c>
      <c r="V837" t="s">
        <v>94</v>
      </c>
      <c r="W837" t="s">
        <v>1135</v>
      </c>
      <c r="X837">
        <v>8</v>
      </c>
      <c r="Y837">
        <v>8</v>
      </c>
      <c r="Z837" t="s">
        <v>1131</v>
      </c>
      <c r="AA837" t="s">
        <v>1132</v>
      </c>
      <c r="AB837" t="s">
        <v>89</v>
      </c>
      <c r="AC837" t="s">
        <v>90</v>
      </c>
      <c r="AD837" t="s">
        <v>91</v>
      </c>
      <c r="AE837" t="s">
        <v>856</v>
      </c>
      <c r="AG837" t="s">
        <v>1133</v>
      </c>
      <c r="AH837">
        <v>0</v>
      </c>
      <c r="AI837">
        <v>660</v>
      </c>
      <c r="AJ837">
        <v>67</v>
      </c>
      <c r="AK837">
        <v>22</v>
      </c>
      <c r="AL837">
        <v>0.92</v>
      </c>
    </row>
    <row r="838" spans="1:38" x14ac:dyDescent="0.3">
      <c r="A838" t="s">
        <v>852</v>
      </c>
      <c r="B838">
        <v>24045</v>
      </c>
      <c r="C838">
        <v>1</v>
      </c>
      <c r="D838" t="s">
        <v>1136</v>
      </c>
      <c r="E838">
        <v>2007.07</v>
      </c>
      <c r="F838">
        <v>149</v>
      </c>
      <c r="G838">
        <v>22.83</v>
      </c>
      <c r="H838">
        <v>75.489999999999995</v>
      </c>
      <c r="I838">
        <v>17.510000000000002</v>
      </c>
      <c r="J838">
        <v>57.89</v>
      </c>
      <c r="K838">
        <v>2</v>
      </c>
      <c r="T838">
        <v>3</v>
      </c>
      <c r="U838">
        <v>2</v>
      </c>
      <c r="V838" t="s">
        <v>94</v>
      </c>
      <c r="W838" t="s">
        <v>137</v>
      </c>
      <c r="X838">
        <v>15</v>
      </c>
      <c r="Y838">
        <v>15</v>
      </c>
      <c r="Z838" t="s">
        <v>1137</v>
      </c>
      <c r="AA838" t="s">
        <v>1138</v>
      </c>
      <c r="AB838" t="s">
        <v>89</v>
      </c>
      <c r="AC838" t="s">
        <v>90</v>
      </c>
      <c r="AD838" t="s">
        <v>91</v>
      </c>
      <c r="AE838" t="s">
        <v>856</v>
      </c>
      <c r="AG838" t="s">
        <v>1139</v>
      </c>
      <c r="AH838">
        <v>0</v>
      </c>
      <c r="AI838">
        <v>248</v>
      </c>
      <c r="AJ838">
        <v>24</v>
      </c>
      <c r="AK838">
        <v>152</v>
      </c>
      <c r="AL838">
        <v>1.02</v>
      </c>
    </row>
    <row r="839" spans="1:38" x14ac:dyDescent="0.3">
      <c r="A839" t="s">
        <v>852</v>
      </c>
      <c r="B839">
        <v>24045</v>
      </c>
      <c r="C839">
        <v>2</v>
      </c>
      <c r="D839" t="s">
        <v>1136</v>
      </c>
      <c r="E839">
        <v>2007.07</v>
      </c>
      <c r="F839">
        <v>149</v>
      </c>
      <c r="G839">
        <v>23.41</v>
      </c>
      <c r="H839">
        <v>77.400000000000006</v>
      </c>
      <c r="I839">
        <v>18.14</v>
      </c>
      <c r="J839">
        <v>59.99</v>
      </c>
      <c r="K839">
        <v>8</v>
      </c>
      <c r="T839">
        <v>3</v>
      </c>
      <c r="U839">
        <v>2</v>
      </c>
      <c r="V839" t="s">
        <v>94</v>
      </c>
      <c r="W839" t="s">
        <v>101</v>
      </c>
      <c r="X839">
        <v>15</v>
      </c>
      <c r="Y839">
        <v>15</v>
      </c>
      <c r="Z839" t="s">
        <v>1137</v>
      </c>
      <c r="AA839" t="s">
        <v>1138</v>
      </c>
      <c r="AB839" t="s">
        <v>89</v>
      </c>
      <c r="AC839" t="s">
        <v>90</v>
      </c>
      <c r="AD839" t="s">
        <v>91</v>
      </c>
      <c r="AE839" t="s">
        <v>856</v>
      </c>
      <c r="AG839" t="s">
        <v>1139</v>
      </c>
      <c r="AH839">
        <v>0</v>
      </c>
      <c r="AI839">
        <v>248</v>
      </c>
      <c r="AJ839">
        <v>24</v>
      </c>
      <c r="AK839">
        <v>152</v>
      </c>
      <c r="AL839">
        <v>1.02</v>
      </c>
    </row>
    <row r="840" spans="1:38" x14ac:dyDescent="0.3">
      <c r="A840" t="s">
        <v>852</v>
      </c>
      <c r="B840">
        <v>24045</v>
      </c>
      <c r="C840">
        <v>3</v>
      </c>
      <c r="D840" t="s">
        <v>1136</v>
      </c>
      <c r="E840">
        <v>2007.07</v>
      </c>
      <c r="F840">
        <v>149</v>
      </c>
      <c r="G840">
        <v>30.31</v>
      </c>
      <c r="H840">
        <v>100.2</v>
      </c>
      <c r="I840">
        <v>23.42</v>
      </c>
      <c r="J840">
        <v>77.45</v>
      </c>
      <c r="K840">
        <v>2</v>
      </c>
      <c r="T840">
        <v>3</v>
      </c>
      <c r="U840">
        <v>2</v>
      </c>
      <c r="V840" t="s">
        <v>94</v>
      </c>
      <c r="W840">
        <v>100</v>
      </c>
      <c r="X840">
        <v>15</v>
      </c>
      <c r="Y840">
        <v>15</v>
      </c>
      <c r="Z840" t="s">
        <v>1137</v>
      </c>
      <c r="AA840" t="s">
        <v>1138</v>
      </c>
      <c r="AB840" t="s">
        <v>89</v>
      </c>
      <c r="AC840" t="s">
        <v>90</v>
      </c>
      <c r="AD840" t="s">
        <v>91</v>
      </c>
      <c r="AE840" t="s">
        <v>856</v>
      </c>
      <c r="AG840" t="s">
        <v>1139</v>
      </c>
      <c r="AH840">
        <v>0</v>
      </c>
      <c r="AI840">
        <v>248</v>
      </c>
      <c r="AJ840">
        <v>24</v>
      </c>
      <c r="AK840">
        <v>152</v>
      </c>
      <c r="AL840">
        <v>1.02</v>
      </c>
    </row>
    <row r="841" spans="1:38" x14ac:dyDescent="0.3">
      <c r="A841" t="s">
        <v>852</v>
      </c>
      <c r="B841">
        <v>24045</v>
      </c>
      <c r="C841">
        <v>4</v>
      </c>
      <c r="D841" t="s">
        <v>1136</v>
      </c>
      <c r="E841">
        <v>2007.07</v>
      </c>
      <c r="F841">
        <v>149</v>
      </c>
      <c r="G841">
        <v>31.14</v>
      </c>
      <c r="H841">
        <v>102.96</v>
      </c>
      <c r="I841">
        <v>24.28</v>
      </c>
      <c r="J841">
        <v>80.28</v>
      </c>
      <c r="K841">
        <v>21</v>
      </c>
      <c r="T841">
        <v>3</v>
      </c>
      <c r="U841">
        <v>2</v>
      </c>
      <c r="V841" t="s">
        <v>94</v>
      </c>
      <c r="W841" t="s">
        <v>1140</v>
      </c>
      <c r="X841">
        <v>15</v>
      </c>
      <c r="Y841">
        <v>15</v>
      </c>
      <c r="Z841" t="s">
        <v>1137</v>
      </c>
      <c r="AA841" t="s">
        <v>1138</v>
      </c>
      <c r="AB841" t="s">
        <v>89</v>
      </c>
      <c r="AC841" t="s">
        <v>90</v>
      </c>
      <c r="AD841" t="s">
        <v>91</v>
      </c>
      <c r="AE841" t="s">
        <v>856</v>
      </c>
      <c r="AG841" t="s">
        <v>1139</v>
      </c>
      <c r="AH841">
        <v>0</v>
      </c>
      <c r="AI841">
        <v>248</v>
      </c>
      <c r="AJ841">
        <v>24</v>
      </c>
      <c r="AK841">
        <v>152</v>
      </c>
      <c r="AL841">
        <v>1.02</v>
      </c>
    </row>
    <row r="842" spans="1:38" x14ac:dyDescent="0.3">
      <c r="A842" t="s">
        <v>852</v>
      </c>
      <c r="B842">
        <v>24045</v>
      </c>
      <c r="C842">
        <v>5</v>
      </c>
      <c r="D842" t="s">
        <v>1136</v>
      </c>
      <c r="E842">
        <v>2007.07</v>
      </c>
      <c r="F842">
        <v>149</v>
      </c>
      <c r="G842">
        <v>31.08</v>
      </c>
      <c r="H842">
        <v>102.77</v>
      </c>
      <c r="I842">
        <v>24.31</v>
      </c>
      <c r="J842">
        <v>80.37</v>
      </c>
      <c r="K842">
        <v>13</v>
      </c>
      <c r="T842">
        <v>3</v>
      </c>
      <c r="U842">
        <v>2</v>
      </c>
      <c r="V842" t="s">
        <v>94</v>
      </c>
      <c r="W842" t="s">
        <v>1141</v>
      </c>
      <c r="X842">
        <v>15</v>
      </c>
      <c r="Y842">
        <v>15</v>
      </c>
      <c r="Z842" t="s">
        <v>1137</v>
      </c>
      <c r="AA842" t="s">
        <v>1138</v>
      </c>
      <c r="AB842" t="s">
        <v>89</v>
      </c>
      <c r="AC842" t="s">
        <v>90</v>
      </c>
      <c r="AD842" t="s">
        <v>91</v>
      </c>
      <c r="AE842" t="s">
        <v>856</v>
      </c>
      <c r="AG842" t="s">
        <v>1139</v>
      </c>
      <c r="AH842">
        <v>0</v>
      </c>
      <c r="AI842">
        <v>248</v>
      </c>
      <c r="AJ842">
        <v>24</v>
      </c>
      <c r="AK842">
        <v>152</v>
      </c>
      <c r="AL842">
        <v>1.02</v>
      </c>
    </row>
    <row r="843" spans="1:38" x14ac:dyDescent="0.3">
      <c r="A843" t="s">
        <v>852</v>
      </c>
      <c r="B843">
        <v>24045</v>
      </c>
      <c r="C843">
        <v>6</v>
      </c>
      <c r="D843" t="s">
        <v>1136</v>
      </c>
      <c r="E843">
        <v>2007.07</v>
      </c>
      <c r="F843">
        <v>149</v>
      </c>
      <c r="G843">
        <v>33.04</v>
      </c>
      <c r="H843">
        <v>109.25</v>
      </c>
      <c r="I843">
        <v>25.7</v>
      </c>
      <c r="J843">
        <v>84.98</v>
      </c>
      <c r="K843">
        <v>103</v>
      </c>
      <c r="T843">
        <v>3</v>
      </c>
      <c r="U843">
        <v>2</v>
      </c>
      <c r="V843" t="s">
        <v>94</v>
      </c>
      <c r="W843">
        <v>109</v>
      </c>
      <c r="X843">
        <v>15</v>
      </c>
      <c r="Y843">
        <v>15</v>
      </c>
      <c r="Z843" t="s">
        <v>1137</v>
      </c>
      <c r="AA843" t="s">
        <v>1138</v>
      </c>
      <c r="AB843" t="s">
        <v>89</v>
      </c>
      <c r="AC843" t="s">
        <v>90</v>
      </c>
      <c r="AD843" t="s">
        <v>91</v>
      </c>
      <c r="AE843" t="s">
        <v>856</v>
      </c>
      <c r="AG843" t="s">
        <v>1139</v>
      </c>
      <c r="AH843">
        <v>0</v>
      </c>
      <c r="AI843">
        <v>248</v>
      </c>
      <c r="AJ843">
        <v>24</v>
      </c>
      <c r="AK843">
        <v>152</v>
      </c>
      <c r="AL843">
        <v>1.02</v>
      </c>
    </row>
    <row r="844" spans="1:38" x14ac:dyDescent="0.3">
      <c r="A844" t="s">
        <v>852</v>
      </c>
      <c r="B844">
        <v>2031</v>
      </c>
      <c r="C844">
        <v>1</v>
      </c>
      <c r="D844" t="s">
        <v>1142</v>
      </c>
      <c r="E844">
        <v>1982.12</v>
      </c>
      <c r="F844">
        <v>30</v>
      </c>
      <c r="G844">
        <v>20.059999999999999</v>
      </c>
      <c r="H844">
        <v>66.34</v>
      </c>
      <c r="I844">
        <v>15.36</v>
      </c>
      <c r="J844">
        <v>50.79</v>
      </c>
      <c r="K844">
        <v>30</v>
      </c>
      <c r="T844">
        <v>3</v>
      </c>
      <c r="U844">
        <v>1</v>
      </c>
      <c r="V844" t="s">
        <v>94</v>
      </c>
      <c r="W844">
        <v>66</v>
      </c>
      <c r="X844">
        <v>5</v>
      </c>
      <c r="Y844">
        <v>5</v>
      </c>
      <c r="Z844" t="s">
        <v>1143</v>
      </c>
      <c r="AA844" t="s">
        <v>1144</v>
      </c>
      <c r="AB844" t="s">
        <v>89</v>
      </c>
      <c r="AC844" t="s">
        <v>90</v>
      </c>
      <c r="AD844" t="s">
        <v>91</v>
      </c>
      <c r="AE844" t="s">
        <v>856</v>
      </c>
      <c r="AG844" t="s">
        <v>1145</v>
      </c>
      <c r="AH844">
        <v>0</v>
      </c>
      <c r="AI844">
        <v>0</v>
      </c>
      <c r="AJ844">
        <v>0</v>
      </c>
      <c r="AK844">
        <v>0</v>
      </c>
      <c r="AL844">
        <v>0</v>
      </c>
    </row>
    <row r="845" spans="1:38" x14ac:dyDescent="0.3">
      <c r="A845" t="s">
        <v>852</v>
      </c>
      <c r="B845">
        <v>113140</v>
      </c>
      <c r="C845">
        <v>1</v>
      </c>
      <c r="D845" t="s">
        <v>1146</v>
      </c>
      <c r="E845">
        <v>2016.04</v>
      </c>
      <c r="F845">
        <v>16</v>
      </c>
      <c r="G845">
        <v>21.88</v>
      </c>
      <c r="H845">
        <v>72.36</v>
      </c>
      <c r="I845">
        <v>14.91</v>
      </c>
      <c r="J845">
        <v>49.29</v>
      </c>
      <c r="K845">
        <v>8</v>
      </c>
      <c r="T845">
        <v>1</v>
      </c>
      <c r="U845">
        <v>1</v>
      </c>
      <c r="V845" t="s">
        <v>94</v>
      </c>
      <c r="W845" t="s">
        <v>96</v>
      </c>
      <c r="X845">
        <v>10</v>
      </c>
      <c r="Y845">
        <v>10</v>
      </c>
      <c r="Z845" t="s">
        <v>1147</v>
      </c>
      <c r="AA845" t="s">
        <v>1148</v>
      </c>
      <c r="AB845" t="s">
        <v>89</v>
      </c>
      <c r="AC845" t="s">
        <v>90</v>
      </c>
      <c r="AD845" t="s">
        <v>91</v>
      </c>
      <c r="AE845" t="s">
        <v>856</v>
      </c>
      <c r="AG845" t="s">
        <v>1149</v>
      </c>
      <c r="AH845">
        <v>0</v>
      </c>
      <c r="AI845">
        <v>371</v>
      </c>
      <c r="AJ845">
        <v>56</v>
      </c>
      <c r="AK845">
        <v>11</v>
      </c>
      <c r="AL845">
        <v>0.69</v>
      </c>
    </row>
    <row r="846" spans="1:38" x14ac:dyDescent="0.3">
      <c r="A846" t="s">
        <v>852</v>
      </c>
      <c r="B846">
        <v>113140</v>
      </c>
      <c r="C846">
        <v>2</v>
      </c>
      <c r="D846" t="s">
        <v>1146</v>
      </c>
      <c r="E846">
        <v>2016.04</v>
      </c>
      <c r="F846">
        <v>16</v>
      </c>
      <c r="G846">
        <v>22.03</v>
      </c>
      <c r="H846">
        <v>72.849999999999994</v>
      </c>
      <c r="I846">
        <v>15.01</v>
      </c>
      <c r="J846">
        <v>49.62</v>
      </c>
      <c r="K846">
        <v>8</v>
      </c>
      <c r="T846">
        <v>1</v>
      </c>
      <c r="U846">
        <v>1</v>
      </c>
      <c r="V846" t="s">
        <v>94</v>
      </c>
      <c r="W846" t="s">
        <v>1150</v>
      </c>
      <c r="X846">
        <v>10</v>
      </c>
      <c r="Y846">
        <v>10</v>
      </c>
      <c r="Z846" t="s">
        <v>1147</v>
      </c>
      <c r="AA846" t="s">
        <v>1148</v>
      </c>
      <c r="AB846" t="s">
        <v>89</v>
      </c>
      <c r="AC846" t="s">
        <v>90</v>
      </c>
      <c r="AD846" t="s">
        <v>91</v>
      </c>
      <c r="AE846" t="s">
        <v>856</v>
      </c>
      <c r="AG846" t="s">
        <v>1149</v>
      </c>
      <c r="AH846">
        <v>0</v>
      </c>
      <c r="AI846">
        <v>371</v>
      </c>
      <c r="AJ846">
        <v>56</v>
      </c>
      <c r="AK846">
        <v>11</v>
      </c>
      <c r="AL846">
        <v>0.69</v>
      </c>
    </row>
    <row r="847" spans="1:38" x14ac:dyDescent="0.3">
      <c r="A847" t="s">
        <v>852</v>
      </c>
      <c r="B847">
        <v>115416</v>
      </c>
      <c r="C847">
        <v>1</v>
      </c>
      <c r="D847" t="s">
        <v>1151</v>
      </c>
      <c r="E847">
        <v>2018.02</v>
      </c>
      <c r="F847">
        <v>122</v>
      </c>
      <c r="G847">
        <v>7.05</v>
      </c>
      <c r="H847">
        <v>23.31</v>
      </c>
      <c r="I847">
        <v>5.08</v>
      </c>
      <c r="J847">
        <v>16.809999999999999</v>
      </c>
      <c r="K847">
        <v>120</v>
      </c>
      <c r="T847">
        <v>1</v>
      </c>
      <c r="U847">
        <v>1</v>
      </c>
      <c r="V847" t="s">
        <v>128</v>
      </c>
      <c r="W847" t="s">
        <v>1152</v>
      </c>
      <c r="X847">
        <v>10</v>
      </c>
      <c r="Y847">
        <v>9</v>
      </c>
      <c r="Z847" t="s">
        <v>1153</v>
      </c>
      <c r="AA847" t="s">
        <v>1154</v>
      </c>
      <c r="AB847" t="s">
        <v>89</v>
      </c>
      <c r="AC847" t="s">
        <v>90</v>
      </c>
      <c r="AD847" t="s">
        <v>91</v>
      </c>
      <c r="AE847" t="s">
        <v>856</v>
      </c>
      <c r="AG847" t="s">
        <v>1155</v>
      </c>
      <c r="AH847">
        <v>0</v>
      </c>
      <c r="AI847">
        <v>298</v>
      </c>
      <c r="AJ847">
        <v>53</v>
      </c>
      <c r="AK847">
        <v>77</v>
      </c>
      <c r="AL847">
        <v>0.63</v>
      </c>
    </row>
    <row r="848" spans="1:38" x14ac:dyDescent="0.3">
      <c r="A848" t="s">
        <v>852</v>
      </c>
      <c r="B848">
        <v>115416</v>
      </c>
      <c r="C848">
        <v>2</v>
      </c>
      <c r="D848" t="s">
        <v>1151</v>
      </c>
      <c r="E848">
        <v>2018.02</v>
      </c>
      <c r="F848">
        <v>122</v>
      </c>
      <c r="G848">
        <v>13.86</v>
      </c>
      <c r="H848">
        <v>45.83</v>
      </c>
      <c r="I848">
        <v>9.94</v>
      </c>
      <c r="J848">
        <v>32.880000000000003</v>
      </c>
      <c r="K848">
        <v>2</v>
      </c>
      <c r="T848">
        <v>1</v>
      </c>
      <c r="U848">
        <v>1</v>
      </c>
      <c r="V848" t="s">
        <v>128</v>
      </c>
      <c r="W848" t="s">
        <v>1156</v>
      </c>
      <c r="X848">
        <v>10</v>
      </c>
      <c r="Y848">
        <v>9</v>
      </c>
      <c r="Z848" t="s">
        <v>1153</v>
      </c>
      <c r="AA848" t="s">
        <v>1154</v>
      </c>
      <c r="AB848" t="s">
        <v>89</v>
      </c>
      <c r="AC848" t="s">
        <v>90</v>
      </c>
      <c r="AD848" t="s">
        <v>91</v>
      </c>
      <c r="AE848" t="s">
        <v>856</v>
      </c>
      <c r="AG848" t="s">
        <v>1155</v>
      </c>
      <c r="AH848">
        <v>0</v>
      </c>
      <c r="AI848">
        <v>298</v>
      </c>
      <c r="AJ848">
        <v>53</v>
      </c>
      <c r="AK848">
        <v>77</v>
      </c>
      <c r="AL848">
        <v>0.63</v>
      </c>
    </row>
    <row r="849" spans="1:38" x14ac:dyDescent="0.3">
      <c r="A849" t="s">
        <v>852</v>
      </c>
      <c r="B849">
        <v>1476</v>
      </c>
      <c r="C849">
        <v>1</v>
      </c>
      <c r="D849" t="s">
        <v>1157</v>
      </c>
      <c r="E849">
        <v>1992.08</v>
      </c>
      <c r="F849">
        <v>654</v>
      </c>
      <c r="G849">
        <v>24.29</v>
      </c>
      <c r="H849">
        <v>80.3</v>
      </c>
      <c r="I849">
        <v>18.07</v>
      </c>
      <c r="J849">
        <v>59.76</v>
      </c>
      <c r="K849">
        <v>150</v>
      </c>
      <c r="T849">
        <v>3</v>
      </c>
      <c r="U849">
        <v>1</v>
      </c>
      <c r="V849" t="s">
        <v>128</v>
      </c>
      <c r="W849">
        <v>80</v>
      </c>
      <c r="X849">
        <v>15</v>
      </c>
      <c r="Y849">
        <v>10</v>
      </c>
      <c r="Z849" t="s">
        <v>1158</v>
      </c>
      <c r="AA849" t="s">
        <v>1159</v>
      </c>
      <c r="AB849" t="s">
        <v>89</v>
      </c>
      <c r="AC849" t="s">
        <v>90</v>
      </c>
      <c r="AD849" t="s">
        <v>91</v>
      </c>
      <c r="AE849" t="s">
        <v>856</v>
      </c>
      <c r="AG849" t="s">
        <v>1160</v>
      </c>
      <c r="AH849">
        <v>0</v>
      </c>
      <c r="AI849">
        <v>208</v>
      </c>
      <c r="AJ849">
        <v>0</v>
      </c>
      <c r="AK849">
        <v>405</v>
      </c>
      <c r="AL849">
        <v>0.62</v>
      </c>
    </row>
    <row r="850" spans="1:38" x14ac:dyDescent="0.3">
      <c r="A850" t="s">
        <v>852</v>
      </c>
      <c r="B850">
        <v>1476</v>
      </c>
      <c r="C850">
        <v>2</v>
      </c>
      <c r="D850" t="s">
        <v>1157</v>
      </c>
      <c r="E850">
        <v>1992.08</v>
      </c>
      <c r="F850">
        <v>654</v>
      </c>
      <c r="G850">
        <v>28.36</v>
      </c>
      <c r="H850">
        <v>93.76</v>
      </c>
      <c r="I850">
        <v>23.05</v>
      </c>
      <c r="J850">
        <v>76.23</v>
      </c>
      <c r="K850">
        <v>144</v>
      </c>
      <c r="T850">
        <v>3</v>
      </c>
      <c r="U850">
        <v>1</v>
      </c>
      <c r="V850" t="s">
        <v>94</v>
      </c>
      <c r="W850">
        <v>93</v>
      </c>
      <c r="X850">
        <v>15</v>
      </c>
      <c r="Y850">
        <v>10</v>
      </c>
      <c r="Z850" t="s">
        <v>1158</v>
      </c>
      <c r="AA850" t="s">
        <v>1159</v>
      </c>
      <c r="AB850" t="s">
        <v>89</v>
      </c>
      <c r="AC850" t="s">
        <v>90</v>
      </c>
      <c r="AD850" t="s">
        <v>91</v>
      </c>
      <c r="AE850" t="s">
        <v>856</v>
      </c>
      <c r="AG850" t="s">
        <v>1160</v>
      </c>
      <c r="AH850">
        <v>0</v>
      </c>
      <c r="AI850">
        <v>208</v>
      </c>
      <c r="AJ850">
        <v>0</v>
      </c>
      <c r="AK850">
        <v>405</v>
      </c>
      <c r="AL850">
        <v>0.62</v>
      </c>
    </row>
    <row r="851" spans="1:38" x14ac:dyDescent="0.3">
      <c r="A851" t="s">
        <v>852</v>
      </c>
      <c r="B851">
        <v>1476</v>
      </c>
      <c r="C851">
        <v>3</v>
      </c>
      <c r="D851" t="s">
        <v>1157</v>
      </c>
      <c r="E851">
        <v>1992.08</v>
      </c>
      <c r="F851">
        <v>654</v>
      </c>
      <c r="G851">
        <v>31.59</v>
      </c>
      <c r="H851">
        <v>104.43</v>
      </c>
      <c r="I851">
        <v>25.68</v>
      </c>
      <c r="J851">
        <v>84.9</v>
      </c>
      <c r="K851">
        <v>360</v>
      </c>
      <c r="T851">
        <v>3</v>
      </c>
      <c r="U851">
        <v>2</v>
      </c>
      <c r="V851" t="s">
        <v>94</v>
      </c>
      <c r="W851">
        <v>104</v>
      </c>
      <c r="X851">
        <v>15</v>
      </c>
      <c r="Y851">
        <v>10</v>
      </c>
      <c r="Z851" t="s">
        <v>1158</v>
      </c>
      <c r="AA851" t="s">
        <v>1159</v>
      </c>
      <c r="AB851" t="s">
        <v>89</v>
      </c>
      <c r="AC851" t="s">
        <v>90</v>
      </c>
      <c r="AD851" t="s">
        <v>91</v>
      </c>
      <c r="AE851" t="s">
        <v>856</v>
      </c>
      <c r="AG851" t="s">
        <v>1160</v>
      </c>
      <c r="AH851">
        <v>0</v>
      </c>
      <c r="AI851">
        <v>208</v>
      </c>
      <c r="AJ851">
        <v>0</v>
      </c>
      <c r="AK851">
        <v>405</v>
      </c>
      <c r="AL851">
        <v>0.62</v>
      </c>
    </row>
    <row r="852" spans="1:38" x14ac:dyDescent="0.3">
      <c r="A852" t="s">
        <v>852</v>
      </c>
      <c r="B852">
        <v>8036</v>
      </c>
      <c r="C852">
        <v>1</v>
      </c>
      <c r="D852" t="s">
        <v>1161</v>
      </c>
      <c r="E852">
        <v>2003.12</v>
      </c>
      <c r="F852">
        <v>1752</v>
      </c>
      <c r="G852">
        <v>24.58</v>
      </c>
      <c r="H852">
        <v>81.28</v>
      </c>
      <c r="I852">
        <v>18.14</v>
      </c>
      <c r="J852">
        <v>59.98</v>
      </c>
      <c r="K852">
        <v>50</v>
      </c>
      <c r="T852">
        <v>2</v>
      </c>
      <c r="U852">
        <v>1</v>
      </c>
      <c r="V852" t="s">
        <v>94</v>
      </c>
      <c r="W852" t="s">
        <v>260</v>
      </c>
      <c r="X852">
        <v>27</v>
      </c>
      <c r="Y852">
        <v>12</v>
      </c>
      <c r="Z852" t="s">
        <v>1162</v>
      </c>
      <c r="AA852" t="s">
        <v>1163</v>
      </c>
      <c r="AB852" t="s">
        <v>89</v>
      </c>
      <c r="AC852" t="s">
        <v>90</v>
      </c>
      <c r="AD852" t="s">
        <v>91</v>
      </c>
      <c r="AE852" t="s">
        <v>856</v>
      </c>
      <c r="AG852" t="s">
        <v>1164</v>
      </c>
      <c r="AH852">
        <v>0</v>
      </c>
      <c r="AI852">
        <v>359</v>
      </c>
      <c r="AJ852">
        <v>19</v>
      </c>
      <c r="AK852">
        <v>2261</v>
      </c>
      <c r="AL852">
        <v>1.29</v>
      </c>
    </row>
    <row r="853" spans="1:38" x14ac:dyDescent="0.3">
      <c r="A853" t="s">
        <v>852</v>
      </c>
      <c r="B853">
        <v>8036</v>
      </c>
      <c r="C853">
        <v>2</v>
      </c>
      <c r="D853" t="s">
        <v>1161</v>
      </c>
      <c r="E853">
        <v>2003.12</v>
      </c>
      <c r="F853">
        <v>1752</v>
      </c>
      <c r="G853">
        <v>24.84</v>
      </c>
      <c r="H853">
        <v>82.13</v>
      </c>
      <c r="I853">
        <v>18.11</v>
      </c>
      <c r="J853">
        <v>59.88</v>
      </c>
      <c r="K853">
        <v>130</v>
      </c>
      <c r="T853">
        <v>3</v>
      </c>
      <c r="U853">
        <v>2</v>
      </c>
      <c r="V853" t="s">
        <v>94</v>
      </c>
      <c r="W853" t="s">
        <v>519</v>
      </c>
      <c r="X853">
        <v>27</v>
      </c>
      <c r="Y853">
        <v>12</v>
      </c>
      <c r="Z853" t="s">
        <v>1162</v>
      </c>
      <c r="AA853" t="s">
        <v>1163</v>
      </c>
      <c r="AB853" t="s">
        <v>89</v>
      </c>
      <c r="AC853" t="s">
        <v>90</v>
      </c>
      <c r="AD853" t="s">
        <v>91</v>
      </c>
      <c r="AE853" t="s">
        <v>856</v>
      </c>
      <c r="AG853" t="s">
        <v>1164</v>
      </c>
      <c r="AH853">
        <v>0</v>
      </c>
      <c r="AI853">
        <v>359</v>
      </c>
      <c r="AJ853">
        <v>19</v>
      </c>
      <c r="AK853">
        <v>2261</v>
      </c>
      <c r="AL853">
        <v>1.29</v>
      </c>
    </row>
    <row r="854" spans="1:38" x14ac:dyDescent="0.3">
      <c r="A854" t="s">
        <v>852</v>
      </c>
      <c r="B854">
        <v>8036</v>
      </c>
      <c r="C854">
        <v>3</v>
      </c>
      <c r="D854" t="s">
        <v>1161</v>
      </c>
      <c r="E854">
        <v>2003.12</v>
      </c>
      <c r="F854">
        <v>1752</v>
      </c>
      <c r="G854">
        <v>32.49</v>
      </c>
      <c r="H854">
        <v>107.43</v>
      </c>
      <c r="I854">
        <v>25.66</v>
      </c>
      <c r="J854">
        <v>84.84</v>
      </c>
      <c r="K854">
        <v>810</v>
      </c>
      <c r="T854">
        <v>3</v>
      </c>
      <c r="U854">
        <v>2</v>
      </c>
      <c r="V854" t="s">
        <v>94</v>
      </c>
      <c r="W854" t="s">
        <v>428</v>
      </c>
      <c r="X854">
        <v>27</v>
      </c>
      <c r="Y854">
        <v>12</v>
      </c>
      <c r="Z854" t="s">
        <v>1162</v>
      </c>
      <c r="AA854" t="s">
        <v>1163</v>
      </c>
      <c r="AB854" t="s">
        <v>89</v>
      </c>
      <c r="AC854" t="s">
        <v>90</v>
      </c>
      <c r="AD854" t="s">
        <v>91</v>
      </c>
      <c r="AE854" t="s">
        <v>856</v>
      </c>
      <c r="AG854" t="s">
        <v>1164</v>
      </c>
      <c r="AH854">
        <v>0</v>
      </c>
      <c r="AI854">
        <v>359</v>
      </c>
      <c r="AJ854">
        <v>19</v>
      </c>
      <c r="AK854">
        <v>2261</v>
      </c>
      <c r="AL854">
        <v>1.29</v>
      </c>
    </row>
    <row r="855" spans="1:38" x14ac:dyDescent="0.3">
      <c r="A855" t="s">
        <v>852</v>
      </c>
      <c r="B855">
        <v>8036</v>
      </c>
      <c r="C855">
        <v>4</v>
      </c>
      <c r="D855" t="s">
        <v>1161</v>
      </c>
      <c r="E855">
        <v>2003.12</v>
      </c>
      <c r="F855">
        <v>1752</v>
      </c>
      <c r="G855">
        <v>32.53</v>
      </c>
      <c r="H855">
        <v>107.55</v>
      </c>
      <c r="I855">
        <v>25.7</v>
      </c>
      <c r="J855">
        <v>84.99</v>
      </c>
      <c r="K855">
        <v>355</v>
      </c>
      <c r="T855">
        <v>3</v>
      </c>
      <c r="U855">
        <v>2</v>
      </c>
      <c r="V855" t="s">
        <v>94</v>
      </c>
      <c r="W855" t="s">
        <v>427</v>
      </c>
      <c r="X855">
        <v>27</v>
      </c>
      <c r="Y855">
        <v>12</v>
      </c>
      <c r="Z855" t="s">
        <v>1162</v>
      </c>
      <c r="AA855" t="s">
        <v>1163</v>
      </c>
      <c r="AB855" t="s">
        <v>89</v>
      </c>
      <c r="AC855" t="s">
        <v>90</v>
      </c>
      <c r="AD855" t="s">
        <v>91</v>
      </c>
      <c r="AE855" t="s">
        <v>856</v>
      </c>
      <c r="AG855" t="s">
        <v>1164</v>
      </c>
      <c r="AH855">
        <v>0</v>
      </c>
      <c r="AI855">
        <v>359</v>
      </c>
      <c r="AJ855">
        <v>19</v>
      </c>
      <c r="AK855">
        <v>2261</v>
      </c>
      <c r="AL855">
        <v>1.29</v>
      </c>
    </row>
    <row r="856" spans="1:38" x14ac:dyDescent="0.3">
      <c r="A856" t="s">
        <v>852</v>
      </c>
      <c r="B856">
        <v>8036</v>
      </c>
      <c r="C856">
        <v>5</v>
      </c>
      <c r="D856" t="s">
        <v>1161</v>
      </c>
      <c r="E856">
        <v>2003.12</v>
      </c>
      <c r="F856">
        <v>1752</v>
      </c>
      <c r="G856">
        <v>37.130000000000003</v>
      </c>
      <c r="H856">
        <v>122.75</v>
      </c>
      <c r="I856">
        <v>29.55</v>
      </c>
      <c r="J856">
        <v>97.7</v>
      </c>
      <c r="K856">
        <v>89</v>
      </c>
      <c r="T856">
        <v>3</v>
      </c>
      <c r="U856">
        <v>2</v>
      </c>
      <c r="V856" t="s">
        <v>94</v>
      </c>
      <c r="W856">
        <v>122</v>
      </c>
      <c r="X856">
        <v>27</v>
      </c>
      <c r="Y856">
        <v>12</v>
      </c>
      <c r="Z856" t="s">
        <v>1162</v>
      </c>
      <c r="AA856" t="s">
        <v>1163</v>
      </c>
      <c r="AB856" t="s">
        <v>89</v>
      </c>
      <c r="AC856" t="s">
        <v>90</v>
      </c>
      <c r="AD856" t="s">
        <v>91</v>
      </c>
      <c r="AE856" t="s">
        <v>856</v>
      </c>
      <c r="AG856" t="s">
        <v>1164</v>
      </c>
      <c r="AH856">
        <v>0</v>
      </c>
      <c r="AI856">
        <v>359</v>
      </c>
      <c r="AJ856">
        <v>19</v>
      </c>
      <c r="AK856">
        <v>2261</v>
      </c>
      <c r="AL856">
        <v>1.29</v>
      </c>
    </row>
    <row r="857" spans="1:38" x14ac:dyDescent="0.3">
      <c r="A857" t="s">
        <v>852</v>
      </c>
      <c r="B857">
        <v>8036</v>
      </c>
      <c r="C857">
        <v>6</v>
      </c>
      <c r="D857" t="s">
        <v>1161</v>
      </c>
      <c r="E857">
        <v>2003.12</v>
      </c>
      <c r="F857">
        <v>1752</v>
      </c>
      <c r="G857">
        <v>43.49</v>
      </c>
      <c r="H857">
        <v>143.79</v>
      </c>
      <c r="I857">
        <v>35.24</v>
      </c>
      <c r="J857">
        <v>116.5</v>
      </c>
      <c r="K857">
        <v>210</v>
      </c>
      <c r="T857">
        <v>4</v>
      </c>
      <c r="U857">
        <v>2</v>
      </c>
      <c r="V857" t="s">
        <v>94</v>
      </c>
      <c r="W857">
        <v>143</v>
      </c>
      <c r="X857">
        <v>27</v>
      </c>
      <c r="Y857">
        <v>12</v>
      </c>
      <c r="Z857" t="s">
        <v>1162</v>
      </c>
      <c r="AA857" t="s">
        <v>1163</v>
      </c>
      <c r="AB857" t="s">
        <v>89</v>
      </c>
      <c r="AC857" t="s">
        <v>90</v>
      </c>
      <c r="AD857" t="s">
        <v>91</v>
      </c>
      <c r="AE857" t="s">
        <v>856</v>
      </c>
      <c r="AG857" t="s">
        <v>1164</v>
      </c>
      <c r="AH857">
        <v>0</v>
      </c>
      <c r="AI857">
        <v>359</v>
      </c>
      <c r="AJ857">
        <v>19</v>
      </c>
      <c r="AK857">
        <v>2261</v>
      </c>
      <c r="AL857">
        <v>1.29</v>
      </c>
    </row>
    <row r="858" spans="1:38" x14ac:dyDescent="0.3">
      <c r="A858" t="s">
        <v>852</v>
      </c>
      <c r="B858">
        <v>8036</v>
      </c>
      <c r="C858">
        <v>7</v>
      </c>
      <c r="D858" t="s">
        <v>1161</v>
      </c>
      <c r="E858">
        <v>2003.12</v>
      </c>
      <c r="F858">
        <v>1752</v>
      </c>
      <c r="G858">
        <v>52.01</v>
      </c>
      <c r="H858">
        <v>171.95</v>
      </c>
      <c r="I858">
        <v>43.35</v>
      </c>
      <c r="J858">
        <v>143.33000000000001</v>
      </c>
      <c r="K858">
        <v>108</v>
      </c>
      <c r="T858">
        <v>4</v>
      </c>
      <c r="U858">
        <v>2</v>
      </c>
      <c r="V858" t="s">
        <v>94</v>
      </c>
      <c r="W858">
        <v>171</v>
      </c>
      <c r="X858">
        <v>27</v>
      </c>
      <c r="Y858">
        <v>12</v>
      </c>
      <c r="Z858" t="s">
        <v>1162</v>
      </c>
      <c r="AA858" t="s">
        <v>1163</v>
      </c>
      <c r="AB858" t="s">
        <v>89</v>
      </c>
      <c r="AC858" t="s">
        <v>90</v>
      </c>
      <c r="AD858" t="s">
        <v>91</v>
      </c>
      <c r="AE858" t="s">
        <v>856</v>
      </c>
      <c r="AG858" t="s">
        <v>1164</v>
      </c>
      <c r="AH858">
        <v>0</v>
      </c>
      <c r="AI858">
        <v>359</v>
      </c>
      <c r="AJ858">
        <v>19</v>
      </c>
      <c r="AK858">
        <v>2261</v>
      </c>
      <c r="AL858">
        <v>1.29</v>
      </c>
    </row>
    <row r="859" spans="1:38" x14ac:dyDescent="0.3">
      <c r="A859" t="s">
        <v>852</v>
      </c>
      <c r="B859">
        <v>8353</v>
      </c>
      <c r="C859">
        <v>1</v>
      </c>
      <c r="D859" t="s">
        <v>1165</v>
      </c>
      <c r="E859">
        <v>1986.08</v>
      </c>
      <c r="F859">
        <v>30</v>
      </c>
      <c r="G859">
        <v>24.75</v>
      </c>
      <c r="H859">
        <v>81.819999999999993</v>
      </c>
      <c r="I859">
        <v>19.46</v>
      </c>
      <c r="J859">
        <v>64.349999999999994</v>
      </c>
      <c r="K859">
        <v>25</v>
      </c>
      <c r="T859">
        <v>2</v>
      </c>
      <c r="U859">
        <v>1</v>
      </c>
      <c r="V859" t="s">
        <v>94</v>
      </c>
      <c r="W859">
        <v>81</v>
      </c>
      <c r="X859">
        <v>5</v>
      </c>
      <c r="Y859">
        <v>5</v>
      </c>
      <c r="Z859" t="s">
        <v>1166</v>
      </c>
      <c r="AA859" t="s">
        <v>1167</v>
      </c>
      <c r="AB859" t="s">
        <v>89</v>
      </c>
      <c r="AC859" t="s">
        <v>90</v>
      </c>
      <c r="AD859" t="s">
        <v>91</v>
      </c>
      <c r="AE859" t="s">
        <v>856</v>
      </c>
      <c r="AG859" t="s">
        <v>1168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 x14ac:dyDescent="0.3">
      <c r="A860" t="s">
        <v>852</v>
      </c>
      <c r="B860">
        <v>8353</v>
      </c>
      <c r="C860">
        <v>2</v>
      </c>
      <c r="D860" t="s">
        <v>1165</v>
      </c>
      <c r="E860">
        <v>1986.08</v>
      </c>
      <c r="F860">
        <v>30</v>
      </c>
      <c r="G860">
        <v>26.97</v>
      </c>
      <c r="H860">
        <v>89.17</v>
      </c>
      <c r="I860">
        <v>21.34</v>
      </c>
      <c r="J860">
        <v>70.56</v>
      </c>
      <c r="K860">
        <v>5</v>
      </c>
      <c r="T860">
        <v>3</v>
      </c>
      <c r="U860">
        <v>1</v>
      </c>
      <c r="V860" t="s">
        <v>94</v>
      </c>
      <c r="W860">
        <v>89</v>
      </c>
      <c r="X860">
        <v>5</v>
      </c>
      <c r="Y860">
        <v>5</v>
      </c>
      <c r="Z860" t="s">
        <v>1166</v>
      </c>
      <c r="AA860" t="s">
        <v>1167</v>
      </c>
      <c r="AB860" t="s">
        <v>89</v>
      </c>
      <c r="AC860" t="s">
        <v>90</v>
      </c>
      <c r="AD860" t="s">
        <v>91</v>
      </c>
      <c r="AE860" t="s">
        <v>856</v>
      </c>
      <c r="AG860" t="s">
        <v>1168</v>
      </c>
      <c r="AH860">
        <v>0</v>
      </c>
      <c r="AI860">
        <v>0</v>
      </c>
      <c r="AJ860">
        <v>0</v>
      </c>
      <c r="AK860">
        <v>0</v>
      </c>
      <c r="AL860">
        <v>0</v>
      </c>
    </row>
    <row r="861" spans="1:38" x14ac:dyDescent="0.3">
      <c r="A861" t="s">
        <v>852</v>
      </c>
      <c r="B861">
        <v>8038</v>
      </c>
      <c r="C861">
        <v>1</v>
      </c>
      <c r="D861" t="s">
        <v>1169</v>
      </c>
      <c r="E861">
        <v>2000.1</v>
      </c>
      <c r="F861">
        <v>168</v>
      </c>
      <c r="G861">
        <v>22.43</v>
      </c>
      <c r="H861">
        <v>74.180000000000007</v>
      </c>
      <c r="I861">
        <v>16.71</v>
      </c>
      <c r="J861">
        <v>55.27</v>
      </c>
      <c r="K861">
        <v>1</v>
      </c>
      <c r="T861">
        <v>3</v>
      </c>
      <c r="U861">
        <v>1</v>
      </c>
      <c r="V861" t="s">
        <v>128</v>
      </c>
      <c r="W861">
        <v>74</v>
      </c>
      <c r="X861">
        <v>19</v>
      </c>
      <c r="Y861">
        <v>9</v>
      </c>
      <c r="Z861" t="s">
        <v>1170</v>
      </c>
      <c r="AA861" t="s">
        <v>1171</v>
      </c>
      <c r="AB861" t="s">
        <v>89</v>
      </c>
      <c r="AC861" t="s">
        <v>90</v>
      </c>
      <c r="AD861" t="s">
        <v>91</v>
      </c>
      <c r="AE861" t="s">
        <v>856</v>
      </c>
      <c r="AG861" t="s">
        <v>1172</v>
      </c>
      <c r="AH861">
        <v>0</v>
      </c>
      <c r="AI861">
        <v>321</v>
      </c>
      <c r="AJ861">
        <v>24</v>
      </c>
      <c r="AK861">
        <v>172</v>
      </c>
      <c r="AL861">
        <v>1.02</v>
      </c>
    </row>
    <row r="862" spans="1:38" x14ac:dyDescent="0.3">
      <c r="A862" t="s">
        <v>852</v>
      </c>
      <c r="B862">
        <v>8038</v>
      </c>
      <c r="C862">
        <v>2</v>
      </c>
      <c r="D862" t="s">
        <v>1169</v>
      </c>
      <c r="E862">
        <v>2000.1</v>
      </c>
      <c r="F862">
        <v>168</v>
      </c>
      <c r="G862">
        <v>24.35</v>
      </c>
      <c r="H862">
        <v>80.510000000000005</v>
      </c>
      <c r="I862">
        <v>18.14</v>
      </c>
      <c r="J862">
        <v>59.99</v>
      </c>
      <c r="K862">
        <v>73</v>
      </c>
      <c r="T862">
        <v>3</v>
      </c>
      <c r="U862">
        <v>1</v>
      </c>
      <c r="V862" t="s">
        <v>128</v>
      </c>
      <c r="W862">
        <v>80</v>
      </c>
      <c r="X862">
        <v>19</v>
      </c>
      <c r="Y862">
        <v>9</v>
      </c>
      <c r="Z862" t="s">
        <v>1170</v>
      </c>
      <c r="AA862" t="s">
        <v>1171</v>
      </c>
      <c r="AB862" t="s">
        <v>89</v>
      </c>
      <c r="AC862" t="s">
        <v>90</v>
      </c>
      <c r="AD862" t="s">
        <v>91</v>
      </c>
      <c r="AE862" t="s">
        <v>856</v>
      </c>
      <c r="AG862" t="s">
        <v>1172</v>
      </c>
      <c r="AH862">
        <v>0</v>
      </c>
      <c r="AI862">
        <v>321</v>
      </c>
      <c r="AJ862">
        <v>24</v>
      </c>
      <c r="AK862">
        <v>172</v>
      </c>
      <c r="AL862">
        <v>1.02</v>
      </c>
    </row>
    <row r="863" spans="1:38" x14ac:dyDescent="0.3">
      <c r="A863" t="s">
        <v>852</v>
      </c>
      <c r="B863">
        <v>8038</v>
      </c>
      <c r="C863">
        <v>3</v>
      </c>
      <c r="D863" t="s">
        <v>1169</v>
      </c>
      <c r="E863">
        <v>2000.1</v>
      </c>
      <c r="F863">
        <v>168</v>
      </c>
      <c r="G863">
        <v>34.49</v>
      </c>
      <c r="H863">
        <v>114.02</v>
      </c>
      <c r="I863">
        <v>25.7</v>
      </c>
      <c r="J863">
        <v>84.96</v>
      </c>
      <c r="K863">
        <v>94</v>
      </c>
      <c r="T863">
        <v>3</v>
      </c>
      <c r="U863">
        <v>2</v>
      </c>
      <c r="V863" t="s">
        <v>94</v>
      </c>
      <c r="W863">
        <v>114</v>
      </c>
      <c r="X863">
        <v>19</v>
      </c>
      <c r="Y863">
        <v>9</v>
      </c>
      <c r="Z863" t="s">
        <v>1170</v>
      </c>
      <c r="AA863" t="s">
        <v>1171</v>
      </c>
      <c r="AB863" t="s">
        <v>89</v>
      </c>
      <c r="AC863" t="s">
        <v>90</v>
      </c>
      <c r="AD863" t="s">
        <v>91</v>
      </c>
      <c r="AE863" t="s">
        <v>856</v>
      </c>
      <c r="AG863" t="s">
        <v>1172</v>
      </c>
      <c r="AH863">
        <v>0</v>
      </c>
      <c r="AI863">
        <v>321</v>
      </c>
      <c r="AJ863">
        <v>24</v>
      </c>
      <c r="AK863">
        <v>172</v>
      </c>
      <c r="AL863">
        <v>1.02</v>
      </c>
    </row>
    <row r="864" spans="1:38" x14ac:dyDescent="0.3">
      <c r="A864" t="s">
        <v>852</v>
      </c>
      <c r="B864">
        <v>1441</v>
      </c>
      <c r="C864">
        <v>1</v>
      </c>
      <c r="D864" t="s">
        <v>1173</v>
      </c>
      <c r="E864">
        <v>1993.11</v>
      </c>
      <c r="F864">
        <v>1072</v>
      </c>
      <c r="G864">
        <v>30.76</v>
      </c>
      <c r="H864">
        <v>101.69</v>
      </c>
      <c r="I864">
        <v>25.07</v>
      </c>
      <c r="J864">
        <v>82.88</v>
      </c>
      <c r="K864">
        <v>5</v>
      </c>
      <c r="T864">
        <v>3</v>
      </c>
      <c r="U864">
        <v>2</v>
      </c>
      <c r="V864" t="s">
        <v>94</v>
      </c>
      <c r="W864">
        <v>101</v>
      </c>
      <c r="X864">
        <v>26</v>
      </c>
      <c r="Y864">
        <v>9</v>
      </c>
      <c r="Z864" t="s">
        <v>1174</v>
      </c>
      <c r="AA864" t="s">
        <v>1175</v>
      </c>
      <c r="AB864" t="s">
        <v>89</v>
      </c>
      <c r="AC864" t="s">
        <v>90</v>
      </c>
      <c r="AD864" t="s">
        <v>91</v>
      </c>
      <c r="AE864" t="s">
        <v>856</v>
      </c>
      <c r="AG864" t="s">
        <v>1176</v>
      </c>
      <c r="AH864">
        <v>0</v>
      </c>
      <c r="AI864">
        <v>208</v>
      </c>
      <c r="AJ864">
        <v>16</v>
      </c>
      <c r="AK864">
        <v>1410</v>
      </c>
      <c r="AL864">
        <v>1.32</v>
      </c>
    </row>
    <row r="865" spans="1:38" x14ac:dyDescent="0.3">
      <c r="A865" t="s">
        <v>852</v>
      </c>
      <c r="B865">
        <v>1441</v>
      </c>
      <c r="C865">
        <v>2</v>
      </c>
      <c r="D865" t="s">
        <v>1173</v>
      </c>
      <c r="E865">
        <v>1993.11</v>
      </c>
      <c r="F865">
        <v>1072</v>
      </c>
      <c r="G865">
        <v>32.93</v>
      </c>
      <c r="H865">
        <v>108.87</v>
      </c>
      <c r="I865">
        <v>26.84</v>
      </c>
      <c r="J865">
        <v>88.73</v>
      </c>
      <c r="K865">
        <v>91</v>
      </c>
      <c r="T865">
        <v>3</v>
      </c>
      <c r="U865">
        <v>2</v>
      </c>
      <c r="V865" t="s">
        <v>94</v>
      </c>
      <c r="W865" t="s">
        <v>187</v>
      </c>
      <c r="X865">
        <v>26</v>
      </c>
      <c r="Y865">
        <v>9</v>
      </c>
      <c r="Z865" t="s">
        <v>1174</v>
      </c>
      <c r="AA865" t="s">
        <v>1175</v>
      </c>
      <c r="AB865" t="s">
        <v>89</v>
      </c>
      <c r="AC865" t="s">
        <v>90</v>
      </c>
      <c r="AD865" t="s">
        <v>91</v>
      </c>
      <c r="AE865" t="s">
        <v>856</v>
      </c>
      <c r="AG865" t="s">
        <v>1176</v>
      </c>
      <c r="AH865">
        <v>0</v>
      </c>
      <c r="AI865">
        <v>208</v>
      </c>
      <c r="AJ865">
        <v>16</v>
      </c>
      <c r="AK865">
        <v>1410</v>
      </c>
      <c r="AL865">
        <v>1.32</v>
      </c>
    </row>
    <row r="866" spans="1:38" x14ac:dyDescent="0.3">
      <c r="A866" t="s">
        <v>852</v>
      </c>
      <c r="B866">
        <v>1441</v>
      </c>
      <c r="C866">
        <v>3</v>
      </c>
      <c r="D866" t="s">
        <v>1173</v>
      </c>
      <c r="E866">
        <v>1993.11</v>
      </c>
      <c r="F866">
        <v>1072</v>
      </c>
      <c r="G866">
        <v>32.97</v>
      </c>
      <c r="H866">
        <v>109</v>
      </c>
      <c r="I866">
        <v>26.85</v>
      </c>
      <c r="J866">
        <v>88.78</v>
      </c>
      <c r="K866">
        <v>96</v>
      </c>
      <c r="T866">
        <v>3</v>
      </c>
      <c r="U866">
        <v>2</v>
      </c>
      <c r="V866" t="s">
        <v>94</v>
      </c>
      <c r="W866" t="s">
        <v>521</v>
      </c>
      <c r="X866">
        <v>26</v>
      </c>
      <c r="Y866">
        <v>9</v>
      </c>
      <c r="Z866" t="s">
        <v>1174</v>
      </c>
      <c r="AA866" t="s">
        <v>1175</v>
      </c>
      <c r="AB866" t="s">
        <v>89</v>
      </c>
      <c r="AC866" t="s">
        <v>90</v>
      </c>
      <c r="AD866" t="s">
        <v>91</v>
      </c>
      <c r="AE866" t="s">
        <v>856</v>
      </c>
      <c r="AG866" t="s">
        <v>1176</v>
      </c>
      <c r="AH866">
        <v>0</v>
      </c>
      <c r="AI866">
        <v>208</v>
      </c>
      <c r="AJ866">
        <v>16</v>
      </c>
      <c r="AK866">
        <v>1410</v>
      </c>
      <c r="AL866">
        <v>1.32</v>
      </c>
    </row>
    <row r="867" spans="1:38" x14ac:dyDescent="0.3">
      <c r="A867" t="s">
        <v>852</v>
      </c>
      <c r="B867">
        <v>1441</v>
      </c>
      <c r="C867">
        <v>4</v>
      </c>
      <c r="D867" t="s">
        <v>1173</v>
      </c>
      <c r="E867">
        <v>1993.11</v>
      </c>
      <c r="F867">
        <v>1072</v>
      </c>
      <c r="G867">
        <v>33.39</v>
      </c>
      <c r="H867">
        <v>110.41</v>
      </c>
      <c r="I867">
        <v>27.57</v>
      </c>
      <c r="J867">
        <v>91.15</v>
      </c>
      <c r="K867">
        <v>7</v>
      </c>
      <c r="T867">
        <v>3</v>
      </c>
      <c r="U867">
        <v>2</v>
      </c>
      <c r="V867" t="s">
        <v>94</v>
      </c>
      <c r="W867" t="s">
        <v>459</v>
      </c>
      <c r="X867">
        <v>26</v>
      </c>
      <c r="Y867">
        <v>9</v>
      </c>
      <c r="Z867" t="s">
        <v>1174</v>
      </c>
      <c r="AA867" t="s">
        <v>1175</v>
      </c>
      <c r="AB867" t="s">
        <v>89</v>
      </c>
      <c r="AC867" t="s">
        <v>90</v>
      </c>
      <c r="AD867" t="s">
        <v>91</v>
      </c>
      <c r="AE867" t="s">
        <v>856</v>
      </c>
      <c r="AG867" t="s">
        <v>1176</v>
      </c>
      <c r="AH867">
        <v>0</v>
      </c>
      <c r="AI867">
        <v>208</v>
      </c>
      <c r="AJ867">
        <v>16</v>
      </c>
      <c r="AK867">
        <v>1410</v>
      </c>
      <c r="AL867">
        <v>1.32</v>
      </c>
    </row>
    <row r="868" spans="1:38" x14ac:dyDescent="0.3">
      <c r="A868" t="s">
        <v>852</v>
      </c>
      <c r="B868">
        <v>1441</v>
      </c>
      <c r="C868">
        <v>5</v>
      </c>
      <c r="D868" t="s">
        <v>1173</v>
      </c>
      <c r="E868">
        <v>1993.11</v>
      </c>
      <c r="F868">
        <v>1072</v>
      </c>
      <c r="G868">
        <v>37.4</v>
      </c>
      <c r="H868">
        <v>123.65</v>
      </c>
      <c r="I868">
        <v>30.83</v>
      </c>
      <c r="J868">
        <v>101.94</v>
      </c>
      <c r="K868">
        <v>210</v>
      </c>
      <c r="T868">
        <v>4</v>
      </c>
      <c r="U868">
        <v>2</v>
      </c>
      <c r="V868" t="s">
        <v>94</v>
      </c>
      <c r="W868" t="s">
        <v>1177</v>
      </c>
      <c r="X868">
        <v>26</v>
      </c>
      <c r="Y868">
        <v>9</v>
      </c>
      <c r="Z868" t="s">
        <v>1174</v>
      </c>
      <c r="AA868" t="s">
        <v>1175</v>
      </c>
      <c r="AB868" t="s">
        <v>89</v>
      </c>
      <c r="AC868" t="s">
        <v>90</v>
      </c>
      <c r="AD868" t="s">
        <v>91</v>
      </c>
      <c r="AE868" t="s">
        <v>856</v>
      </c>
      <c r="AG868" t="s">
        <v>1176</v>
      </c>
      <c r="AH868">
        <v>0</v>
      </c>
      <c r="AI868">
        <v>208</v>
      </c>
      <c r="AJ868">
        <v>16</v>
      </c>
      <c r="AK868">
        <v>1410</v>
      </c>
      <c r="AL868">
        <v>1.32</v>
      </c>
    </row>
    <row r="869" spans="1:38" x14ac:dyDescent="0.3">
      <c r="A869" t="s">
        <v>852</v>
      </c>
      <c r="B869">
        <v>1441</v>
      </c>
      <c r="C869">
        <v>6</v>
      </c>
      <c r="D869" t="s">
        <v>1173</v>
      </c>
      <c r="E869">
        <v>1993.11</v>
      </c>
      <c r="F869">
        <v>1072</v>
      </c>
      <c r="G869">
        <v>37.35</v>
      </c>
      <c r="H869">
        <v>123.49</v>
      </c>
      <c r="I869">
        <v>30.83</v>
      </c>
      <c r="J869">
        <v>101.95</v>
      </c>
      <c r="K869">
        <v>203</v>
      </c>
      <c r="T869">
        <v>4</v>
      </c>
      <c r="U869">
        <v>2</v>
      </c>
      <c r="V869" t="s">
        <v>94</v>
      </c>
      <c r="W869" t="s">
        <v>1178</v>
      </c>
      <c r="X869">
        <v>26</v>
      </c>
      <c r="Y869">
        <v>9</v>
      </c>
      <c r="Z869" t="s">
        <v>1174</v>
      </c>
      <c r="AA869" t="s">
        <v>1175</v>
      </c>
      <c r="AB869" t="s">
        <v>89</v>
      </c>
      <c r="AC869" t="s">
        <v>90</v>
      </c>
      <c r="AD869" t="s">
        <v>91</v>
      </c>
      <c r="AE869" t="s">
        <v>856</v>
      </c>
      <c r="AG869" t="s">
        <v>1176</v>
      </c>
      <c r="AH869">
        <v>0</v>
      </c>
      <c r="AI869">
        <v>208</v>
      </c>
      <c r="AJ869">
        <v>16</v>
      </c>
      <c r="AK869">
        <v>1410</v>
      </c>
      <c r="AL869">
        <v>1.32</v>
      </c>
    </row>
    <row r="870" spans="1:38" x14ac:dyDescent="0.3">
      <c r="A870" t="s">
        <v>852</v>
      </c>
      <c r="B870">
        <v>1441</v>
      </c>
      <c r="C870">
        <v>7</v>
      </c>
      <c r="D870" t="s">
        <v>1173</v>
      </c>
      <c r="E870">
        <v>1993.11</v>
      </c>
      <c r="F870">
        <v>1072</v>
      </c>
      <c r="G870">
        <v>43.88</v>
      </c>
      <c r="H870">
        <v>145.08000000000001</v>
      </c>
      <c r="I870">
        <v>36.409999999999997</v>
      </c>
      <c r="J870">
        <v>120.39</v>
      </c>
      <c r="K870">
        <v>3</v>
      </c>
      <c r="T870">
        <v>4</v>
      </c>
      <c r="U870">
        <v>2</v>
      </c>
      <c r="V870" t="s">
        <v>94</v>
      </c>
      <c r="W870">
        <v>145</v>
      </c>
      <c r="X870">
        <v>26</v>
      </c>
      <c r="Y870">
        <v>9</v>
      </c>
      <c r="Z870" t="s">
        <v>1174</v>
      </c>
      <c r="AA870" t="s">
        <v>1175</v>
      </c>
      <c r="AB870" t="s">
        <v>89</v>
      </c>
      <c r="AC870" t="s">
        <v>90</v>
      </c>
      <c r="AD870" t="s">
        <v>91</v>
      </c>
      <c r="AE870" t="s">
        <v>856</v>
      </c>
      <c r="AG870" t="s">
        <v>1176</v>
      </c>
      <c r="AH870">
        <v>0</v>
      </c>
      <c r="AI870">
        <v>208</v>
      </c>
      <c r="AJ870">
        <v>16</v>
      </c>
      <c r="AK870">
        <v>1410</v>
      </c>
      <c r="AL870">
        <v>1.32</v>
      </c>
    </row>
    <row r="871" spans="1:38" x14ac:dyDescent="0.3">
      <c r="A871" t="s">
        <v>852</v>
      </c>
      <c r="B871">
        <v>1441</v>
      </c>
      <c r="C871">
        <v>8</v>
      </c>
      <c r="D871" t="s">
        <v>1173</v>
      </c>
      <c r="E871">
        <v>1993.11</v>
      </c>
      <c r="F871">
        <v>1072</v>
      </c>
      <c r="G871">
        <v>49.15</v>
      </c>
      <c r="H871">
        <v>162.47999999999999</v>
      </c>
      <c r="I871">
        <v>40.72</v>
      </c>
      <c r="J871">
        <v>134.63999999999999</v>
      </c>
      <c r="K871">
        <v>136</v>
      </c>
      <c r="T871">
        <v>4</v>
      </c>
      <c r="U871">
        <v>2</v>
      </c>
      <c r="V871" t="s">
        <v>94</v>
      </c>
      <c r="W871" t="s">
        <v>1179</v>
      </c>
      <c r="X871">
        <v>26</v>
      </c>
      <c r="Y871">
        <v>9</v>
      </c>
      <c r="Z871" t="s">
        <v>1174</v>
      </c>
      <c r="AA871" t="s">
        <v>1175</v>
      </c>
      <c r="AB871" t="s">
        <v>89</v>
      </c>
      <c r="AC871" t="s">
        <v>90</v>
      </c>
      <c r="AD871" t="s">
        <v>91</v>
      </c>
      <c r="AE871" t="s">
        <v>856</v>
      </c>
      <c r="AG871" t="s">
        <v>1176</v>
      </c>
      <c r="AH871">
        <v>0</v>
      </c>
      <c r="AI871">
        <v>208</v>
      </c>
      <c r="AJ871">
        <v>16</v>
      </c>
      <c r="AK871">
        <v>1410</v>
      </c>
      <c r="AL871">
        <v>1.32</v>
      </c>
    </row>
    <row r="872" spans="1:38" x14ac:dyDescent="0.3">
      <c r="A872" t="s">
        <v>852</v>
      </c>
      <c r="B872">
        <v>1441</v>
      </c>
      <c r="C872">
        <v>9</v>
      </c>
      <c r="D872" t="s">
        <v>1173</v>
      </c>
      <c r="E872">
        <v>1993.11</v>
      </c>
      <c r="F872">
        <v>1072</v>
      </c>
      <c r="G872">
        <v>49.05</v>
      </c>
      <c r="H872">
        <v>162.18</v>
      </c>
      <c r="I872">
        <v>40.71</v>
      </c>
      <c r="J872">
        <v>134.58000000000001</v>
      </c>
      <c r="K872">
        <v>133</v>
      </c>
      <c r="T872">
        <v>4</v>
      </c>
      <c r="U872">
        <v>2</v>
      </c>
      <c r="V872" t="s">
        <v>94</v>
      </c>
      <c r="W872" t="s">
        <v>1180</v>
      </c>
      <c r="X872">
        <v>26</v>
      </c>
      <c r="Y872">
        <v>9</v>
      </c>
      <c r="Z872" t="s">
        <v>1174</v>
      </c>
      <c r="AA872" t="s">
        <v>1175</v>
      </c>
      <c r="AB872" t="s">
        <v>89</v>
      </c>
      <c r="AC872" t="s">
        <v>90</v>
      </c>
      <c r="AD872" t="s">
        <v>91</v>
      </c>
      <c r="AE872" t="s">
        <v>856</v>
      </c>
      <c r="AG872" t="s">
        <v>1176</v>
      </c>
      <c r="AH872">
        <v>0</v>
      </c>
      <c r="AI872">
        <v>208</v>
      </c>
      <c r="AJ872">
        <v>16</v>
      </c>
      <c r="AK872">
        <v>1410</v>
      </c>
      <c r="AL872">
        <v>1.32</v>
      </c>
    </row>
    <row r="873" spans="1:38" x14ac:dyDescent="0.3">
      <c r="A873" t="s">
        <v>852</v>
      </c>
      <c r="B873">
        <v>1441</v>
      </c>
      <c r="C873">
        <v>10</v>
      </c>
      <c r="D873" t="s">
        <v>1173</v>
      </c>
      <c r="E873">
        <v>1993.11</v>
      </c>
      <c r="F873">
        <v>1072</v>
      </c>
      <c r="G873">
        <v>53.73</v>
      </c>
      <c r="H873">
        <v>177.63</v>
      </c>
      <c r="I873">
        <v>44.55</v>
      </c>
      <c r="J873">
        <v>147.28</v>
      </c>
      <c r="K873">
        <v>2</v>
      </c>
      <c r="T873">
        <v>4</v>
      </c>
      <c r="U873">
        <v>2</v>
      </c>
      <c r="V873" t="s">
        <v>94</v>
      </c>
      <c r="W873">
        <v>177</v>
      </c>
      <c r="X873">
        <v>26</v>
      </c>
      <c r="Y873">
        <v>9</v>
      </c>
      <c r="Z873" t="s">
        <v>1174</v>
      </c>
      <c r="AA873" t="s">
        <v>1175</v>
      </c>
      <c r="AB873" t="s">
        <v>89</v>
      </c>
      <c r="AC873" t="s">
        <v>90</v>
      </c>
      <c r="AD873" t="s">
        <v>91</v>
      </c>
      <c r="AE873" t="s">
        <v>856</v>
      </c>
      <c r="AG873" t="s">
        <v>1176</v>
      </c>
      <c r="AH873">
        <v>0</v>
      </c>
      <c r="AI873">
        <v>208</v>
      </c>
      <c r="AJ873">
        <v>16</v>
      </c>
      <c r="AK873">
        <v>1410</v>
      </c>
      <c r="AL873">
        <v>1.32</v>
      </c>
    </row>
    <row r="874" spans="1:38" x14ac:dyDescent="0.3">
      <c r="A874" t="s">
        <v>852</v>
      </c>
      <c r="B874">
        <v>1441</v>
      </c>
      <c r="C874">
        <v>11</v>
      </c>
      <c r="D874" t="s">
        <v>1173</v>
      </c>
      <c r="E874">
        <v>1993.11</v>
      </c>
      <c r="F874">
        <v>1072</v>
      </c>
      <c r="G874">
        <v>60.09</v>
      </c>
      <c r="H874">
        <v>198.65</v>
      </c>
      <c r="I874">
        <v>49.74</v>
      </c>
      <c r="J874">
        <v>164.46</v>
      </c>
      <c r="K874">
        <v>94</v>
      </c>
      <c r="T874">
        <v>5</v>
      </c>
      <c r="U874">
        <v>2</v>
      </c>
      <c r="V874" t="s">
        <v>94</v>
      </c>
      <c r="W874" t="s">
        <v>1181</v>
      </c>
      <c r="X874">
        <v>26</v>
      </c>
      <c r="Y874">
        <v>9</v>
      </c>
      <c r="Z874" t="s">
        <v>1174</v>
      </c>
      <c r="AA874" t="s">
        <v>1175</v>
      </c>
      <c r="AB874" t="s">
        <v>89</v>
      </c>
      <c r="AC874" t="s">
        <v>90</v>
      </c>
      <c r="AD874" t="s">
        <v>91</v>
      </c>
      <c r="AE874" t="s">
        <v>856</v>
      </c>
      <c r="AG874" t="s">
        <v>1176</v>
      </c>
      <c r="AH874">
        <v>0</v>
      </c>
      <c r="AI874">
        <v>208</v>
      </c>
      <c r="AJ874">
        <v>16</v>
      </c>
      <c r="AK874">
        <v>1410</v>
      </c>
      <c r="AL874">
        <v>1.32</v>
      </c>
    </row>
    <row r="875" spans="1:38" x14ac:dyDescent="0.3">
      <c r="A875" t="s">
        <v>852</v>
      </c>
      <c r="B875">
        <v>1441</v>
      </c>
      <c r="C875">
        <v>12</v>
      </c>
      <c r="D875" t="s">
        <v>1173</v>
      </c>
      <c r="E875">
        <v>1993.11</v>
      </c>
      <c r="F875">
        <v>1072</v>
      </c>
      <c r="G875">
        <v>59.99</v>
      </c>
      <c r="H875">
        <v>198.33</v>
      </c>
      <c r="I875">
        <v>49.74</v>
      </c>
      <c r="J875">
        <v>164.44</v>
      </c>
      <c r="K875">
        <v>92</v>
      </c>
      <c r="T875">
        <v>5</v>
      </c>
      <c r="U875">
        <v>2</v>
      </c>
      <c r="V875" t="s">
        <v>94</v>
      </c>
      <c r="W875" t="s">
        <v>1182</v>
      </c>
      <c r="X875">
        <v>26</v>
      </c>
      <c r="Y875">
        <v>9</v>
      </c>
      <c r="Z875" t="s">
        <v>1174</v>
      </c>
      <c r="AA875" t="s">
        <v>1175</v>
      </c>
      <c r="AB875" t="s">
        <v>89</v>
      </c>
      <c r="AC875" t="s">
        <v>90</v>
      </c>
      <c r="AD875" t="s">
        <v>91</v>
      </c>
      <c r="AE875" t="s">
        <v>856</v>
      </c>
      <c r="AG875" t="s">
        <v>1176</v>
      </c>
      <c r="AH875">
        <v>0</v>
      </c>
      <c r="AI875">
        <v>208</v>
      </c>
      <c r="AJ875">
        <v>16</v>
      </c>
      <c r="AK875">
        <v>1410</v>
      </c>
      <c r="AL875">
        <v>1.32</v>
      </c>
    </row>
    <row r="876" spans="1:38" x14ac:dyDescent="0.3">
      <c r="A876" t="s">
        <v>852</v>
      </c>
      <c r="B876">
        <v>2026</v>
      </c>
      <c r="C876">
        <v>1</v>
      </c>
      <c r="D876" t="s">
        <v>1183</v>
      </c>
      <c r="E876">
        <v>1999.01</v>
      </c>
      <c r="F876">
        <v>231</v>
      </c>
      <c r="G876">
        <v>25.37</v>
      </c>
      <c r="H876">
        <v>83.89</v>
      </c>
      <c r="I876">
        <v>17.96</v>
      </c>
      <c r="J876">
        <v>59.4</v>
      </c>
      <c r="K876">
        <v>115</v>
      </c>
      <c r="T876">
        <v>3</v>
      </c>
      <c r="U876">
        <v>1</v>
      </c>
      <c r="V876" t="s">
        <v>128</v>
      </c>
      <c r="W876">
        <v>83</v>
      </c>
      <c r="X876">
        <v>14</v>
      </c>
      <c r="Y876">
        <v>4</v>
      </c>
      <c r="Z876" t="s">
        <v>1184</v>
      </c>
      <c r="AA876" t="s">
        <v>1185</v>
      </c>
      <c r="AB876" t="s">
        <v>89</v>
      </c>
      <c r="AC876" t="s">
        <v>90</v>
      </c>
      <c r="AD876" t="s">
        <v>91</v>
      </c>
      <c r="AE876" t="s">
        <v>856</v>
      </c>
      <c r="AG876" t="s">
        <v>1186</v>
      </c>
      <c r="AH876">
        <v>0</v>
      </c>
      <c r="AI876">
        <v>198</v>
      </c>
      <c r="AJ876">
        <v>24</v>
      </c>
      <c r="AK876">
        <v>206</v>
      </c>
      <c r="AL876">
        <v>0.89</v>
      </c>
    </row>
    <row r="877" spans="1:38" x14ac:dyDescent="0.3">
      <c r="A877" t="s">
        <v>852</v>
      </c>
      <c r="B877">
        <v>2026</v>
      </c>
      <c r="C877">
        <v>2</v>
      </c>
      <c r="D877" t="s">
        <v>1183</v>
      </c>
      <c r="E877">
        <v>1999.01</v>
      </c>
      <c r="F877">
        <v>231</v>
      </c>
      <c r="G877">
        <v>32.4</v>
      </c>
      <c r="H877">
        <v>107.12</v>
      </c>
      <c r="I877">
        <v>25.7</v>
      </c>
      <c r="J877">
        <v>84.99</v>
      </c>
      <c r="K877">
        <v>116</v>
      </c>
      <c r="T877">
        <v>3</v>
      </c>
      <c r="U877">
        <v>2</v>
      </c>
      <c r="V877" t="s">
        <v>94</v>
      </c>
      <c r="W877">
        <v>107</v>
      </c>
      <c r="X877">
        <v>14</v>
      </c>
      <c r="Y877">
        <v>4</v>
      </c>
      <c r="Z877" t="s">
        <v>1184</v>
      </c>
      <c r="AA877" t="s">
        <v>1185</v>
      </c>
      <c r="AB877" t="s">
        <v>89</v>
      </c>
      <c r="AC877" t="s">
        <v>90</v>
      </c>
      <c r="AD877" t="s">
        <v>91</v>
      </c>
      <c r="AE877" t="s">
        <v>856</v>
      </c>
      <c r="AG877" t="s">
        <v>1186</v>
      </c>
      <c r="AH877">
        <v>0</v>
      </c>
      <c r="AI877">
        <v>198</v>
      </c>
      <c r="AJ877">
        <v>24</v>
      </c>
      <c r="AK877">
        <v>206</v>
      </c>
      <c r="AL877">
        <v>0.89</v>
      </c>
    </row>
    <row r="878" spans="1:38" x14ac:dyDescent="0.3">
      <c r="A878" t="s">
        <v>852</v>
      </c>
      <c r="B878">
        <v>112002</v>
      </c>
      <c r="C878">
        <v>1</v>
      </c>
      <c r="D878" t="s">
        <v>1187</v>
      </c>
      <c r="E878">
        <v>2013.12</v>
      </c>
      <c r="F878">
        <v>72</v>
      </c>
      <c r="G878">
        <v>5.69</v>
      </c>
      <c r="H878">
        <v>18.82</v>
      </c>
      <c r="I878">
        <v>3.63</v>
      </c>
      <c r="J878">
        <v>12.03</v>
      </c>
      <c r="K878">
        <v>16</v>
      </c>
      <c r="T878">
        <v>1</v>
      </c>
      <c r="U878">
        <v>1</v>
      </c>
      <c r="V878" t="s">
        <v>128</v>
      </c>
      <c r="W878">
        <v>18</v>
      </c>
      <c r="X878">
        <v>9</v>
      </c>
      <c r="Y878">
        <v>9</v>
      </c>
      <c r="Z878" t="s">
        <v>1188</v>
      </c>
      <c r="AA878" t="s">
        <v>1189</v>
      </c>
      <c r="AB878" t="s">
        <v>89</v>
      </c>
      <c r="AC878" t="s">
        <v>90</v>
      </c>
      <c r="AD878" t="s">
        <v>91</v>
      </c>
      <c r="AE878" t="s">
        <v>856</v>
      </c>
      <c r="AG878" t="s">
        <v>1190</v>
      </c>
      <c r="AH878">
        <v>0</v>
      </c>
      <c r="AI878">
        <v>274</v>
      </c>
      <c r="AJ878">
        <v>40</v>
      </c>
      <c r="AK878">
        <v>18</v>
      </c>
      <c r="AL878">
        <v>0.25</v>
      </c>
    </row>
    <row r="879" spans="1:38" x14ac:dyDescent="0.3">
      <c r="A879" t="s">
        <v>852</v>
      </c>
      <c r="B879">
        <v>112002</v>
      </c>
      <c r="C879">
        <v>2</v>
      </c>
      <c r="D879" t="s">
        <v>1187</v>
      </c>
      <c r="E879">
        <v>2013.12</v>
      </c>
      <c r="F879">
        <v>72</v>
      </c>
      <c r="G879">
        <v>7.35</v>
      </c>
      <c r="H879">
        <v>24.32</v>
      </c>
      <c r="I879">
        <v>4.72</v>
      </c>
      <c r="J879">
        <v>15.61</v>
      </c>
      <c r="K879">
        <v>16</v>
      </c>
      <c r="T879">
        <v>1</v>
      </c>
      <c r="U879">
        <v>1</v>
      </c>
      <c r="V879" t="s">
        <v>128</v>
      </c>
      <c r="W879" t="s">
        <v>1191</v>
      </c>
      <c r="X879">
        <v>9</v>
      </c>
      <c r="Y879">
        <v>9</v>
      </c>
      <c r="Z879" t="s">
        <v>1188</v>
      </c>
      <c r="AA879" t="s">
        <v>1189</v>
      </c>
      <c r="AB879" t="s">
        <v>89</v>
      </c>
      <c r="AC879" t="s">
        <v>90</v>
      </c>
      <c r="AD879" t="s">
        <v>91</v>
      </c>
      <c r="AE879" t="s">
        <v>856</v>
      </c>
      <c r="AG879" t="s">
        <v>1190</v>
      </c>
      <c r="AH879">
        <v>0</v>
      </c>
      <c r="AI879">
        <v>274</v>
      </c>
      <c r="AJ879">
        <v>40</v>
      </c>
      <c r="AK879">
        <v>18</v>
      </c>
      <c r="AL879">
        <v>0.25</v>
      </c>
    </row>
    <row r="880" spans="1:38" x14ac:dyDescent="0.3">
      <c r="A880" t="s">
        <v>852</v>
      </c>
      <c r="B880">
        <v>112002</v>
      </c>
      <c r="C880">
        <v>3</v>
      </c>
      <c r="D880" t="s">
        <v>1187</v>
      </c>
      <c r="E880">
        <v>2013.12</v>
      </c>
      <c r="F880">
        <v>72</v>
      </c>
      <c r="G880">
        <v>7.43</v>
      </c>
      <c r="H880">
        <v>24.59</v>
      </c>
      <c r="I880">
        <v>4.79</v>
      </c>
      <c r="J880">
        <v>15.86</v>
      </c>
      <c r="K880">
        <v>8</v>
      </c>
      <c r="T880">
        <v>1</v>
      </c>
      <c r="U880">
        <v>1</v>
      </c>
      <c r="V880" t="s">
        <v>128</v>
      </c>
      <c r="W880" t="s">
        <v>1192</v>
      </c>
      <c r="X880">
        <v>9</v>
      </c>
      <c r="Y880">
        <v>9</v>
      </c>
      <c r="Z880" t="s">
        <v>1188</v>
      </c>
      <c r="AA880" t="s">
        <v>1189</v>
      </c>
      <c r="AB880" t="s">
        <v>89</v>
      </c>
      <c r="AC880" t="s">
        <v>90</v>
      </c>
      <c r="AD880" t="s">
        <v>91</v>
      </c>
      <c r="AE880" t="s">
        <v>856</v>
      </c>
      <c r="AG880" t="s">
        <v>1190</v>
      </c>
      <c r="AH880">
        <v>0</v>
      </c>
      <c r="AI880">
        <v>274</v>
      </c>
      <c r="AJ880">
        <v>40</v>
      </c>
      <c r="AK880">
        <v>18</v>
      </c>
      <c r="AL880">
        <v>0.25</v>
      </c>
    </row>
    <row r="881" spans="1:38" x14ac:dyDescent="0.3">
      <c r="A881" t="s">
        <v>852</v>
      </c>
      <c r="B881">
        <v>112002</v>
      </c>
      <c r="C881">
        <v>4</v>
      </c>
      <c r="D881" t="s">
        <v>1187</v>
      </c>
      <c r="E881">
        <v>2013.12</v>
      </c>
      <c r="F881">
        <v>72</v>
      </c>
      <c r="G881">
        <v>7.66</v>
      </c>
      <c r="H881">
        <v>25.35</v>
      </c>
      <c r="I881">
        <v>4.93</v>
      </c>
      <c r="J881">
        <v>16.329999999999998</v>
      </c>
      <c r="K881">
        <v>8</v>
      </c>
      <c r="T881">
        <v>1</v>
      </c>
      <c r="U881">
        <v>1</v>
      </c>
      <c r="V881" t="s">
        <v>128</v>
      </c>
      <c r="W881" t="s">
        <v>1193</v>
      </c>
      <c r="X881">
        <v>9</v>
      </c>
      <c r="Y881">
        <v>9</v>
      </c>
      <c r="Z881" t="s">
        <v>1188</v>
      </c>
      <c r="AA881" t="s">
        <v>1189</v>
      </c>
      <c r="AB881" t="s">
        <v>89</v>
      </c>
      <c r="AC881" t="s">
        <v>90</v>
      </c>
      <c r="AD881" t="s">
        <v>91</v>
      </c>
      <c r="AE881" t="s">
        <v>856</v>
      </c>
      <c r="AG881" t="s">
        <v>1190</v>
      </c>
      <c r="AH881">
        <v>0</v>
      </c>
      <c r="AI881">
        <v>274</v>
      </c>
      <c r="AJ881">
        <v>40</v>
      </c>
      <c r="AK881">
        <v>18</v>
      </c>
      <c r="AL881">
        <v>0.25</v>
      </c>
    </row>
    <row r="882" spans="1:38" x14ac:dyDescent="0.3">
      <c r="A882" t="s">
        <v>852</v>
      </c>
      <c r="B882">
        <v>112002</v>
      </c>
      <c r="C882">
        <v>5</v>
      </c>
      <c r="D882" t="s">
        <v>1187</v>
      </c>
      <c r="E882">
        <v>2013.12</v>
      </c>
      <c r="F882">
        <v>72</v>
      </c>
      <c r="G882">
        <v>8.07</v>
      </c>
      <c r="H882">
        <v>26.7</v>
      </c>
      <c r="I882">
        <v>5.23</v>
      </c>
      <c r="J882">
        <v>17.3</v>
      </c>
      <c r="K882">
        <v>24</v>
      </c>
      <c r="T882">
        <v>1</v>
      </c>
      <c r="U882">
        <v>1</v>
      </c>
      <c r="V882" t="s">
        <v>128</v>
      </c>
      <c r="W882" t="s">
        <v>1194</v>
      </c>
      <c r="X882">
        <v>9</v>
      </c>
      <c r="Y882">
        <v>9</v>
      </c>
      <c r="Z882" t="s">
        <v>1188</v>
      </c>
      <c r="AA882" t="s">
        <v>1189</v>
      </c>
      <c r="AB882" t="s">
        <v>89</v>
      </c>
      <c r="AC882" t="s">
        <v>90</v>
      </c>
      <c r="AD882" t="s">
        <v>91</v>
      </c>
      <c r="AE882" t="s">
        <v>856</v>
      </c>
      <c r="AG882" t="s">
        <v>1190</v>
      </c>
      <c r="AH882">
        <v>0</v>
      </c>
      <c r="AI882">
        <v>274</v>
      </c>
      <c r="AJ882">
        <v>40</v>
      </c>
      <c r="AK882">
        <v>18</v>
      </c>
      <c r="AL882">
        <v>0.25</v>
      </c>
    </row>
    <row r="883" spans="1:38" x14ac:dyDescent="0.3">
      <c r="A883" t="s">
        <v>852</v>
      </c>
      <c r="B883">
        <v>1471</v>
      </c>
      <c r="C883">
        <v>1</v>
      </c>
      <c r="D883" t="s">
        <v>1195</v>
      </c>
      <c r="E883">
        <v>1994.08</v>
      </c>
      <c r="F883">
        <v>590</v>
      </c>
      <c r="G883">
        <v>24.61</v>
      </c>
      <c r="H883">
        <v>81.38</v>
      </c>
      <c r="I883">
        <v>18.12</v>
      </c>
      <c r="J883">
        <v>59.91</v>
      </c>
      <c r="K883">
        <v>210</v>
      </c>
      <c r="T883">
        <v>3</v>
      </c>
      <c r="U883">
        <v>1</v>
      </c>
      <c r="V883" t="s">
        <v>94</v>
      </c>
      <c r="W883">
        <v>81</v>
      </c>
      <c r="X883">
        <v>19</v>
      </c>
      <c r="Y883">
        <v>10</v>
      </c>
      <c r="Z883" t="s">
        <v>1196</v>
      </c>
      <c r="AA883" t="s">
        <v>1197</v>
      </c>
      <c r="AB883" t="s">
        <v>89</v>
      </c>
      <c r="AC883" t="s">
        <v>90</v>
      </c>
      <c r="AD883" t="s">
        <v>91</v>
      </c>
      <c r="AE883" t="s">
        <v>856</v>
      </c>
      <c r="AG883" t="s">
        <v>1198</v>
      </c>
      <c r="AH883">
        <v>0</v>
      </c>
      <c r="AI883">
        <v>208</v>
      </c>
      <c r="AJ883">
        <v>16</v>
      </c>
      <c r="AK883">
        <v>507</v>
      </c>
      <c r="AL883">
        <v>0.86</v>
      </c>
    </row>
    <row r="884" spans="1:38" x14ac:dyDescent="0.3">
      <c r="A884" t="s">
        <v>852</v>
      </c>
      <c r="B884">
        <v>1471</v>
      </c>
      <c r="C884">
        <v>2</v>
      </c>
      <c r="D884" t="s">
        <v>1195</v>
      </c>
      <c r="E884">
        <v>1994.08</v>
      </c>
      <c r="F884">
        <v>590</v>
      </c>
      <c r="G884">
        <v>32.28</v>
      </c>
      <c r="H884">
        <v>106.73</v>
      </c>
      <c r="I884">
        <v>25.68</v>
      </c>
      <c r="J884">
        <v>84.9</v>
      </c>
      <c r="K884">
        <v>280</v>
      </c>
      <c r="T884">
        <v>3</v>
      </c>
      <c r="U884">
        <v>2</v>
      </c>
      <c r="V884" t="s">
        <v>94</v>
      </c>
      <c r="W884" t="s">
        <v>1199</v>
      </c>
      <c r="X884">
        <v>19</v>
      </c>
      <c r="Y884">
        <v>10</v>
      </c>
      <c r="Z884" t="s">
        <v>1196</v>
      </c>
      <c r="AA884" t="s">
        <v>1197</v>
      </c>
      <c r="AB884" t="s">
        <v>89</v>
      </c>
      <c r="AC884" t="s">
        <v>90</v>
      </c>
      <c r="AD884" t="s">
        <v>91</v>
      </c>
      <c r="AE884" t="s">
        <v>856</v>
      </c>
      <c r="AG884" t="s">
        <v>1198</v>
      </c>
      <c r="AH884">
        <v>0</v>
      </c>
      <c r="AI884">
        <v>208</v>
      </c>
      <c r="AJ884">
        <v>16</v>
      </c>
      <c r="AK884">
        <v>507</v>
      </c>
      <c r="AL884">
        <v>0.86</v>
      </c>
    </row>
    <row r="885" spans="1:38" x14ac:dyDescent="0.3">
      <c r="A885" t="s">
        <v>852</v>
      </c>
      <c r="B885">
        <v>1471</v>
      </c>
      <c r="C885">
        <v>3</v>
      </c>
      <c r="D885" t="s">
        <v>1195</v>
      </c>
      <c r="E885">
        <v>1994.08</v>
      </c>
      <c r="F885">
        <v>590</v>
      </c>
      <c r="G885">
        <v>32.32</v>
      </c>
      <c r="H885">
        <v>106.86</v>
      </c>
      <c r="I885">
        <v>25.71</v>
      </c>
      <c r="J885">
        <v>85</v>
      </c>
      <c r="K885">
        <v>100</v>
      </c>
      <c r="T885">
        <v>3</v>
      </c>
      <c r="U885">
        <v>2</v>
      </c>
      <c r="V885" t="s">
        <v>94</v>
      </c>
      <c r="W885" t="s">
        <v>1200</v>
      </c>
      <c r="X885">
        <v>19</v>
      </c>
      <c r="Y885">
        <v>10</v>
      </c>
      <c r="Z885" t="s">
        <v>1196</v>
      </c>
      <c r="AA885" t="s">
        <v>1197</v>
      </c>
      <c r="AB885" t="s">
        <v>89</v>
      </c>
      <c r="AC885" t="s">
        <v>90</v>
      </c>
      <c r="AD885" t="s">
        <v>91</v>
      </c>
      <c r="AE885" t="s">
        <v>856</v>
      </c>
      <c r="AG885" t="s">
        <v>1198</v>
      </c>
      <c r="AH885">
        <v>0</v>
      </c>
      <c r="AI885">
        <v>208</v>
      </c>
      <c r="AJ885">
        <v>16</v>
      </c>
      <c r="AK885">
        <v>507</v>
      </c>
      <c r="AL885">
        <v>0.86</v>
      </c>
    </row>
    <row r="886" spans="1:38" x14ac:dyDescent="0.3">
      <c r="A886" t="s">
        <v>852</v>
      </c>
      <c r="B886">
        <v>8981</v>
      </c>
      <c r="C886">
        <v>1</v>
      </c>
      <c r="D886" t="s">
        <v>1201</v>
      </c>
      <c r="E886">
        <v>1983.09</v>
      </c>
      <c r="F886">
        <v>100</v>
      </c>
      <c r="G886">
        <v>19.260000000000002</v>
      </c>
      <c r="H886">
        <v>63.7</v>
      </c>
      <c r="I886">
        <v>17.32</v>
      </c>
      <c r="J886">
        <v>57.26</v>
      </c>
      <c r="K886">
        <v>50</v>
      </c>
      <c r="T886">
        <v>3</v>
      </c>
      <c r="U886">
        <v>1</v>
      </c>
      <c r="V886" t="s">
        <v>94</v>
      </c>
      <c r="W886">
        <v>63</v>
      </c>
      <c r="X886">
        <v>5</v>
      </c>
      <c r="Y886">
        <v>5</v>
      </c>
      <c r="Z886" t="s">
        <v>1202</v>
      </c>
      <c r="AA886" t="s">
        <v>1203</v>
      </c>
      <c r="AB886" t="s">
        <v>89</v>
      </c>
      <c r="AC886" t="s">
        <v>90</v>
      </c>
      <c r="AD886" t="s">
        <v>91</v>
      </c>
      <c r="AE886" t="s">
        <v>856</v>
      </c>
      <c r="AG886" t="s">
        <v>438</v>
      </c>
      <c r="AH886">
        <v>0</v>
      </c>
      <c r="AI886">
        <v>182</v>
      </c>
      <c r="AJ886">
        <v>0</v>
      </c>
      <c r="AK886">
        <v>0</v>
      </c>
      <c r="AL886">
        <v>0</v>
      </c>
    </row>
    <row r="887" spans="1:38" x14ac:dyDescent="0.3">
      <c r="A887" t="s">
        <v>852</v>
      </c>
      <c r="B887">
        <v>8981</v>
      </c>
      <c r="C887">
        <v>2</v>
      </c>
      <c r="D887" t="s">
        <v>1201</v>
      </c>
      <c r="E887">
        <v>1983.09</v>
      </c>
      <c r="F887">
        <v>100</v>
      </c>
      <c r="G887">
        <v>20.57</v>
      </c>
      <c r="H887">
        <v>68</v>
      </c>
      <c r="I887">
        <v>18.62</v>
      </c>
      <c r="J887">
        <v>61.56</v>
      </c>
      <c r="K887">
        <v>50</v>
      </c>
      <c r="T887">
        <v>3</v>
      </c>
      <c r="U887">
        <v>1</v>
      </c>
      <c r="V887" t="s">
        <v>94</v>
      </c>
      <c r="W887">
        <v>68</v>
      </c>
      <c r="X887">
        <v>5</v>
      </c>
      <c r="Y887">
        <v>5</v>
      </c>
      <c r="Z887" t="s">
        <v>1202</v>
      </c>
      <c r="AA887" t="s">
        <v>1203</v>
      </c>
      <c r="AB887" t="s">
        <v>89</v>
      </c>
      <c r="AC887" t="s">
        <v>90</v>
      </c>
      <c r="AD887" t="s">
        <v>91</v>
      </c>
      <c r="AE887" t="s">
        <v>856</v>
      </c>
      <c r="AG887" t="s">
        <v>438</v>
      </c>
      <c r="AH887">
        <v>0</v>
      </c>
      <c r="AI887">
        <v>182</v>
      </c>
      <c r="AJ887">
        <v>0</v>
      </c>
      <c r="AK887">
        <v>0</v>
      </c>
      <c r="AL887">
        <v>0</v>
      </c>
    </row>
    <row r="888" spans="1:38" x14ac:dyDescent="0.3">
      <c r="A888" t="s">
        <v>852</v>
      </c>
      <c r="B888">
        <v>13255</v>
      </c>
      <c r="C888">
        <v>1</v>
      </c>
      <c r="D888" t="s">
        <v>1204</v>
      </c>
      <c r="E888">
        <v>2003.08</v>
      </c>
      <c r="F888">
        <v>46</v>
      </c>
      <c r="G888">
        <v>24.52</v>
      </c>
      <c r="H888">
        <v>81.09</v>
      </c>
      <c r="I888">
        <v>20.7</v>
      </c>
      <c r="J888">
        <v>68.459999999999994</v>
      </c>
      <c r="K888">
        <v>24</v>
      </c>
      <c r="T888">
        <v>3</v>
      </c>
      <c r="U888">
        <v>2</v>
      </c>
      <c r="V888" t="s">
        <v>94</v>
      </c>
      <c r="W888">
        <v>81</v>
      </c>
      <c r="X888">
        <v>13</v>
      </c>
      <c r="Y888">
        <v>12</v>
      </c>
      <c r="Z888" t="s">
        <v>1205</v>
      </c>
      <c r="AA888" t="s">
        <v>1206</v>
      </c>
      <c r="AB888" t="s">
        <v>89</v>
      </c>
      <c r="AC888" t="s">
        <v>90</v>
      </c>
      <c r="AD888" t="s">
        <v>91</v>
      </c>
      <c r="AE888" t="s">
        <v>856</v>
      </c>
      <c r="AG888" t="s">
        <v>1207</v>
      </c>
      <c r="AH888">
        <v>0</v>
      </c>
      <c r="AI888">
        <v>267</v>
      </c>
      <c r="AJ888">
        <v>35</v>
      </c>
      <c r="AK888">
        <v>52</v>
      </c>
      <c r="AL888">
        <v>1.1299999999999999</v>
      </c>
    </row>
    <row r="889" spans="1:38" x14ac:dyDescent="0.3">
      <c r="A889" t="s">
        <v>852</v>
      </c>
      <c r="B889">
        <v>13255</v>
      </c>
      <c r="C889">
        <v>2</v>
      </c>
      <c r="D889" t="s">
        <v>1204</v>
      </c>
      <c r="E889">
        <v>2003.08</v>
      </c>
      <c r="F889">
        <v>46</v>
      </c>
      <c r="G889">
        <v>30.29</v>
      </c>
      <c r="H889">
        <v>100.16</v>
      </c>
      <c r="I889">
        <v>25.57</v>
      </c>
      <c r="J889">
        <v>84.56</v>
      </c>
      <c r="K889">
        <v>22</v>
      </c>
      <c r="T889">
        <v>3</v>
      </c>
      <c r="U889">
        <v>2</v>
      </c>
      <c r="V889" t="s">
        <v>94</v>
      </c>
      <c r="W889">
        <v>100</v>
      </c>
      <c r="X889">
        <v>13</v>
      </c>
      <c r="Y889">
        <v>12</v>
      </c>
      <c r="Z889" t="s">
        <v>1205</v>
      </c>
      <c r="AA889" t="s">
        <v>1206</v>
      </c>
      <c r="AB889" t="s">
        <v>89</v>
      </c>
      <c r="AC889" t="s">
        <v>90</v>
      </c>
      <c r="AD889" t="s">
        <v>91</v>
      </c>
      <c r="AE889" t="s">
        <v>856</v>
      </c>
      <c r="AG889" t="s">
        <v>1207</v>
      </c>
      <c r="AH889">
        <v>0</v>
      </c>
      <c r="AI889">
        <v>267</v>
      </c>
      <c r="AJ889">
        <v>35</v>
      </c>
      <c r="AK889">
        <v>52</v>
      </c>
      <c r="AL889">
        <v>1.1299999999999999</v>
      </c>
    </row>
    <row r="890" spans="1:38" x14ac:dyDescent="0.3">
      <c r="A890" t="s">
        <v>852</v>
      </c>
      <c r="B890">
        <v>11958</v>
      </c>
      <c r="C890">
        <v>1</v>
      </c>
      <c r="D890" t="s">
        <v>1208</v>
      </c>
      <c r="E890">
        <v>2005.04</v>
      </c>
      <c r="F890">
        <v>149</v>
      </c>
      <c r="G890">
        <v>31.7</v>
      </c>
      <c r="H890">
        <v>104.81</v>
      </c>
      <c r="I890">
        <v>25.68</v>
      </c>
      <c r="J890">
        <v>84.91</v>
      </c>
      <c r="K890">
        <v>149</v>
      </c>
      <c r="T890">
        <v>3</v>
      </c>
      <c r="U890">
        <v>2</v>
      </c>
      <c r="V890" t="s">
        <v>94</v>
      </c>
      <c r="W890">
        <v>104</v>
      </c>
      <c r="X890">
        <v>18</v>
      </c>
      <c r="Y890">
        <v>12</v>
      </c>
      <c r="Z890" t="s">
        <v>1209</v>
      </c>
      <c r="AA890" t="s">
        <v>1210</v>
      </c>
      <c r="AB890" t="s">
        <v>89</v>
      </c>
      <c r="AC890" t="s">
        <v>90</v>
      </c>
      <c r="AD890" t="s">
        <v>91</v>
      </c>
      <c r="AE890" t="s">
        <v>856</v>
      </c>
      <c r="AG890" t="s">
        <v>1211</v>
      </c>
      <c r="AH890">
        <v>0</v>
      </c>
      <c r="AI890">
        <v>248</v>
      </c>
      <c r="AJ890">
        <v>23</v>
      </c>
      <c r="AK890">
        <v>149</v>
      </c>
      <c r="AL890">
        <v>1</v>
      </c>
    </row>
    <row r="891" spans="1:38" x14ac:dyDescent="0.3">
      <c r="A891" t="s">
        <v>852</v>
      </c>
      <c r="B891">
        <v>1459</v>
      </c>
      <c r="C891">
        <v>1</v>
      </c>
      <c r="D891" t="s">
        <v>1212</v>
      </c>
      <c r="E891">
        <v>1992.09</v>
      </c>
      <c r="F891">
        <v>466</v>
      </c>
      <c r="G891">
        <v>37.14</v>
      </c>
      <c r="H891">
        <v>122.79</v>
      </c>
      <c r="I891">
        <v>30.64</v>
      </c>
      <c r="J891">
        <v>101.31</v>
      </c>
      <c r="K891">
        <v>100</v>
      </c>
      <c r="T891">
        <v>4</v>
      </c>
      <c r="U891">
        <v>2</v>
      </c>
      <c r="V891" t="s">
        <v>94</v>
      </c>
      <c r="W891">
        <v>122</v>
      </c>
      <c r="X891">
        <v>21</v>
      </c>
      <c r="Y891">
        <v>10</v>
      </c>
      <c r="Z891" t="s">
        <v>1213</v>
      </c>
      <c r="AA891" t="s">
        <v>1214</v>
      </c>
      <c r="AB891" t="s">
        <v>89</v>
      </c>
      <c r="AC891" t="s">
        <v>90</v>
      </c>
      <c r="AD891" t="s">
        <v>91</v>
      </c>
      <c r="AE891" t="s">
        <v>856</v>
      </c>
      <c r="AG891" t="s">
        <v>1215</v>
      </c>
      <c r="AH891">
        <v>0</v>
      </c>
      <c r="AI891">
        <v>209</v>
      </c>
      <c r="AJ891">
        <v>15</v>
      </c>
      <c r="AK891">
        <v>642</v>
      </c>
      <c r="AL891">
        <v>1.38</v>
      </c>
    </row>
    <row r="892" spans="1:38" x14ac:dyDescent="0.3">
      <c r="A892" t="s">
        <v>852</v>
      </c>
      <c r="B892">
        <v>1459</v>
      </c>
      <c r="C892">
        <v>2</v>
      </c>
      <c r="D892" t="s">
        <v>1212</v>
      </c>
      <c r="E892">
        <v>1992.09</v>
      </c>
      <c r="F892">
        <v>466</v>
      </c>
      <c r="G892">
        <v>47.09</v>
      </c>
      <c r="H892">
        <v>155.66999999999999</v>
      </c>
      <c r="I892">
        <v>40.450000000000003</v>
      </c>
      <c r="J892">
        <v>133.74</v>
      </c>
      <c r="K892">
        <v>240</v>
      </c>
      <c r="T892">
        <v>4</v>
      </c>
      <c r="U892">
        <v>2</v>
      </c>
      <c r="V892" t="s">
        <v>94</v>
      </c>
      <c r="W892">
        <v>155</v>
      </c>
      <c r="X892">
        <v>21</v>
      </c>
      <c r="Y892">
        <v>10</v>
      </c>
      <c r="Z892" t="s">
        <v>1213</v>
      </c>
      <c r="AA892" t="s">
        <v>1214</v>
      </c>
      <c r="AB892" t="s">
        <v>89</v>
      </c>
      <c r="AC892" t="s">
        <v>90</v>
      </c>
      <c r="AD892" t="s">
        <v>91</v>
      </c>
      <c r="AE892" t="s">
        <v>856</v>
      </c>
      <c r="AG892" t="s">
        <v>1215</v>
      </c>
      <c r="AH892">
        <v>0</v>
      </c>
      <c r="AI892">
        <v>209</v>
      </c>
      <c r="AJ892">
        <v>15</v>
      </c>
      <c r="AK892">
        <v>642</v>
      </c>
      <c r="AL892">
        <v>1.38</v>
      </c>
    </row>
    <row r="893" spans="1:38" x14ac:dyDescent="0.3">
      <c r="A893" t="s">
        <v>852</v>
      </c>
      <c r="B893">
        <v>1459</v>
      </c>
      <c r="C893">
        <v>3</v>
      </c>
      <c r="D893" t="s">
        <v>1212</v>
      </c>
      <c r="E893">
        <v>1992.09</v>
      </c>
      <c r="F893">
        <v>466</v>
      </c>
      <c r="G893">
        <v>56.64</v>
      </c>
      <c r="H893">
        <v>187.27</v>
      </c>
      <c r="I893">
        <v>48.07</v>
      </c>
      <c r="J893">
        <v>158.91</v>
      </c>
      <c r="K893">
        <v>126</v>
      </c>
      <c r="T893">
        <v>4</v>
      </c>
      <c r="U893">
        <v>2</v>
      </c>
      <c r="V893" t="s">
        <v>94</v>
      </c>
      <c r="W893">
        <v>187</v>
      </c>
      <c r="X893">
        <v>21</v>
      </c>
      <c r="Y893">
        <v>10</v>
      </c>
      <c r="Z893" t="s">
        <v>1213</v>
      </c>
      <c r="AA893" t="s">
        <v>1214</v>
      </c>
      <c r="AB893" t="s">
        <v>89</v>
      </c>
      <c r="AC893" t="s">
        <v>90</v>
      </c>
      <c r="AD893" t="s">
        <v>91</v>
      </c>
      <c r="AE893" t="s">
        <v>856</v>
      </c>
      <c r="AG893" t="s">
        <v>1215</v>
      </c>
      <c r="AH893">
        <v>0</v>
      </c>
      <c r="AI893">
        <v>209</v>
      </c>
      <c r="AJ893">
        <v>15</v>
      </c>
      <c r="AK893">
        <v>642</v>
      </c>
      <c r="AL893">
        <v>1.38</v>
      </c>
    </row>
    <row r="894" spans="1:38" x14ac:dyDescent="0.3">
      <c r="A894" t="s">
        <v>852</v>
      </c>
      <c r="B894">
        <v>1443</v>
      </c>
      <c r="C894">
        <v>1</v>
      </c>
      <c r="D894" t="s">
        <v>1216</v>
      </c>
      <c r="E894">
        <v>1992.12</v>
      </c>
      <c r="F894">
        <v>488</v>
      </c>
      <c r="G894">
        <v>36.69</v>
      </c>
      <c r="H894">
        <v>121.3</v>
      </c>
      <c r="I894">
        <v>30.84</v>
      </c>
      <c r="J894">
        <v>101.96</v>
      </c>
      <c r="K894">
        <v>209</v>
      </c>
      <c r="T894">
        <v>4</v>
      </c>
      <c r="U894">
        <v>2</v>
      </c>
      <c r="V894" t="s">
        <v>94</v>
      </c>
      <c r="W894">
        <v>121</v>
      </c>
      <c r="X894">
        <v>20</v>
      </c>
      <c r="Y894">
        <v>15</v>
      </c>
      <c r="Z894" t="s">
        <v>1217</v>
      </c>
      <c r="AA894" t="s">
        <v>1218</v>
      </c>
      <c r="AB894" t="s">
        <v>89</v>
      </c>
      <c r="AC894" t="s">
        <v>90</v>
      </c>
      <c r="AD894" t="s">
        <v>91</v>
      </c>
      <c r="AE894" t="s">
        <v>856</v>
      </c>
      <c r="AG894" t="s">
        <v>1219</v>
      </c>
      <c r="AH894">
        <v>0</v>
      </c>
      <c r="AI894">
        <v>206</v>
      </c>
      <c r="AJ894">
        <v>15</v>
      </c>
      <c r="AK894">
        <v>732</v>
      </c>
      <c r="AL894">
        <v>1.5</v>
      </c>
    </row>
    <row r="895" spans="1:38" x14ac:dyDescent="0.3">
      <c r="A895" t="s">
        <v>852</v>
      </c>
      <c r="B895">
        <v>1443</v>
      </c>
      <c r="C895">
        <v>2</v>
      </c>
      <c r="D895" t="s">
        <v>1216</v>
      </c>
      <c r="E895">
        <v>1992.12</v>
      </c>
      <c r="F895">
        <v>488</v>
      </c>
      <c r="G895">
        <v>48.59</v>
      </c>
      <c r="H895">
        <v>160.65</v>
      </c>
      <c r="I895">
        <v>40.49</v>
      </c>
      <c r="J895">
        <v>133.86000000000001</v>
      </c>
      <c r="K895">
        <v>279</v>
      </c>
      <c r="T895">
        <v>4</v>
      </c>
      <c r="U895">
        <v>2</v>
      </c>
      <c r="V895" t="s">
        <v>94</v>
      </c>
      <c r="W895">
        <v>160</v>
      </c>
      <c r="X895">
        <v>20</v>
      </c>
      <c r="Y895">
        <v>15</v>
      </c>
      <c r="Z895" t="s">
        <v>1217</v>
      </c>
      <c r="AA895" t="s">
        <v>1218</v>
      </c>
      <c r="AB895" t="s">
        <v>89</v>
      </c>
      <c r="AC895" t="s">
        <v>90</v>
      </c>
      <c r="AD895" t="s">
        <v>91</v>
      </c>
      <c r="AE895" t="s">
        <v>856</v>
      </c>
      <c r="AG895" t="s">
        <v>1219</v>
      </c>
      <c r="AH895">
        <v>0</v>
      </c>
      <c r="AI895">
        <v>206</v>
      </c>
      <c r="AJ895">
        <v>15</v>
      </c>
      <c r="AK895">
        <v>732</v>
      </c>
      <c r="AL895">
        <v>1.5</v>
      </c>
    </row>
    <row r="896" spans="1:38" x14ac:dyDescent="0.3">
      <c r="A896" t="s">
        <v>852</v>
      </c>
      <c r="B896">
        <v>3023</v>
      </c>
      <c r="C896">
        <v>1</v>
      </c>
      <c r="D896" t="s">
        <v>1220</v>
      </c>
      <c r="E896">
        <v>1993.03</v>
      </c>
      <c r="F896">
        <v>683</v>
      </c>
      <c r="G896">
        <v>16.41</v>
      </c>
      <c r="H896">
        <v>54.27</v>
      </c>
      <c r="I896">
        <v>12.65</v>
      </c>
      <c r="J896">
        <v>41.85</v>
      </c>
      <c r="K896">
        <v>523</v>
      </c>
      <c r="T896">
        <v>2</v>
      </c>
      <c r="U896">
        <v>1</v>
      </c>
      <c r="V896" t="s">
        <v>128</v>
      </c>
      <c r="W896">
        <v>54</v>
      </c>
      <c r="X896">
        <v>20</v>
      </c>
      <c r="Y896">
        <v>13</v>
      </c>
      <c r="Z896" t="s">
        <v>1221</v>
      </c>
      <c r="AA896" t="s">
        <v>1222</v>
      </c>
      <c r="AB896" t="s">
        <v>89</v>
      </c>
      <c r="AC896" t="s">
        <v>90</v>
      </c>
      <c r="AD896" t="s">
        <v>91</v>
      </c>
      <c r="AE896" t="s">
        <v>856</v>
      </c>
      <c r="AG896" t="s">
        <v>1223</v>
      </c>
      <c r="AH896">
        <v>0</v>
      </c>
      <c r="AI896">
        <v>189</v>
      </c>
      <c r="AJ896">
        <v>15</v>
      </c>
      <c r="AK896">
        <v>197</v>
      </c>
      <c r="AL896">
        <v>0.28999999999999998</v>
      </c>
    </row>
    <row r="897" spans="1:38" x14ac:dyDescent="0.3">
      <c r="A897" t="s">
        <v>852</v>
      </c>
      <c r="B897">
        <v>3023</v>
      </c>
      <c r="C897">
        <v>2</v>
      </c>
      <c r="D897" t="s">
        <v>1220</v>
      </c>
      <c r="E897">
        <v>1993.03</v>
      </c>
      <c r="F897">
        <v>683</v>
      </c>
      <c r="G897">
        <v>23.16</v>
      </c>
      <c r="H897">
        <v>76.569999999999993</v>
      </c>
      <c r="I897">
        <v>17.670000000000002</v>
      </c>
      <c r="J897">
        <v>58.44</v>
      </c>
      <c r="K897">
        <v>80</v>
      </c>
      <c r="T897">
        <v>2</v>
      </c>
      <c r="U897">
        <v>1</v>
      </c>
      <c r="V897" t="s">
        <v>128</v>
      </c>
      <c r="W897">
        <v>76</v>
      </c>
      <c r="X897">
        <v>20</v>
      </c>
      <c r="Y897">
        <v>13</v>
      </c>
      <c r="Z897" t="s">
        <v>1221</v>
      </c>
      <c r="AA897" t="s">
        <v>1222</v>
      </c>
      <c r="AB897" t="s">
        <v>89</v>
      </c>
      <c r="AC897" t="s">
        <v>90</v>
      </c>
      <c r="AD897" t="s">
        <v>91</v>
      </c>
      <c r="AE897" t="s">
        <v>856</v>
      </c>
      <c r="AG897" t="s">
        <v>1223</v>
      </c>
      <c r="AH897">
        <v>0</v>
      </c>
      <c r="AI897">
        <v>189</v>
      </c>
      <c r="AJ897">
        <v>15</v>
      </c>
      <c r="AK897">
        <v>197</v>
      </c>
      <c r="AL897">
        <v>0.28999999999999998</v>
      </c>
    </row>
    <row r="898" spans="1:38" x14ac:dyDescent="0.3">
      <c r="A898" t="s">
        <v>852</v>
      </c>
      <c r="B898">
        <v>3023</v>
      </c>
      <c r="C898">
        <v>3</v>
      </c>
      <c r="D898" t="s">
        <v>1220</v>
      </c>
      <c r="E898">
        <v>1993.03</v>
      </c>
      <c r="F898">
        <v>683</v>
      </c>
      <c r="G898">
        <v>23.77</v>
      </c>
      <c r="H898">
        <v>78.61</v>
      </c>
      <c r="I898">
        <v>18.149999999999999</v>
      </c>
      <c r="J898">
        <v>60</v>
      </c>
      <c r="K898">
        <v>80</v>
      </c>
      <c r="T898">
        <v>2</v>
      </c>
      <c r="U898">
        <v>1</v>
      </c>
      <c r="V898" t="s">
        <v>128</v>
      </c>
      <c r="W898">
        <v>78</v>
      </c>
      <c r="X898">
        <v>20</v>
      </c>
      <c r="Y898">
        <v>13</v>
      </c>
      <c r="Z898" t="s">
        <v>1221</v>
      </c>
      <c r="AA898" t="s">
        <v>1222</v>
      </c>
      <c r="AB898" t="s">
        <v>89</v>
      </c>
      <c r="AC898" t="s">
        <v>90</v>
      </c>
      <c r="AD898" t="s">
        <v>91</v>
      </c>
      <c r="AE898" t="s">
        <v>856</v>
      </c>
      <c r="AG898" t="s">
        <v>1223</v>
      </c>
      <c r="AH898">
        <v>0</v>
      </c>
      <c r="AI898">
        <v>189</v>
      </c>
      <c r="AJ898">
        <v>15</v>
      </c>
      <c r="AK898">
        <v>197</v>
      </c>
      <c r="AL898">
        <v>0.28999999999999998</v>
      </c>
    </row>
    <row r="899" spans="1:38" x14ac:dyDescent="0.3">
      <c r="A899" t="s">
        <v>852</v>
      </c>
      <c r="B899">
        <v>2047</v>
      </c>
      <c r="C899">
        <v>1</v>
      </c>
      <c r="D899" t="s">
        <v>1224</v>
      </c>
      <c r="E899">
        <v>1994.11</v>
      </c>
      <c r="F899">
        <v>148</v>
      </c>
      <c r="G899">
        <v>24.74</v>
      </c>
      <c r="H899">
        <v>81.790000000000006</v>
      </c>
      <c r="I899">
        <v>18.13</v>
      </c>
      <c r="J899">
        <v>59.96</v>
      </c>
      <c r="K899">
        <v>60</v>
      </c>
      <c r="T899">
        <v>3</v>
      </c>
      <c r="U899">
        <v>1</v>
      </c>
      <c r="V899" t="s">
        <v>128</v>
      </c>
      <c r="W899">
        <v>81</v>
      </c>
      <c r="X899">
        <v>16</v>
      </c>
      <c r="Y899">
        <v>5</v>
      </c>
      <c r="Z899" t="s">
        <v>1225</v>
      </c>
      <c r="AA899" t="s">
        <v>1226</v>
      </c>
      <c r="AB899" t="s">
        <v>89</v>
      </c>
      <c r="AC899" t="s">
        <v>90</v>
      </c>
      <c r="AD899" t="s">
        <v>91</v>
      </c>
      <c r="AE899" t="s">
        <v>856</v>
      </c>
      <c r="AG899" t="s">
        <v>1227</v>
      </c>
      <c r="AH899">
        <v>0</v>
      </c>
      <c r="AI899">
        <v>299</v>
      </c>
      <c r="AJ899">
        <v>26</v>
      </c>
      <c r="AK899">
        <v>95</v>
      </c>
      <c r="AL899">
        <v>0.64</v>
      </c>
    </row>
    <row r="900" spans="1:38" x14ac:dyDescent="0.3">
      <c r="A900" t="s">
        <v>852</v>
      </c>
      <c r="B900">
        <v>2047</v>
      </c>
      <c r="C900">
        <v>2</v>
      </c>
      <c r="D900" t="s">
        <v>1224</v>
      </c>
      <c r="E900">
        <v>1994.11</v>
      </c>
      <c r="F900">
        <v>148</v>
      </c>
      <c r="G900">
        <v>27.48</v>
      </c>
      <c r="H900">
        <v>90.85</v>
      </c>
      <c r="I900">
        <v>20.14</v>
      </c>
      <c r="J900">
        <v>66.599999999999994</v>
      </c>
      <c r="K900">
        <v>24</v>
      </c>
      <c r="T900">
        <v>3</v>
      </c>
      <c r="U900">
        <v>1</v>
      </c>
      <c r="V900" t="s">
        <v>128</v>
      </c>
      <c r="W900">
        <v>90</v>
      </c>
      <c r="X900">
        <v>16</v>
      </c>
      <c r="Y900">
        <v>5</v>
      </c>
      <c r="Z900" t="s">
        <v>1225</v>
      </c>
      <c r="AA900" t="s">
        <v>1226</v>
      </c>
      <c r="AB900" t="s">
        <v>89</v>
      </c>
      <c r="AC900" t="s">
        <v>90</v>
      </c>
      <c r="AD900" t="s">
        <v>91</v>
      </c>
      <c r="AE900" t="s">
        <v>856</v>
      </c>
      <c r="AG900" t="s">
        <v>1227</v>
      </c>
      <c r="AH900">
        <v>0</v>
      </c>
      <c r="AI900">
        <v>299</v>
      </c>
      <c r="AJ900">
        <v>26</v>
      </c>
      <c r="AK900">
        <v>95</v>
      </c>
      <c r="AL900">
        <v>0.64</v>
      </c>
    </row>
    <row r="901" spans="1:38" x14ac:dyDescent="0.3">
      <c r="A901" t="s">
        <v>852</v>
      </c>
      <c r="B901">
        <v>2047</v>
      </c>
      <c r="C901">
        <v>3</v>
      </c>
      <c r="D901" t="s">
        <v>1224</v>
      </c>
      <c r="E901">
        <v>1994.11</v>
      </c>
      <c r="F901">
        <v>148</v>
      </c>
      <c r="G901">
        <v>33.35</v>
      </c>
      <c r="H901">
        <v>110.28</v>
      </c>
      <c r="I901">
        <v>24.45</v>
      </c>
      <c r="J901">
        <v>80.849999999999994</v>
      </c>
      <c r="K901">
        <v>16</v>
      </c>
      <c r="T901">
        <v>3</v>
      </c>
      <c r="U901">
        <v>2</v>
      </c>
      <c r="V901" t="s">
        <v>128</v>
      </c>
      <c r="W901">
        <v>110</v>
      </c>
      <c r="X901">
        <v>16</v>
      </c>
      <c r="Y901">
        <v>5</v>
      </c>
      <c r="Z901" t="s">
        <v>1225</v>
      </c>
      <c r="AA901" t="s">
        <v>1226</v>
      </c>
      <c r="AB901" t="s">
        <v>89</v>
      </c>
      <c r="AC901" t="s">
        <v>90</v>
      </c>
      <c r="AD901" t="s">
        <v>91</v>
      </c>
      <c r="AE901" t="s">
        <v>856</v>
      </c>
      <c r="AG901" t="s">
        <v>1227</v>
      </c>
      <c r="AH901">
        <v>0</v>
      </c>
      <c r="AI901">
        <v>299</v>
      </c>
      <c r="AJ901">
        <v>26</v>
      </c>
      <c r="AK901">
        <v>95</v>
      </c>
      <c r="AL901">
        <v>0.64</v>
      </c>
    </row>
    <row r="902" spans="1:38" x14ac:dyDescent="0.3">
      <c r="A902" t="s">
        <v>852</v>
      </c>
      <c r="B902">
        <v>2047</v>
      </c>
      <c r="C902">
        <v>4</v>
      </c>
      <c r="D902" t="s">
        <v>1224</v>
      </c>
      <c r="E902">
        <v>1994.11</v>
      </c>
      <c r="F902">
        <v>148</v>
      </c>
      <c r="G902">
        <v>34.99</v>
      </c>
      <c r="H902">
        <v>115.7</v>
      </c>
      <c r="I902">
        <v>25.65</v>
      </c>
      <c r="J902">
        <v>84.82</v>
      </c>
      <c r="K902">
        <v>32</v>
      </c>
      <c r="T902">
        <v>3</v>
      </c>
      <c r="U902">
        <v>2</v>
      </c>
      <c r="V902" t="s">
        <v>128</v>
      </c>
      <c r="W902">
        <v>115</v>
      </c>
      <c r="X902">
        <v>16</v>
      </c>
      <c r="Y902">
        <v>5</v>
      </c>
      <c r="Z902" t="s">
        <v>1225</v>
      </c>
      <c r="AA902" t="s">
        <v>1226</v>
      </c>
      <c r="AB902" t="s">
        <v>89</v>
      </c>
      <c r="AC902" t="s">
        <v>90</v>
      </c>
      <c r="AD902" t="s">
        <v>91</v>
      </c>
      <c r="AE902" t="s">
        <v>856</v>
      </c>
      <c r="AG902" t="s">
        <v>1227</v>
      </c>
      <c r="AH902">
        <v>0</v>
      </c>
      <c r="AI902">
        <v>299</v>
      </c>
      <c r="AJ902">
        <v>26</v>
      </c>
      <c r="AK902">
        <v>95</v>
      </c>
      <c r="AL902">
        <v>0.64</v>
      </c>
    </row>
    <row r="903" spans="1:38" x14ac:dyDescent="0.3">
      <c r="A903" t="s">
        <v>852</v>
      </c>
      <c r="B903">
        <v>2047</v>
      </c>
      <c r="C903">
        <v>5</v>
      </c>
      <c r="D903" t="s">
        <v>1224</v>
      </c>
      <c r="E903">
        <v>1994.11</v>
      </c>
      <c r="F903">
        <v>148</v>
      </c>
      <c r="G903">
        <v>41.24</v>
      </c>
      <c r="H903">
        <v>136.35</v>
      </c>
      <c r="I903">
        <v>30.23</v>
      </c>
      <c r="J903">
        <v>99.96</v>
      </c>
      <c r="K903">
        <v>16</v>
      </c>
      <c r="T903">
        <v>3</v>
      </c>
      <c r="U903">
        <v>2</v>
      </c>
      <c r="V903" t="s">
        <v>128</v>
      </c>
      <c r="W903">
        <v>136</v>
      </c>
      <c r="X903">
        <v>16</v>
      </c>
      <c r="Y903">
        <v>5</v>
      </c>
      <c r="Z903" t="s">
        <v>1225</v>
      </c>
      <c r="AA903" t="s">
        <v>1226</v>
      </c>
      <c r="AB903" t="s">
        <v>89</v>
      </c>
      <c r="AC903" t="s">
        <v>90</v>
      </c>
      <c r="AD903" t="s">
        <v>91</v>
      </c>
      <c r="AE903" t="s">
        <v>856</v>
      </c>
      <c r="AG903" t="s">
        <v>1227</v>
      </c>
      <c r="AH903">
        <v>0</v>
      </c>
      <c r="AI903">
        <v>299</v>
      </c>
      <c r="AJ903">
        <v>26</v>
      </c>
      <c r="AK903">
        <v>95</v>
      </c>
      <c r="AL903">
        <v>0.64</v>
      </c>
    </row>
    <row r="904" spans="1:38" x14ac:dyDescent="0.3">
      <c r="A904" t="s">
        <v>852</v>
      </c>
      <c r="B904">
        <v>2042</v>
      </c>
      <c r="C904">
        <v>1</v>
      </c>
      <c r="D904" t="s">
        <v>1228</v>
      </c>
      <c r="E904">
        <v>1999.07</v>
      </c>
      <c r="F904">
        <v>644</v>
      </c>
      <c r="G904">
        <v>24.23</v>
      </c>
      <c r="H904">
        <v>80.13</v>
      </c>
      <c r="I904">
        <v>18.14</v>
      </c>
      <c r="J904">
        <v>59.97</v>
      </c>
      <c r="K904">
        <v>324</v>
      </c>
      <c r="T904">
        <v>3</v>
      </c>
      <c r="U904">
        <v>1</v>
      </c>
      <c r="V904" t="s">
        <v>94</v>
      </c>
      <c r="W904">
        <v>80</v>
      </c>
      <c r="X904">
        <v>28</v>
      </c>
      <c r="Y904">
        <v>8</v>
      </c>
      <c r="Z904" t="s">
        <v>1229</v>
      </c>
      <c r="AA904" t="s">
        <v>1230</v>
      </c>
      <c r="AB904" t="s">
        <v>89</v>
      </c>
      <c r="AC904" t="s">
        <v>90</v>
      </c>
      <c r="AD904" t="s">
        <v>91</v>
      </c>
      <c r="AE904" t="s">
        <v>856</v>
      </c>
      <c r="AG904" t="s">
        <v>1231</v>
      </c>
      <c r="AH904">
        <v>0</v>
      </c>
      <c r="AI904">
        <v>400</v>
      </c>
      <c r="AJ904">
        <v>25</v>
      </c>
      <c r="AK904">
        <v>656</v>
      </c>
      <c r="AL904">
        <v>1.02</v>
      </c>
    </row>
    <row r="905" spans="1:38" x14ac:dyDescent="0.3">
      <c r="A905" t="s">
        <v>852</v>
      </c>
      <c r="B905">
        <v>2042</v>
      </c>
      <c r="C905">
        <v>2</v>
      </c>
      <c r="D905" t="s">
        <v>1228</v>
      </c>
      <c r="E905">
        <v>1999.07</v>
      </c>
      <c r="F905">
        <v>644</v>
      </c>
      <c r="G905">
        <v>32.43</v>
      </c>
      <c r="H905">
        <v>107.22</v>
      </c>
      <c r="I905">
        <v>25.7</v>
      </c>
      <c r="J905">
        <v>84.96</v>
      </c>
      <c r="K905">
        <v>320</v>
      </c>
      <c r="T905">
        <v>3</v>
      </c>
      <c r="U905">
        <v>2</v>
      </c>
      <c r="V905" t="s">
        <v>94</v>
      </c>
      <c r="W905">
        <v>107</v>
      </c>
      <c r="X905">
        <v>28</v>
      </c>
      <c r="Y905">
        <v>8</v>
      </c>
      <c r="Z905" t="s">
        <v>1229</v>
      </c>
      <c r="AA905" t="s">
        <v>1230</v>
      </c>
      <c r="AB905" t="s">
        <v>89</v>
      </c>
      <c r="AC905" t="s">
        <v>90</v>
      </c>
      <c r="AD905" t="s">
        <v>91</v>
      </c>
      <c r="AE905" t="s">
        <v>856</v>
      </c>
      <c r="AG905" t="s">
        <v>1231</v>
      </c>
      <c r="AH905">
        <v>0</v>
      </c>
      <c r="AI905">
        <v>400</v>
      </c>
      <c r="AJ905">
        <v>25</v>
      </c>
      <c r="AK905">
        <v>656</v>
      </c>
      <c r="AL905">
        <v>1.02</v>
      </c>
    </row>
    <row r="906" spans="1:38" x14ac:dyDescent="0.3">
      <c r="A906" t="s">
        <v>852</v>
      </c>
      <c r="B906">
        <v>8800</v>
      </c>
      <c r="C906">
        <v>1</v>
      </c>
      <c r="D906" t="s">
        <v>1232</v>
      </c>
      <c r="E906">
        <v>2000.1</v>
      </c>
      <c r="F906">
        <v>370</v>
      </c>
      <c r="G906">
        <v>25.39</v>
      </c>
      <c r="H906">
        <v>83.96</v>
      </c>
      <c r="I906">
        <v>18.100000000000001</v>
      </c>
      <c r="J906">
        <v>59.84</v>
      </c>
      <c r="K906">
        <v>102</v>
      </c>
      <c r="T906">
        <v>2</v>
      </c>
      <c r="U906">
        <v>1</v>
      </c>
      <c r="V906" t="s">
        <v>128</v>
      </c>
      <c r="W906">
        <v>83</v>
      </c>
      <c r="X906">
        <v>22</v>
      </c>
      <c r="Y906">
        <v>12</v>
      </c>
      <c r="Z906" t="s">
        <v>1233</v>
      </c>
      <c r="AA906" t="s">
        <v>1234</v>
      </c>
      <c r="AB906" t="s">
        <v>89</v>
      </c>
      <c r="AC906" t="s">
        <v>90</v>
      </c>
      <c r="AD906" t="s">
        <v>91</v>
      </c>
      <c r="AE906" t="s">
        <v>856</v>
      </c>
      <c r="AG906" t="s">
        <v>1235</v>
      </c>
      <c r="AH906">
        <v>0</v>
      </c>
      <c r="AI906">
        <v>304</v>
      </c>
      <c r="AJ906">
        <v>25</v>
      </c>
      <c r="AK906">
        <v>395</v>
      </c>
      <c r="AL906">
        <v>1.07</v>
      </c>
    </row>
    <row r="907" spans="1:38" x14ac:dyDescent="0.3">
      <c r="A907" t="s">
        <v>852</v>
      </c>
      <c r="B907">
        <v>8800</v>
      </c>
      <c r="C907">
        <v>2</v>
      </c>
      <c r="D907" t="s">
        <v>1232</v>
      </c>
      <c r="E907">
        <v>2000.1</v>
      </c>
      <c r="F907">
        <v>370</v>
      </c>
      <c r="G907">
        <v>32.700000000000003</v>
      </c>
      <c r="H907">
        <v>108.11</v>
      </c>
      <c r="I907">
        <v>25.7</v>
      </c>
      <c r="J907">
        <v>84.97</v>
      </c>
      <c r="K907">
        <v>226</v>
      </c>
      <c r="T907">
        <v>3</v>
      </c>
      <c r="U907">
        <v>2</v>
      </c>
      <c r="V907" t="s">
        <v>94</v>
      </c>
      <c r="W907">
        <v>108</v>
      </c>
      <c r="X907">
        <v>22</v>
      </c>
      <c r="Y907">
        <v>12</v>
      </c>
      <c r="Z907" t="s">
        <v>1233</v>
      </c>
      <c r="AA907" t="s">
        <v>1234</v>
      </c>
      <c r="AB907" t="s">
        <v>89</v>
      </c>
      <c r="AC907" t="s">
        <v>90</v>
      </c>
      <c r="AD907" t="s">
        <v>91</v>
      </c>
      <c r="AE907" t="s">
        <v>856</v>
      </c>
      <c r="AG907" t="s">
        <v>1235</v>
      </c>
      <c r="AH907">
        <v>0</v>
      </c>
      <c r="AI907">
        <v>304</v>
      </c>
      <c r="AJ907">
        <v>25</v>
      </c>
      <c r="AK907">
        <v>395</v>
      </c>
      <c r="AL907">
        <v>1.07</v>
      </c>
    </row>
    <row r="908" spans="1:38" x14ac:dyDescent="0.3">
      <c r="A908" t="s">
        <v>852</v>
      </c>
      <c r="B908">
        <v>8800</v>
      </c>
      <c r="C908">
        <v>3</v>
      </c>
      <c r="D908" t="s">
        <v>1232</v>
      </c>
      <c r="E908">
        <v>2000.1</v>
      </c>
      <c r="F908">
        <v>370</v>
      </c>
      <c r="G908">
        <v>46.68</v>
      </c>
      <c r="H908">
        <v>154.33000000000001</v>
      </c>
      <c r="I908">
        <v>38.369999999999997</v>
      </c>
      <c r="J908">
        <v>126.87</v>
      </c>
      <c r="K908">
        <v>42</v>
      </c>
      <c r="T908">
        <v>4</v>
      </c>
      <c r="U908">
        <v>2</v>
      </c>
      <c r="V908" t="s">
        <v>94</v>
      </c>
      <c r="W908">
        <v>154</v>
      </c>
      <c r="X908">
        <v>22</v>
      </c>
      <c r="Y908">
        <v>12</v>
      </c>
      <c r="Z908" t="s">
        <v>1233</v>
      </c>
      <c r="AA908" t="s">
        <v>1234</v>
      </c>
      <c r="AB908" t="s">
        <v>89</v>
      </c>
      <c r="AC908" t="s">
        <v>90</v>
      </c>
      <c r="AD908" t="s">
        <v>91</v>
      </c>
      <c r="AE908" t="s">
        <v>856</v>
      </c>
      <c r="AG908" t="s">
        <v>1235</v>
      </c>
      <c r="AH908">
        <v>0</v>
      </c>
      <c r="AI908">
        <v>304</v>
      </c>
      <c r="AJ908">
        <v>25</v>
      </c>
      <c r="AK908">
        <v>395</v>
      </c>
      <c r="AL908">
        <v>1.07</v>
      </c>
    </row>
    <row r="909" spans="1:38" x14ac:dyDescent="0.3">
      <c r="A909" t="s">
        <v>852</v>
      </c>
      <c r="B909">
        <v>139912</v>
      </c>
      <c r="C909">
        <v>1</v>
      </c>
      <c r="D909" t="s">
        <v>1236</v>
      </c>
      <c r="E909">
        <v>2022.07</v>
      </c>
      <c r="F909">
        <v>25</v>
      </c>
      <c r="G909">
        <v>24.9</v>
      </c>
      <c r="H909">
        <v>82.33</v>
      </c>
      <c r="I909">
        <v>18.34</v>
      </c>
      <c r="J909">
        <v>60.63</v>
      </c>
      <c r="K909">
        <v>8</v>
      </c>
      <c r="T909">
        <v>3</v>
      </c>
      <c r="U909">
        <v>2</v>
      </c>
      <c r="V909" t="s">
        <v>94</v>
      </c>
      <c r="W909" t="s">
        <v>519</v>
      </c>
      <c r="X909">
        <v>20</v>
      </c>
      <c r="Y909">
        <v>20</v>
      </c>
      <c r="Z909" t="s">
        <v>1237</v>
      </c>
      <c r="AA909" t="s">
        <v>1238</v>
      </c>
      <c r="AB909" t="s">
        <v>89</v>
      </c>
      <c r="AC909" t="s">
        <v>90</v>
      </c>
      <c r="AD909" t="s">
        <v>91</v>
      </c>
      <c r="AE909" t="s">
        <v>856</v>
      </c>
      <c r="AG909" t="s">
        <v>1239</v>
      </c>
      <c r="AH909">
        <v>0</v>
      </c>
      <c r="AI909">
        <v>844</v>
      </c>
      <c r="AJ909">
        <v>60</v>
      </c>
      <c r="AK909">
        <v>34</v>
      </c>
      <c r="AL909">
        <v>1.36</v>
      </c>
    </row>
    <row r="910" spans="1:38" x14ac:dyDescent="0.3">
      <c r="A910" t="s">
        <v>852</v>
      </c>
      <c r="B910">
        <v>139912</v>
      </c>
      <c r="C910">
        <v>2</v>
      </c>
      <c r="D910" t="s">
        <v>1236</v>
      </c>
      <c r="E910">
        <v>2022.07</v>
      </c>
      <c r="F910">
        <v>25</v>
      </c>
      <c r="G910">
        <v>24.9</v>
      </c>
      <c r="H910">
        <v>82.33</v>
      </c>
      <c r="I910">
        <v>18.34</v>
      </c>
      <c r="J910">
        <v>60.63</v>
      </c>
      <c r="K910">
        <v>2</v>
      </c>
      <c r="T910">
        <v>3</v>
      </c>
      <c r="U910">
        <v>2</v>
      </c>
      <c r="V910" t="s">
        <v>94</v>
      </c>
      <c r="W910" t="s">
        <v>1240</v>
      </c>
      <c r="X910">
        <v>20</v>
      </c>
      <c r="Y910">
        <v>20</v>
      </c>
      <c r="Z910" t="s">
        <v>1237</v>
      </c>
      <c r="AA910" t="s">
        <v>1238</v>
      </c>
      <c r="AB910" t="s">
        <v>89</v>
      </c>
      <c r="AC910" t="s">
        <v>90</v>
      </c>
      <c r="AD910" t="s">
        <v>91</v>
      </c>
      <c r="AE910" t="s">
        <v>856</v>
      </c>
      <c r="AG910" t="s">
        <v>1239</v>
      </c>
      <c r="AH910">
        <v>0</v>
      </c>
      <c r="AI910">
        <v>844</v>
      </c>
      <c r="AJ910">
        <v>60</v>
      </c>
      <c r="AK910">
        <v>34</v>
      </c>
      <c r="AL910">
        <v>1.36</v>
      </c>
    </row>
    <row r="911" spans="1:38" x14ac:dyDescent="0.3">
      <c r="A911" t="s">
        <v>852</v>
      </c>
      <c r="B911">
        <v>139912</v>
      </c>
      <c r="C911">
        <v>3</v>
      </c>
      <c r="D911" t="s">
        <v>1236</v>
      </c>
      <c r="E911">
        <v>2022.07</v>
      </c>
      <c r="F911">
        <v>25</v>
      </c>
      <c r="G911">
        <v>25.84</v>
      </c>
      <c r="H911">
        <v>85.44</v>
      </c>
      <c r="I911">
        <v>19.02</v>
      </c>
      <c r="J911">
        <v>62.88</v>
      </c>
      <c r="K911">
        <v>4</v>
      </c>
      <c r="T911">
        <v>3</v>
      </c>
      <c r="U911">
        <v>2</v>
      </c>
      <c r="V911" t="s">
        <v>94</v>
      </c>
      <c r="W911" t="s">
        <v>1129</v>
      </c>
      <c r="X911">
        <v>20</v>
      </c>
      <c r="Y911">
        <v>20</v>
      </c>
      <c r="Z911" t="s">
        <v>1237</v>
      </c>
      <c r="AA911" t="s">
        <v>1238</v>
      </c>
      <c r="AB911" t="s">
        <v>89</v>
      </c>
      <c r="AC911" t="s">
        <v>90</v>
      </c>
      <c r="AD911" t="s">
        <v>91</v>
      </c>
      <c r="AE911" t="s">
        <v>856</v>
      </c>
      <c r="AG911" t="s">
        <v>1239</v>
      </c>
      <c r="AH911">
        <v>0</v>
      </c>
      <c r="AI911">
        <v>844</v>
      </c>
      <c r="AJ911">
        <v>60</v>
      </c>
      <c r="AK911">
        <v>34</v>
      </c>
      <c r="AL911">
        <v>1.36</v>
      </c>
    </row>
    <row r="912" spans="1:38" x14ac:dyDescent="0.3">
      <c r="A912" t="s">
        <v>852</v>
      </c>
      <c r="B912">
        <v>139912</v>
      </c>
      <c r="C912">
        <v>4</v>
      </c>
      <c r="D912" t="s">
        <v>1236</v>
      </c>
      <c r="E912">
        <v>2022.07</v>
      </c>
      <c r="F912">
        <v>25</v>
      </c>
      <c r="G912">
        <v>25.84</v>
      </c>
      <c r="H912">
        <v>85.44</v>
      </c>
      <c r="I912">
        <v>19.02</v>
      </c>
      <c r="J912">
        <v>62.88</v>
      </c>
      <c r="K912">
        <v>1</v>
      </c>
      <c r="T912">
        <v>3</v>
      </c>
      <c r="U912">
        <v>2</v>
      </c>
      <c r="V912" t="s">
        <v>94</v>
      </c>
      <c r="W912" t="s">
        <v>1241</v>
      </c>
      <c r="X912">
        <v>20</v>
      </c>
      <c r="Y912">
        <v>20</v>
      </c>
      <c r="Z912" t="s">
        <v>1237</v>
      </c>
      <c r="AA912" t="s">
        <v>1238</v>
      </c>
      <c r="AB912" t="s">
        <v>89</v>
      </c>
      <c r="AC912" t="s">
        <v>90</v>
      </c>
      <c r="AD912" t="s">
        <v>91</v>
      </c>
      <c r="AE912" t="s">
        <v>856</v>
      </c>
      <c r="AG912" t="s">
        <v>1239</v>
      </c>
      <c r="AH912">
        <v>0</v>
      </c>
      <c r="AI912">
        <v>844</v>
      </c>
      <c r="AJ912">
        <v>60</v>
      </c>
      <c r="AK912">
        <v>34</v>
      </c>
      <c r="AL912">
        <v>1.36</v>
      </c>
    </row>
    <row r="913" spans="1:38" x14ac:dyDescent="0.3">
      <c r="A913" t="s">
        <v>852</v>
      </c>
      <c r="B913">
        <v>139912</v>
      </c>
      <c r="C913">
        <v>5</v>
      </c>
      <c r="D913" t="s">
        <v>1236</v>
      </c>
      <c r="E913">
        <v>2022.07</v>
      </c>
      <c r="F913">
        <v>25</v>
      </c>
      <c r="G913">
        <v>26.07</v>
      </c>
      <c r="H913">
        <v>86.2</v>
      </c>
      <c r="I913">
        <v>19.28</v>
      </c>
      <c r="J913">
        <v>63.75</v>
      </c>
      <c r="K913">
        <v>8</v>
      </c>
      <c r="T913">
        <v>3</v>
      </c>
      <c r="U913">
        <v>2</v>
      </c>
      <c r="V913" t="s">
        <v>94</v>
      </c>
      <c r="W913" t="s">
        <v>1242</v>
      </c>
      <c r="X913">
        <v>20</v>
      </c>
      <c r="Y913">
        <v>20</v>
      </c>
      <c r="Z913" t="s">
        <v>1237</v>
      </c>
      <c r="AA913" t="s">
        <v>1238</v>
      </c>
      <c r="AB913" t="s">
        <v>89</v>
      </c>
      <c r="AC913" t="s">
        <v>90</v>
      </c>
      <c r="AD913" t="s">
        <v>91</v>
      </c>
      <c r="AE913" t="s">
        <v>856</v>
      </c>
      <c r="AG913" t="s">
        <v>1239</v>
      </c>
      <c r="AH913">
        <v>0</v>
      </c>
      <c r="AI913">
        <v>844</v>
      </c>
      <c r="AJ913">
        <v>60</v>
      </c>
      <c r="AK913">
        <v>34</v>
      </c>
      <c r="AL913">
        <v>1.36</v>
      </c>
    </row>
    <row r="914" spans="1:38" x14ac:dyDescent="0.3">
      <c r="A914" t="s">
        <v>852</v>
      </c>
      <c r="B914">
        <v>139912</v>
      </c>
      <c r="C914">
        <v>6</v>
      </c>
      <c r="D914" t="s">
        <v>1236</v>
      </c>
      <c r="E914">
        <v>2022.07</v>
      </c>
      <c r="F914">
        <v>25</v>
      </c>
      <c r="G914">
        <v>26.07</v>
      </c>
      <c r="H914">
        <v>86.2</v>
      </c>
      <c r="I914">
        <v>19.28</v>
      </c>
      <c r="J914">
        <v>63.75</v>
      </c>
      <c r="K914">
        <v>2</v>
      </c>
      <c r="T914">
        <v>3</v>
      </c>
      <c r="U914">
        <v>2</v>
      </c>
      <c r="V914" t="s">
        <v>94</v>
      </c>
      <c r="W914" t="s">
        <v>1243</v>
      </c>
      <c r="X914">
        <v>20</v>
      </c>
      <c r="Y914">
        <v>20</v>
      </c>
      <c r="Z914" t="s">
        <v>1237</v>
      </c>
      <c r="AA914" t="s">
        <v>1238</v>
      </c>
      <c r="AB914" t="s">
        <v>89</v>
      </c>
      <c r="AC914" t="s">
        <v>90</v>
      </c>
      <c r="AD914" t="s">
        <v>91</v>
      </c>
      <c r="AE914" t="s">
        <v>856</v>
      </c>
      <c r="AG914" t="s">
        <v>1239</v>
      </c>
      <c r="AH914">
        <v>0</v>
      </c>
      <c r="AI914">
        <v>844</v>
      </c>
      <c r="AJ914">
        <v>60</v>
      </c>
      <c r="AK914">
        <v>34</v>
      </c>
      <c r="AL914">
        <v>1.36</v>
      </c>
    </row>
    <row r="915" spans="1:38" x14ac:dyDescent="0.3">
      <c r="A915" t="s">
        <v>852</v>
      </c>
      <c r="B915">
        <v>13379</v>
      </c>
      <c r="C915">
        <v>1</v>
      </c>
      <c r="D915" t="s">
        <v>1244</v>
      </c>
      <c r="E915">
        <v>1983.08</v>
      </c>
      <c r="F915">
        <v>24</v>
      </c>
      <c r="G915">
        <v>18.850000000000001</v>
      </c>
      <c r="H915">
        <v>62.34</v>
      </c>
      <c r="I915">
        <v>13.1</v>
      </c>
      <c r="J915">
        <v>43.31</v>
      </c>
      <c r="K915">
        <v>24</v>
      </c>
      <c r="T915">
        <v>2</v>
      </c>
      <c r="U915">
        <v>1</v>
      </c>
      <c r="V915" t="s">
        <v>94</v>
      </c>
      <c r="W915">
        <v>62</v>
      </c>
      <c r="X915">
        <v>4</v>
      </c>
      <c r="Y915">
        <v>4</v>
      </c>
      <c r="Z915" t="s">
        <v>1245</v>
      </c>
      <c r="AA915" t="s">
        <v>1246</v>
      </c>
      <c r="AB915" t="s">
        <v>89</v>
      </c>
      <c r="AC915" t="s">
        <v>90</v>
      </c>
      <c r="AD915" t="s">
        <v>91</v>
      </c>
      <c r="AE915" t="s">
        <v>856</v>
      </c>
      <c r="AG915" t="s">
        <v>438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">
      <c r="A916" t="s">
        <v>852</v>
      </c>
      <c r="B916">
        <v>3083</v>
      </c>
      <c r="C916">
        <v>1</v>
      </c>
      <c r="D916" t="s">
        <v>1247</v>
      </c>
      <c r="E916">
        <v>2003.04</v>
      </c>
      <c r="F916">
        <v>426</v>
      </c>
      <c r="G916">
        <v>22.59</v>
      </c>
      <c r="H916">
        <v>74.709999999999994</v>
      </c>
      <c r="I916">
        <v>16.75</v>
      </c>
      <c r="J916">
        <v>55.4</v>
      </c>
      <c r="K916">
        <v>100</v>
      </c>
      <c r="T916">
        <v>3</v>
      </c>
      <c r="U916">
        <v>1</v>
      </c>
      <c r="V916" t="s">
        <v>94</v>
      </c>
      <c r="W916" t="s">
        <v>281</v>
      </c>
      <c r="X916">
        <v>25</v>
      </c>
      <c r="Y916">
        <v>7</v>
      </c>
      <c r="Z916" t="s">
        <v>1248</v>
      </c>
      <c r="AA916" t="s">
        <v>1249</v>
      </c>
      <c r="AB916" t="s">
        <v>89</v>
      </c>
      <c r="AC916" t="s">
        <v>90</v>
      </c>
      <c r="AD916" t="s">
        <v>91</v>
      </c>
      <c r="AE916" t="s">
        <v>856</v>
      </c>
      <c r="AG916" t="s">
        <v>1250</v>
      </c>
      <c r="AH916">
        <v>0</v>
      </c>
      <c r="AI916">
        <v>353</v>
      </c>
      <c r="AJ916">
        <v>21</v>
      </c>
      <c r="AK916">
        <v>427</v>
      </c>
      <c r="AL916">
        <v>1</v>
      </c>
    </row>
    <row r="917" spans="1:38" x14ac:dyDescent="0.3">
      <c r="A917" t="s">
        <v>852</v>
      </c>
      <c r="B917">
        <v>3083</v>
      </c>
      <c r="C917">
        <v>2</v>
      </c>
      <c r="D917" t="s">
        <v>1247</v>
      </c>
      <c r="E917">
        <v>2003.04</v>
      </c>
      <c r="F917">
        <v>426</v>
      </c>
      <c r="G917">
        <v>22.59</v>
      </c>
      <c r="H917">
        <v>74.709999999999994</v>
      </c>
      <c r="I917">
        <v>16.75</v>
      </c>
      <c r="J917">
        <v>55.4</v>
      </c>
      <c r="K917">
        <v>35</v>
      </c>
      <c r="T917">
        <v>3</v>
      </c>
      <c r="U917">
        <v>1</v>
      </c>
      <c r="V917" t="s">
        <v>94</v>
      </c>
      <c r="W917" t="s">
        <v>136</v>
      </c>
      <c r="X917">
        <v>25</v>
      </c>
      <c r="Y917">
        <v>7</v>
      </c>
      <c r="Z917" t="s">
        <v>1248</v>
      </c>
      <c r="AA917" t="s">
        <v>1249</v>
      </c>
      <c r="AB917" t="s">
        <v>89</v>
      </c>
      <c r="AC917" t="s">
        <v>90</v>
      </c>
      <c r="AD917" t="s">
        <v>91</v>
      </c>
      <c r="AE917" t="s">
        <v>856</v>
      </c>
      <c r="AG917" t="s">
        <v>1250</v>
      </c>
      <c r="AH917">
        <v>0</v>
      </c>
      <c r="AI917">
        <v>353</v>
      </c>
      <c r="AJ917">
        <v>21</v>
      </c>
      <c r="AK917">
        <v>427</v>
      </c>
      <c r="AL917">
        <v>1</v>
      </c>
    </row>
    <row r="918" spans="1:38" x14ac:dyDescent="0.3">
      <c r="A918" t="s">
        <v>852</v>
      </c>
      <c r="B918">
        <v>3083</v>
      </c>
      <c r="C918">
        <v>3</v>
      </c>
      <c r="D918" t="s">
        <v>1247</v>
      </c>
      <c r="E918">
        <v>2003.04</v>
      </c>
      <c r="F918">
        <v>426</v>
      </c>
      <c r="G918">
        <v>22.59</v>
      </c>
      <c r="H918">
        <v>74.709999999999994</v>
      </c>
      <c r="I918">
        <v>16.75</v>
      </c>
      <c r="J918">
        <v>55.4</v>
      </c>
      <c r="K918">
        <v>15</v>
      </c>
      <c r="T918">
        <v>3</v>
      </c>
      <c r="U918">
        <v>1</v>
      </c>
      <c r="V918" t="s">
        <v>94</v>
      </c>
      <c r="W918" t="s">
        <v>601</v>
      </c>
      <c r="X918">
        <v>25</v>
      </c>
      <c r="Y918">
        <v>7</v>
      </c>
      <c r="Z918" t="s">
        <v>1248</v>
      </c>
      <c r="AA918" t="s">
        <v>1249</v>
      </c>
      <c r="AB918" t="s">
        <v>89</v>
      </c>
      <c r="AC918" t="s">
        <v>90</v>
      </c>
      <c r="AD918" t="s">
        <v>91</v>
      </c>
      <c r="AE918" t="s">
        <v>856</v>
      </c>
      <c r="AG918" t="s">
        <v>1250</v>
      </c>
      <c r="AH918">
        <v>0</v>
      </c>
      <c r="AI918">
        <v>353</v>
      </c>
      <c r="AJ918">
        <v>21</v>
      </c>
      <c r="AK918">
        <v>427</v>
      </c>
      <c r="AL918">
        <v>1</v>
      </c>
    </row>
    <row r="919" spans="1:38" x14ac:dyDescent="0.3">
      <c r="A919" t="s">
        <v>852</v>
      </c>
      <c r="B919">
        <v>3083</v>
      </c>
      <c r="C919">
        <v>4</v>
      </c>
      <c r="D919" t="s">
        <v>1247</v>
      </c>
      <c r="E919">
        <v>2003.04</v>
      </c>
      <c r="F919">
        <v>426</v>
      </c>
      <c r="G919">
        <v>29.88</v>
      </c>
      <c r="H919">
        <v>98.79</v>
      </c>
      <c r="I919">
        <v>24.05</v>
      </c>
      <c r="J919">
        <v>79.52</v>
      </c>
      <c r="K919">
        <v>238</v>
      </c>
      <c r="T919">
        <v>3</v>
      </c>
      <c r="U919">
        <v>2</v>
      </c>
      <c r="V919" t="s">
        <v>94</v>
      </c>
      <c r="W919">
        <v>98</v>
      </c>
      <c r="X919">
        <v>25</v>
      </c>
      <c r="Y919">
        <v>7</v>
      </c>
      <c r="Z919" t="s">
        <v>1248</v>
      </c>
      <c r="AA919" t="s">
        <v>1249</v>
      </c>
      <c r="AB919" t="s">
        <v>89</v>
      </c>
      <c r="AC919" t="s">
        <v>90</v>
      </c>
      <c r="AD919" t="s">
        <v>91</v>
      </c>
      <c r="AE919" t="s">
        <v>856</v>
      </c>
      <c r="AG919" t="s">
        <v>1250</v>
      </c>
      <c r="AH919">
        <v>0</v>
      </c>
      <c r="AI919">
        <v>353</v>
      </c>
      <c r="AJ919">
        <v>21</v>
      </c>
      <c r="AK919">
        <v>427</v>
      </c>
      <c r="AL919">
        <v>1</v>
      </c>
    </row>
    <row r="920" spans="1:38" x14ac:dyDescent="0.3">
      <c r="A920" t="s">
        <v>852</v>
      </c>
      <c r="B920">
        <v>3083</v>
      </c>
      <c r="C920">
        <v>5</v>
      </c>
      <c r="D920" t="s">
        <v>1247</v>
      </c>
      <c r="E920">
        <v>2003.04</v>
      </c>
      <c r="F920">
        <v>426</v>
      </c>
      <c r="G920">
        <v>39.229999999999997</v>
      </c>
      <c r="H920">
        <v>129.69</v>
      </c>
      <c r="I920">
        <v>32.65</v>
      </c>
      <c r="J920">
        <v>107.96</v>
      </c>
      <c r="K920">
        <v>38</v>
      </c>
      <c r="T920">
        <v>4</v>
      </c>
      <c r="U920">
        <v>2</v>
      </c>
      <c r="V920" t="s">
        <v>94</v>
      </c>
      <c r="W920">
        <v>129</v>
      </c>
      <c r="X920">
        <v>25</v>
      </c>
      <c r="Y920">
        <v>7</v>
      </c>
      <c r="Z920" t="s">
        <v>1248</v>
      </c>
      <c r="AA920" t="s">
        <v>1249</v>
      </c>
      <c r="AB920" t="s">
        <v>89</v>
      </c>
      <c r="AC920" t="s">
        <v>90</v>
      </c>
      <c r="AD920" t="s">
        <v>91</v>
      </c>
      <c r="AE920" t="s">
        <v>856</v>
      </c>
      <c r="AG920" t="s">
        <v>1250</v>
      </c>
      <c r="AH920">
        <v>0</v>
      </c>
      <c r="AI920">
        <v>353</v>
      </c>
      <c r="AJ920">
        <v>21</v>
      </c>
      <c r="AK920">
        <v>427</v>
      </c>
      <c r="AL920">
        <v>1</v>
      </c>
    </row>
    <row r="921" spans="1:38" x14ac:dyDescent="0.3">
      <c r="A921" t="s">
        <v>852</v>
      </c>
      <c r="B921">
        <v>114535</v>
      </c>
      <c r="C921">
        <v>1</v>
      </c>
      <c r="D921" t="s">
        <v>1251</v>
      </c>
      <c r="E921">
        <v>2016.06</v>
      </c>
      <c r="F921">
        <v>36</v>
      </c>
      <c r="G921">
        <v>26.28</v>
      </c>
      <c r="H921">
        <v>86.88</v>
      </c>
      <c r="I921">
        <v>21.69</v>
      </c>
      <c r="J921">
        <v>71.73</v>
      </c>
      <c r="K921">
        <v>36</v>
      </c>
      <c r="T921">
        <v>3</v>
      </c>
      <c r="U921">
        <v>2</v>
      </c>
      <c r="V921" t="s">
        <v>94</v>
      </c>
      <c r="W921">
        <v>86</v>
      </c>
      <c r="X921">
        <v>14</v>
      </c>
      <c r="Y921">
        <v>14</v>
      </c>
      <c r="Z921" t="s">
        <v>1252</v>
      </c>
      <c r="AA921" t="s">
        <v>1253</v>
      </c>
      <c r="AB921" t="s">
        <v>89</v>
      </c>
      <c r="AC921" t="s">
        <v>90</v>
      </c>
      <c r="AD921" t="s">
        <v>91</v>
      </c>
      <c r="AE921" t="s">
        <v>856</v>
      </c>
      <c r="AG921" t="s">
        <v>1254</v>
      </c>
      <c r="AH921">
        <v>0</v>
      </c>
      <c r="AI921">
        <v>484</v>
      </c>
      <c r="AJ921">
        <v>78</v>
      </c>
      <c r="AK921">
        <v>34</v>
      </c>
      <c r="AL921">
        <v>0.94</v>
      </c>
    </row>
    <row r="922" spans="1:38" x14ac:dyDescent="0.3">
      <c r="A922" t="s">
        <v>852</v>
      </c>
      <c r="B922">
        <v>102095</v>
      </c>
      <c r="C922">
        <v>1</v>
      </c>
      <c r="D922" t="s">
        <v>1255</v>
      </c>
      <c r="E922">
        <v>2009.12</v>
      </c>
      <c r="F922">
        <v>100</v>
      </c>
      <c r="G922">
        <v>30.63</v>
      </c>
      <c r="H922">
        <v>101.27</v>
      </c>
      <c r="I922">
        <v>22.95</v>
      </c>
      <c r="J922">
        <v>75.900000000000006</v>
      </c>
      <c r="K922">
        <v>13</v>
      </c>
      <c r="T922">
        <v>3</v>
      </c>
      <c r="U922">
        <v>2</v>
      </c>
      <c r="V922" t="s">
        <v>94</v>
      </c>
      <c r="W922">
        <v>101</v>
      </c>
      <c r="X922">
        <v>19</v>
      </c>
      <c r="Y922">
        <v>16</v>
      </c>
      <c r="Z922" t="s">
        <v>1256</v>
      </c>
      <c r="AA922" t="s">
        <v>1257</v>
      </c>
      <c r="AB922" t="s">
        <v>89</v>
      </c>
      <c r="AC922" t="s">
        <v>90</v>
      </c>
      <c r="AD922" t="s">
        <v>91</v>
      </c>
      <c r="AE922" t="s">
        <v>856</v>
      </c>
      <c r="AG922" t="s">
        <v>1258</v>
      </c>
      <c r="AH922">
        <v>0</v>
      </c>
      <c r="AI922">
        <v>595</v>
      </c>
      <c r="AJ922">
        <v>74</v>
      </c>
      <c r="AK922">
        <v>151</v>
      </c>
      <c r="AL922">
        <v>1.51</v>
      </c>
    </row>
    <row r="923" spans="1:38" x14ac:dyDescent="0.3">
      <c r="A923" t="s">
        <v>852</v>
      </c>
      <c r="B923">
        <v>102095</v>
      </c>
      <c r="C923">
        <v>2</v>
      </c>
      <c r="D923" t="s">
        <v>1255</v>
      </c>
      <c r="E923">
        <v>2009.12</v>
      </c>
      <c r="F923">
        <v>100</v>
      </c>
      <c r="G923">
        <v>34.270000000000003</v>
      </c>
      <c r="H923">
        <v>113.3</v>
      </c>
      <c r="I923">
        <v>25.46</v>
      </c>
      <c r="J923">
        <v>84.17</v>
      </c>
      <c r="K923">
        <v>30</v>
      </c>
      <c r="T923">
        <v>3</v>
      </c>
      <c r="U923">
        <v>2</v>
      </c>
      <c r="V923" t="s">
        <v>94</v>
      </c>
      <c r="W923" t="s">
        <v>847</v>
      </c>
      <c r="X923">
        <v>19</v>
      </c>
      <c r="Y923">
        <v>16</v>
      </c>
      <c r="Z923" t="s">
        <v>1256</v>
      </c>
      <c r="AA923" t="s">
        <v>1257</v>
      </c>
      <c r="AB923" t="s">
        <v>89</v>
      </c>
      <c r="AC923" t="s">
        <v>90</v>
      </c>
      <c r="AD923" t="s">
        <v>91</v>
      </c>
      <c r="AE923" t="s">
        <v>856</v>
      </c>
      <c r="AG923" t="s">
        <v>1258</v>
      </c>
      <c r="AH923">
        <v>0</v>
      </c>
      <c r="AI923">
        <v>595</v>
      </c>
      <c r="AJ923">
        <v>74</v>
      </c>
      <c r="AK923">
        <v>151</v>
      </c>
      <c r="AL923">
        <v>1.51</v>
      </c>
    </row>
    <row r="924" spans="1:38" x14ac:dyDescent="0.3">
      <c r="A924" t="s">
        <v>852</v>
      </c>
      <c r="B924">
        <v>102095</v>
      </c>
      <c r="C924">
        <v>3</v>
      </c>
      <c r="D924" t="s">
        <v>1255</v>
      </c>
      <c r="E924">
        <v>2009.12</v>
      </c>
      <c r="F924">
        <v>100</v>
      </c>
      <c r="G924">
        <v>34.659999999999997</v>
      </c>
      <c r="H924">
        <v>114.6</v>
      </c>
      <c r="I924">
        <v>25.7</v>
      </c>
      <c r="J924">
        <v>84.96</v>
      </c>
      <c r="K924">
        <v>29</v>
      </c>
      <c r="T924">
        <v>3</v>
      </c>
      <c r="U924">
        <v>2</v>
      </c>
      <c r="V924" t="s">
        <v>94</v>
      </c>
      <c r="W924" t="s">
        <v>526</v>
      </c>
      <c r="X924">
        <v>19</v>
      </c>
      <c r="Y924">
        <v>16</v>
      </c>
      <c r="Z924" t="s">
        <v>1256</v>
      </c>
      <c r="AA924" t="s">
        <v>1257</v>
      </c>
      <c r="AB924" t="s">
        <v>89</v>
      </c>
      <c r="AC924" t="s">
        <v>90</v>
      </c>
      <c r="AD924" t="s">
        <v>91</v>
      </c>
      <c r="AE924" t="s">
        <v>856</v>
      </c>
      <c r="AG924" t="s">
        <v>1258</v>
      </c>
      <c r="AH924">
        <v>0</v>
      </c>
      <c r="AI924">
        <v>595</v>
      </c>
      <c r="AJ924">
        <v>74</v>
      </c>
      <c r="AK924">
        <v>151</v>
      </c>
      <c r="AL924">
        <v>1.51</v>
      </c>
    </row>
    <row r="925" spans="1:38" x14ac:dyDescent="0.3">
      <c r="A925" t="s">
        <v>852</v>
      </c>
      <c r="B925">
        <v>102095</v>
      </c>
      <c r="C925">
        <v>4</v>
      </c>
      <c r="D925" t="s">
        <v>1255</v>
      </c>
      <c r="E925">
        <v>2009.12</v>
      </c>
      <c r="F925">
        <v>100</v>
      </c>
      <c r="G925">
        <v>34.85</v>
      </c>
      <c r="H925">
        <v>115.23</v>
      </c>
      <c r="I925">
        <v>25.52</v>
      </c>
      <c r="J925">
        <v>84.37</v>
      </c>
      <c r="K925">
        <v>14</v>
      </c>
      <c r="T925">
        <v>3</v>
      </c>
      <c r="U925">
        <v>2</v>
      </c>
      <c r="V925" t="s">
        <v>94</v>
      </c>
      <c r="W925" t="s">
        <v>550</v>
      </c>
      <c r="X925">
        <v>19</v>
      </c>
      <c r="Y925">
        <v>16</v>
      </c>
      <c r="Z925" t="s">
        <v>1256</v>
      </c>
      <c r="AA925" t="s">
        <v>1257</v>
      </c>
      <c r="AB925" t="s">
        <v>89</v>
      </c>
      <c r="AC925" t="s">
        <v>90</v>
      </c>
      <c r="AD925" t="s">
        <v>91</v>
      </c>
      <c r="AE925" t="s">
        <v>856</v>
      </c>
      <c r="AG925" t="s">
        <v>1258</v>
      </c>
      <c r="AH925">
        <v>0</v>
      </c>
      <c r="AI925">
        <v>595</v>
      </c>
      <c r="AJ925">
        <v>74</v>
      </c>
      <c r="AK925">
        <v>151</v>
      </c>
      <c r="AL925">
        <v>1.51</v>
      </c>
    </row>
    <row r="926" spans="1:38" x14ac:dyDescent="0.3">
      <c r="A926" t="s">
        <v>852</v>
      </c>
      <c r="B926">
        <v>102095</v>
      </c>
      <c r="C926">
        <v>5</v>
      </c>
      <c r="D926" t="s">
        <v>1255</v>
      </c>
      <c r="E926">
        <v>2009.12</v>
      </c>
      <c r="F926">
        <v>100</v>
      </c>
      <c r="G926">
        <v>34.97</v>
      </c>
      <c r="H926">
        <v>115.63</v>
      </c>
      <c r="I926">
        <v>25.68</v>
      </c>
      <c r="J926">
        <v>84.91</v>
      </c>
      <c r="K926">
        <v>12</v>
      </c>
      <c r="T926">
        <v>3</v>
      </c>
      <c r="U926">
        <v>2</v>
      </c>
      <c r="V926" t="s">
        <v>94</v>
      </c>
      <c r="W926" t="s">
        <v>529</v>
      </c>
      <c r="X926">
        <v>19</v>
      </c>
      <c r="Y926">
        <v>16</v>
      </c>
      <c r="Z926" t="s">
        <v>1256</v>
      </c>
      <c r="AA926" t="s">
        <v>1257</v>
      </c>
      <c r="AB926" t="s">
        <v>89</v>
      </c>
      <c r="AC926" t="s">
        <v>90</v>
      </c>
      <c r="AD926" t="s">
        <v>91</v>
      </c>
      <c r="AE926" t="s">
        <v>856</v>
      </c>
      <c r="AG926" t="s">
        <v>1258</v>
      </c>
      <c r="AH926">
        <v>0</v>
      </c>
      <c r="AI926">
        <v>595</v>
      </c>
      <c r="AJ926">
        <v>74</v>
      </c>
      <c r="AK926">
        <v>151</v>
      </c>
      <c r="AL926">
        <v>1.51</v>
      </c>
    </row>
    <row r="927" spans="1:38" x14ac:dyDescent="0.3">
      <c r="A927" t="s">
        <v>852</v>
      </c>
      <c r="B927">
        <v>102095</v>
      </c>
      <c r="C927">
        <v>6</v>
      </c>
      <c r="D927" t="s">
        <v>1255</v>
      </c>
      <c r="E927">
        <v>2009.12</v>
      </c>
      <c r="F927">
        <v>100</v>
      </c>
      <c r="G927">
        <v>40.409999999999997</v>
      </c>
      <c r="H927">
        <v>133.59</v>
      </c>
      <c r="I927">
        <v>29.89</v>
      </c>
      <c r="J927">
        <v>98.81</v>
      </c>
      <c r="K927">
        <v>2</v>
      </c>
      <c r="T927">
        <v>3</v>
      </c>
      <c r="U927">
        <v>2</v>
      </c>
      <c r="V927" t="s">
        <v>94</v>
      </c>
      <c r="W927">
        <v>133</v>
      </c>
      <c r="X927">
        <v>19</v>
      </c>
      <c r="Y927">
        <v>16</v>
      </c>
      <c r="Z927" t="s">
        <v>1256</v>
      </c>
      <c r="AA927" t="s">
        <v>1257</v>
      </c>
      <c r="AB927" t="s">
        <v>89</v>
      </c>
      <c r="AC927" t="s">
        <v>90</v>
      </c>
      <c r="AD927" t="s">
        <v>91</v>
      </c>
      <c r="AE927" t="s">
        <v>856</v>
      </c>
      <c r="AG927" t="s">
        <v>1258</v>
      </c>
      <c r="AH927">
        <v>0</v>
      </c>
      <c r="AI927">
        <v>595</v>
      </c>
      <c r="AJ927">
        <v>74</v>
      </c>
      <c r="AK927">
        <v>151</v>
      </c>
      <c r="AL927">
        <v>1.51</v>
      </c>
    </row>
    <row r="928" spans="1:38" x14ac:dyDescent="0.3">
      <c r="A928" t="s">
        <v>852</v>
      </c>
      <c r="B928">
        <v>15536</v>
      </c>
      <c r="C928">
        <v>1</v>
      </c>
      <c r="D928" t="s">
        <v>1259</v>
      </c>
      <c r="E928">
        <v>2003.11</v>
      </c>
      <c r="F928">
        <v>89</v>
      </c>
      <c r="G928">
        <v>24.59</v>
      </c>
      <c r="H928">
        <v>81.3</v>
      </c>
      <c r="I928">
        <v>17.46</v>
      </c>
      <c r="J928">
        <v>57.74</v>
      </c>
      <c r="K928">
        <v>42</v>
      </c>
      <c r="T928">
        <v>3</v>
      </c>
      <c r="U928">
        <v>1</v>
      </c>
      <c r="V928" t="s">
        <v>94</v>
      </c>
      <c r="W928">
        <v>81</v>
      </c>
      <c r="X928">
        <v>14</v>
      </c>
      <c r="Y928">
        <v>11</v>
      </c>
      <c r="Z928" t="s">
        <v>1260</v>
      </c>
      <c r="AA928" t="s">
        <v>1261</v>
      </c>
      <c r="AB928" t="s">
        <v>89</v>
      </c>
      <c r="AC928" t="s">
        <v>90</v>
      </c>
      <c r="AD928" t="s">
        <v>91</v>
      </c>
      <c r="AE928" t="s">
        <v>856</v>
      </c>
      <c r="AG928" t="s">
        <v>1262</v>
      </c>
      <c r="AH928">
        <v>0</v>
      </c>
      <c r="AI928">
        <v>365</v>
      </c>
      <c r="AJ928">
        <v>31</v>
      </c>
      <c r="AK928">
        <v>89</v>
      </c>
      <c r="AL928">
        <v>1</v>
      </c>
    </row>
    <row r="929" spans="1:38" x14ac:dyDescent="0.3">
      <c r="A929" t="s">
        <v>852</v>
      </c>
      <c r="B929">
        <v>15536</v>
      </c>
      <c r="C929">
        <v>2</v>
      </c>
      <c r="D929" t="s">
        <v>1259</v>
      </c>
      <c r="E929">
        <v>2003.11</v>
      </c>
      <c r="F929">
        <v>89</v>
      </c>
      <c r="G929">
        <v>30.28</v>
      </c>
      <c r="H929">
        <v>100.1</v>
      </c>
      <c r="I929">
        <v>21.5</v>
      </c>
      <c r="J929">
        <v>71.09</v>
      </c>
      <c r="K929">
        <v>22</v>
      </c>
      <c r="T929">
        <v>3</v>
      </c>
      <c r="U929">
        <v>2</v>
      </c>
      <c r="V929" t="s">
        <v>94</v>
      </c>
      <c r="W929">
        <v>100</v>
      </c>
      <c r="X929">
        <v>14</v>
      </c>
      <c r="Y929">
        <v>11</v>
      </c>
      <c r="Z929" t="s">
        <v>1260</v>
      </c>
      <c r="AA929" t="s">
        <v>1261</v>
      </c>
      <c r="AB929" t="s">
        <v>89</v>
      </c>
      <c r="AC929" t="s">
        <v>90</v>
      </c>
      <c r="AD929" t="s">
        <v>91</v>
      </c>
      <c r="AE929" t="s">
        <v>856</v>
      </c>
      <c r="AG929" t="s">
        <v>1262</v>
      </c>
      <c r="AH929">
        <v>0</v>
      </c>
      <c r="AI929">
        <v>365</v>
      </c>
      <c r="AJ929">
        <v>31</v>
      </c>
      <c r="AK929">
        <v>89</v>
      </c>
      <c r="AL929">
        <v>1</v>
      </c>
    </row>
    <row r="930" spans="1:38" x14ac:dyDescent="0.3">
      <c r="A930" t="s">
        <v>852</v>
      </c>
      <c r="B930">
        <v>15536</v>
      </c>
      <c r="C930">
        <v>3</v>
      </c>
      <c r="D930" t="s">
        <v>1259</v>
      </c>
      <c r="E930">
        <v>2003.11</v>
      </c>
      <c r="F930">
        <v>89</v>
      </c>
      <c r="G930">
        <v>31.42</v>
      </c>
      <c r="H930">
        <v>103.9</v>
      </c>
      <c r="I930">
        <v>22.32</v>
      </c>
      <c r="J930">
        <v>73.790000000000006</v>
      </c>
      <c r="K930">
        <v>25</v>
      </c>
      <c r="T930">
        <v>3</v>
      </c>
      <c r="U930">
        <v>2</v>
      </c>
      <c r="V930" t="s">
        <v>94</v>
      </c>
      <c r="W930">
        <v>103</v>
      </c>
      <c r="X930">
        <v>14</v>
      </c>
      <c r="Y930">
        <v>11</v>
      </c>
      <c r="Z930" t="s">
        <v>1260</v>
      </c>
      <c r="AA930" t="s">
        <v>1261</v>
      </c>
      <c r="AB930" t="s">
        <v>89</v>
      </c>
      <c r="AC930" t="s">
        <v>90</v>
      </c>
      <c r="AD930" t="s">
        <v>91</v>
      </c>
      <c r="AE930" t="s">
        <v>856</v>
      </c>
      <c r="AG930" t="s">
        <v>1262</v>
      </c>
      <c r="AH930">
        <v>0</v>
      </c>
      <c r="AI930">
        <v>365</v>
      </c>
      <c r="AJ930">
        <v>31</v>
      </c>
      <c r="AK930">
        <v>89</v>
      </c>
      <c r="AL930">
        <v>1</v>
      </c>
    </row>
    <row r="931" spans="1:38" x14ac:dyDescent="0.3">
      <c r="A931" t="s">
        <v>852</v>
      </c>
      <c r="B931">
        <v>110236</v>
      </c>
      <c r="C931">
        <v>1</v>
      </c>
      <c r="D931" t="s">
        <v>1263</v>
      </c>
      <c r="E931">
        <v>2000.05</v>
      </c>
      <c r="F931">
        <v>19</v>
      </c>
      <c r="G931">
        <v>32.89</v>
      </c>
      <c r="H931">
        <v>108.73</v>
      </c>
      <c r="I931">
        <v>25.68</v>
      </c>
      <c r="J931">
        <v>84.9</v>
      </c>
      <c r="K931">
        <v>19</v>
      </c>
      <c r="T931">
        <v>3</v>
      </c>
      <c r="U931">
        <v>2</v>
      </c>
      <c r="V931" t="s">
        <v>94</v>
      </c>
      <c r="W931">
        <v>108</v>
      </c>
      <c r="X931">
        <v>10</v>
      </c>
      <c r="Y931">
        <v>9</v>
      </c>
      <c r="Z931" t="s">
        <v>1264</v>
      </c>
      <c r="AA931" t="s">
        <v>1265</v>
      </c>
      <c r="AB931" t="s">
        <v>89</v>
      </c>
      <c r="AC931" t="s">
        <v>90</v>
      </c>
      <c r="AD931" t="s">
        <v>91</v>
      </c>
      <c r="AE931" t="s">
        <v>856</v>
      </c>
      <c r="AG931" t="s">
        <v>1266</v>
      </c>
      <c r="AH931">
        <v>0</v>
      </c>
      <c r="AI931">
        <v>176</v>
      </c>
      <c r="AJ931">
        <v>19</v>
      </c>
      <c r="AK931">
        <v>18</v>
      </c>
      <c r="AL931">
        <v>0.95</v>
      </c>
    </row>
    <row r="932" spans="1:38" x14ac:dyDescent="0.3">
      <c r="A932" t="s">
        <v>852</v>
      </c>
      <c r="B932">
        <v>3081</v>
      </c>
      <c r="C932">
        <v>1</v>
      </c>
      <c r="D932" t="s">
        <v>1267</v>
      </c>
      <c r="E932">
        <v>2002.11</v>
      </c>
      <c r="F932">
        <v>604</v>
      </c>
      <c r="G932">
        <v>26.74</v>
      </c>
      <c r="H932">
        <v>88.41</v>
      </c>
      <c r="I932">
        <v>17.940000000000001</v>
      </c>
      <c r="J932">
        <v>59.32</v>
      </c>
      <c r="K932">
        <v>55</v>
      </c>
      <c r="T932">
        <v>3</v>
      </c>
      <c r="U932">
        <v>2</v>
      </c>
      <c r="V932" t="s">
        <v>94</v>
      </c>
      <c r="W932">
        <v>88</v>
      </c>
      <c r="X932">
        <v>25</v>
      </c>
      <c r="Y932">
        <v>11</v>
      </c>
      <c r="Z932" t="s">
        <v>1268</v>
      </c>
      <c r="AA932" t="s">
        <v>1269</v>
      </c>
      <c r="AB932" t="s">
        <v>89</v>
      </c>
      <c r="AC932" t="s">
        <v>90</v>
      </c>
      <c r="AD932" t="s">
        <v>91</v>
      </c>
      <c r="AE932" t="s">
        <v>856</v>
      </c>
      <c r="AG932" t="s">
        <v>1270</v>
      </c>
      <c r="AH932">
        <v>0</v>
      </c>
      <c r="AI932">
        <v>285</v>
      </c>
      <c r="AJ932">
        <v>18</v>
      </c>
      <c r="AK932">
        <v>692</v>
      </c>
      <c r="AL932">
        <v>1.1499999999999999</v>
      </c>
    </row>
    <row r="933" spans="1:38" x14ac:dyDescent="0.3">
      <c r="A933" t="s">
        <v>852</v>
      </c>
      <c r="B933">
        <v>3081</v>
      </c>
      <c r="C933">
        <v>2</v>
      </c>
      <c r="D933" t="s">
        <v>1267</v>
      </c>
      <c r="E933">
        <v>2002.11</v>
      </c>
      <c r="F933">
        <v>604</v>
      </c>
      <c r="G933">
        <v>35.76</v>
      </c>
      <c r="H933">
        <v>118.24</v>
      </c>
      <c r="I933">
        <v>22.47</v>
      </c>
      <c r="J933">
        <v>74.31</v>
      </c>
      <c r="K933">
        <v>18</v>
      </c>
      <c r="T933">
        <v>3</v>
      </c>
      <c r="U933">
        <v>2</v>
      </c>
      <c r="V933" t="s">
        <v>94</v>
      </c>
      <c r="W933" t="s">
        <v>1271</v>
      </c>
      <c r="X933">
        <v>25</v>
      </c>
      <c r="Y933">
        <v>11</v>
      </c>
      <c r="Z933" t="s">
        <v>1268</v>
      </c>
      <c r="AA933" t="s">
        <v>1269</v>
      </c>
      <c r="AB933" t="s">
        <v>89</v>
      </c>
      <c r="AC933" t="s">
        <v>90</v>
      </c>
      <c r="AD933" t="s">
        <v>91</v>
      </c>
      <c r="AE933" t="s">
        <v>856</v>
      </c>
      <c r="AG933" t="s">
        <v>1270</v>
      </c>
      <c r="AH933">
        <v>0</v>
      </c>
      <c r="AI933">
        <v>285</v>
      </c>
      <c r="AJ933">
        <v>18</v>
      </c>
      <c r="AK933">
        <v>692</v>
      </c>
      <c r="AL933">
        <v>1.1499999999999999</v>
      </c>
    </row>
    <row r="934" spans="1:38" x14ac:dyDescent="0.3">
      <c r="A934" t="s">
        <v>852</v>
      </c>
      <c r="B934">
        <v>3081</v>
      </c>
      <c r="C934">
        <v>3</v>
      </c>
      <c r="D934" t="s">
        <v>1267</v>
      </c>
      <c r="E934">
        <v>2002.11</v>
      </c>
      <c r="F934">
        <v>604</v>
      </c>
      <c r="G934">
        <v>36.42</v>
      </c>
      <c r="H934">
        <v>120.41</v>
      </c>
      <c r="I934">
        <v>25.59</v>
      </c>
      <c r="J934">
        <v>84.62</v>
      </c>
      <c r="K934">
        <v>393</v>
      </c>
      <c r="T934">
        <v>3</v>
      </c>
      <c r="U934">
        <v>2</v>
      </c>
      <c r="V934" t="s">
        <v>94</v>
      </c>
      <c r="W934" t="s">
        <v>1272</v>
      </c>
      <c r="X934">
        <v>25</v>
      </c>
      <c r="Y934">
        <v>11</v>
      </c>
      <c r="Z934" t="s">
        <v>1268</v>
      </c>
      <c r="AA934" t="s">
        <v>1269</v>
      </c>
      <c r="AB934" t="s">
        <v>89</v>
      </c>
      <c r="AC934" t="s">
        <v>90</v>
      </c>
      <c r="AD934" t="s">
        <v>91</v>
      </c>
      <c r="AE934" t="s">
        <v>856</v>
      </c>
      <c r="AG934" t="s">
        <v>1270</v>
      </c>
      <c r="AH934">
        <v>0</v>
      </c>
      <c r="AI934">
        <v>285</v>
      </c>
      <c r="AJ934">
        <v>18</v>
      </c>
      <c r="AK934">
        <v>692</v>
      </c>
      <c r="AL934">
        <v>1.1499999999999999</v>
      </c>
    </row>
    <row r="935" spans="1:38" x14ac:dyDescent="0.3">
      <c r="A935" t="s">
        <v>852</v>
      </c>
      <c r="B935">
        <v>3081</v>
      </c>
      <c r="C935">
        <v>4</v>
      </c>
      <c r="D935" t="s">
        <v>1267</v>
      </c>
      <c r="E935">
        <v>2002.11</v>
      </c>
      <c r="F935">
        <v>604</v>
      </c>
      <c r="G935">
        <v>46.95</v>
      </c>
      <c r="H935">
        <v>155.21</v>
      </c>
      <c r="I935">
        <v>34.4</v>
      </c>
      <c r="J935">
        <v>113.72</v>
      </c>
      <c r="K935">
        <v>138</v>
      </c>
      <c r="T935">
        <v>4</v>
      </c>
      <c r="U935">
        <v>2</v>
      </c>
      <c r="V935" t="s">
        <v>94</v>
      </c>
      <c r="W935">
        <v>155</v>
      </c>
      <c r="X935">
        <v>25</v>
      </c>
      <c r="Y935">
        <v>11</v>
      </c>
      <c r="Z935" t="s">
        <v>1268</v>
      </c>
      <c r="AA935" t="s">
        <v>1269</v>
      </c>
      <c r="AB935" t="s">
        <v>89</v>
      </c>
      <c r="AC935" t="s">
        <v>90</v>
      </c>
      <c r="AD935" t="s">
        <v>91</v>
      </c>
      <c r="AE935" t="s">
        <v>856</v>
      </c>
      <c r="AG935" t="s">
        <v>1270</v>
      </c>
      <c r="AH935">
        <v>0</v>
      </c>
      <c r="AI935">
        <v>285</v>
      </c>
      <c r="AJ935">
        <v>18</v>
      </c>
      <c r="AK935">
        <v>692</v>
      </c>
      <c r="AL935">
        <v>1.1499999999999999</v>
      </c>
    </row>
    <row r="936" spans="1:38" x14ac:dyDescent="0.3">
      <c r="A936" t="s">
        <v>852</v>
      </c>
      <c r="B936">
        <v>8180</v>
      </c>
      <c r="C936">
        <v>1</v>
      </c>
      <c r="D936" t="s">
        <v>1273</v>
      </c>
      <c r="E936">
        <v>1987.07</v>
      </c>
      <c r="F936">
        <v>40</v>
      </c>
      <c r="G936">
        <v>16.28</v>
      </c>
      <c r="H936">
        <v>53.83</v>
      </c>
      <c r="I936">
        <v>12.11</v>
      </c>
      <c r="J936">
        <v>40.049999999999997</v>
      </c>
      <c r="K936">
        <v>35</v>
      </c>
      <c r="T936">
        <v>2</v>
      </c>
      <c r="U936">
        <v>1</v>
      </c>
      <c r="V936" t="s">
        <v>94</v>
      </c>
      <c r="W936" t="s">
        <v>1274</v>
      </c>
      <c r="X936">
        <v>5</v>
      </c>
      <c r="Y936">
        <v>5</v>
      </c>
      <c r="Z936" t="s">
        <v>1275</v>
      </c>
      <c r="AA936" t="s">
        <v>1276</v>
      </c>
      <c r="AB936" t="s">
        <v>89</v>
      </c>
      <c r="AC936" t="s">
        <v>90</v>
      </c>
      <c r="AD936" t="s">
        <v>91</v>
      </c>
      <c r="AE936" t="s">
        <v>856</v>
      </c>
      <c r="AG936" t="s">
        <v>438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38" x14ac:dyDescent="0.3">
      <c r="A937" t="s">
        <v>852</v>
      </c>
      <c r="B937">
        <v>8180</v>
      </c>
      <c r="C937">
        <v>2</v>
      </c>
      <c r="D937" t="s">
        <v>1273</v>
      </c>
      <c r="E937">
        <v>1987.07</v>
      </c>
      <c r="F937">
        <v>40</v>
      </c>
      <c r="G937">
        <v>16.13</v>
      </c>
      <c r="H937">
        <v>53.35</v>
      </c>
      <c r="I937">
        <v>11.99</v>
      </c>
      <c r="J937">
        <v>39.64</v>
      </c>
      <c r="K937">
        <v>5</v>
      </c>
      <c r="T937">
        <v>2</v>
      </c>
      <c r="U937">
        <v>1</v>
      </c>
      <c r="V937" t="s">
        <v>94</v>
      </c>
      <c r="W937" t="s">
        <v>1277</v>
      </c>
      <c r="X937">
        <v>5</v>
      </c>
      <c r="Y937">
        <v>5</v>
      </c>
      <c r="Z937" t="s">
        <v>1275</v>
      </c>
      <c r="AA937" t="s">
        <v>1276</v>
      </c>
      <c r="AB937" t="s">
        <v>89</v>
      </c>
      <c r="AC937" t="s">
        <v>90</v>
      </c>
      <c r="AD937" t="s">
        <v>91</v>
      </c>
      <c r="AE937" t="s">
        <v>856</v>
      </c>
      <c r="AG937" t="s">
        <v>438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38" x14ac:dyDescent="0.3">
      <c r="A938" t="s">
        <v>852</v>
      </c>
      <c r="B938">
        <v>103511</v>
      </c>
      <c r="C938">
        <v>1</v>
      </c>
      <c r="D938" t="s">
        <v>1278</v>
      </c>
      <c r="E938">
        <v>2012.12</v>
      </c>
      <c r="F938">
        <v>136</v>
      </c>
      <c r="G938">
        <v>24.6</v>
      </c>
      <c r="H938">
        <v>81.349999999999994</v>
      </c>
      <c r="I938">
        <v>18.12</v>
      </c>
      <c r="J938">
        <v>59.93</v>
      </c>
      <c r="K938">
        <v>22</v>
      </c>
      <c r="T938">
        <v>3</v>
      </c>
      <c r="U938">
        <v>2</v>
      </c>
      <c r="V938" t="s">
        <v>94</v>
      </c>
      <c r="W938">
        <v>81</v>
      </c>
      <c r="X938">
        <v>15</v>
      </c>
      <c r="Y938">
        <v>9</v>
      </c>
      <c r="Z938" t="s">
        <v>1279</v>
      </c>
      <c r="AA938" t="s">
        <v>1280</v>
      </c>
      <c r="AB938" t="s">
        <v>89</v>
      </c>
      <c r="AC938" t="s">
        <v>90</v>
      </c>
      <c r="AD938" t="s">
        <v>91</v>
      </c>
      <c r="AE938" t="s">
        <v>856</v>
      </c>
      <c r="AG938" t="s">
        <v>1281</v>
      </c>
      <c r="AH938">
        <v>0</v>
      </c>
      <c r="AI938">
        <v>232</v>
      </c>
      <c r="AJ938">
        <v>32</v>
      </c>
      <c r="AK938">
        <v>142</v>
      </c>
      <c r="AL938">
        <v>1.04</v>
      </c>
    </row>
    <row r="939" spans="1:38" x14ac:dyDescent="0.3">
      <c r="A939" t="s">
        <v>852</v>
      </c>
      <c r="B939">
        <v>103511</v>
      </c>
      <c r="C939">
        <v>2</v>
      </c>
      <c r="D939" t="s">
        <v>1278</v>
      </c>
      <c r="E939">
        <v>2012.12</v>
      </c>
      <c r="F939">
        <v>136</v>
      </c>
      <c r="G939">
        <v>27.36</v>
      </c>
      <c r="H939">
        <v>90.47</v>
      </c>
      <c r="I939">
        <v>21.24</v>
      </c>
      <c r="J939">
        <v>70.22</v>
      </c>
      <c r="K939">
        <v>10</v>
      </c>
      <c r="T939">
        <v>3</v>
      </c>
      <c r="U939">
        <v>2</v>
      </c>
      <c r="V939" t="s">
        <v>94</v>
      </c>
      <c r="W939">
        <v>90</v>
      </c>
      <c r="X939">
        <v>15</v>
      </c>
      <c r="Y939">
        <v>9</v>
      </c>
      <c r="Z939" t="s">
        <v>1279</v>
      </c>
      <c r="AA939" t="s">
        <v>1280</v>
      </c>
      <c r="AB939" t="s">
        <v>89</v>
      </c>
      <c r="AC939" t="s">
        <v>90</v>
      </c>
      <c r="AD939" t="s">
        <v>91</v>
      </c>
      <c r="AE939" t="s">
        <v>856</v>
      </c>
      <c r="AG939" t="s">
        <v>1281</v>
      </c>
      <c r="AH939">
        <v>0</v>
      </c>
      <c r="AI939">
        <v>232</v>
      </c>
      <c r="AJ939">
        <v>32</v>
      </c>
      <c r="AK939">
        <v>142</v>
      </c>
      <c r="AL939">
        <v>1.04</v>
      </c>
    </row>
    <row r="940" spans="1:38" x14ac:dyDescent="0.3">
      <c r="A940" t="s">
        <v>852</v>
      </c>
      <c r="B940">
        <v>103511</v>
      </c>
      <c r="C940">
        <v>3</v>
      </c>
      <c r="D940" t="s">
        <v>1278</v>
      </c>
      <c r="E940">
        <v>2012.12</v>
      </c>
      <c r="F940">
        <v>136</v>
      </c>
      <c r="G940">
        <v>27.81</v>
      </c>
      <c r="H940">
        <v>91.94</v>
      </c>
      <c r="I940">
        <v>21.58</v>
      </c>
      <c r="J940">
        <v>71.34</v>
      </c>
      <c r="K940">
        <v>10</v>
      </c>
      <c r="T940">
        <v>3</v>
      </c>
      <c r="U940">
        <v>2</v>
      </c>
      <c r="V940" t="s">
        <v>94</v>
      </c>
      <c r="W940">
        <v>91</v>
      </c>
      <c r="X940">
        <v>15</v>
      </c>
      <c r="Y940">
        <v>9</v>
      </c>
      <c r="Z940" t="s">
        <v>1279</v>
      </c>
      <c r="AA940" t="s">
        <v>1280</v>
      </c>
      <c r="AB940" t="s">
        <v>89</v>
      </c>
      <c r="AC940" t="s">
        <v>90</v>
      </c>
      <c r="AD940" t="s">
        <v>91</v>
      </c>
      <c r="AE940" t="s">
        <v>856</v>
      </c>
      <c r="AG940" t="s">
        <v>1281</v>
      </c>
      <c r="AH940">
        <v>0</v>
      </c>
      <c r="AI940">
        <v>232</v>
      </c>
      <c r="AJ940">
        <v>32</v>
      </c>
      <c r="AK940">
        <v>142</v>
      </c>
      <c r="AL940">
        <v>1.04</v>
      </c>
    </row>
    <row r="941" spans="1:38" x14ac:dyDescent="0.3">
      <c r="A941" t="s">
        <v>852</v>
      </c>
      <c r="B941">
        <v>103511</v>
      </c>
      <c r="C941">
        <v>4</v>
      </c>
      <c r="D941" t="s">
        <v>1278</v>
      </c>
      <c r="E941">
        <v>2012.12</v>
      </c>
      <c r="F941">
        <v>136</v>
      </c>
      <c r="G941">
        <v>32.53</v>
      </c>
      <c r="H941">
        <v>107.57</v>
      </c>
      <c r="I941">
        <v>25.64</v>
      </c>
      <c r="J941">
        <v>84.78</v>
      </c>
      <c r="K941">
        <v>76</v>
      </c>
      <c r="T941">
        <v>3</v>
      </c>
      <c r="U941">
        <v>2</v>
      </c>
      <c r="V941" t="s">
        <v>94</v>
      </c>
      <c r="W941" t="s">
        <v>428</v>
      </c>
      <c r="X941">
        <v>15</v>
      </c>
      <c r="Y941">
        <v>9</v>
      </c>
      <c r="Z941" t="s">
        <v>1279</v>
      </c>
      <c r="AA941" t="s">
        <v>1280</v>
      </c>
      <c r="AB941" t="s">
        <v>89</v>
      </c>
      <c r="AC941" t="s">
        <v>90</v>
      </c>
      <c r="AD941" t="s">
        <v>91</v>
      </c>
      <c r="AE941" t="s">
        <v>856</v>
      </c>
      <c r="AG941" t="s">
        <v>1281</v>
      </c>
      <c r="AH941">
        <v>0</v>
      </c>
      <c r="AI941">
        <v>232</v>
      </c>
      <c r="AJ941">
        <v>32</v>
      </c>
      <c r="AK941">
        <v>142</v>
      </c>
      <c r="AL941">
        <v>1.04</v>
      </c>
    </row>
    <row r="942" spans="1:38" x14ac:dyDescent="0.3">
      <c r="A942" t="s">
        <v>852</v>
      </c>
      <c r="B942">
        <v>103511</v>
      </c>
      <c r="C942">
        <v>5</v>
      </c>
      <c r="D942" t="s">
        <v>1278</v>
      </c>
      <c r="E942">
        <v>2012.12</v>
      </c>
      <c r="F942">
        <v>136</v>
      </c>
      <c r="G942">
        <v>32.630000000000003</v>
      </c>
      <c r="H942">
        <v>107.88</v>
      </c>
      <c r="I942">
        <v>25.68</v>
      </c>
      <c r="J942">
        <v>84.92</v>
      </c>
      <c r="K942">
        <v>10</v>
      </c>
      <c r="T942">
        <v>3</v>
      </c>
      <c r="U942">
        <v>2</v>
      </c>
      <c r="V942" t="s">
        <v>94</v>
      </c>
      <c r="W942" t="s">
        <v>427</v>
      </c>
      <c r="X942">
        <v>15</v>
      </c>
      <c r="Y942">
        <v>9</v>
      </c>
      <c r="Z942" t="s">
        <v>1279</v>
      </c>
      <c r="AA942" t="s">
        <v>1280</v>
      </c>
      <c r="AB942" t="s">
        <v>89</v>
      </c>
      <c r="AC942" t="s">
        <v>90</v>
      </c>
      <c r="AD942" t="s">
        <v>91</v>
      </c>
      <c r="AE942" t="s">
        <v>856</v>
      </c>
      <c r="AG942" t="s">
        <v>1281</v>
      </c>
      <c r="AH942">
        <v>0</v>
      </c>
      <c r="AI942">
        <v>232</v>
      </c>
      <c r="AJ942">
        <v>32</v>
      </c>
      <c r="AK942">
        <v>142</v>
      </c>
      <c r="AL942">
        <v>1.04</v>
      </c>
    </row>
    <row r="943" spans="1:38" x14ac:dyDescent="0.3">
      <c r="A943" t="s">
        <v>852</v>
      </c>
      <c r="B943">
        <v>103511</v>
      </c>
      <c r="C943">
        <v>6</v>
      </c>
      <c r="D943" t="s">
        <v>1278</v>
      </c>
      <c r="E943">
        <v>2012.12</v>
      </c>
      <c r="F943">
        <v>136</v>
      </c>
      <c r="G943">
        <v>32.68</v>
      </c>
      <c r="H943">
        <v>108.06</v>
      </c>
      <c r="I943">
        <v>25.7</v>
      </c>
      <c r="J943">
        <v>84.96</v>
      </c>
      <c r="K943">
        <v>8</v>
      </c>
      <c r="T943">
        <v>3</v>
      </c>
      <c r="U943">
        <v>2</v>
      </c>
      <c r="V943" t="s">
        <v>94</v>
      </c>
      <c r="W943" t="s">
        <v>1282</v>
      </c>
      <c r="X943">
        <v>15</v>
      </c>
      <c r="Y943">
        <v>9</v>
      </c>
      <c r="Z943" t="s">
        <v>1279</v>
      </c>
      <c r="AA943" t="s">
        <v>1280</v>
      </c>
      <c r="AB943" t="s">
        <v>89</v>
      </c>
      <c r="AC943" t="s">
        <v>90</v>
      </c>
      <c r="AD943" t="s">
        <v>91</v>
      </c>
      <c r="AE943" t="s">
        <v>856</v>
      </c>
      <c r="AG943" t="s">
        <v>1281</v>
      </c>
      <c r="AH943">
        <v>0</v>
      </c>
      <c r="AI943">
        <v>232</v>
      </c>
      <c r="AJ943">
        <v>32</v>
      </c>
      <c r="AK943">
        <v>142</v>
      </c>
      <c r="AL943">
        <v>1.04</v>
      </c>
    </row>
    <row r="944" spans="1:38" x14ac:dyDescent="0.3">
      <c r="A944" t="s">
        <v>852</v>
      </c>
      <c r="B944">
        <v>122547</v>
      </c>
      <c r="C944">
        <v>1</v>
      </c>
      <c r="D944" t="s">
        <v>1283</v>
      </c>
      <c r="E944">
        <v>2018.01</v>
      </c>
      <c r="F944">
        <v>34</v>
      </c>
      <c r="G944">
        <v>29.1</v>
      </c>
      <c r="H944">
        <v>96.23</v>
      </c>
      <c r="I944">
        <v>18.690000000000001</v>
      </c>
      <c r="J944">
        <v>61.8</v>
      </c>
      <c r="K944">
        <v>10</v>
      </c>
      <c r="T944">
        <v>3</v>
      </c>
      <c r="U944">
        <v>2</v>
      </c>
      <c r="V944" t="s">
        <v>94</v>
      </c>
      <c r="W944">
        <v>96</v>
      </c>
      <c r="X944">
        <v>12</v>
      </c>
      <c r="Y944">
        <v>11</v>
      </c>
      <c r="Z944" t="s">
        <v>1284</v>
      </c>
      <c r="AA944" t="s">
        <v>1285</v>
      </c>
      <c r="AB944" t="s">
        <v>89</v>
      </c>
      <c r="AC944" t="s">
        <v>90</v>
      </c>
      <c r="AD944" t="s">
        <v>91</v>
      </c>
      <c r="AE944" t="s">
        <v>856</v>
      </c>
      <c r="AG944" t="s">
        <v>1286</v>
      </c>
      <c r="AH944">
        <v>0</v>
      </c>
      <c r="AI944">
        <v>536</v>
      </c>
      <c r="AJ944">
        <v>55</v>
      </c>
      <c r="AK944">
        <v>34</v>
      </c>
      <c r="AL944">
        <v>1</v>
      </c>
    </row>
    <row r="945" spans="1:38" x14ac:dyDescent="0.3">
      <c r="A945" t="s">
        <v>852</v>
      </c>
      <c r="B945">
        <v>122547</v>
      </c>
      <c r="C945">
        <v>2</v>
      </c>
      <c r="D945" t="s">
        <v>1283</v>
      </c>
      <c r="E945">
        <v>2018.01</v>
      </c>
      <c r="F945">
        <v>34</v>
      </c>
      <c r="G945">
        <v>30.85</v>
      </c>
      <c r="H945">
        <v>102.01</v>
      </c>
      <c r="I945">
        <v>19.84</v>
      </c>
      <c r="J945">
        <v>65.59</v>
      </c>
      <c r="K945">
        <v>10</v>
      </c>
      <c r="T945">
        <v>3</v>
      </c>
      <c r="U945">
        <v>2</v>
      </c>
      <c r="V945" t="s">
        <v>94</v>
      </c>
      <c r="W945" t="s">
        <v>1140</v>
      </c>
      <c r="X945">
        <v>12</v>
      </c>
      <c r="Y945">
        <v>11</v>
      </c>
      <c r="Z945" t="s">
        <v>1284</v>
      </c>
      <c r="AA945" t="s">
        <v>1285</v>
      </c>
      <c r="AB945" t="s">
        <v>89</v>
      </c>
      <c r="AC945" t="s">
        <v>90</v>
      </c>
      <c r="AD945" t="s">
        <v>91</v>
      </c>
      <c r="AE945" t="s">
        <v>856</v>
      </c>
      <c r="AG945" t="s">
        <v>1286</v>
      </c>
      <c r="AH945">
        <v>0</v>
      </c>
      <c r="AI945">
        <v>536</v>
      </c>
      <c r="AJ945">
        <v>55</v>
      </c>
      <c r="AK945">
        <v>34</v>
      </c>
      <c r="AL945">
        <v>1</v>
      </c>
    </row>
    <row r="946" spans="1:38" x14ac:dyDescent="0.3">
      <c r="A946" t="s">
        <v>852</v>
      </c>
      <c r="B946">
        <v>122547</v>
      </c>
      <c r="C946">
        <v>3</v>
      </c>
      <c r="D946" t="s">
        <v>1283</v>
      </c>
      <c r="E946">
        <v>2018.01</v>
      </c>
      <c r="F946">
        <v>34</v>
      </c>
      <c r="G946">
        <v>31.04</v>
      </c>
      <c r="H946">
        <v>102.64</v>
      </c>
      <c r="I946">
        <v>19.95</v>
      </c>
      <c r="J946">
        <v>65.97</v>
      </c>
      <c r="K946">
        <v>10</v>
      </c>
      <c r="T946">
        <v>3</v>
      </c>
      <c r="U946">
        <v>2</v>
      </c>
      <c r="V946" t="s">
        <v>94</v>
      </c>
      <c r="W946" t="s">
        <v>1141</v>
      </c>
      <c r="X946">
        <v>12</v>
      </c>
      <c r="Y946">
        <v>11</v>
      </c>
      <c r="Z946" t="s">
        <v>1284</v>
      </c>
      <c r="AA946" t="s">
        <v>1285</v>
      </c>
      <c r="AB946" t="s">
        <v>89</v>
      </c>
      <c r="AC946" t="s">
        <v>90</v>
      </c>
      <c r="AD946" t="s">
        <v>91</v>
      </c>
      <c r="AE946" t="s">
        <v>856</v>
      </c>
      <c r="AG946" t="s">
        <v>1286</v>
      </c>
      <c r="AH946">
        <v>0</v>
      </c>
      <c r="AI946">
        <v>536</v>
      </c>
      <c r="AJ946">
        <v>55</v>
      </c>
      <c r="AK946">
        <v>34</v>
      </c>
      <c r="AL946">
        <v>1</v>
      </c>
    </row>
    <row r="947" spans="1:38" x14ac:dyDescent="0.3">
      <c r="A947" t="s">
        <v>852</v>
      </c>
      <c r="B947">
        <v>122547</v>
      </c>
      <c r="C947">
        <v>4</v>
      </c>
      <c r="D947" t="s">
        <v>1283</v>
      </c>
      <c r="E947">
        <v>2018.01</v>
      </c>
      <c r="F947">
        <v>34</v>
      </c>
      <c r="G947">
        <v>35.93</v>
      </c>
      <c r="H947">
        <v>118.79</v>
      </c>
      <c r="I947">
        <v>23.03</v>
      </c>
      <c r="J947">
        <v>76.14</v>
      </c>
      <c r="K947">
        <v>2</v>
      </c>
      <c r="T947">
        <v>3</v>
      </c>
      <c r="U947">
        <v>2</v>
      </c>
      <c r="V947" t="s">
        <v>94</v>
      </c>
      <c r="W947">
        <v>118</v>
      </c>
      <c r="X947">
        <v>12</v>
      </c>
      <c r="Y947">
        <v>11</v>
      </c>
      <c r="Z947" t="s">
        <v>1284</v>
      </c>
      <c r="AA947" t="s">
        <v>1285</v>
      </c>
      <c r="AB947" t="s">
        <v>89</v>
      </c>
      <c r="AC947" t="s">
        <v>90</v>
      </c>
      <c r="AD947" t="s">
        <v>91</v>
      </c>
      <c r="AE947" t="s">
        <v>856</v>
      </c>
      <c r="AG947" t="s">
        <v>1286</v>
      </c>
      <c r="AH947">
        <v>0</v>
      </c>
      <c r="AI947">
        <v>536</v>
      </c>
      <c r="AJ947">
        <v>55</v>
      </c>
      <c r="AK947">
        <v>34</v>
      </c>
      <c r="AL947">
        <v>1</v>
      </c>
    </row>
    <row r="948" spans="1:38" x14ac:dyDescent="0.3">
      <c r="A948" t="s">
        <v>852</v>
      </c>
      <c r="B948">
        <v>122547</v>
      </c>
      <c r="C948">
        <v>5</v>
      </c>
      <c r="D948" t="s">
        <v>1283</v>
      </c>
      <c r="E948">
        <v>2018.01</v>
      </c>
      <c r="F948">
        <v>34</v>
      </c>
      <c r="G948">
        <v>39.729999999999997</v>
      </c>
      <c r="H948">
        <v>131.36000000000001</v>
      </c>
      <c r="I948">
        <v>25.47</v>
      </c>
      <c r="J948">
        <v>84.2</v>
      </c>
      <c r="K948">
        <v>2</v>
      </c>
      <c r="T948">
        <v>3</v>
      </c>
      <c r="U948">
        <v>2</v>
      </c>
      <c r="V948" t="s">
        <v>94</v>
      </c>
      <c r="W948">
        <v>131</v>
      </c>
      <c r="X948">
        <v>12</v>
      </c>
      <c r="Y948">
        <v>11</v>
      </c>
      <c r="Z948" t="s">
        <v>1284</v>
      </c>
      <c r="AA948" t="s">
        <v>1285</v>
      </c>
      <c r="AB948" t="s">
        <v>89</v>
      </c>
      <c r="AC948" t="s">
        <v>90</v>
      </c>
      <c r="AD948" t="s">
        <v>91</v>
      </c>
      <c r="AE948" t="s">
        <v>856</v>
      </c>
      <c r="AG948" t="s">
        <v>1286</v>
      </c>
      <c r="AH948">
        <v>0</v>
      </c>
      <c r="AI948">
        <v>536</v>
      </c>
      <c r="AJ948">
        <v>55</v>
      </c>
      <c r="AK948">
        <v>34</v>
      </c>
      <c r="AL948">
        <v>1</v>
      </c>
    </row>
    <row r="949" spans="1:38" x14ac:dyDescent="0.3">
      <c r="A949" t="s">
        <v>852</v>
      </c>
      <c r="B949">
        <v>3016</v>
      </c>
      <c r="C949">
        <v>1</v>
      </c>
      <c r="D949" t="s">
        <v>1287</v>
      </c>
      <c r="E949">
        <v>1992.1</v>
      </c>
      <c r="F949">
        <v>516</v>
      </c>
      <c r="G949">
        <v>36.21</v>
      </c>
      <c r="H949">
        <v>119.71</v>
      </c>
      <c r="I949">
        <v>29.95</v>
      </c>
      <c r="J949">
        <v>99.02</v>
      </c>
      <c r="K949">
        <v>180</v>
      </c>
      <c r="T949">
        <v>3</v>
      </c>
      <c r="U949">
        <v>2</v>
      </c>
      <c r="V949" t="s">
        <v>94</v>
      </c>
      <c r="W949">
        <v>119</v>
      </c>
      <c r="X949">
        <v>20</v>
      </c>
      <c r="Y949">
        <v>15</v>
      </c>
      <c r="Z949" t="s">
        <v>1288</v>
      </c>
      <c r="AA949" t="s">
        <v>1289</v>
      </c>
      <c r="AB949" t="s">
        <v>89</v>
      </c>
      <c r="AC949" t="s">
        <v>90</v>
      </c>
      <c r="AD949" t="s">
        <v>91</v>
      </c>
      <c r="AE949" t="s">
        <v>856</v>
      </c>
      <c r="AG949" t="s">
        <v>1290</v>
      </c>
      <c r="AH949">
        <v>0</v>
      </c>
      <c r="AI949">
        <v>208</v>
      </c>
      <c r="AJ949">
        <v>15</v>
      </c>
      <c r="AK949">
        <v>646</v>
      </c>
      <c r="AL949">
        <v>1.25</v>
      </c>
    </row>
    <row r="950" spans="1:38" x14ac:dyDescent="0.3">
      <c r="A950" t="s">
        <v>852</v>
      </c>
      <c r="B950">
        <v>3016</v>
      </c>
      <c r="C950">
        <v>2</v>
      </c>
      <c r="D950" t="s">
        <v>1287</v>
      </c>
      <c r="E950">
        <v>1992.1</v>
      </c>
      <c r="F950">
        <v>516</v>
      </c>
      <c r="G950">
        <v>45.82</v>
      </c>
      <c r="H950">
        <v>151.47999999999999</v>
      </c>
      <c r="I950">
        <v>38.5</v>
      </c>
      <c r="J950">
        <v>127.29</v>
      </c>
      <c r="K950">
        <v>256</v>
      </c>
      <c r="T950">
        <v>4</v>
      </c>
      <c r="U950">
        <v>2</v>
      </c>
      <c r="V950" t="s">
        <v>94</v>
      </c>
      <c r="W950">
        <v>151</v>
      </c>
      <c r="X950">
        <v>20</v>
      </c>
      <c r="Y950">
        <v>15</v>
      </c>
      <c r="Z950" t="s">
        <v>1288</v>
      </c>
      <c r="AA950" t="s">
        <v>1289</v>
      </c>
      <c r="AB950" t="s">
        <v>89</v>
      </c>
      <c r="AC950" t="s">
        <v>90</v>
      </c>
      <c r="AD950" t="s">
        <v>91</v>
      </c>
      <c r="AE950" t="s">
        <v>856</v>
      </c>
      <c r="AG950" t="s">
        <v>1290</v>
      </c>
      <c r="AH950">
        <v>0</v>
      </c>
      <c r="AI950">
        <v>208</v>
      </c>
      <c r="AJ950">
        <v>15</v>
      </c>
      <c r="AK950">
        <v>646</v>
      </c>
      <c r="AL950">
        <v>1.25</v>
      </c>
    </row>
    <row r="951" spans="1:38" x14ac:dyDescent="0.3">
      <c r="A951" t="s">
        <v>852</v>
      </c>
      <c r="B951">
        <v>3016</v>
      </c>
      <c r="C951">
        <v>3</v>
      </c>
      <c r="D951" t="s">
        <v>1287</v>
      </c>
      <c r="E951">
        <v>1992.1</v>
      </c>
      <c r="F951">
        <v>516</v>
      </c>
      <c r="G951">
        <v>59.12</v>
      </c>
      <c r="H951">
        <v>195.44</v>
      </c>
      <c r="I951">
        <v>49.73</v>
      </c>
      <c r="J951">
        <v>164.4</v>
      </c>
      <c r="K951">
        <v>80</v>
      </c>
      <c r="T951">
        <v>5</v>
      </c>
      <c r="U951">
        <v>2</v>
      </c>
      <c r="V951" t="s">
        <v>94</v>
      </c>
      <c r="W951">
        <v>195</v>
      </c>
      <c r="X951">
        <v>20</v>
      </c>
      <c r="Y951">
        <v>15</v>
      </c>
      <c r="Z951" t="s">
        <v>1288</v>
      </c>
      <c r="AA951" t="s">
        <v>1289</v>
      </c>
      <c r="AB951" t="s">
        <v>89</v>
      </c>
      <c r="AC951" t="s">
        <v>90</v>
      </c>
      <c r="AD951" t="s">
        <v>91</v>
      </c>
      <c r="AE951" t="s">
        <v>856</v>
      </c>
      <c r="AG951" t="s">
        <v>1290</v>
      </c>
      <c r="AH951">
        <v>0</v>
      </c>
      <c r="AI951">
        <v>208</v>
      </c>
      <c r="AJ951">
        <v>15</v>
      </c>
      <c r="AK951">
        <v>646</v>
      </c>
      <c r="AL951">
        <v>1.25</v>
      </c>
    </row>
    <row r="952" spans="1:38" x14ac:dyDescent="0.3">
      <c r="A952" t="s">
        <v>852</v>
      </c>
      <c r="B952">
        <v>125237</v>
      </c>
      <c r="C952">
        <v>1</v>
      </c>
      <c r="D952" t="s">
        <v>1291</v>
      </c>
      <c r="E952">
        <v>2019.02</v>
      </c>
      <c r="F952">
        <v>41</v>
      </c>
      <c r="G952">
        <v>19.850000000000001</v>
      </c>
      <c r="H952">
        <v>65.62</v>
      </c>
      <c r="I952">
        <v>17.2</v>
      </c>
      <c r="J952">
        <v>56.87</v>
      </c>
      <c r="K952">
        <v>7</v>
      </c>
      <c r="T952">
        <v>3</v>
      </c>
      <c r="U952">
        <v>2</v>
      </c>
      <c r="V952" t="s">
        <v>94</v>
      </c>
      <c r="W952" t="s">
        <v>709</v>
      </c>
      <c r="X952">
        <v>11</v>
      </c>
      <c r="Y952">
        <v>8</v>
      </c>
      <c r="Z952" t="s">
        <v>1292</v>
      </c>
      <c r="AA952" t="s">
        <v>1293</v>
      </c>
      <c r="AB952" t="s">
        <v>89</v>
      </c>
      <c r="AC952" t="s">
        <v>90</v>
      </c>
      <c r="AD952" t="s">
        <v>91</v>
      </c>
      <c r="AE952" t="s">
        <v>856</v>
      </c>
      <c r="AG952" t="s">
        <v>1294</v>
      </c>
      <c r="AH952">
        <v>0</v>
      </c>
      <c r="AI952">
        <v>324</v>
      </c>
      <c r="AJ952">
        <v>49</v>
      </c>
      <c r="AK952">
        <v>41</v>
      </c>
      <c r="AL952">
        <v>1</v>
      </c>
    </row>
    <row r="953" spans="1:38" x14ac:dyDescent="0.3">
      <c r="A953" t="s">
        <v>852</v>
      </c>
      <c r="B953">
        <v>125237</v>
      </c>
      <c r="C953">
        <v>2</v>
      </c>
      <c r="D953" t="s">
        <v>1291</v>
      </c>
      <c r="E953">
        <v>2019.02</v>
      </c>
      <c r="F953">
        <v>41</v>
      </c>
      <c r="G953">
        <v>20.25</v>
      </c>
      <c r="H953">
        <v>66.97</v>
      </c>
      <c r="I953">
        <v>17.55</v>
      </c>
      <c r="J953">
        <v>58.04</v>
      </c>
      <c r="K953">
        <v>7</v>
      </c>
      <c r="T953">
        <v>3</v>
      </c>
      <c r="U953">
        <v>2</v>
      </c>
      <c r="V953" t="s">
        <v>94</v>
      </c>
      <c r="W953" t="s">
        <v>600</v>
      </c>
      <c r="X953">
        <v>11</v>
      </c>
      <c r="Y953">
        <v>8</v>
      </c>
      <c r="Z953" t="s">
        <v>1292</v>
      </c>
      <c r="AA953" t="s">
        <v>1293</v>
      </c>
      <c r="AB953" t="s">
        <v>89</v>
      </c>
      <c r="AC953" t="s">
        <v>90</v>
      </c>
      <c r="AD953" t="s">
        <v>91</v>
      </c>
      <c r="AE953" t="s">
        <v>856</v>
      </c>
      <c r="AG953" t="s">
        <v>1294</v>
      </c>
      <c r="AH953">
        <v>0</v>
      </c>
      <c r="AI953">
        <v>324</v>
      </c>
      <c r="AJ953">
        <v>49</v>
      </c>
      <c r="AK953">
        <v>41</v>
      </c>
      <c r="AL953">
        <v>1</v>
      </c>
    </row>
    <row r="954" spans="1:38" x14ac:dyDescent="0.3">
      <c r="A954" t="s">
        <v>852</v>
      </c>
      <c r="B954">
        <v>125237</v>
      </c>
      <c r="C954">
        <v>3</v>
      </c>
      <c r="D954" t="s">
        <v>1291</v>
      </c>
      <c r="E954">
        <v>2019.02</v>
      </c>
      <c r="F954">
        <v>41</v>
      </c>
      <c r="G954">
        <v>20.48</v>
      </c>
      <c r="H954">
        <v>67.73</v>
      </c>
      <c r="I954">
        <v>17.75</v>
      </c>
      <c r="J954">
        <v>58.7</v>
      </c>
      <c r="K954">
        <v>7</v>
      </c>
      <c r="T954">
        <v>3</v>
      </c>
      <c r="U954">
        <v>2</v>
      </c>
      <c r="V954" t="s">
        <v>94</v>
      </c>
      <c r="W954" t="s">
        <v>956</v>
      </c>
      <c r="X954">
        <v>11</v>
      </c>
      <c r="Y954">
        <v>8</v>
      </c>
      <c r="Z954" t="s">
        <v>1292</v>
      </c>
      <c r="AA954" t="s">
        <v>1293</v>
      </c>
      <c r="AB954" t="s">
        <v>89</v>
      </c>
      <c r="AC954" t="s">
        <v>90</v>
      </c>
      <c r="AD954" t="s">
        <v>91</v>
      </c>
      <c r="AE954" t="s">
        <v>856</v>
      </c>
      <c r="AG954" t="s">
        <v>1294</v>
      </c>
      <c r="AH954">
        <v>0</v>
      </c>
      <c r="AI954">
        <v>324</v>
      </c>
      <c r="AJ954">
        <v>49</v>
      </c>
      <c r="AK954">
        <v>41</v>
      </c>
      <c r="AL954">
        <v>1</v>
      </c>
    </row>
    <row r="955" spans="1:38" x14ac:dyDescent="0.3">
      <c r="A955" t="s">
        <v>852</v>
      </c>
      <c r="B955">
        <v>125237</v>
      </c>
      <c r="C955">
        <v>4</v>
      </c>
      <c r="D955" t="s">
        <v>1291</v>
      </c>
      <c r="E955">
        <v>2019.02</v>
      </c>
      <c r="F955">
        <v>41</v>
      </c>
      <c r="G955">
        <v>21.91</v>
      </c>
      <c r="H955">
        <v>72.45</v>
      </c>
      <c r="I955">
        <v>18.670000000000002</v>
      </c>
      <c r="J955">
        <v>61.74</v>
      </c>
      <c r="K955">
        <v>10</v>
      </c>
      <c r="T955">
        <v>3</v>
      </c>
      <c r="U955">
        <v>2</v>
      </c>
      <c r="V955" t="s">
        <v>94</v>
      </c>
      <c r="W955" t="s">
        <v>96</v>
      </c>
      <c r="X955">
        <v>11</v>
      </c>
      <c r="Y955">
        <v>8</v>
      </c>
      <c r="Z955" t="s">
        <v>1292</v>
      </c>
      <c r="AA955" t="s">
        <v>1293</v>
      </c>
      <c r="AB955" t="s">
        <v>89</v>
      </c>
      <c r="AC955" t="s">
        <v>90</v>
      </c>
      <c r="AD955" t="s">
        <v>91</v>
      </c>
      <c r="AE955" t="s">
        <v>856</v>
      </c>
      <c r="AG955" t="s">
        <v>1294</v>
      </c>
      <c r="AH955">
        <v>0</v>
      </c>
      <c r="AI955">
        <v>324</v>
      </c>
      <c r="AJ955">
        <v>49</v>
      </c>
      <c r="AK955">
        <v>41</v>
      </c>
      <c r="AL955">
        <v>1</v>
      </c>
    </row>
    <row r="956" spans="1:38" x14ac:dyDescent="0.3">
      <c r="A956" t="s">
        <v>852</v>
      </c>
      <c r="B956">
        <v>125237</v>
      </c>
      <c r="C956">
        <v>5</v>
      </c>
      <c r="D956" t="s">
        <v>1291</v>
      </c>
      <c r="E956">
        <v>2019.02</v>
      </c>
      <c r="F956">
        <v>41</v>
      </c>
      <c r="G956">
        <v>23.53</v>
      </c>
      <c r="H956">
        <v>77.81</v>
      </c>
      <c r="I956">
        <v>20.05</v>
      </c>
      <c r="J956">
        <v>66.31</v>
      </c>
      <c r="K956">
        <v>10</v>
      </c>
      <c r="T956">
        <v>3</v>
      </c>
      <c r="U956">
        <v>2</v>
      </c>
      <c r="V956" t="s">
        <v>94</v>
      </c>
      <c r="W956" t="s">
        <v>974</v>
      </c>
      <c r="X956">
        <v>11</v>
      </c>
      <c r="Y956">
        <v>8</v>
      </c>
      <c r="Z956" t="s">
        <v>1292</v>
      </c>
      <c r="AA956" t="s">
        <v>1293</v>
      </c>
      <c r="AB956" t="s">
        <v>89</v>
      </c>
      <c r="AC956" t="s">
        <v>90</v>
      </c>
      <c r="AD956" t="s">
        <v>91</v>
      </c>
      <c r="AE956" t="s">
        <v>856</v>
      </c>
      <c r="AG956" t="s">
        <v>1294</v>
      </c>
      <c r="AH956">
        <v>0</v>
      </c>
      <c r="AI956">
        <v>324</v>
      </c>
      <c r="AJ956">
        <v>49</v>
      </c>
      <c r="AK956">
        <v>41</v>
      </c>
      <c r="AL956">
        <v>1</v>
      </c>
    </row>
    <row r="957" spans="1:38" x14ac:dyDescent="0.3">
      <c r="A957" t="s">
        <v>852</v>
      </c>
      <c r="B957">
        <v>1473</v>
      </c>
      <c r="C957">
        <v>1</v>
      </c>
      <c r="D957" t="s">
        <v>1295</v>
      </c>
      <c r="E957">
        <v>1992.09</v>
      </c>
      <c r="F957">
        <v>321</v>
      </c>
      <c r="G957">
        <v>22.65</v>
      </c>
      <c r="H957">
        <v>74.900000000000006</v>
      </c>
      <c r="I957">
        <v>17.16</v>
      </c>
      <c r="J957">
        <v>56.76</v>
      </c>
      <c r="K957">
        <v>75</v>
      </c>
      <c r="T957">
        <v>2</v>
      </c>
      <c r="U957">
        <v>1</v>
      </c>
      <c r="V957" t="s">
        <v>128</v>
      </c>
      <c r="W957">
        <v>74</v>
      </c>
      <c r="X957">
        <v>15</v>
      </c>
      <c r="Y957">
        <v>9</v>
      </c>
      <c r="Z957" t="s">
        <v>1296</v>
      </c>
      <c r="AA957" t="s">
        <v>1297</v>
      </c>
      <c r="AB957" t="s">
        <v>89</v>
      </c>
      <c r="AC957" t="s">
        <v>90</v>
      </c>
      <c r="AD957" t="s">
        <v>91</v>
      </c>
      <c r="AE957" t="s">
        <v>856</v>
      </c>
      <c r="AG957" t="s">
        <v>1298</v>
      </c>
      <c r="AH957">
        <v>0</v>
      </c>
      <c r="AI957">
        <v>211</v>
      </c>
      <c r="AJ957">
        <v>97</v>
      </c>
      <c r="AK957">
        <v>169</v>
      </c>
      <c r="AL957">
        <v>0.53</v>
      </c>
    </row>
    <row r="958" spans="1:38" x14ac:dyDescent="0.3">
      <c r="A958" t="s">
        <v>852</v>
      </c>
      <c r="B958">
        <v>1473</v>
      </c>
      <c r="C958">
        <v>2</v>
      </c>
      <c r="D958" t="s">
        <v>1295</v>
      </c>
      <c r="E958">
        <v>1992.09</v>
      </c>
      <c r="F958">
        <v>321</v>
      </c>
      <c r="G958">
        <v>31.38</v>
      </c>
      <c r="H958">
        <v>103.74</v>
      </c>
      <c r="I958">
        <v>25.6</v>
      </c>
      <c r="J958">
        <v>84.63</v>
      </c>
      <c r="K958">
        <v>246</v>
      </c>
      <c r="T958">
        <v>3</v>
      </c>
      <c r="U958">
        <v>2</v>
      </c>
      <c r="V958" t="s">
        <v>94</v>
      </c>
      <c r="W958">
        <v>103</v>
      </c>
      <c r="X958">
        <v>15</v>
      </c>
      <c r="Y958">
        <v>9</v>
      </c>
      <c r="Z958" t="s">
        <v>1296</v>
      </c>
      <c r="AA958" t="s">
        <v>1297</v>
      </c>
      <c r="AB958" t="s">
        <v>89</v>
      </c>
      <c r="AC958" t="s">
        <v>90</v>
      </c>
      <c r="AD958" t="s">
        <v>91</v>
      </c>
      <c r="AE958" t="s">
        <v>856</v>
      </c>
      <c r="AG958" t="s">
        <v>1298</v>
      </c>
      <c r="AH958">
        <v>0</v>
      </c>
      <c r="AI958">
        <v>211</v>
      </c>
      <c r="AJ958">
        <v>97</v>
      </c>
      <c r="AK958">
        <v>169</v>
      </c>
      <c r="AL958">
        <v>0.53</v>
      </c>
    </row>
    <row r="959" spans="1:38" x14ac:dyDescent="0.3">
      <c r="A959" t="s">
        <v>852</v>
      </c>
      <c r="B959">
        <v>17511</v>
      </c>
      <c r="C959">
        <v>1</v>
      </c>
      <c r="D959" t="s">
        <v>1299</v>
      </c>
      <c r="E959">
        <v>2006.08</v>
      </c>
      <c r="F959">
        <v>70</v>
      </c>
      <c r="G959">
        <v>33.39</v>
      </c>
      <c r="H959">
        <v>110.41</v>
      </c>
      <c r="I959">
        <v>25.17</v>
      </c>
      <c r="J959">
        <v>83.23</v>
      </c>
      <c r="K959">
        <v>2</v>
      </c>
      <c r="T959">
        <v>3</v>
      </c>
      <c r="U959">
        <v>2</v>
      </c>
      <c r="V959" t="s">
        <v>94</v>
      </c>
      <c r="W959">
        <v>110</v>
      </c>
      <c r="X959">
        <v>19</v>
      </c>
      <c r="Y959">
        <v>19</v>
      </c>
      <c r="Z959" t="s">
        <v>1300</v>
      </c>
      <c r="AA959" t="s">
        <v>1301</v>
      </c>
      <c r="AB959" t="s">
        <v>89</v>
      </c>
      <c r="AC959" t="s">
        <v>90</v>
      </c>
      <c r="AD959" t="s">
        <v>91</v>
      </c>
      <c r="AE959" t="s">
        <v>856</v>
      </c>
      <c r="AG959" t="s">
        <v>1302</v>
      </c>
      <c r="AH959">
        <v>0</v>
      </c>
      <c r="AI959">
        <v>541</v>
      </c>
      <c r="AJ959">
        <v>54</v>
      </c>
      <c r="AK959">
        <v>114</v>
      </c>
      <c r="AL959">
        <v>1.63</v>
      </c>
    </row>
    <row r="960" spans="1:38" x14ac:dyDescent="0.3">
      <c r="A960" t="s">
        <v>852</v>
      </c>
      <c r="B960">
        <v>17511</v>
      </c>
      <c r="C960">
        <v>2</v>
      </c>
      <c r="D960" t="s">
        <v>1299</v>
      </c>
      <c r="E960">
        <v>2006.08</v>
      </c>
      <c r="F960">
        <v>70</v>
      </c>
      <c r="G960">
        <v>34.520000000000003</v>
      </c>
      <c r="H960">
        <v>114.14</v>
      </c>
      <c r="I960">
        <v>25.58</v>
      </c>
      <c r="J960">
        <v>84.58</v>
      </c>
      <c r="K960">
        <v>26</v>
      </c>
      <c r="T960">
        <v>3</v>
      </c>
      <c r="U960">
        <v>2</v>
      </c>
      <c r="V960" t="s">
        <v>94</v>
      </c>
      <c r="W960">
        <v>114</v>
      </c>
      <c r="X960">
        <v>19</v>
      </c>
      <c r="Y960">
        <v>19</v>
      </c>
      <c r="Z960" t="s">
        <v>1300</v>
      </c>
      <c r="AA960" t="s">
        <v>1301</v>
      </c>
      <c r="AB960" t="s">
        <v>89</v>
      </c>
      <c r="AC960" t="s">
        <v>90</v>
      </c>
      <c r="AD960" t="s">
        <v>91</v>
      </c>
      <c r="AE960" t="s">
        <v>856</v>
      </c>
      <c r="AG960" t="s">
        <v>1302</v>
      </c>
      <c r="AH960">
        <v>0</v>
      </c>
      <c r="AI960">
        <v>541</v>
      </c>
      <c r="AJ960">
        <v>54</v>
      </c>
      <c r="AK960">
        <v>114</v>
      </c>
      <c r="AL960">
        <v>1.63</v>
      </c>
    </row>
    <row r="961" spans="1:38" x14ac:dyDescent="0.3">
      <c r="A961" t="s">
        <v>852</v>
      </c>
      <c r="B961">
        <v>17511</v>
      </c>
      <c r="C961">
        <v>3</v>
      </c>
      <c r="D961" t="s">
        <v>1299</v>
      </c>
      <c r="E961">
        <v>2006.08</v>
      </c>
      <c r="F961">
        <v>70</v>
      </c>
      <c r="G961">
        <v>40.76</v>
      </c>
      <c r="H961">
        <v>134.76</v>
      </c>
      <c r="I961">
        <v>30.73</v>
      </c>
      <c r="J961">
        <v>101.59</v>
      </c>
      <c r="K961">
        <v>1</v>
      </c>
      <c r="T961">
        <v>4</v>
      </c>
      <c r="U961">
        <v>2</v>
      </c>
      <c r="V961" t="s">
        <v>94</v>
      </c>
      <c r="W961">
        <v>134</v>
      </c>
      <c r="X961">
        <v>19</v>
      </c>
      <c r="Y961">
        <v>19</v>
      </c>
      <c r="Z961" t="s">
        <v>1300</v>
      </c>
      <c r="AA961" t="s">
        <v>1301</v>
      </c>
      <c r="AB961" t="s">
        <v>89</v>
      </c>
      <c r="AC961" t="s">
        <v>90</v>
      </c>
      <c r="AD961" t="s">
        <v>91</v>
      </c>
      <c r="AE961" t="s">
        <v>856</v>
      </c>
      <c r="AG961" t="s">
        <v>1302</v>
      </c>
      <c r="AH961">
        <v>0</v>
      </c>
      <c r="AI961">
        <v>541</v>
      </c>
      <c r="AJ961">
        <v>54</v>
      </c>
      <c r="AK961">
        <v>114</v>
      </c>
      <c r="AL961">
        <v>1.63</v>
      </c>
    </row>
    <row r="962" spans="1:38" x14ac:dyDescent="0.3">
      <c r="A962" t="s">
        <v>852</v>
      </c>
      <c r="B962">
        <v>17511</v>
      </c>
      <c r="C962">
        <v>4</v>
      </c>
      <c r="D962" t="s">
        <v>1299</v>
      </c>
      <c r="E962">
        <v>2006.08</v>
      </c>
      <c r="F962">
        <v>70</v>
      </c>
      <c r="G962">
        <v>43.39</v>
      </c>
      <c r="H962">
        <v>143.44999999999999</v>
      </c>
      <c r="I962">
        <v>32.71</v>
      </c>
      <c r="J962">
        <v>108.14</v>
      </c>
      <c r="K962">
        <v>13</v>
      </c>
      <c r="T962">
        <v>4</v>
      </c>
      <c r="U962">
        <v>2</v>
      </c>
      <c r="V962" t="s">
        <v>94</v>
      </c>
      <c r="W962">
        <v>143</v>
      </c>
      <c r="X962">
        <v>19</v>
      </c>
      <c r="Y962">
        <v>19</v>
      </c>
      <c r="Z962" t="s">
        <v>1300</v>
      </c>
      <c r="AA962" t="s">
        <v>1301</v>
      </c>
      <c r="AB962" t="s">
        <v>89</v>
      </c>
      <c r="AC962" t="s">
        <v>90</v>
      </c>
      <c r="AD962" t="s">
        <v>91</v>
      </c>
      <c r="AE962" t="s">
        <v>856</v>
      </c>
      <c r="AG962" t="s">
        <v>1302</v>
      </c>
      <c r="AH962">
        <v>0</v>
      </c>
      <c r="AI962">
        <v>541</v>
      </c>
      <c r="AJ962">
        <v>54</v>
      </c>
      <c r="AK962">
        <v>114</v>
      </c>
      <c r="AL962">
        <v>1.63</v>
      </c>
    </row>
    <row r="963" spans="1:38" x14ac:dyDescent="0.3">
      <c r="A963" t="s">
        <v>852</v>
      </c>
      <c r="B963">
        <v>17511</v>
      </c>
      <c r="C963">
        <v>5</v>
      </c>
      <c r="D963" t="s">
        <v>1299</v>
      </c>
      <c r="E963">
        <v>2006.08</v>
      </c>
      <c r="F963">
        <v>70</v>
      </c>
      <c r="G963">
        <v>47.67</v>
      </c>
      <c r="H963">
        <v>157.6</v>
      </c>
      <c r="I963">
        <v>35.94</v>
      </c>
      <c r="J963">
        <v>118.81</v>
      </c>
      <c r="K963">
        <v>28</v>
      </c>
      <c r="T963">
        <v>4</v>
      </c>
      <c r="U963">
        <v>2</v>
      </c>
      <c r="V963" t="s">
        <v>94</v>
      </c>
      <c r="W963">
        <v>157</v>
      </c>
      <c r="X963">
        <v>19</v>
      </c>
      <c r="Y963">
        <v>19</v>
      </c>
      <c r="Z963" t="s">
        <v>1300</v>
      </c>
      <c r="AA963" t="s">
        <v>1301</v>
      </c>
      <c r="AB963" t="s">
        <v>89</v>
      </c>
      <c r="AC963" t="s">
        <v>90</v>
      </c>
      <c r="AD963" t="s">
        <v>91</v>
      </c>
      <c r="AE963" t="s">
        <v>856</v>
      </c>
      <c r="AG963" t="s">
        <v>1302</v>
      </c>
      <c r="AH963">
        <v>0</v>
      </c>
      <c r="AI963">
        <v>541</v>
      </c>
      <c r="AJ963">
        <v>54</v>
      </c>
      <c r="AK963">
        <v>114</v>
      </c>
      <c r="AL963">
        <v>1.63</v>
      </c>
    </row>
    <row r="964" spans="1:38" x14ac:dyDescent="0.3">
      <c r="A964" t="s">
        <v>852</v>
      </c>
      <c r="B964">
        <v>19492</v>
      </c>
      <c r="C964">
        <v>1</v>
      </c>
      <c r="D964" t="s">
        <v>1303</v>
      </c>
      <c r="E964">
        <v>1992.12</v>
      </c>
      <c r="F964">
        <v>800</v>
      </c>
      <c r="G964">
        <v>23.82</v>
      </c>
      <c r="H964">
        <v>78.760000000000005</v>
      </c>
      <c r="I964">
        <v>17.96</v>
      </c>
      <c r="J964">
        <v>59.4</v>
      </c>
      <c r="K964">
        <v>100</v>
      </c>
      <c r="T964">
        <v>3</v>
      </c>
      <c r="U964">
        <v>1</v>
      </c>
      <c r="V964" t="s">
        <v>128</v>
      </c>
      <c r="W964" t="s">
        <v>343</v>
      </c>
      <c r="X964">
        <v>22</v>
      </c>
      <c r="Y964">
        <v>10</v>
      </c>
      <c r="Z964" t="s">
        <v>1304</v>
      </c>
      <c r="AA964" t="s">
        <v>1305</v>
      </c>
      <c r="AB964" t="s">
        <v>89</v>
      </c>
      <c r="AC964" t="s">
        <v>90</v>
      </c>
      <c r="AD964" t="s">
        <v>91</v>
      </c>
      <c r="AE964" t="s">
        <v>856</v>
      </c>
      <c r="AG964" t="s">
        <v>1306</v>
      </c>
      <c r="AH964">
        <v>0</v>
      </c>
      <c r="AI964">
        <v>219</v>
      </c>
      <c r="AJ964">
        <v>17</v>
      </c>
      <c r="AK964">
        <v>642</v>
      </c>
      <c r="AL964">
        <v>0.8</v>
      </c>
    </row>
    <row r="965" spans="1:38" x14ac:dyDescent="0.3">
      <c r="A965" t="s">
        <v>852</v>
      </c>
      <c r="B965">
        <v>19492</v>
      </c>
      <c r="C965">
        <v>2</v>
      </c>
      <c r="D965" t="s">
        <v>1303</v>
      </c>
      <c r="E965">
        <v>1992.12</v>
      </c>
      <c r="F965">
        <v>800</v>
      </c>
      <c r="G965">
        <v>24</v>
      </c>
      <c r="H965">
        <v>79.36</v>
      </c>
      <c r="I965">
        <v>18.07</v>
      </c>
      <c r="J965">
        <v>59.76</v>
      </c>
      <c r="K965">
        <v>100</v>
      </c>
      <c r="T965">
        <v>3</v>
      </c>
      <c r="U965">
        <v>1</v>
      </c>
      <c r="V965" t="s">
        <v>94</v>
      </c>
      <c r="W965" t="s">
        <v>163</v>
      </c>
      <c r="X965">
        <v>22</v>
      </c>
      <c r="Y965">
        <v>10</v>
      </c>
      <c r="Z965" t="s">
        <v>1304</v>
      </c>
      <c r="AA965" t="s">
        <v>1305</v>
      </c>
      <c r="AB965" t="s">
        <v>89</v>
      </c>
      <c r="AC965" t="s">
        <v>90</v>
      </c>
      <c r="AD965" t="s">
        <v>91</v>
      </c>
      <c r="AE965" t="s">
        <v>856</v>
      </c>
      <c r="AG965" t="s">
        <v>1306</v>
      </c>
      <c r="AH965">
        <v>0</v>
      </c>
      <c r="AI965">
        <v>219</v>
      </c>
      <c r="AJ965">
        <v>17</v>
      </c>
      <c r="AK965">
        <v>642</v>
      </c>
      <c r="AL965">
        <v>0.8</v>
      </c>
    </row>
    <row r="966" spans="1:38" x14ac:dyDescent="0.3">
      <c r="A966" t="s">
        <v>852</v>
      </c>
      <c r="B966">
        <v>19492</v>
      </c>
      <c r="C966">
        <v>3</v>
      </c>
      <c r="D966" t="s">
        <v>1303</v>
      </c>
      <c r="E966">
        <v>1992.12</v>
      </c>
      <c r="F966">
        <v>800</v>
      </c>
      <c r="G966">
        <v>30.34</v>
      </c>
      <c r="H966">
        <v>100.3</v>
      </c>
      <c r="I966">
        <v>23.91</v>
      </c>
      <c r="J966">
        <v>79.05</v>
      </c>
      <c r="K966">
        <v>8</v>
      </c>
      <c r="T966">
        <v>3</v>
      </c>
      <c r="U966">
        <v>2</v>
      </c>
      <c r="V966" t="s">
        <v>94</v>
      </c>
      <c r="W966">
        <v>100</v>
      </c>
      <c r="X966">
        <v>22</v>
      </c>
      <c r="Y966">
        <v>10</v>
      </c>
      <c r="Z966" t="s">
        <v>1304</v>
      </c>
      <c r="AA966" t="s">
        <v>1305</v>
      </c>
      <c r="AB966" t="s">
        <v>89</v>
      </c>
      <c r="AC966" t="s">
        <v>90</v>
      </c>
      <c r="AD966" t="s">
        <v>91</v>
      </c>
      <c r="AE966" t="s">
        <v>856</v>
      </c>
      <c r="AG966" t="s">
        <v>1306</v>
      </c>
      <c r="AH966">
        <v>0</v>
      </c>
      <c r="AI966">
        <v>219</v>
      </c>
      <c r="AJ966">
        <v>17</v>
      </c>
      <c r="AK966">
        <v>642</v>
      </c>
      <c r="AL966">
        <v>0.8</v>
      </c>
    </row>
    <row r="967" spans="1:38" x14ac:dyDescent="0.3">
      <c r="A967" t="s">
        <v>852</v>
      </c>
      <c r="B967">
        <v>19492</v>
      </c>
      <c r="C967">
        <v>4</v>
      </c>
      <c r="D967" t="s">
        <v>1303</v>
      </c>
      <c r="E967">
        <v>1992.12</v>
      </c>
      <c r="F967">
        <v>800</v>
      </c>
      <c r="G967">
        <v>32.520000000000003</v>
      </c>
      <c r="H967">
        <v>107.51</v>
      </c>
      <c r="I967">
        <v>25.56</v>
      </c>
      <c r="J967">
        <v>84.51</v>
      </c>
      <c r="K967">
        <v>300</v>
      </c>
      <c r="T967">
        <v>3</v>
      </c>
      <c r="U967">
        <v>2</v>
      </c>
      <c r="V967" t="s">
        <v>94</v>
      </c>
      <c r="W967" t="s">
        <v>428</v>
      </c>
      <c r="X967">
        <v>22</v>
      </c>
      <c r="Y967">
        <v>10</v>
      </c>
      <c r="Z967" t="s">
        <v>1304</v>
      </c>
      <c r="AA967" t="s">
        <v>1305</v>
      </c>
      <c r="AB967" t="s">
        <v>89</v>
      </c>
      <c r="AC967" t="s">
        <v>90</v>
      </c>
      <c r="AD967" t="s">
        <v>91</v>
      </c>
      <c r="AE967" t="s">
        <v>856</v>
      </c>
      <c r="AG967" t="s">
        <v>1306</v>
      </c>
      <c r="AH967">
        <v>0</v>
      </c>
      <c r="AI967">
        <v>219</v>
      </c>
      <c r="AJ967">
        <v>17</v>
      </c>
      <c r="AK967">
        <v>642</v>
      </c>
      <c r="AL967">
        <v>0.8</v>
      </c>
    </row>
    <row r="968" spans="1:38" x14ac:dyDescent="0.3">
      <c r="A968" t="s">
        <v>852</v>
      </c>
      <c r="B968">
        <v>19492</v>
      </c>
      <c r="C968">
        <v>5</v>
      </c>
      <c r="D968" t="s">
        <v>1303</v>
      </c>
      <c r="E968">
        <v>1992.12</v>
      </c>
      <c r="F968">
        <v>800</v>
      </c>
      <c r="G968">
        <v>32.58</v>
      </c>
      <c r="H968">
        <v>107.72</v>
      </c>
      <c r="I968">
        <v>25.68</v>
      </c>
      <c r="J968">
        <v>84.9</v>
      </c>
      <c r="K968">
        <v>292</v>
      </c>
      <c r="T968">
        <v>3</v>
      </c>
      <c r="U968">
        <v>2</v>
      </c>
      <c r="V968" t="s">
        <v>94</v>
      </c>
      <c r="W968" t="s">
        <v>427</v>
      </c>
      <c r="X968">
        <v>22</v>
      </c>
      <c r="Y968">
        <v>10</v>
      </c>
      <c r="Z968" t="s">
        <v>1304</v>
      </c>
      <c r="AA968" t="s">
        <v>1305</v>
      </c>
      <c r="AB968" t="s">
        <v>89</v>
      </c>
      <c r="AC968" t="s">
        <v>90</v>
      </c>
      <c r="AD968" t="s">
        <v>91</v>
      </c>
      <c r="AE968" t="s">
        <v>856</v>
      </c>
      <c r="AG968" t="s">
        <v>1306</v>
      </c>
      <c r="AH968">
        <v>0</v>
      </c>
      <c r="AI968">
        <v>219</v>
      </c>
      <c r="AJ968">
        <v>17</v>
      </c>
      <c r="AK968">
        <v>642</v>
      </c>
      <c r="AL968">
        <v>0.8</v>
      </c>
    </row>
    <row r="969" spans="1:38" x14ac:dyDescent="0.3">
      <c r="A969" t="s">
        <v>852</v>
      </c>
      <c r="B969">
        <v>1444</v>
      </c>
      <c r="C969">
        <v>1</v>
      </c>
      <c r="D969" t="s">
        <v>1307</v>
      </c>
      <c r="E969">
        <v>1992.12</v>
      </c>
      <c r="F969">
        <v>390</v>
      </c>
      <c r="G969">
        <v>33.28</v>
      </c>
      <c r="H969">
        <v>110.03</v>
      </c>
      <c r="I969">
        <v>27.56</v>
      </c>
      <c r="J969">
        <v>91.14</v>
      </c>
      <c r="K969">
        <v>114</v>
      </c>
      <c r="T969">
        <v>3</v>
      </c>
      <c r="U969">
        <v>2</v>
      </c>
      <c r="V969" t="s">
        <v>94</v>
      </c>
      <c r="W969">
        <v>110</v>
      </c>
      <c r="X969">
        <v>24</v>
      </c>
      <c r="Y969">
        <v>15</v>
      </c>
      <c r="Z969" t="s">
        <v>1308</v>
      </c>
      <c r="AA969" t="s">
        <v>1309</v>
      </c>
      <c r="AB969" t="s">
        <v>89</v>
      </c>
      <c r="AC969" t="s">
        <v>90</v>
      </c>
      <c r="AD969" t="s">
        <v>91</v>
      </c>
      <c r="AE969" t="s">
        <v>856</v>
      </c>
      <c r="AG969" t="s">
        <v>1310</v>
      </c>
      <c r="AH969">
        <v>0</v>
      </c>
      <c r="AI969">
        <v>206</v>
      </c>
      <c r="AJ969">
        <v>13</v>
      </c>
      <c r="AK969">
        <v>549</v>
      </c>
      <c r="AL969">
        <v>1.41</v>
      </c>
    </row>
    <row r="970" spans="1:38" x14ac:dyDescent="0.3">
      <c r="A970" t="s">
        <v>852</v>
      </c>
      <c r="B970">
        <v>1444</v>
      </c>
      <c r="C970">
        <v>2</v>
      </c>
      <c r="D970" t="s">
        <v>1307</v>
      </c>
      <c r="E970">
        <v>1992.12</v>
      </c>
      <c r="F970">
        <v>390</v>
      </c>
      <c r="G970">
        <v>41.88</v>
      </c>
      <c r="H970">
        <v>138.47</v>
      </c>
      <c r="I970">
        <v>35.97</v>
      </c>
      <c r="J970">
        <v>118.92</v>
      </c>
      <c r="K970">
        <v>180</v>
      </c>
      <c r="T970">
        <v>4</v>
      </c>
      <c r="U970">
        <v>2</v>
      </c>
      <c r="V970" t="s">
        <v>94</v>
      </c>
      <c r="W970">
        <v>138</v>
      </c>
      <c r="X970">
        <v>24</v>
      </c>
      <c r="Y970">
        <v>15</v>
      </c>
      <c r="Z970" t="s">
        <v>1308</v>
      </c>
      <c r="AA970" t="s">
        <v>1309</v>
      </c>
      <c r="AB970" t="s">
        <v>89</v>
      </c>
      <c r="AC970" t="s">
        <v>90</v>
      </c>
      <c r="AD970" t="s">
        <v>91</v>
      </c>
      <c r="AE970" t="s">
        <v>856</v>
      </c>
      <c r="AG970" t="s">
        <v>1310</v>
      </c>
      <c r="AH970">
        <v>0</v>
      </c>
      <c r="AI970">
        <v>206</v>
      </c>
      <c r="AJ970">
        <v>13</v>
      </c>
      <c r="AK970">
        <v>549</v>
      </c>
      <c r="AL970">
        <v>1.41</v>
      </c>
    </row>
    <row r="971" spans="1:38" x14ac:dyDescent="0.3">
      <c r="A971" t="s">
        <v>852</v>
      </c>
      <c r="B971">
        <v>1444</v>
      </c>
      <c r="C971">
        <v>3</v>
      </c>
      <c r="D971" t="s">
        <v>1307</v>
      </c>
      <c r="E971">
        <v>1992.12</v>
      </c>
      <c r="F971">
        <v>390</v>
      </c>
      <c r="G971">
        <v>58.01</v>
      </c>
      <c r="H971">
        <v>191.8</v>
      </c>
      <c r="I971">
        <v>50.01</v>
      </c>
      <c r="J971">
        <v>165.33</v>
      </c>
      <c r="K971">
        <v>96</v>
      </c>
      <c r="T971">
        <v>5</v>
      </c>
      <c r="U971">
        <v>2</v>
      </c>
      <c r="V971" t="s">
        <v>94</v>
      </c>
      <c r="W971">
        <v>191</v>
      </c>
      <c r="X971">
        <v>24</v>
      </c>
      <c r="Y971">
        <v>15</v>
      </c>
      <c r="Z971" t="s">
        <v>1308</v>
      </c>
      <c r="AA971" t="s">
        <v>1309</v>
      </c>
      <c r="AB971" t="s">
        <v>89</v>
      </c>
      <c r="AC971" t="s">
        <v>90</v>
      </c>
      <c r="AD971" t="s">
        <v>91</v>
      </c>
      <c r="AE971" t="s">
        <v>856</v>
      </c>
      <c r="AG971" t="s">
        <v>1310</v>
      </c>
      <c r="AH971">
        <v>0</v>
      </c>
      <c r="AI971">
        <v>206</v>
      </c>
      <c r="AJ971">
        <v>13</v>
      </c>
      <c r="AK971">
        <v>549</v>
      </c>
      <c r="AL971">
        <v>1.41</v>
      </c>
    </row>
    <row r="972" spans="1:38" x14ac:dyDescent="0.3">
      <c r="A972" t="s">
        <v>852</v>
      </c>
      <c r="B972">
        <v>2033</v>
      </c>
      <c r="C972">
        <v>1</v>
      </c>
      <c r="D972" t="s">
        <v>1311</v>
      </c>
      <c r="E972">
        <v>1992.12</v>
      </c>
      <c r="F972">
        <v>794</v>
      </c>
      <c r="G972">
        <v>30.53</v>
      </c>
      <c r="H972">
        <v>100.94</v>
      </c>
      <c r="I972">
        <v>25.64</v>
      </c>
      <c r="J972">
        <v>84.79</v>
      </c>
      <c r="K972">
        <v>450</v>
      </c>
      <c r="T972">
        <v>3</v>
      </c>
      <c r="U972">
        <v>2</v>
      </c>
      <c r="V972" t="s">
        <v>94</v>
      </c>
      <c r="W972" t="s">
        <v>579</v>
      </c>
      <c r="X972">
        <v>15</v>
      </c>
      <c r="Y972">
        <v>10</v>
      </c>
      <c r="Z972" t="s">
        <v>1312</v>
      </c>
      <c r="AA972" t="s">
        <v>1313</v>
      </c>
      <c r="AB972" t="s">
        <v>89</v>
      </c>
      <c r="AC972" t="s">
        <v>90</v>
      </c>
      <c r="AD972" t="s">
        <v>91</v>
      </c>
      <c r="AE972" t="s">
        <v>856</v>
      </c>
      <c r="AG972" t="s">
        <v>1314</v>
      </c>
      <c r="AH972">
        <v>0</v>
      </c>
      <c r="AI972">
        <v>214</v>
      </c>
      <c r="AJ972">
        <v>17</v>
      </c>
      <c r="AK972">
        <v>497</v>
      </c>
      <c r="AL972">
        <v>0.63</v>
      </c>
    </row>
    <row r="973" spans="1:38" x14ac:dyDescent="0.3">
      <c r="A973" t="s">
        <v>852</v>
      </c>
      <c r="B973">
        <v>2033</v>
      </c>
      <c r="C973">
        <v>2</v>
      </c>
      <c r="D973" t="s">
        <v>1311</v>
      </c>
      <c r="E973">
        <v>1992.12</v>
      </c>
      <c r="F973">
        <v>794</v>
      </c>
      <c r="G973">
        <v>31.4</v>
      </c>
      <c r="H973">
        <v>103.81</v>
      </c>
      <c r="I973">
        <v>25.64</v>
      </c>
      <c r="J973">
        <v>84.79</v>
      </c>
      <c r="K973">
        <v>104</v>
      </c>
      <c r="T973">
        <v>3</v>
      </c>
      <c r="U973">
        <v>2</v>
      </c>
      <c r="V973" t="s">
        <v>94</v>
      </c>
      <c r="W973" t="s">
        <v>1315</v>
      </c>
      <c r="X973">
        <v>15</v>
      </c>
      <c r="Y973">
        <v>10</v>
      </c>
      <c r="Z973" t="s">
        <v>1312</v>
      </c>
      <c r="AA973" t="s">
        <v>1313</v>
      </c>
      <c r="AB973" t="s">
        <v>89</v>
      </c>
      <c r="AC973" t="s">
        <v>90</v>
      </c>
      <c r="AD973" t="s">
        <v>91</v>
      </c>
      <c r="AE973" t="s">
        <v>856</v>
      </c>
      <c r="AG973" t="s">
        <v>1314</v>
      </c>
      <c r="AH973">
        <v>0</v>
      </c>
      <c r="AI973">
        <v>214</v>
      </c>
      <c r="AJ973">
        <v>17</v>
      </c>
      <c r="AK973">
        <v>497</v>
      </c>
      <c r="AL973">
        <v>0.63</v>
      </c>
    </row>
    <row r="974" spans="1:38" x14ac:dyDescent="0.3">
      <c r="A974" t="s">
        <v>852</v>
      </c>
      <c r="B974">
        <v>2033</v>
      </c>
      <c r="C974">
        <v>3</v>
      </c>
      <c r="D974" t="s">
        <v>1311</v>
      </c>
      <c r="E974">
        <v>1992.12</v>
      </c>
      <c r="F974">
        <v>794</v>
      </c>
      <c r="G974">
        <v>45.01</v>
      </c>
      <c r="H974">
        <v>148.81</v>
      </c>
      <c r="I974">
        <v>38.58</v>
      </c>
      <c r="J974">
        <v>127.57</v>
      </c>
      <c r="K974">
        <v>240</v>
      </c>
      <c r="T974">
        <v>4</v>
      </c>
      <c r="U974">
        <v>2</v>
      </c>
      <c r="V974" t="s">
        <v>94</v>
      </c>
      <c r="W974">
        <v>148</v>
      </c>
      <c r="X974">
        <v>15</v>
      </c>
      <c r="Y974">
        <v>10</v>
      </c>
      <c r="Z974" t="s">
        <v>1312</v>
      </c>
      <c r="AA974" t="s">
        <v>1313</v>
      </c>
      <c r="AB974" t="s">
        <v>89</v>
      </c>
      <c r="AC974" t="s">
        <v>90</v>
      </c>
      <c r="AD974" t="s">
        <v>91</v>
      </c>
      <c r="AE974" t="s">
        <v>856</v>
      </c>
      <c r="AG974" t="s">
        <v>1314</v>
      </c>
      <c r="AH974">
        <v>0</v>
      </c>
      <c r="AI974">
        <v>214</v>
      </c>
      <c r="AJ974">
        <v>17</v>
      </c>
      <c r="AK974">
        <v>497</v>
      </c>
      <c r="AL974">
        <v>0.63</v>
      </c>
    </row>
    <row r="975" spans="1:38" x14ac:dyDescent="0.3">
      <c r="A975" t="s">
        <v>852</v>
      </c>
      <c r="B975">
        <v>22739</v>
      </c>
      <c r="C975">
        <v>1</v>
      </c>
      <c r="D975" t="s">
        <v>1316</v>
      </c>
      <c r="E975">
        <v>2004.04</v>
      </c>
      <c r="F975">
        <v>15</v>
      </c>
      <c r="G975">
        <v>25.45</v>
      </c>
      <c r="H975">
        <v>84.16</v>
      </c>
      <c r="I975">
        <v>22.05</v>
      </c>
      <c r="J975">
        <v>72.900000000000006</v>
      </c>
      <c r="K975">
        <v>1</v>
      </c>
      <c r="T975">
        <v>3</v>
      </c>
      <c r="U975">
        <v>2</v>
      </c>
      <c r="V975" t="s">
        <v>86</v>
      </c>
      <c r="W975">
        <v>84</v>
      </c>
      <c r="X975">
        <v>8</v>
      </c>
      <c r="Y975">
        <v>8</v>
      </c>
      <c r="Z975" t="s">
        <v>1317</v>
      </c>
      <c r="AA975" t="s">
        <v>1318</v>
      </c>
      <c r="AB975" t="s">
        <v>89</v>
      </c>
      <c r="AC975" t="s">
        <v>90</v>
      </c>
      <c r="AD975" t="s">
        <v>91</v>
      </c>
      <c r="AE975" t="s">
        <v>856</v>
      </c>
      <c r="AG975" t="s">
        <v>1319</v>
      </c>
      <c r="AH975">
        <v>0</v>
      </c>
      <c r="AI975">
        <v>245</v>
      </c>
      <c r="AJ975">
        <v>36</v>
      </c>
      <c r="AK975">
        <v>16</v>
      </c>
      <c r="AL975">
        <v>1.07</v>
      </c>
    </row>
    <row r="976" spans="1:38" x14ac:dyDescent="0.3">
      <c r="A976" t="s">
        <v>852</v>
      </c>
      <c r="B976">
        <v>22739</v>
      </c>
      <c r="C976">
        <v>2</v>
      </c>
      <c r="D976" t="s">
        <v>1316</v>
      </c>
      <c r="E976">
        <v>2004.04</v>
      </c>
      <c r="F976">
        <v>15</v>
      </c>
      <c r="G976">
        <v>27.08</v>
      </c>
      <c r="H976">
        <v>89.54</v>
      </c>
      <c r="I976">
        <v>23.44</v>
      </c>
      <c r="J976">
        <v>77.5</v>
      </c>
      <c r="K976">
        <v>14</v>
      </c>
      <c r="T976">
        <v>3</v>
      </c>
      <c r="U976">
        <v>2</v>
      </c>
      <c r="V976" t="s">
        <v>94</v>
      </c>
      <c r="W976">
        <v>89</v>
      </c>
      <c r="X976">
        <v>8</v>
      </c>
      <c r="Y976">
        <v>8</v>
      </c>
      <c r="Z976" t="s">
        <v>1317</v>
      </c>
      <c r="AA976" t="s">
        <v>1318</v>
      </c>
      <c r="AB976" t="s">
        <v>89</v>
      </c>
      <c r="AC976" t="s">
        <v>90</v>
      </c>
      <c r="AD976" t="s">
        <v>91</v>
      </c>
      <c r="AE976" t="s">
        <v>856</v>
      </c>
      <c r="AG976" t="s">
        <v>1319</v>
      </c>
      <c r="AH976">
        <v>0</v>
      </c>
      <c r="AI976">
        <v>245</v>
      </c>
      <c r="AJ976">
        <v>36</v>
      </c>
      <c r="AK976">
        <v>16</v>
      </c>
      <c r="AL976">
        <v>1.07</v>
      </c>
    </row>
    <row r="977" spans="1:38" x14ac:dyDescent="0.3">
      <c r="A977" t="s">
        <v>852</v>
      </c>
      <c r="B977">
        <v>108659</v>
      </c>
      <c r="C977">
        <v>1</v>
      </c>
      <c r="D977" t="s">
        <v>1320</v>
      </c>
      <c r="E977">
        <v>2014.05</v>
      </c>
      <c r="F977">
        <v>16</v>
      </c>
      <c r="G977">
        <v>6.8</v>
      </c>
      <c r="H977">
        <v>22.51</v>
      </c>
      <c r="I977">
        <v>5.28</v>
      </c>
      <c r="J977">
        <v>17.47</v>
      </c>
      <c r="K977">
        <v>8</v>
      </c>
      <c r="T977">
        <v>1</v>
      </c>
      <c r="U977">
        <v>1</v>
      </c>
      <c r="V977" t="s">
        <v>94</v>
      </c>
      <c r="W977" t="s">
        <v>1321</v>
      </c>
      <c r="X977">
        <v>9</v>
      </c>
      <c r="Y977">
        <v>9</v>
      </c>
      <c r="Z977" t="s">
        <v>1322</v>
      </c>
      <c r="AA977" t="s">
        <v>1323</v>
      </c>
      <c r="AB977" t="s">
        <v>89</v>
      </c>
      <c r="AC977" t="s">
        <v>90</v>
      </c>
      <c r="AD977" t="s">
        <v>91</v>
      </c>
      <c r="AE977" t="s">
        <v>856</v>
      </c>
      <c r="AG977" t="s">
        <v>1324</v>
      </c>
      <c r="AH977">
        <v>0</v>
      </c>
      <c r="AI977">
        <v>549</v>
      </c>
      <c r="AJ977">
        <v>73</v>
      </c>
      <c r="AK977">
        <v>2</v>
      </c>
      <c r="AL977">
        <v>0.12</v>
      </c>
    </row>
    <row r="978" spans="1:38" x14ac:dyDescent="0.3">
      <c r="A978" t="s">
        <v>852</v>
      </c>
      <c r="B978">
        <v>108659</v>
      </c>
      <c r="C978">
        <v>2</v>
      </c>
      <c r="D978" t="s">
        <v>1320</v>
      </c>
      <c r="E978">
        <v>2014.05</v>
      </c>
      <c r="F978">
        <v>16</v>
      </c>
      <c r="G978">
        <v>6.76</v>
      </c>
      <c r="H978">
        <v>22.36</v>
      </c>
      <c r="I978">
        <v>5.25</v>
      </c>
      <c r="J978">
        <v>17.37</v>
      </c>
      <c r="K978">
        <v>8</v>
      </c>
      <c r="T978">
        <v>1</v>
      </c>
      <c r="U978">
        <v>1</v>
      </c>
      <c r="V978" t="s">
        <v>94</v>
      </c>
      <c r="W978" t="s">
        <v>1325</v>
      </c>
      <c r="X978">
        <v>9</v>
      </c>
      <c r="Y978">
        <v>9</v>
      </c>
      <c r="Z978" t="s">
        <v>1322</v>
      </c>
      <c r="AA978" t="s">
        <v>1323</v>
      </c>
      <c r="AB978" t="s">
        <v>89</v>
      </c>
      <c r="AC978" t="s">
        <v>90</v>
      </c>
      <c r="AD978" t="s">
        <v>91</v>
      </c>
      <c r="AE978" t="s">
        <v>856</v>
      </c>
      <c r="AG978" t="s">
        <v>1324</v>
      </c>
      <c r="AH978">
        <v>0</v>
      </c>
      <c r="AI978">
        <v>549</v>
      </c>
      <c r="AJ978">
        <v>73</v>
      </c>
      <c r="AK978">
        <v>2</v>
      </c>
      <c r="AL978">
        <v>0.12</v>
      </c>
    </row>
    <row r="979" spans="1:38" x14ac:dyDescent="0.3">
      <c r="A979" t="s">
        <v>852</v>
      </c>
      <c r="B979">
        <v>113693</v>
      </c>
      <c r="C979">
        <v>1</v>
      </c>
      <c r="D979" t="s">
        <v>1326</v>
      </c>
      <c r="E979">
        <v>2014.12</v>
      </c>
      <c r="F979">
        <v>40</v>
      </c>
      <c r="G979">
        <v>27.58</v>
      </c>
      <c r="H979">
        <v>91.18</v>
      </c>
      <c r="I979">
        <v>22.42</v>
      </c>
      <c r="J979">
        <v>74.12</v>
      </c>
      <c r="K979">
        <v>10</v>
      </c>
      <c r="T979">
        <v>2</v>
      </c>
      <c r="U979">
        <v>1</v>
      </c>
      <c r="V979" t="s">
        <v>94</v>
      </c>
      <c r="W979" t="s">
        <v>230</v>
      </c>
      <c r="X979">
        <v>11</v>
      </c>
      <c r="Y979">
        <v>11</v>
      </c>
      <c r="Z979" t="s">
        <v>1327</v>
      </c>
      <c r="AA979" t="s">
        <v>1328</v>
      </c>
      <c r="AB979" t="s">
        <v>89</v>
      </c>
      <c r="AC979" t="s">
        <v>90</v>
      </c>
      <c r="AD979" t="s">
        <v>91</v>
      </c>
      <c r="AE979" t="s">
        <v>856</v>
      </c>
      <c r="AG979" t="s">
        <v>1329</v>
      </c>
      <c r="AH979">
        <v>0</v>
      </c>
      <c r="AI979">
        <v>448</v>
      </c>
      <c r="AJ979">
        <v>50</v>
      </c>
      <c r="AK979">
        <v>41</v>
      </c>
      <c r="AL979">
        <v>1.02</v>
      </c>
    </row>
    <row r="980" spans="1:38" x14ac:dyDescent="0.3">
      <c r="A980" t="s">
        <v>852</v>
      </c>
      <c r="B980">
        <v>113693</v>
      </c>
      <c r="C980">
        <v>2</v>
      </c>
      <c r="D980" t="s">
        <v>1326</v>
      </c>
      <c r="E980">
        <v>2014.12</v>
      </c>
      <c r="F980">
        <v>40</v>
      </c>
      <c r="G980">
        <v>27.77</v>
      </c>
      <c r="H980">
        <v>91.82</v>
      </c>
      <c r="I980">
        <v>22.57</v>
      </c>
      <c r="J980">
        <v>74.64</v>
      </c>
      <c r="K980">
        <v>10</v>
      </c>
      <c r="T980">
        <v>3</v>
      </c>
      <c r="U980">
        <v>2</v>
      </c>
      <c r="V980" t="s">
        <v>94</v>
      </c>
      <c r="W980" t="s">
        <v>1330</v>
      </c>
      <c r="X980">
        <v>11</v>
      </c>
      <c r="Y980">
        <v>11</v>
      </c>
      <c r="Z980" t="s">
        <v>1327</v>
      </c>
      <c r="AA980" t="s">
        <v>1328</v>
      </c>
      <c r="AB980" t="s">
        <v>89</v>
      </c>
      <c r="AC980" t="s">
        <v>90</v>
      </c>
      <c r="AD980" t="s">
        <v>91</v>
      </c>
      <c r="AE980" t="s">
        <v>856</v>
      </c>
      <c r="AG980" t="s">
        <v>1329</v>
      </c>
      <c r="AH980">
        <v>0</v>
      </c>
      <c r="AI980">
        <v>448</v>
      </c>
      <c r="AJ980">
        <v>50</v>
      </c>
      <c r="AK980">
        <v>41</v>
      </c>
      <c r="AL980">
        <v>1.02</v>
      </c>
    </row>
    <row r="981" spans="1:38" x14ac:dyDescent="0.3">
      <c r="A981" t="s">
        <v>852</v>
      </c>
      <c r="B981">
        <v>113693</v>
      </c>
      <c r="C981">
        <v>3</v>
      </c>
      <c r="D981" t="s">
        <v>1326</v>
      </c>
      <c r="E981">
        <v>2014.12</v>
      </c>
      <c r="F981">
        <v>40</v>
      </c>
      <c r="G981">
        <v>30.11</v>
      </c>
      <c r="H981">
        <v>99.57</v>
      </c>
      <c r="I981">
        <v>24.48</v>
      </c>
      <c r="J981">
        <v>80.94</v>
      </c>
      <c r="K981">
        <v>10</v>
      </c>
      <c r="T981">
        <v>3</v>
      </c>
      <c r="U981">
        <v>2</v>
      </c>
      <c r="V981" t="s">
        <v>94</v>
      </c>
      <c r="W981">
        <v>99</v>
      </c>
      <c r="X981">
        <v>11</v>
      </c>
      <c r="Y981">
        <v>11</v>
      </c>
      <c r="Z981" t="s">
        <v>1327</v>
      </c>
      <c r="AA981" t="s">
        <v>1328</v>
      </c>
      <c r="AB981" t="s">
        <v>89</v>
      </c>
      <c r="AC981" t="s">
        <v>90</v>
      </c>
      <c r="AD981" t="s">
        <v>91</v>
      </c>
      <c r="AE981" t="s">
        <v>856</v>
      </c>
      <c r="AG981" t="s">
        <v>1329</v>
      </c>
      <c r="AH981">
        <v>0</v>
      </c>
      <c r="AI981">
        <v>448</v>
      </c>
      <c r="AJ981">
        <v>50</v>
      </c>
      <c r="AK981">
        <v>41</v>
      </c>
      <c r="AL981">
        <v>1.02</v>
      </c>
    </row>
    <row r="982" spans="1:38" x14ac:dyDescent="0.3">
      <c r="A982" t="s">
        <v>852</v>
      </c>
      <c r="B982">
        <v>113693</v>
      </c>
      <c r="C982">
        <v>4</v>
      </c>
      <c r="D982" t="s">
        <v>1326</v>
      </c>
      <c r="E982">
        <v>2014.12</v>
      </c>
      <c r="F982">
        <v>40</v>
      </c>
      <c r="G982">
        <v>30.51</v>
      </c>
      <c r="H982">
        <v>100.87</v>
      </c>
      <c r="I982">
        <v>24.8</v>
      </c>
      <c r="J982">
        <v>81.99</v>
      </c>
      <c r="K982">
        <v>10</v>
      </c>
      <c r="T982">
        <v>3</v>
      </c>
      <c r="U982">
        <v>2</v>
      </c>
      <c r="V982" t="s">
        <v>94</v>
      </c>
      <c r="W982">
        <v>100</v>
      </c>
      <c r="X982">
        <v>11</v>
      </c>
      <c r="Y982">
        <v>11</v>
      </c>
      <c r="Z982" t="s">
        <v>1327</v>
      </c>
      <c r="AA982" t="s">
        <v>1328</v>
      </c>
      <c r="AB982" t="s">
        <v>89</v>
      </c>
      <c r="AC982" t="s">
        <v>90</v>
      </c>
      <c r="AD982" t="s">
        <v>91</v>
      </c>
      <c r="AE982" t="s">
        <v>856</v>
      </c>
      <c r="AG982" t="s">
        <v>1329</v>
      </c>
      <c r="AH982">
        <v>0</v>
      </c>
      <c r="AI982">
        <v>448</v>
      </c>
      <c r="AJ982">
        <v>50</v>
      </c>
      <c r="AK982">
        <v>41</v>
      </c>
      <c r="AL982">
        <v>1.02</v>
      </c>
    </row>
    <row r="983" spans="1:38" x14ac:dyDescent="0.3">
      <c r="A983" t="s">
        <v>852</v>
      </c>
      <c r="B983">
        <v>2040</v>
      </c>
      <c r="C983">
        <v>1</v>
      </c>
      <c r="D983" t="s">
        <v>1331</v>
      </c>
      <c r="E983">
        <v>1984.12</v>
      </c>
      <c r="F983">
        <v>190</v>
      </c>
      <c r="G983">
        <v>17.96</v>
      </c>
      <c r="H983">
        <v>59.4</v>
      </c>
      <c r="I983">
        <v>16.22</v>
      </c>
      <c r="J983">
        <v>53.64</v>
      </c>
      <c r="K983">
        <v>75</v>
      </c>
      <c r="T983">
        <v>3</v>
      </c>
      <c r="U983">
        <v>1</v>
      </c>
      <c r="V983" t="s">
        <v>94</v>
      </c>
      <c r="W983">
        <v>59</v>
      </c>
      <c r="X983">
        <v>5</v>
      </c>
      <c r="Y983">
        <v>5</v>
      </c>
      <c r="Z983" t="s">
        <v>1332</v>
      </c>
      <c r="AA983" t="s">
        <v>1333</v>
      </c>
      <c r="AB983" t="s">
        <v>89</v>
      </c>
      <c r="AC983" t="s">
        <v>90</v>
      </c>
      <c r="AD983" t="s">
        <v>91</v>
      </c>
      <c r="AE983" t="s">
        <v>856</v>
      </c>
      <c r="AG983" t="s">
        <v>1334</v>
      </c>
      <c r="AH983">
        <v>0</v>
      </c>
      <c r="AI983">
        <v>102</v>
      </c>
      <c r="AJ983">
        <v>23</v>
      </c>
      <c r="AK983">
        <v>190</v>
      </c>
      <c r="AL983">
        <v>1</v>
      </c>
    </row>
    <row r="984" spans="1:38" x14ac:dyDescent="0.3">
      <c r="A984" t="s">
        <v>852</v>
      </c>
      <c r="B984">
        <v>2040</v>
      </c>
      <c r="C984">
        <v>2</v>
      </c>
      <c r="D984" t="s">
        <v>1331</v>
      </c>
      <c r="E984">
        <v>1984.12</v>
      </c>
      <c r="F984">
        <v>190</v>
      </c>
      <c r="G984">
        <v>18.78</v>
      </c>
      <c r="H984">
        <v>62.1</v>
      </c>
      <c r="I984">
        <v>17.04</v>
      </c>
      <c r="J984">
        <v>56.34</v>
      </c>
      <c r="K984">
        <v>75</v>
      </c>
      <c r="T984">
        <v>3</v>
      </c>
      <c r="U984">
        <v>1</v>
      </c>
      <c r="V984" t="s">
        <v>94</v>
      </c>
      <c r="W984">
        <v>62</v>
      </c>
      <c r="X984">
        <v>5</v>
      </c>
      <c r="Y984">
        <v>5</v>
      </c>
      <c r="Z984" t="s">
        <v>1332</v>
      </c>
      <c r="AA984" t="s">
        <v>1333</v>
      </c>
      <c r="AB984" t="s">
        <v>89</v>
      </c>
      <c r="AC984" t="s">
        <v>90</v>
      </c>
      <c r="AD984" t="s">
        <v>91</v>
      </c>
      <c r="AE984" t="s">
        <v>856</v>
      </c>
      <c r="AG984" t="s">
        <v>1334</v>
      </c>
      <c r="AH984">
        <v>0</v>
      </c>
      <c r="AI984">
        <v>102</v>
      </c>
      <c r="AJ984">
        <v>23</v>
      </c>
      <c r="AK984">
        <v>190</v>
      </c>
      <c r="AL984">
        <v>1</v>
      </c>
    </row>
    <row r="985" spans="1:38" x14ac:dyDescent="0.3">
      <c r="A985" t="s">
        <v>852</v>
      </c>
      <c r="B985">
        <v>2040</v>
      </c>
      <c r="C985">
        <v>3</v>
      </c>
      <c r="D985" t="s">
        <v>1331</v>
      </c>
      <c r="E985">
        <v>1984.12</v>
      </c>
      <c r="F985">
        <v>190</v>
      </c>
      <c r="G985">
        <v>20.74</v>
      </c>
      <c r="H985">
        <v>68.58</v>
      </c>
      <c r="I985">
        <v>19</v>
      </c>
      <c r="J985">
        <v>62.82</v>
      </c>
      <c r="K985">
        <v>40</v>
      </c>
      <c r="T985">
        <v>3</v>
      </c>
      <c r="U985">
        <v>1</v>
      </c>
      <c r="V985" t="s">
        <v>94</v>
      </c>
      <c r="W985">
        <v>68</v>
      </c>
      <c r="X985">
        <v>5</v>
      </c>
      <c r="Y985">
        <v>5</v>
      </c>
      <c r="Z985" t="s">
        <v>1332</v>
      </c>
      <c r="AA985" t="s">
        <v>1333</v>
      </c>
      <c r="AB985" t="s">
        <v>89</v>
      </c>
      <c r="AC985" t="s">
        <v>90</v>
      </c>
      <c r="AD985" t="s">
        <v>91</v>
      </c>
      <c r="AE985" t="s">
        <v>856</v>
      </c>
      <c r="AG985" t="s">
        <v>1334</v>
      </c>
      <c r="AH985">
        <v>0</v>
      </c>
      <c r="AI985">
        <v>102</v>
      </c>
      <c r="AJ985">
        <v>23</v>
      </c>
      <c r="AK985">
        <v>190</v>
      </c>
      <c r="AL985">
        <v>1</v>
      </c>
    </row>
  </sheetData>
  <sortState ref="A1:W473">
    <sortCondition ref="A1:A473"/>
    <sortCondition descending="1" ref="F1:F473"/>
    <sortCondition ref="G1:G473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정보입력">
                <anchor moveWithCells="1" sizeWithCells="1">
                  <from>
                    <xdr:col>12</xdr:col>
                    <xdr:colOff>247650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1" r:id="rId6" name="Button 3">
              <controlPr defaultSize="0" print="0" autoFill="0" autoPict="0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2" r:id="rId7" name="Button 4">
              <controlPr defaultSize="0" print="0" autoFill="0" autoPict="0" macro="[0]!Spacedatainsert_정보입력">
                <anchor moveWithCells="1" sizeWithCells="1">
                  <from>
                    <xdr:col>12</xdr:col>
                    <xdr:colOff>247650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4B7C5-D16B-4E5D-914E-3478445349B0}">
  <sheetPr codeName="Sheet7">
    <pageSetUpPr fitToPage="1"/>
  </sheetPr>
  <dimension ref="A1:AW82"/>
  <sheetViews>
    <sheetView zoomScaleNormal="100" zoomScaleSheetLayoutView="85" workbookViewId="0">
      <pane xSplit="1" ySplit="3" topLeftCell="D46" activePane="bottomRight" state="frozen"/>
      <selection activeCell="AO10" sqref="AO10"/>
      <selection pane="topRight" activeCell="AO10" sqref="AO10"/>
      <selection pane="bottomLeft" activeCell="AO10" sqref="AO10"/>
      <selection pane="bottomRight" activeCell="K77" sqref="K7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5.375" style="4" bestFit="1" customWidth="1"/>
    <col min="11" max="11" width="7.625" style="1" bestFit="1" customWidth="1"/>
    <col min="12" max="12" width="5.625" style="4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5" t="str">
        <f>A1&amp;" 전체 등급"</f>
        <v>OO시 OO구 전체 등급</v>
      </c>
      <c r="AL1" s="116"/>
      <c r="AM1" s="116"/>
      <c r="AN1" s="116"/>
      <c r="AO1" s="117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관양동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7" t="s">
        <v>22</v>
      </c>
      <c r="K3" s="19" t="s">
        <v>15</v>
      </c>
      <c r="L3" s="17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 t="shared" ref="AJ3:AJ34" si="0"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1335</v>
      </c>
      <c r="B4" s="13"/>
      <c r="C4" s="9"/>
      <c r="D4" s="5"/>
      <c r="E4" s="5"/>
      <c r="F4" s="5"/>
      <c r="G4" s="5"/>
      <c r="H4" s="9"/>
      <c r="I4" s="5"/>
      <c r="J4" s="8"/>
      <c r="K4" s="5"/>
      <c r="L4" s="8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 t="shared" si="0"/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8"/>
      <c r="K5" s="5"/>
      <c r="L5" s="8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관양동 동편마을3단지('12.04,1042^)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 t="shared" ref="AI5:AI36" si="1">IF(A5="","",A5)</f>
        <v/>
      </c>
      <c r="AJ5" s="33" t="str">
        <f t="shared" si="0"/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1336</v>
      </c>
      <c r="B6" s="14" t="s">
        <v>1337</v>
      </c>
      <c r="C6" s="25">
        <v>1042</v>
      </c>
      <c r="D6" s="23">
        <v>97.3</v>
      </c>
      <c r="E6" s="21">
        <v>29</v>
      </c>
      <c r="F6" s="23">
        <v>74.3</v>
      </c>
      <c r="G6" s="24">
        <v>22</v>
      </c>
      <c r="H6" s="25">
        <v>90</v>
      </c>
      <c r="I6" s="29">
        <v>91000</v>
      </c>
      <c r="J6" s="106" t="s">
        <v>2053</v>
      </c>
      <c r="K6" s="29">
        <v>45000</v>
      </c>
      <c r="L6" s="106" t="s">
        <v>2056</v>
      </c>
      <c r="M6" s="6">
        <f t="shared" ref="M6:M19" si="2">I6-K6</f>
        <v>46000</v>
      </c>
      <c r="N6" s="7">
        <f t="shared" ref="N6:N19" si="3">IF(ISERROR(K6/I6),"",K6/I6)</f>
        <v>0.49450549450549453</v>
      </c>
      <c r="O6" s="12">
        <f t="shared" ref="O6:O19" si="4">I6/E6</f>
        <v>3137.9310344827586</v>
      </c>
      <c r="P6" s="12">
        <f t="shared" ref="P6:P19" si="5">K6/E6</f>
        <v>1551.7241379310344</v>
      </c>
      <c r="Q6" s="13">
        <v>3</v>
      </c>
      <c r="R6" s="13">
        <v>2</v>
      </c>
      <c r="S6" s="13" t="s">
        <v>51</v>
      </c>
      <c r="T6" s="8" t="s">
        <v>110</v>
      </c>
      <c r="U6" s="5"/>
      <c r="V6" s="5" t="s">
        <v>1338</v>
      </c>
      <c r="X6" s="23">
        <f t="shared" ref="X6:X19" si="6">D6</f>
        <v>97.3</v>
      </c>
      <c r="Y6" s="21">
        <f t="shared" ref="Y6:Y19" si="7">E6</f>
        <v>29</v>
      </c>
      <c r="Z6" s="28">
        <f t="shared" ref="Z6:Z19" si="8">H6</f>
        <v>90</v>
      </c>
      <c r="AA6" s="6">
        <f t="shared" ref="AA6:AA19" si="9">I6</f>
        <v>91000</v>
      </c>
      <c r="AB6" s="6">
        <f t="shared" ref="AB6:AB19" si="10">K6</f>
        <v>45000</v>
      </c>
      <c r="AC6" s="6">
        <f t="shared" ref="AC6:AC19" si="11">M6</f>
        <v>46000</v>
      </c>
      <c r="AD6" s="7">
        <f t="shared" ref="AD6:AD19" si="12">N6</f>
        <v>0.49450549450549453</v>
      </c>
      <c r="AE6" s="12">
        <f t="shared" ref="AE6:AE19" si="13">O6</f>
        <v>3137.9310344827586</v>
      </c>
      <c r="AF6" s="13" t="str">
        <f t="shared" ref="AF6:AF19" si="14">S6</f>
        <v>계</v>
      </c>
      <c r="AG6" s="13" t="str">
        <f t="shared" ref="AG6:AG19" si="15">Q6&amp;"/"&amp;R6</f>
        <v>3/2</v>
      </c>
      <c r="AI6" s="32" t="str">
        <f t="shared" si="1"/>
        <v>동편마을3단지</v>
      </c>
      <c r="AJ6" s="21">
        <f t="shared" si="0"/>
        <v>29</v>
      </c>
      <c r="AK6" s="13" t="str">
        <f t="shared" ref="AK6:AK19" si="16">IF(AJ6="","",$AK$2)</f>
        <v>A-</v>
      </c>
      <c r="AL6" s="13"/>
      <c r="AM6" s="13"/>
      <c r="AN6" s="13"/>
      <c r="AO6" s="13" t="str">
        <f t="shared" ref="AO6:AO19" si="17">IF(AJ6="","",$AO$2)</f>
        <v>C</v>
      </c>
      <c r="AP6" s="13" t="str">
        <f t="shared" ref="AP6:AP19" si="18">IF(N6="","",IF(N6&gt;=$AP$1/100,"O","X"))</f>
        <v>X</v>
      </c>
      <c r="AQ6" s="13" t="str">
        <f t="shared" ref="AQ6:AQ19" si="19">IF(I6="","",IF(I6&lt;=$AQ$1,"O","X"))</f>
        <v>X</v>
      </c>
      <c r="AR6" s="13" t="str">
        <f t="shared" ref="AR6:AR19" si="20">IF(O6="","",IF(O6&lt;=$AR$1,"O","X"))</f>
        <v>X</v>
      </c>
      <c r="AS6" s="13" t="str">
        <f t="shared" ref="AS6:AS19" si="21">IF(M6="","",IF(M6&lt;=$AS$1,"O","X"))</f>
        <v>X</v>
      </c>
      <c r="AT6" s="13" t="s">
        <v>32</v>
      </c>
      <c r="AU6" s="13" t="str">
        <f t="shared" ref="AU6:AU19" si="22">IF(OR(F6="",AJ6=""),"",IF(AND((F6&lt;=85),(AJ6&gt;=15)),"O","X"))</f>
        <v>O</v>
      </c>
      <c r="AV6" s="13" t="str">
        <f t="shared" ref="AV6:AV19" si="23">IF(C6="","",IF(C6&gt;=$AV$1,"O","X"))</f>
        <v>O</v>
      </c>
      <c r="AW6" s="13" t="str">
        <f t="shared" ref="AW6:AW19" si="24">IF(AP6="","",IF(AND(AP6="O",AQ6="O",AS6="O",AU6="O",AV6="O"),"후보","X"))</f>
        <v>X</v>
      </c>
    </row>
    <row r="7" spans="1:49" x14ac:dyDescent="0.3">
      <c r="A7" s="5" t="s">
        <v>1336</v>
      </c>
      <c r="B7" s="14" t="s">
        <v>1337</v>
      </c>
      <c r="C7" s="25">
        <v>1042</v>
      </c>
      <c r="D7" s="23">
        <v>98.1</v>
      </c>
      <c r="E7" s="21">
        <v>30</v>
      </c>
      <c r="F7" s="23">
        <v>75</v>
      </c>
      <c r="G7" s="24">
        <v>23</v>
      </c>
      <c r="H7" s="25">
        <v>75</v>
      </c>
      <c r="I7" s="29">
        <v>74000</v>
      </c>
      <c r="J7" s="106" t="s">
        <v>2054</v>
      </c>
      <c r="K7" s="29">
        <v>43000</v>
      </c>
      <c r="L7" s="106" t="s">
        <v>2067</v>
      </c>
      <c r="M7" s="6">
        <f t="shared" si="2"/>
        <v>31000</v>
      </c>
      <c r="N7" s="7">
        <f t="shared" si="3"/>
        <v>0.58108108108108103</v>
      </c>
      <c r="O7" s="12">
        <f t="shared" si="4"/>
        <v>2466.6666666666665</v>
      </c>
      <c r="P7" s="12">
        <f t="shared" si="5"/>
        <v>1433.3333333333333</v>
      </c>
      <c r="Q7" s="13">
        <v>3</v>
      </c>
      <c r="R7" s="13">
        <v>2</v>
      </c>
      <c r="S7" s="13" t="s">
        <v>51</v>
      </c>
      <c r="T7" s="8" t="s">
        <v>1339</v>
      </c>
      <c r="U7" s="5"/>
      <c r="V7" s="5" t="s">
        <v>1340</v>
      </c>
      <c r="X7" s="23">
        <f t="shared" si="6"/>
        <v>98.1</v>
      </c>
      <c r="Y7" s="21">
        <f t="shared" si="7"/>
        <v>30</v>
      </c>
      <c r="Z7" s="28">
        <f t="shared" si="8"/>
        <v>75</v>
      </c>
      <c r="AA7" s="6">
        <f t="shared" si="9"/>
        <v>74000</v>
      </c>
      <c r="AB7" s="6">
        <f t="shared" si="10"/>
        <v>43000</v>
      </c>
      <c r="AC7" s="6">
        <f t="shared" si="11"/>
        <v>31000</v>
      </c>
      <c r="AD7" s="7">
        <f t="shared" si="12"/>
        <v>0.58108108108108103</v>
      </c>
      <c r="AE7" s="12">
        <f t="shared" si="13"/>
        <v>2466.6666666666665</v>
      </c>
      <c r="AF7" s="13" t="str">
        <f t="shared" si="14"/>
        <v>계</v>
      </c>
      <c r="AG7" s="13" t="str">
        <f t="shared" si="15"/>
        <v>3/2</v>
      </c>
      <c r="AI7" s="32" t="str">
        <f t="shared" si="1"/>
        <v>동편마을3단지</v>
      </c>
      <c r="AJ7" s="21">
        <f t="shared" si="0"/>
        <v>30</v>
      </c>
      <c r="AK7" s="13" t="str">
        <f t="shared" si="16"/>
        <v>A-</v>
      </c>
      <c r="AL7" s="13"/>
      <c r="AM7" s="13"/>
      <c r="AN7" s="13"/>
      <c r="AO7" s="13" t="str">
        <f t="shared" si="17"/>
        <v>C</v>
      </c>
      <c r="AP7" s="13" t="str">
        <f t="shared" si="18"/>
        <v>X</v>
      </c>
      <c r="AQ7" s="13" t="str">
        <f t="shared" si="19"/>
        <v>X</v>
      </c>
      <c r="AR7" s="13" t="str">
        <f t="shared" si="20"/>
        <v>X</v>
      </c>
      <c r="AS7" s="13" t="str">
        <f t="shared" si="21"/>
        <v>X</v>
      </c>
      <c r="AT7" s="13" t="s">
        <v>32</v>
      </c>
      <c r="AU7" s="13" t="str">
        <f t="shared" si="22"/>
        <v>O</v>
      </c>
      <c r="AV7" s="13" t="str">
        <f t="shared" si="23"/>
        <v>O</v>
      </c>
      <c r="AW7" s="13" t="str">
        <f t="shared" si="24"/>
        <v>X</v>
      </c>
    </row>
    <row r="8" spans="1:49" x14ac:dyDescent="0.3">
      <c r="A8" s="5" t="s">
        <v>1336</v>
      </c>
      <c r="B8" s="14" t="s">
        <v>1337</v>
      </c>
      <c r="C8" s="25">
        <v>1042</v>
      </c>
      <c r="D8" s="23">
        <v>98.1</v>
      </c>
      <c r="E8" s="21">
        <v>30</v>
      </c>
      <c r="F8" s="23">
        <v>74.900000000000006</v>
      </c>
      <c r="G8" s="24">
        <v>23</v>
      </c>
      <c r="H8" s="25">
        <v>45</v>
      </c>
      <c r="I8" s="29">
        <v>91000</v>
      </c>
      <c r="J8" s="106" t="s">
        <v>2055</v>
      </c>
      <c r="K8" s="29">
        <v>50000</v>
      </c>
      <c r="L8" s="106" t="s">
        <v>2056</v>
      </c>
      <c r="M8" s="6">
        <f t="shared" si="2"/>
        <v>41000</v>
      </c>
      <c r="N8" s="7">
        <f t="shared" si="3"/>
        <v>0.5494505494505495</v>
      </c>
      <c r="O8" s="12">
        <f t="shared" si="4"/>
        <v>3033.3333333333335</v>
      </c>
      <c r="P8" s="12">
        <f t="shared" si="5"/>
        <v>1666.6666666666667</v>
      </c>
      <c r="Q8" s="13">
        <v>3</v>
      </c>
      <c r="R8" s="13">
        <v>2</v>
      </c>
      <c r="S8" s="13" t="s">
        <v>51</v>
      </c>
      <c r="T8" s="8" t="s">
        <v>1341</v>
      </c>
      <c r="U8" s="5"/>
      <c r="V8" s="5" t="s">
        <v>1340</v>
      </c>
      <c r="X8" s="23">
        <f t="shared" si="6"/>
        <v>98.1</v>
      </c>
      <c r="Y8" s="21">
        <f t="shared" si="7"/>
        <v>30</v>
      </c>
      <c r="Z8" s="28">
        <f t="shared" si="8"/>
        <v>45</v>
      </c>
      <c r="AA8" s="6">
        <f t="shared" si="9"/>
        <v>91000</v>
      </c>
      <c r="AB8" s="6">
        <f t="shared" si="10"/>
        <v>50000</v>
      </c>
      <c r="AC8" s="6">
        <f t="shared" si="11"/>
        <v>41000</v>
      </c>
      <c r="AD8" s="7">
        <f t="shared" si="12"/>
        <v>0.5494505494505495</v>
      </c>
      <c r="AE8" s="12">
        <f t="shared" si="13"/>
        <v>3033.3333333333335</v>
      </c>
      <c r="AF8" s="13" t="str">
        <f t="shared" si="14"/>
        <v>계</v>
      </c>
      <c r="AG8" s="13" t="str">
        <f t="shared" si="15"/>
        <v>3/2</v>
      </c>
      <c r="AI8" s="32" t="str">
        <f t="shared" si="1"/>
        <v>동편마을3단지</v>
      </c>
      <c r="AJ8" s="21">
        <f t="shared" si="0"/>
        <v>30</v>
      </c>
      <c r="AK8" s="13" t="str">
        <f t="shared" si="16"/>
        <v>A-</v>
      </c>
      <c r="AL8" s="13"/>
      <c r="AM8" s="13"/>
      <c r="AN8" s="13"/>
      <c r="AO8" s="13" t="str">
        <f t="shared" si="17"/>
        <v>C</v>
      </c>
      <c r="AP8" s="13" t="str">
        <f t="shared" si="18"/>
        <v>X</v>
      </c>
      <c r="AQ8" s="13" t="str">
        <f t="shared" si="19"/>
        <v>X</v>
      </c>
      <c r="AR8" s="13" t="str">
        <f t="shared" si="20"/>
        <v>X</v>
      </c>
      <c r="AS8" s="13" t="str">
        <f t="shared" si="21"/>
        <v>X</v>
      </c>
      <c r="AT8" s="13" t="s">
        <v>32</v>
      </c>
      <c r="AU8" s="13" t="str">
        <f t="shared" si="22"/>
        <v>O</v>
      </c>
      <c r="AV8" s="13" t="str">
        <f t="shared" si="23"/>
        <v>O</v>
      </c>
      <c r="AW8" s="13" t="str">
        <f t="shared" si="24"/>
        <v>X</v>
      </c>
    </row>
    <row r="9" spans="1:49" x14ac:dyDescent="0.3">
      <c r="A9" s="5" t="s">
        <v>1336</v>
      </c>
      <c r="B9" s="14" t="s">
        <v>1337</v>
      </c>
      <c r="C9" s="25">
        <v>1042</v>
      </c>
      <c r="D9" s="23">
        <v>98.1</v>
      </c>
      <c r="E9" s="21">
        <v>30</v>
      </c>
      <c r="F9" s="23">
        <v>75</v>
      </c>
      <c r="G9" s="24">
        <v>23</v>
      </c>
      <c r="H9" s="25">
        <v>15</v>
      </c>
      <c r="I9" s="29">
        <v>95000</v>
      </c>
      <c r="J9" s="106" t="s">
        <v>2056</v>
      </c>
      <c r="K9" s="29">
        <v>57000</v>
      </c>
      <c r="L9" s="106" t="s">
        <v>2068</v>
      </c>
      <c r="M9" s="6">
        <f t="shared" si="2"/>
        <v>38000</v>
      </c>
      <c r="N9" s="7">
        <f t="shared" si="3"/>
        <v>0.6</v>
      </c>
      <c r="O9" s="12">
        <f t="shared" si="4"/>
        <v>3166.6666666666665</v>
      </c>
      <c r="P9" s="12">
        <f t="shared" si="5"/>
        <v>1900</v>
      </c>
      <c r="Q9" s="13">
        <v>3</v>
      </c>
      <c r="R9" s="13">
        <v>2</v>
      </c>
      <c r="S9" s="13" t="s">
        <v>51</v>
      </c>
      <c r="T9" s="8" t="s">
        <v>1342</v>
      </c>
      <c r="U9" s="5"/>
      <c r="V9" s="5" t="s">
        <v>1340</v>
      </c>
      <c r="X9" s="23">
        <f t="shared" si="6"/>
        <v>98.1</v>
      </c>
      <c r="Y9" s="21">
        <f t="shared" si="7"/>
        <v>30</v>
      </c>
      <c r="Z9" s="28">
        <f t="shared" si="8"/>
        <v>15</v>
      </c>
      <c r="AA9" s="6">
        <f t="shared" si="9"/>
        <v>95000</v>
      </c>
      <c r="AB9" s="6">
        <f t="shared" si="10"/>
        <v>57000</v>
      </c>
      <c r="AC9" s="6">
        <f t="shared" si="11"/>
        <v>38000</v>
      </c>
      <c r="AD9" s="7">
        <f t="shared" si="12"/>
        <v>0.6</v>
      </c>
      <c r="AE9" s="12">
        <f t="shared" si="13"/>
        <v>3166.6666666666665</v>
      </c>
      <c r="AF9" s="13" t="str">
        <f t="shared" si="14"/>
        <v>계</v>
      </c>
      <c r="AG9" s="13" t="str">
        <f t="shared" si="15"/>
        <v>3/2</v>
      </c>
      <c r="AI9" s="32" t="str">
        <f t="shared" si="1"/>
        <v>동편마을3단지</v>
      </c>
      <c r="AJ9" s="21">
        <f t="shared" si="0"/>
        <v>30</v>
      </c>
      <c r="AK9" s="13" t="str">
        <f t="shared" si="16"/>
        <v>A-</v>
      </c>
      <c r="AL9" s="13"/>
      <c r="AM9" s="13"/>
      <c r="AN9" s="13"/>
      <c r="AO9" s="13" t="str">
        <f t="shared" si="17"/>
        <v>C</v>
      </c>
      <c r="AP9" s="13" t="str">
        <f t="shared" si="18"/>
        <v>X</v>
      </c>
      <c r="AQ9" s="13" t="str">
        <f t="shared" si="19"/>
        <v>X</v>
      </c>
      <c r="AR9" s="13" t="str">
        <f t="shared" si="20"/>
        <v>X</v>
      </c>
      <c r="AS9" s="13" t="str">
        <f t="shared" si="21"/>
        <v>X</v>
      </c>
      <c r="AT9" s="13" t="s">
        <v>32</v>
      </c>
      <c r="AU9" s="13" t="str">
        <f t="shared" si="22"/>
        <v>O</v>
      </c>
      <c r="AV9" s="13" t="str">
        <f t="shared" si="23"/>
        <v>O</v>
      </c>
      <c r="AW9" s="13" t="str">
        <f t="shared" si="24"/>
        <v>X</v>
      </c>
    </row>
    <row r="10" spans="1:49" x14ac:dyDescent="0.3">
      <c r="A10" s="5" t="s">
        <v>1336</v>
      </c>
      <c r="B10" s="14" t="s">
        <v>1337</v>
      </c>
      <c r="C10" s="25">
        <v>1042</v>
      </c>
      <c r="D10" s="23">
        <v>110.8</v>
      </c>
      <c r="E10" s="21">
        <v>34</v>
      </c>
      <c r="F10" s="23">
        <v>84.6</v>
      </c>
      <c r="G10" s="24">
        <v>26</v>
      </c>
      <c r="H10" s="25">
        <v>37</v>
      </c>
      <c r="I10" s="29">
        <v>80800</v>
      </c>
      <c r="J10" s="106"/>
      <c r="K10" s="29">
        <v>55100</v>
      </c>
      <c r="L10" s="106" t="s">
        <v>2069</v>
      </c>
      <c r="M10" s="6">
        <f t="shared" si="2"/>
        <v>25700</v>
      </c>
      <c r="N10" s="7">
        <f t="shared" si="3"/>
        <v>0.68193069306930698</v>
      </c>
      <c r="O10" s="12">
        <f t="shared" si="4"/>
        <v>2376.4705882352941</v>
      </c>
      <c r="P10" s="12">
        <f t="shared" si="5"/>
        <v>1620.5882352941176</v>
      </c>
      <c r="Q10" s="13">
        <v>3</v>
      </c>
      <c r="R10" s="13">
        <v>2</v>
      </c>
      <c r="S10" s="13" t="s">
        <v>51</v>
      </c>
      <c r="T10" s="8" t="s">
        <v>1343</v>
      </c>
      <c r="U10" s="5"/>
      <c r="V10" s="5" t="s">
        <v>1344</v>
      </c>
      <c r="X10" s="23">
        <f t="shared" si="6"/>
        <v>110.8</v>
      </c>
      <c r="Y10" s="21">
        <f t="shared" si="7"/>
        <v>34</v>
      </c>
      <c r="Z10" s="28">
        <f t="shared" si="8"/>
        <v>37</v>
      </c>
      <c r="AA10" s="6">
        <f t="shared" si="9"/>
        <v>80800</v>
      </c>
      <c r="AB10" s="6">
        <f t="shared" si="10"/>
        <v>55100</v>
      </c>
      <c r="AC10" s="6">
        <f t="shared" si="11"/>
        <v>25700</v>
      </c>
      <c r="AD10" s="7">
        <f t="shared" si="12"/>
        <v>0.68193069306930698</v>
      </c>
      <c r="AE10" s="12">
        <f t="shared" si="13"/>
        <v>2376.4705882352941</v>
      </c>
      <c r="AF10" s="13" t="str">
        <f t="shared" si="14"/>
        <v>계</v>
      </c>
      <c r="AG10" s="13" t="str">
        <f t="shared" si="15"/>
        <v>3/2</v>
      </c>
      <c r="AI10" s="32" t="str">
        <f t="shared" si="1"/>
        <v>동편마을3단지</v>
      </c>
      <c r="AJ10" s="21">
        <f t="shared" si="0"/>
        <v>34</v>
      </c>
      <c r="AK10" s="13" t="str">
        <f t="shared" si="16"/>
        <v>A-</v>
      </c>
      <c r="AL10" s="13"/>
      <c r="AM10" s="13"/>
      <c r="AN10" s="13"/>
      <c r="AO10" s="13" t="str">
        <f t="shared" si="17"/>
        <v>C</v>
      </c>
      <c r="AP10" s="13" t="str">
        <f t="shared" si="18"/>
        <v>X</v>
      </c>
      <c r="AQ10" s="13" t="str">
        <f t="shared" si="19"/>
        <v>X</v>
      </c>
      <c r="AR10" s="13" t="str">
        <f t="shared" si="20"/>
        <v>X</v>
      </c>
      <c r="AS10" s="13" t="str">
        <f t="shared" si="21"/>
        <v>X</v>
      </c>
      <c r="AT10" s="13" t="s">
        <v>32</v>
      </c>
      <c r="AU10" s="13" t="str">
        <f t="shared" si="22"/>
        <v>O</v>
      </c>
      <c r="AV10" s="13" t="str">
        <f t="shared" si="23"/>
        <v>O</v>
      </c>
      <c r="AW10" s="13" t="str">
        <f t="shared" si="24"/>
        <v>X</v>
      </c>
    </row>
    <row r="11" spans="1:49" x14ac:dyDescent="0.3">
      <c r="A11" s="5" t="s">
        <v>1336</v>
      </c>
      <c r="B11" s="14" t="s">
        <v>1337</v>
      </c>
      <c r="C11" s="25">
        <v>1042</v>
      </c>
      <c r="D11" s="23">
        <v>111.2</v>
      </c>
      <c r="E11" s="21">
        <v>34</v>
      </c>
      <c r="F11" s="23">
        <v>85</v>
      </c>
      <c r="G11" s="24">
        <v>26</v>
      </c>
      <c r="H11" s="25">
        <v>198</v>
      </c>
      <c r="I11" s="29">
        <v>102000</v>
      </c>
      <c r="J11" s="106" t="s">
        <v>2057</v>
      </c>
      <c r="K11" s="29">
        <v>60000</v>
      </c>
      <c r="L11" s="106" t="s">
        <v>2068</v>
      </c>
      <c r="M11" s="6">
        <f t="shared" si="2"/>
        <v>42000</v>
      </c>
      <c r="N11" s="7">
        <f t="shared" si="3"/>
        <v>0.58823529411764708</v>
      </c>
      <c r="O11" s="12">
        <f t="shared" si="4"/>
        <v>3000</v>
      </c>
      <c r="P11" s="12">
        <f t="shared" si="5"/>
        <v>1764.7058823529412</v>
      </c>
      <c r="Q11" s="13">
        <v>3</v>
      </c>
      <c r="R11" s="13">
        <v>2</v>
      </c>
      <c r="S11" s="13" t="s">
        <v>51</v>
      </c>
      <c r="T11" s="8" t="s">
        <v>1345</v>
      </c>
      <c r="U11" s="5"/>
      <c r="V11" s="5" t="s">
        <v>1344</v>
      </c>
      <c r="X11" s="23">
        <f t="shared" si="6"/>
        <v>111.2</v>
      </c>
      <c r="Y11" s="21">
        <f t="shared" si="7"/>
        <v>34</v>
      </c>
      <c r="Z11" s="28">
        <f t="shared" si="8"/>
        <v>198</v>
      </c>
      <c r="AA11" s="6">
        <f t="shared" si="9"/>
        <v>102000</v>
      </c>
      <c r="AB11" s="6">
        <f t="shared" si="10"/>
        <v>60000</v>
      </c>
      <c r="AC11" s="6">
        <f t="shared" si="11"/>
        <v>42000</v>
      </c>
      <c r="AD11" s="7">
        <f t="shared" si="12"/>
        <v>0.58823529411764708</v>
      </c>
      <c r="AE11" s="12">
        <f t="shared" si="13"/>
        <v>3000</v>
      </c>
      <c r="AF11" s="13" t="str">
        <f t="shared" si="14"/>
        <v>계</v>
      </c>
      <c r="AG11" s="13" t="str">
        <f t="shared" si="15"/>
        <v>3/2</v>
      </c>
      <c r="AI11" s="32" t="str">
        <f t="shared" si="1"/>
        <v>동편마을3단지</v>
      </c>
      <c r="AJ11" s="21">
        <f t="shared" si="0"/>
        <v>34</v>
      </c>
      <c r="AK11" s="13" t="str">
        <f t="shared" si="16"/>
        <v>A-</v>
      </c>
      <c r="AL11" s="13"/>
      <c r="AM11" s="13"/>
      <c r="AN11" s="13"/>
      <c r="AO11" s="13" t="str">
        <f t="shared" si="17"/>
        <v>C</v>
      </c>
      <c r="AP11" s="13" t="str">
        <f t="shared" si="18"/>
        <v>X</v>
      </c>
      <c r="AQ11" s="13" t="str">
        <f t="shared" si="19"/>
        <v>X</v>
      </c>
      <c r="AR11" s="13" t="str">
        <f t="shared" si="20"/>
        <v>X</v>
      </c>
      <c r="AS11" s="13" t="str">
        <f t="shared" si="21"/>
        <v>X</v>
      </c>
      <c r="AT11" s="13" t="s">
        <v>32</v>
      </c>
      <c r="AU11" s="13" t="str">
        <f t="shared" si="22"/>
        <v>O</v>
      </c>
      <c r="AV11" s="13" t="str">
        <f t="shared" si="23"/>
        <v>O</v>
      </c>
      <c r="AW11" s="13" t="str">
        <f t="shared" si="24"/>
        <v>X</v>
      </c>
    </row>
    <row r="12" spans="1:49" x14ac:dyDescent="0.3">
      <c r="A12" s="5" t="s">
        <v>1336</v>
      </c>
      <c r="B12" s="14" t="s">
        <v>1337</v>
      </c>
      <c r="C12" s="25">
        <v>1042</v>
      </c>
      <c r="D12" s="23">
        <v>111.2</v>
      </c>
      <c r="E12" s="21">
        <v>34</v>
      </c>
      <c r="F12" s="23">
        <v>85</v>
      </c>
      <c r="G12" s="24">
        <v>26</v>
      </c>
      <c r="H12" s="25">
        <v>162</v>
      </c>
      <c r="I12" s="29">
        <v>100000</v>
      </c>
      <c r="J12" s="106" t="s">
        <v>2058</v>
      </c>
      <c r="K12" s="29">
        <v>52000</v>
      </c>
      <c r="L12" s="106" t="s">
        <v>2070</v>
      </c>
      <c r="M12" s="6">
        <f t="shared" si="2"/>
        <v>48000</v>
      </c>
      <c r="N12" s="7">
        <f t="shared" si="3"/>
        <v>0.52</v>
      </c>
      <c r="O12" s="12">
        <f t="shared" si="4"/>
        <v>2941.1764705882351</v>
      </c>
      <c r="P12" s="12">
        <f t="shared" si="5"/>
        <v>1529.4117647058824</v>
      </c>
      <c r="Q12" s="13">
        <v>3</v>
      </c>
      <c r="R12" s="13">
        <v>2</v>
      </c>
      <c r="S12" s="13" t="s">
        <v>51</v>
      </c>
      <c r="T12" s="8" t="s">
        <v>1346</v>
      </c>
      <c r="U12" s="5"/>
      <c r="V12" s="5" t="s">
        <v>1344</v>
      </c>
      <c r="X12" s="23">
        <f t="shared" si="6"/>
        <v>111.2</v>
      </c>
      <c r="Y12" s="21">
        <f t="shared" si="7"/>
        <v>34</v>
      </c>
      <c r="Z12" s="28">
        <f t="shared" si="8"/>
        <v>162</v>
      </c>
      <c r="AA12" s="6">
        <f t="shared" si="9"/>
        <v>100000</v>
      </c>
      <c r="AB12" s="6">
        <f t="shared" si="10"/>
        <v>52000</v>
      </c>
      <c r="AC12" s="6">
        <f t="shared" si="11"/>
        <v>48000</v>
      </c>
      <c r="AD12" s="7">
        <f t="shared" si="12"/>
        <v>0.52</v>
      </c>
      <c r="AE12" s="12">
        <f t="shared" si="13"/>
        <v>2941.1764705882351</v>
      </c>
      <c r="AF12" s="13" t="str">
        <f t="shared" si="14"/>
        <v>계</v>
      </c>
      <c r="AG12" s="13" t="str">
        <f t="shared" si="15"/>
        <v>3/2</v>
      </c>
      <c r="AI12" s="32" t="str">
        <f t="shared" si="1"/>
        <v>동편마을3단지</v>
      </c>
      <c r="AJ12" s="21">
        <f t="shared" si="0"/>
        <v>34</v>
      </c>
      <c r="AK12" s="13" t="str">
        <f t="shared" si="16"/>
        <v>A-</v>
      </c>
      <c r="AL12" s="13"/>
      <c r="AM12" s="13"/>
      <c r="AN12" s="13"/>
      <c r="AO12" s="13" t="str">
        <f t="shared" si="17"/>
        <v>C</v>
      </c>
      <c r="AP12" s="13" t="str">
        <f t="shared" si="18"/>
        <v>X</v>
      </c>
      <c r="AQ12" s="13" t="str">
        <f t="shared" si="19"/>
        <v>X</v>
      </c>
      <c r="AR12" s="13" t="str">
        <f t="shared" si="20"/>
        <v>X</v>
      </c>
      <c r="AS12" s="13" t="str">
        <f t="shared" si="21"/>
        <v>X</v>
      </c>
      <c r="AT12" s="13" t="s">
        <v>32</v>
      </c>
      <c r="AU12" s="13" t="str">
        <f t="shared" si="22"/>
        <v>O</v>
      </c>
      <c r="AV12" s="13" t="str">
        <f t="shared" si="23"/>
        <v>O</v>
      </c>
      <c r="AW12" s="13" t="str">
        <f t="shared" si="24"/>
        <v>X</v>
      </c>
    </row>
    <row r="13" spans="1:49" x14ac:dyDescent="0.3">
      <c r="A13" s="5" t="s">
        <v>1336</v>
      </c>
      <c r="B13" s="14" t="s">
        <v>1337</v>
      </c>
      <c r="C13" s="25">
        <v>1042</v>
      </c>
      <c r="D13" s="23">
        <v>111.2</v>
      </c>
      <c r="E13" s="21">
        <v>34</v>
      </c>
      <c r="F13" s="23">
        <v>85</v>
      </c>
      <c r="G13" s="24">
        <v>26</v>
      </c>
      <c r="H13" s="25">
        <v>106</v>
      </c>
      <c r="I13" s="29">
        <v>100000</v>
      </c>
      <c r="J13" s="106" t="s">
        <v>2059</v>
      </c>
      <c r="K13" s="29">
        <v>53000</v>
      </c>
      <c r="L13" s="106" t="s">
        <v>2071</v>
      </c>
      <c r="M13" s="6">
        <f t="shared" si="2"/>
        <v>47000</v>
      </c>
      <c r="N13" s="7">
        <f t="shared" si="3"/>
        <v>0.53</v>
      </c>
      <c r="O13" s="12">
        <f t="shared" si="4"/>
        <v>2941.1764705882351</v>
      </c>
      <c r="P13" s="12">
        <f t="shared" si="5"/>
        <v>1558.8235294117646</v>
      </c>
      <c r="Q13" s="13">
        <v>3</v>
      </c>
      <c r="R13" s="13">
        <v>2</v>
      </c>
      <c r="S13" s="13" t="s">
        <v>51</v>
      </c>
      <c r="T13" s="8" t="s">
        <v>1347</v>
      </c>
      <c r="U13" s="5"/>
      <c r="V13" s="5" t="s">
        <v>1344</v>
      </c>
      <c r="X13" s="23">
        <f t="shared" si="6"/>
        <v>111.2</v>
      </c>
      <c r="Y13" s="21">
        <f t="shared" si="7"/>
        <v>34</v>
      </c>
      <c r="Z13" s="28">
        <f t="shared" si="8"/>
        <v>106</v>
      </c>
      <c r="AA13" s="6">
        <f t="shared" si="9"/>
        <v>100000</v>
      </c>
      <c r="AB13" s="6">
        <f t="shared" si="10"/>
        <v>53000</v>
      </c>
      <c r="AC13" s="6">
        <f t="shared" si="11"/>
        <v>47000</v>
      </c>
      <c r="AD13" s="7">
        <f t="shared" si="12"/>
        <v>0.53</v>
      </c>
      <c r="AE13" s="12">
        <f t="shared" si="13"/>
        <v>2941.1764705882351</v>
      </c>
      <c r="AF13" s="13" t="str">
        <f t="shared" si="14"/>
        <v>계</v>
      </c>
      <c r="AG13" s="13" t="str">
        <f t="shared" si="15"/>
        <v>3/2</v>
      </c>
      <c r="AI13" s="32" t="str">
        <f t="shared" si="1"/>
        <v>동편마을3단지</v>
      </c>
      <c r="AJ13" s="21">
        <f t="shared" si="0"/>
        <v>34</v>
      </c>
      <c r="AK13" s="13" t="str">
        <f t="shared" si="16"/>
        <v>A-</v>
      </c>
      <c r="AL13" s="13"/>
      <c r="AM13" s="13"/>
      <c r="AN13" s="13"/>
      <c r="AO13" s="13" t="str">
        <f t="shared" si="17"/>
        <v>C</v>
      </c>
      <c r="AP13" s="13" t="str">
        <f t="shared" si="18"/>
        <v>X</v>
      </c>
      <c r="AQ13" s="13" t="str">
        <f t="shared" si="19"/>
        <v>X</v>
      </c>
      <c r="AR13" s="13" t="str">
        <f t="shared" si="20"/>
        <v>X</v>
      </c>
      <c r="AS13" s="13" t="str">
        <f t="shared" si="21"/>
        <v>X</v>
      </c>
      <c r="AT13" s="13" t="s">
        <v>32</v>
      </c>
      <c r="AU13" s="13" t="str">
        <f t="shared" si="22"/>
        <v>O</v>
      </c>
      <c r="AV13" s="13" t="str">
        <f t="shared" si="23"/>
        <v>O</v>
      </c>
      <c r="AW13" s="13" t="str">
        <f t="shared" si="24"/>
        <v>X</v>
      </c>
    </row>
    <row r="14" spans="1:49" x14ac:dyDescent="0.3">
      <c r="A14" s="5" t="s">
        <v>1336</v>
      </c>
      <c r="B14" s="14" t="s">
        <v>1337</v>
      </c>
      <c r="C14" s="25">
        <v>1042</v>
      </c>
      <c r="D14" s="23">
        <v>111.3</v>
      </c>
      <c r="E14" s="21">
        <v>34</v>
      </c>
      <c r="F14" s="23">
        <v>85</v>
      </c>
      <c r="G14" s="24">
        <v>26</v>
      </c>
      <c r="H14" s="25">
        <v>88</v>
      </c>
      <c r="I14" s="29">
        <v>96000</v>
      </c>
      <c r="J14" s="106" t="s">
        <v>2060</v>
      </c>
      <c r="K14" s="29">
        <v>49000</v>
      </c>
      <c r="L14" s="106" t="s">
        <v>2072</v>
      </c>
      <c r="M14" s="6">
        <f t="shared" si="2"/>
        <v>47000</v>
      </c>
      <c r="N14" s="7">
        <f t="shared" si="3"/>
        <v>0.51041666666666663</v>
      </c>
      <c r="O14" s="12">
        <f t="shared" si="4"/>
        <v>2823.5294117647059</v>
      </c>
      <c r="P14" s="12">
        <f t="shared" si="5"/>
        <v>1441.1764705882354</v>
      </c>
      <c r="Q14" s="13">
        <v>3</v>
      </c>
      <c r="R14" s="13">
        <v>2</v>
      </c>
      <c r="S14" s="13" t="s">
        <v>51</v>
      </c>
      <c r="T14" s="8" t="s">
        <v>1348</v>
      </c>
      <c r="U14" s="5"/>
      <c r="V14" s="5" t="s">
        <v>1344</v>
      </c>
      <c r="X14" s="23">
        <f t="shared" si="6"/>
        <v>111.3</v>
      </c>
      <c r="Y14" s="21">
        <f t="shared" si="7"/>
        <v>34</v>
      </c>
      <c r="Z14" s="28">
        <f t="shared" si="8"/>
        <v>88</v>
      </c>
      <c r="AA14" s="6">
        <f t="shared" si="9"/>
        <v>96000</v>
      </c>
      <c r="AB14" s="6">
        <f t="shared" si="10"/>
        <v>49000</v>
      </c>
      <c r="AC14" s="6">
        <f t="shared" si="11"/>
        <v>47000</v>
      </c>
      <c r="AD14" s="7">
        <f t="shared" si="12"/>
        <v>0.51041666666666663</v>
      </c>
      <c r="AE14" s="12">
        <f t="shared" si="13"/>
        <v>2823.5294117647059</v>
      </c>
      <c r="AF14" s="13" t="str">
        <f t="shared" si="14"/>
        <v>계</v>
      </c>
      <c r="AG14" s="13" t="str">
        <f t="shared" si="15"/>
        <v>3/2</v>
      </c>
      <c r="AI14" s="32" t="str">
        <f t="shared" si="1"/>
        <v>동편마을3단지</v>
      </c>
      <c r="AJ14" s="21">
        <f t="shared" si="0"/>
        <v>34</v>
      </c>
      <c r="AK14" s="13" t="str">
        <f t="shared" si="16"/>
        <v>A-</v>
      </c>
      <c r="AL14" s="13"/>
      <c r="AM14" s="13"/>
      <c r="AN14" s="13"/>
      <c r="AO14" s="13" t="str">
        <f t="shared" si="17"/>
        <v>C</v>
      </c>
      <c r="AP14" s="13" t="str">
        <f t="shared" si="18"/>
        <v>X</v>
      </c>
      <c r="AQ14" s="13" t="str">
        <f t="shared" si="19"/>
        <v>X</v>
      </c>
      <c r="AR14" s="13" t="str">
        <f t="shared" si="20"/>
        <v>X</v>
      </c>
      <c r="AS14" s="13" t="str">
        <f t="shared" si="21"/>
        <v>X</v>
      </c>
      <c r="AT14" s="13" t="s">
        <v>32</v>
      </c>
      <c r="AU14" s="13" t="str">
        <f t="shared" si="22"/>
        <v>O</v>
      </c>
      <c r="AV14" s="13" t="str">
        <f t="shared" si="23"/>
        <v>O</v>
      </c>
      <c r="AW14" s="13" t="str">
        <f t="shared" si="24"/>
        <v>X</v>
      </c>
    </row>
    <row r="15" spans="1:49" x14ac:dyDescent="0.3">
      <c r="A15" s="5" t="s">
        <v>1336</v>
      </c>
      <c r="B15" s="14" t="s">
        <v>1337</v>
      </c>
      <c r="C15" s="25">
        <v>1042</v>
      </c>
      <c r="D15" s="23">
        <v>111.2</v>
      </c>
      <c r="E15" s="21">
        <v>34</v>
      </c>
      <c r="F15" s="23">
        <v>85</v>
      </c>
      <c r="G15" s="24">
        <v>26</v>
      </c>
      <c r="H15" s="25">
        <v>88</v>
      </c>
      <c r="I15" s="29">
        <v>100000</v>
      </c>
      <c r="J15" s="106" t="s">
        <v>2061</v>
      </c>
      <c r="K15" s="29">
        <v>53000</v>
      </c>
      <c r="L15" s="106" t="s">
        <v>2061</v>
      </c>
      <c r="M15" s="6">
        <f t="shared" si="2"/>
        <v>47000</v>
      </c>
      <c r="N15" s="7">
        <f t="shared" si="3"/>
        <v>0.53</v>
      </c>
      <c r="O15" s="12">
        <f t="shared" si="4"/>
        <v>2941.1764705882351</v>
      </c>
      <c r="P15" s="12">
        <f t="shared" si="5"/>
        <v>1558.8235294117646</v>
      </c>
      <c r="Q15" s="13">
        <v>3</v>
      </c>
      <c r="R15" s="13">
        <v>2</v>
      </c>
      <c r="S15" s="13" t="s">
        <v>51</v>
      </c>
      <c r="T15" s="8" t="s">
        <v>1349</v>
      </c>
      <c r="U15" s="5"/>
      <c r="V15" s="5" t="s">
        <v>1344</v>
      </c>
      <c r="X15" s="23">
        <f t="shared" si="6"/>
        <v>111.2</v>
      </c>
      <c r="Y15" s="21">
        <f t="shared" si="7"/>
        <v>34</v>
      </c>
      <c r="Z15" s="28">
        <f t="shared" si="8"/>
        <v>88</v>
      </c>
      <c r="AA15" s="6">
        <f t="shared" si="9"/>
        <v>100000</v>
      </c>
      <c r="AB15" s="6">
        <f t="shared" si="10"/>
        <v>53000</v>
      </c>
      <c r="AC15" s="6">
        <f t="shared" si="11"/>
        <v>47000</v>
      </c>
      <c r="AD15" s="7">
        <f t="shared" si="12"/>
        <v>0.53</v>
      </c>
      <c r="AE15" s="12">
        <f t="shared" si="13"/>
        <v>2941.1764705882351</v>
      </c>
      <c r="AF15" s="13" t="str">
        <f t="shared" si="14"/>
        <v>계</v>
      </c>
      <c r="AG15" s="13" t="str">
        <f t="shared" si="15"/>
        <v>3/2</v>
      </c>
      <c r="AI15" s="32" t="str">
        <f t="shared" si="1"/>
        <v>동편마을3단지</v>
      </c>
      <c r="AJ15" s="21">
        <f t="shared" si="0"/>
        <v>34</v>
      </c>
      <c r="AK15" s="13" t="str">
        <f t="shared" si="16"/>
        <v>A-</v>
      </c>
      <c r="AL15" s="13"/>
      <c r="AM15" s="13"/>
      <c r="AN15" s="13"/>
      <c r="AO15" s="13" t="str">
        <f t="shared" si="17"/>
        <v>C</v>
      </c>
      <c r="AP15" s="13" t="str">
        <f t="shared" si="18"/>
        <v>X</v>
      </c>
      <c r="AQ15" s="13" t="str">
        <f t="shared" si="19"/>
        <v>X</v>
      </c>
      <c r="AR15" s="13" t="str">
        <f t="shared" si="20"/>
        <v>X</v>
      </c>
      <c r="AS15" s="13" t="str">
        <f t="shared" si="21"/>
        <v>X</v>
      </c>
      <c r="AT15" s="13" t="s">
        <v>32</v>
      </c>
      <c r="AU15" s="13" t="str">
        <f t="shared" si="22"/>
        <v>O</v>
      </c>
      <c r="AV15" s="13" t="str">
        <f t="shared" si="23"/>
        <v>O</v>
      </c>
      <c r="AW15" s="13" t="str">
        <f t="shared" si="24"/>
        <v>X</v>
      </c>
    </row>
    <row r="16" spans="1:49" x14ac:dyDescent="0.3">
      <c r="A16" s="5" t="s">
        <v>1336</v>
      </c>
      <c r="B16" s="14" t="s">
        <v>1337</v>
      </c>
      <c r="C16" s="25">
        <v>1042</v>
      </c>
      <c r="D16" s="23">
        <v>111.1</v>
      </c>
      <c r="E16" s="21">
        <v>34</v>
      </c>
      <c r="F16" s="23">
        <v>84.9</v>
      </c>
      <c r="G16" s="24">
        <v>26</v>
      </c>
      <c r="H16" s="25">
        <v>72</v>
      </c>
      <c r="I16" s="29">
        <v>95000</v>
      </c>
      <c r="J16" s="106" t="s">
        <v>2062</v>
      </c>
      <c r="K16" s="29">
        <v>49000</v>
      </c>
      <c r="L16" s="106" t="s">
        <v>2073</v>
      </c>
      <c r="M16" s="6">
        <f t="shared" si="2"/>
        <v>46000</v>
      </c>
      <c r="N16" s="7">
        <f t="shared" si="3"/>
        <v>0.51578947368421058</v>
      </c>
      <c r="O16" s="12">
        <f t="shared" si="4"/>
        <v>2794.1176470588234</v>
      </c>
      <c r="P16" s="12">
        <f t="shared" si="5"/>
        <v>1441.1764705882354</v>
      </c>
      <c r="Q16" s="13">
        <v>3</v>
      </c>
      <c r="R16" s="13">
        <v>2</v>
      </c>
      <c r="S16" s="13" t="s">
        <v>51</v>
      </c>
      <c r="T16" s="8" t="s">
        <v>1350</v>
      </c>
      <c r="U16" s="5"/>
      <c r="V16" s="5" t="s">
        <v>1344</v>
      </c>
      <c r="X16" s="23">
        <f t="shared" si="6"/>
        <v>111.1</v>
      </c>
      <c r="Y16" s="21">
        <f t="shared" si="7"/>
        <v>34</v>
      </c>
      <c r="Z16" s="28">
        <f t="shared" si="8"/>
        <v>72</v>
      </c>
      <c r="AA16" s="6">
        <f t="shared" si="9"/>
        <v>95000</v>
      </c>
      <c r="AB16" s="6">
        <f t="shared" si="10"/>
        <v>49000</v>
      </c>
      <c r="AC16" s="6">
        <f t="shared" si="11"/>
        <v>46000</v>
      </c>
      <c r="AD16" s="7">
        <f t="shared" si="12"/>
        <v>0.51578947368421058</v>
      </c>
      <c r="AE16" s="12">
        <f t="shared" si="13"/>
        <v>2794.1176470588234</v>
      </c>
      <c r="AF16" s="13" t="str">
        <f t="shared" si="14"/>
        <v>계</v>
      </c>
      <c r="AG16" s="13" t="str">
        <f t="shared" si="15"/>
        <v>3/2</v>
      </c>
      <c r="AI16" s="32" t="str">
        <f t="shared" si="1"/>
        <v>동편마을3단지</v>
      </c>
      <c r="AJ16" s="21">
        <f t="shared" si="0"/>
        <v>34</v>
      </c>
      <c r="AK16" s="13" t="str">
        <f t="shared" si="16"/>
        <v>A-</v>
      </c>
      <c r="AL16" s="13"/>
      <c r="AM16" s="13"/>
      <c r="AN16" s="13"/>
      <c r="AO16" s="13" t="str">
        <f t="shared" si="17"/>
        <v>C</v>
      </c>
      <c r="AP16" s="13" t="str">
        <f t="shared" si="18"/>
        <v>X</v>
      </c>
      <c r="AQ16" s="13" t="str">
        <f t="shared" si="19"/>
        <v>X</v>
      </c>
      <c r="AR16" s="13" t="str">
        <f t="shared" si="20"/>
        <v>X</v>
      </c>
      <c r="AS16" s="13" t="str">
        <f t="shared" si="21"/>
        <v>X</v>
      </c>
      <c r="AT16" s="13" t="s">
        <v>32</v>
      </c>
      <c r="AU16" s="13" t="str">
        <f t="shared" si="22"/>
        <v>O</v>
      </c>
      <c r="AV16" s="13" t="str">
        <f t="shared" si="23"/>
        <v>O</v>
      </c>
      <c r="AW16" s="13" t="str">
        <f t="shared" si="24"/>
        <v>X</v>
      </c>
    </row>
    <row r="17" spans="1:49" x14ac:dyDescent="0.3">
      <c r="A17" s="5" t="s">
        <v>1336</v>
      </c>
      <c r="B17" s="14" t="s">
        <v>1337</v>
      </c>
      <c r="C17" s="25">
        <v>1042</v>
      </c>
      <c r="D17" s="23">
        <v>111.2</v>
      </c>
      <c r="E17" s="21">
        <v>34</v>
      </c>
      <c r="F17" s="23">
        <v>84.9</v>
      </c>
      <c r="G17" s="24">
        <v>26</v>
      </c>
      <c r="H17" s="25">
        <v>36</v>
      </c>
      <c r="I17" s="29">
        <v>119700</v>
      </c>
      <c r="J17" s="106" t="s">
        <v>2063</v>
      </c>
      <c r="K17" s="29">
        <v>48000</v>
      </c>
      <c r="L17" s="106" t="s">
        <v>2074</v>
      </c>
      <c r="M17" s="6">
        <f t="shared" si="2"/>
        <v>71700</v>
      </c>
      <c r="N17" s="7">
        <f t="shared" si="3"/>
        <v>0.40100250626566414</v>
      </c>
      <c r="O17" s="12">
        <f t="shared" si="4"/>
        <v>3520.5882352941176</v>
      </c>
      <c r="P17" s="12">
        <f t="shared" si="5"/>
        <v>1411.7647058823529</v>
      </c>
      <c r="Q17" s="13">
        <v>3</v>
      </c>
      <c r="R17" s="13">
        <v>2</v>
      </c>
      <c r="S17" s="13" t="s">
        <v>51</v>
      </c>
      <c r="T17" s="8" t="s">
        <v>1351</v>
      </c>
      <c r="U17" s="5" t="s">
        <v>2064</v>
      </c>
      <c r="V17" s="5" t="s">
        <v>1344</v>
      </c>
      <c r="X17" s="23">
        <f t="shared" si="6"/>
        <v>111.2</v>
      </c>
      <c r="Y17" s="21">
        <f t="shared" si="7"/>
        <v>34</v>
      </c>
      <c r="Z17" s="28">
        <f t="shared" si="8"/>
        <v>36</v>
      </c>
      <c r="AA17" s="6">
        <f t="shared" si="9"/>
        <v>119700</v>
      </c>
      <c r="AB17" s="6">
        <f t="shared" si="10"/>
        <v>48000</v>
      </c>
      <c r="AC17" s="6">
        <f t="shared" si="11"/>
        <v>71700</v>
      </c>
      <c r="AD17" s="7">
        <f t="shared" si="12"/>
        <v>0.40100250626566414</v>
      </c>
      <c r="AE17" s="12">
        <f t="shared" si="13"/>
        <v>3520.5882352941176</v>
      </c>
      <c r="AF17" s="13" t="str">
        <f t="shared" si="14"/>
        <v>계</v>
      </c>
      <c r="AG17" s="13" t="str">
        <f t="shared" si="15"/>
        <v>3/2</v>
      </c>
      <c r="AI17" s="32" t="str">
        <f t="shared" si="1"/>
        <v>동편마을3단지</v>
      </c>
      <c r="AJ17" s="21">
        <f t="shared" si="0"/>
        <v>34</v>
      </c>
      <c r="AK17" s="13" t="str">
        <f t="shared" si="16"/>
        <v>A-</v>
      </c>
      <c r="AL17" s="13"/>
      <c r="AM17" s="13"/>
      <c r="AN17" s="13"/>
      <c r="AO17" s="13" t="str">
        <f t="shared" si="17"/>
        <v>C</v>
      </c>
      <c r="AP17" s="13" t="str">
        <f t="shared" si="18"/>
        <v>X</v>
      </c>
      <c r="AQ17" s="13" t="str">
        <f t="shared" si="19"/>
        <v>X</v>
      </c>
      <c r="AR17" s="13" t="str">
        <f t="shared" si="20"/>
        <v>X</v>
      </c>
      <c r="AS17" s="13" t="str">
        <f t="shared" si="21"/>
        <v>X</v>
      </c>
      <c r="AT17" s="13" t="s">
        <v>32</v>
      </c>
      <c r="AU17" s="13" t="str">
        <f t="shared" si="22"/>
        <v>O</v>
      </c>
      <c r="AV17" s="13" t="str">
        <f t="shared" si="23"/>
        <v>O</v>
      </c>
      <c r="AW17" s="13" t="str">
        <f t="shared" si="24"/>
        <v>X</v>
      </c>
    </row>
    <row r="18" spans="1:49" x14ac:dyDescent="0.3">
      <c r="A18" s="5" t="s">
        <v>1336</v>
      </c>
      <c r="B18" s="14" t="s">
        <v>1337</v>
      </c>
      <c r="C18" s="25">
        <v>1042</v>
      </c>
      <c r="D18" s="23">
        <v>111.2</v>
      </c>
      <c r="E18" s="21">
        <v>34</v>
      </c>
      <c r="F18" s="23">
        <v>85</v>
      </c>
      <c r="G18" s="24">
        <v>26</v>
      </c>
      <c r="H18" s="25">
        <v>15</v>
      </c>
      <c r="I18" s="29">
        <v>100000</v>
      </c>
      <c r="J18" s="106" t="s">
        <v>2065</v>
      </c>
      <c r="K18" s="29">
        <v>54000</v>
      </c>
      <c r="L18" s="106"/>
      <c r="M18" s="6">
        <f t="shared" si="2"/>
        <v>46000</v>
      </c>
      <c r="N18" s="7">
        <f t="shared" si="3"/>
        <v>0.54</v>
      </c>
      <c r="O18" s="12">
        <f t="shared" si="4"/>
        <v>2941.1764705882351</v>
      </c>
      <c r="P18" s="12">
        <f t="shared" si="5"/>
        <v>1588.2352941176471</v>
      </c>
      <c r="Q18" s="13">
        <v>3</v>
      </c>
      <c r="R18" s="13">
        <v>2</v>
      </c>
      <c r="S18" s="13" t="s">
        <v>51</v>
      </c>
      <c r="T18" s="8" t="s">
        <v>1352</v>
      </c>
      <c r="U18" s="5" t="s">
        <v>2075</v>
      </c>
      <c r="V18" s="5" t="s">
        <v>1344</v>
      </c>
      <c r="X18" s="23">
        <f t="shared" si="6"/>
        <v>111.2</v>
      </c>
      <c r="Y18" s="21">
        <f t="shared" si="7"/>
        <v>34</v>
      </c>
      <c r="Z18" s="28">
        <f t="shared" si="8"/>
        <v>15</v>
      </c>
      <c r="AA18" s="6">
        <f t="shared" si="9"/>
        <v>100000</v>
      </c>
      <c r="AB18" s="6">
        <f t="shared" si="10"/>
        <v>54000</v>
      </c>
      <c r="AC18" s="6">
        <f t="shared" si="11"/>
        <v>46000</v>
      </c>
      <c r="AD18" s="7">
        <f t="shared" si="12"/>
        <v>0.54</v>
      </c>
      <c r="AE18" s="12">
        <f t="shared" si="13"/>
        <v>2941.1764705882351</v>
      </c>
      <c r="AF18" s="13" t="str">
        <f t="shared" si="14"/>
        <v>계</v>
      </c>
      <c r="AG18" s="13" t="str">
        <f t="shared" si="15"/>
        <v>3/2</v>
      </c>
      <c r="AI18" s="32" t="str">
        <f t="shared" si="1"/>
        <v>동편마을3단지</v>
      </c>
      <c r="AJ18" s="21">
        <f t="shared" si="0"/>
        <v>34</v>
      </c>
      <c r="AK18" s="13" t="str">
        <f t="shared" si="16"/>
        <v>A-</v>
      </c>
      <c r="AL18" s="13"/>
      <c r="AM18" s="13"/>
      <c r="AN18" s="13"/>
      <c r="AO18" s="13" t="str">
        <f t="shared" si="17"/>
        <v>C</v>
      </c>
      <c r="AP18" s="13" t="str">
        <f t="shared" si="18"/>
        <v>X</v>
      </c>
      <c r="AQ18" s="13" t="str">
        <f t="shared" si="19"/>
        <v>X</v>
      </c>
      <c r="AR18" s="13" t="str">
        <f t="shared" si="20"/>
        <v>X</v>
      </c>
      <c r="AS18" s="13" t="str">
        <f t="shared" si="21"/>
        <v>X</v>
      </c>
      <c r="AT18" s="13" t="s">
        <v>32</v>
      </c>
      <c r="AU18" s="13" t="str">
        <f t="shared" si="22"/>
        <v>O</v>
      </c>
      <c r="AV18" s="13" t="str">
        <f t="shared" si="23"/>
        <v>O</v>
      </c>
      <c r="AW18" s="13" t="str">
        <f t="shared" si="24"/>
        <v>X</v>
      </c>
    </row>
    <row r="19" spans="1:49" x14ac:dyDescent="0.3">
      <c r="A19" s="5" t="s">
        <v>1336</v>
      </c>
      <c r="B19" s="14" t="s">
        <v>1337</v>
      </c>
      <c r="C19" s="25">
        <v>1042</v>
      </c>
      <c r="D19" s="23">
        <v>111.1</v>
      </c>
      <c r="E19" s="21">
        <v>34</v>
      </c>
      <c r="F19" s="23">
        <v>84.9</v>
      </c>
      <c r="G19" s="24">
        <v>26</v>
      </c>
      <c r="H19" s="25">
        <v>15</v>
      </c>
      <c r="I19" s="29">
        <v>119700</v>
      </c>
      <c r="J19" s="106"/>
      <c r="K19" s="29">
        <v>54000</v>
      </c>
      <c r="L19" s="106"/>
      <c r="M19" s="6">
        <f t="shared" si="2"/>
        <v>65700</v>
      </c>
      <c r="N19" s="7">
        <f t="shared" si="3"/>
        <v>0.45112781954887216</v>
      </c>
      <c r="O19" s="12">
        <f t="shared" si="4"/>
        <v>3520.5882352941176</v>
      </c>
      <c r="P19" s="12">
        <f t="shared" si="5"/>
        <v>1588.2352941176471</v>
      </c>
      <c r="Q19" s="13">
        <v>3</v>
      </c>
      <c r="R19" s="13">
        <v>2</v>
      </c>
      <c r="S19" s="13" t="s">
        <v>51</v>
      </c>
      <c r="T19" s="8" t="s">
        <v>1353</v>
      </c>
      <c r="U19" s="5" t="s">
        <v>2066</v>
      </c>
      <c r="V19" s="5" t="s">
        <v>1344</v>
      </c>
      <c r="X19" s="23">
        <f t="shared" si="6"/>
        <v>111.1</v>
      </c>
      <c r="Y19" s="21">
        <f t="shared" si="7"/>
        <v>34</v>
      </c>
      <c r="Z19" s="28">
        <f t="shared" si="8"/>
        <v>15</v>
      </c>
      <c r="AA19" s="6">
        <f t="shared" si="9"/>
        <v>119700</v>
      </c>
      <c r="AB19" s="6">
        <f t="shared" si="10"/>
        <v>54000</v>
      </c>
      <c r="AC19" s="6">
        <f t="shared" si="11"/>
        <v>65700</v>
      </c>
      <c r="AD19" s="7">
        <f t="shared" si="12"/>
        <v>0.45112781954887216</v>
      </c>
      <c r="AE19" s="12">
        <f t="shared" si="13"/>
        <v>3520.5882352941176</v>
      </c>
      <c r="AF19" s="13" t="str">
        <f t="shared" si="14"/>
        <v>계</v>
      </c>
      <c r="AG19" s="13" t="str">
        <f t="shared" si="15"/>
        <v>3/2</v>
      </c>
      <c r="AI19" s="32" t="str">
        <f t="shared" si="1"/>
        <v>동편마을3단지</v>
      </c>
      <c r="AJ19" s="21">
        <f t="shared" si="0"/>
        <v>34</v>
      </c>
      <c r="AK19" s="13" t="str">
        <f t="shared" si="16"/>
        <v>A-</v>
      </c>
      <c r="AL19" s="13"/>
      <c r="AM19" s="13"/>
      <c r="AN19" s="13"/>
      <c r="AO19" s="13" t="str">
        <f t="shared" si="17"/>
        <v>C</v>
      </c>
      <c r="AP19" s="13" t="str">
        <f t="shared" si="18"/>
        <v>X</v>
      </c>
      <c r="AQ19" s="13" t="str">
        <f t="shared" si="19"/>
        <v>X</v>
      </c>
      <c r="AR19" s="13" t="str">
        <f t="shared" si="20"/>
        <v>X</v>
      </c>
      <c r="AS19" s="13" t="str">
        <f t="shared" si="21"/>
        <v>X</v>
      </c>
      <c r="AT19" s="13" t="s">
        <v>32</v>
      </c>
      <c r="AU19" s="13" t="str">
        <f t="shared" si="22"/>
        <v>O</v>
      </c>
      <c r="AV19" s="13" t="str">
        <f t="shared" si="23"/>
        <v>O</v>
      </c>
      <c r="AW19" s="13" t="str">
        <f t="shared" si="24"/>
        <v>X</v>
      </c>
    </row>
    <row r="20" spans="1:49" x14ac:dyDescent="0.3">
      <c r="A20" s="5"/>
      <c r="B20" s="13"/>
      <c r="C20" s="9"/>
      <c r="D20" s="5"/>
      <c r="E20" s="18"/>
      <c r="F20" s="23"/>
      <c r="G20" s="5"/>
      <c r="H20" s="5"/>
      <c r="I20" s="5"/>
      <c r="J20" s="8"/>
      <c r="K20" s="5"/>
      <c r="L20" s="8"/>
      <c r="M20" s="5"/>
      <c r="N20" s="5"/>
      <c r="O20" s="12"/>
      <c r="P20" s="12"/>
      <c r="Q20" s="21"/>
      <c r="R20" s="21"/>
      <c r="S20" s="5"/>
      <c r="T20" s="59"/>
      <c r="U20" s="5"/>
      <c r="V20" s="5"/>
      <c r="X20" s="90" t="str">
        <f>$A$4&amp;" "&amp;A21&amp;"("&amp;B21&amp;","&amp;C21&amp;"^)"</f>
        <v>관양동 공작럭키('93.06,766^)</v>
      </c>
      <c r="Y20" s="91"/>
      <c r="Z20" s="91"/>
      <c r="AA20" s="91"/>
      <c r="AB20" s="91"/>
      <c r="AC20" s="91"/>
      <c r="AD20" s="91"/>
      <c r="AE20" s="91"/>
      <c r="AF20" s="91"/>
      <c r="AG20" s="92"/>
      <c r="AI20" s="32" t="str">
        <f t="shared" si="1"/>
        <v/>
      </c>
      <c r="AJ20" s="33" t="str">
        <f t="shared" si="0"/>
        <v/>
      </c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</row>
    <row r="21" spans="1:49" x14ac:dyDescent="0.3">
      <c r="A21" s="5" t="s">
        <v>1354</v>
      </c>
      <c r="B21" s="14" t="s">
        <v>1355</v>
      </c>
      <c r="C21" s="25">
        <v>766</v>
      </c>
      <c r="D21" s="23">
        <v>67.2</v>
      </c>
      <c r="E21" s="21">
        <v>20</v>
      </c>
      <c r="F21" s="23">
        <v>49.8</v>
      </c>
      <c r="G21" s="24">
        <v>15</v>
      </c>
      <c r="H21" s="25">
        <v>766</v>
      </c>
      <c r="I21" s="29">
        <v>43000</v>
      </c>
      <c r="J21" s="106" t="s">
        <v>2076</v>
      </c>
      <c r="K21" s="29">
        <v>30000</v>
      </c>
      <c r="L21" s="106" t="s">
        <v>2077</v>
      </c>
      <c r="M21" s="6">
        <f>I21-K21</f>
        <v>13000</v>
      </c>
      <c r="N21" s="7">
        <f>IF(ISERROR(K21/I21),"",K21/I21)</f>
        <v>0.69767441860465118</v>
      </c>
      <c r="O21" s="12">
        <f>I21/E21</f>
        <v>2150</v>
      </c>
      <c r="P21" s="12">
        <f>K21/E21</f>
        <v>1500</v>
      </c>
      <c r="Q21" s="13">
        <v>3</v>
      </c>
      <c r="R21" s="13">
        <v>1</v>
      </c>
      <c r="S21" s="13" t="s">
        <v>1356</v>
      </c>
      <c r="T21" s="8">
        <v>67</v>
      </c>
      <c r="U21" s="5"/>
      <c r="V21" s="5" t="s">
        <v>1357</v>
      </c>
      <c r="X21" s="23">
        <f>D21</f>
        <v>67.2</v>
      </c>
      <c r="Y21" s="21">
        <f>E21</f>
        <v>20</v>
      </c>
      <c r="Z21" s="28">
        <f>H21</f>
        <v>766</v>
      </c>
      <c r="AA21" s="6">
        <f>I21</f>
        <v>43000</v>
      </c>
      <c r="AB21" s="6">
        <f>K21</f>
        <v>30000</v>
      </c>
      <c r="AC21" s="6">
        <f>M21</f>
        <v>13000</v>
      </c>
      <c r="AD21" s="7">
        <f>N21</f>
        <v>0.69767441860465118</v>
      </c>
      <c r="AE21" s="12">
        <f>O21</f>
        <v>2150</v>
      </c>
      <c r="AF21" s="13" t="str">
        <f>S21</f>
        <v>복</v>
      </c>
      <c r="AG21" s="13" t="str">
        <f>Q21&amp;"/"&amp;R21</f>
        <v>3/1</v>
      </c>
      <c r="AI21" s="32" t="str">
        <f t="shared" si="1"/>
        <v>공작럭키</v>
      </c>
      <c r="AJ21" s="21">
        <f t="shared" si="0"/>
        <v>20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>X</v>
      </c>
      <c r="AQ21" s="13" t="str">
        <f>IF(I21="","",IF(I21&lt;=$AQ$1,"O","X"))</f>
        <v>O</v>
      </c>
      <c r="AR21" s="13" t="str">
        <f>IF(O21="","",IF(O21&lt;=$AR$1,"O","X"))</f>
        <v>X</v>
      </c>
      <c r="AS21" s="13" t="str">
        <f>IF(M21="","",IF(M21&lt;=$AS$1,"O","X"))</f>
        <v>X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O</v>
      </c>
      <c r="AW21" s="13" t="str">
        <f>IF(AP21="","",IF(AND(AP21="O",AQ21="O",AS21="O",AU21="O",AV21="O"),"후보","X"))</f>
        <v>X</v>
      </c>
    </row>
    <row r="22" spans="1:49" x14ac:dyDescent="0.3">
      <c r="A22" s="5"/>
      <c r="B22" s="13"/>
      <c r="C22" s="9"/>
      <c r="D22" s="5"/>
      <c r="E22" s="18"/>
      <c r="F22" s="23"/>
      <c r="G22" s="5"/>
      <c r="H22" s="5"/>
      <c r="I22" s="5"/>
      <c r="J22" s="8"/>
      <c r="K22" s="5"/>
      <c r="L22" s="8"/>
      <c r="M22" s="5"/>
      <c r="N22" s="5"/>
      <c r="O22" s="12"/>
      <c r="P22" s="12"/>
      <c r="Q22" s="21"/>
      <c r="R22" s="21"/>
      <c r="S22" s="5"/>
      <c r="T22" s="59"/>
      <c r="U22" s="5"/>
      <c r="V22" s="5"/>
      <c r="X22" s="90" t="str">
        <f>$A$4&amp;" "&amp;A23&amp;"("&amp;B23&amp;","&amp;C23&amp;"^)"</f>
        <v>관양동 인덕원마을삼성('98.12,1314^)</v>
      </c>
      <c r="Y22" s="91"/>
      <c r="Z22" s="91"/>
      <c r="AA22" s="91"/>
      <c r="AB22" s="91"/>
      <c r="AC22" s="91"/>
      <c r="AD22" s="91"/>
      <c r="AE22" s="91"/>
      <c r="AF22" s="91"/>
      <c r="AG22" s="92"/>
      <c r="AI22" s="32" t="str">
        <f t="shared" si="1"/>
        <v/>
      </c>
      <c r="AJ22" s="33" t="str">
        <f t="shared" si="0"/>
        <v/>
      </c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x14ac:dyDescent="0.3">
      <c r="A23" s="5" t="s">
        <v>1358</v>
      </c>
      <c r="B23" s="14" t="s">
        <v>1359</v>
      </c>
      <c r="C23" s="25">
        <v>1314</v>
      </c>
      <c r="D23" s="23">
        <v>79.400000000000006</v>
      </c>
      <c r="E23" s="21">
        <v>24</v>
      </c>
      <c r="F23" s="23">
        <v>59.8</v>
      </c>
      <c r="G23" s="24">
        <v>18</v>
      </c>
      <c r="H23" s="25">
        <v>470</v>
      </c>
      <c r="I23" s="29">
        <v>69000</v>
      </c>
      <c r="J23" s="106" t="s">
        <v>2078</v>
      </c>
      <c r="K23" s="29">
        <v>45000</v>
      </c>
      <c r="L23" s="106" t="s">
        <v>2083</v>
      </c>
      <c r="M23" s="6">
        <f>I23-K23</f>
        <v>24000</v>
      </c>
      <c r="N23" s="7">
        <f>IF(ISERROR(K23/I23),"",K23/I23)</f>
        <v>0.65217391304347827</v>
      </c>
      <c r="O23" s="12">
        <f>I23/E23</f>
        <v>2875</v>
      </c>
      <c r="P23" s="12">
        <f>K23/E23</f>
        <v>1875</v>
      </c>
      <c r="Q23" s="13">
        <v>2</v>
      </c>
      <c r="R23" s="13">
        <v>1</v>
      </c>
      <c r="S23" s="13" t="s">
        <v>51</v>
      </c>
      <c r="T23" s="8" t="s">
        <v>1360</v>
      </c>
      <c r="U23" s="5"/>
      <c r="V23" s="5" t="s">
        <v>1361</v>
      </c>
      <c r="X23" s="23">
        <f t="shared" ref="X23:Y25" si="25">D23</f>
        <v>79.400000000000006</v>
      </c>
      <c r="Y23" s="21">
        <f t="shared" si="25"/>
        <v>24</v>
      </c>
      <c r="Z23" s="28">
        <f t="shared" ref="Z23:AA25" si="26">H23</f>
        <v>470</v>
      </c>
      <c r="AA23" s="6">
        <f t="shared" si="26"/>
        <v>69000</v>
      </c>
      <c r="AB23" s="6">
        <f>K23</f>
        <v>45000</v>
      </c>
      <c r="AC23" s="6">
        <f t="shared" ref="AC23:AE25" si="27">M23</f>
        <v>24000</v>
      </c>
      <c r="AD23" s="7">
        <f t="shared" si="27"/>
        <v>0.65217391304347827</v>
      </c>
      <c r="AE23" s="12">
        <f t="shared" si="27"/>
        <v>2875</v>
      </c>
      <c r="AF23" s="13" t="str">
        <f>S23</f>
        <v>계</v>
      </c>
      <c r="AG23" s="13" t="str">
        <f>Q23&amp;"/"&amp;R23</f>
        <v>2/1</v>
      </c>
      <c r="AI23" s="32" t="str">
        <f t="shared" si="1"/>
        <v>인덕원마을삼성</v>
      </c>
      <c r="AJ23" s="21">
        <f t="shared" si="0"/>
        <v>24</v>
      </c>
      <c r="AK23" s="13" t="str">
        <f>IF(AJ23="","",$AK$2)</f>
        <v>A-</v>
      </c>
      <c r="AL23" s="13"/>
      <c r="AM23" s="13"/>
      <c r="AN23" s="13"/>
      <c r="AO23" s="13" t="str">
        <f>IF(AJ23="","",$AO$2)</f>
        <v>C</v>
      </c>
      <c r="AP23" s="13" t="str">
        <f>IF(N23="","",IF(N23&gt;=$AP$1/100,"O","X"))</f>
        <v>X</v>
      </c>
      <c r="AQ23" s="13" t="str">
        <f>IF(I23="","",IF(I23&lt;=$AQ$1,"O","X"))</f>
        <v>X</v>
      </c>
      <c r="AR23" s="13" t="str">
        <f>IF(O23="","",IF(O23&lt;=$AR$1,"O","X"))</f>
        <v>X</v>
      </c>
      <c r="AS23" s="13" t="str">
        <f>IF(M23="","",IF(M23&lt;=$AS$1,"O","X"))</f>
        <v>X</v>
      </c>
      <c r="AT23" s="13" t="s">
        <v>32</v>
      </c>
      <c r="AU23" s="13" t="str">
        <f>IF(OR(F23="",AJ23=""),"",IF(AND((F23&lt;=85),(AJ23&gt;=15)),"O","X"))</f>
        <v>O</v>
      </c>
      <c r="AV23" s="13" t="str">
        <f>IF(C23="","",IF(C23&gt;=$AV$1,"O","X"))</f>
        <v>O</v>
      </c>
      <c r="AW23" s="13" t="str">
        <f>IF(AP23="","",IF(AND(AP23="O",AQ23="O",AS23="O",AU23="O",AV23="O"),"후보","X"))</f>
        <v>X</v>
      </c>
    </row>
    <row r="24" spans="1:49" x14ac:dyDescent="0.3">
      <c r="A24" s="5" t="s">
        <v>1358</v>
      </c>
      <c r="B24" s="14" t="s">
        <v>1359</v>
      </c>
      <c r="C24" s="25">
        <v>1314</v>
      </c>
      <c r="D24" s="23">
        <v>79.5</v>
      </c>
      <c r="E24" s="21">
        <v>24</v>
      </c>
      <c r="F24" s="23">
        <v>59.9</v>
      </c>
      <c r="G24" s="24">
        <v>18</v>
      </c>
      <c r="H24" s="25">
        <v>200</v>
      </c>
      <c r="I24" s="29">
        <v>69000</v>
      </c>
      <c r="J24" s="106" t="s">
        <v>2079</v>
      </c>
      <c r="K24" s="29">
        <v>49000</v>
      </c>
      <c r="L24" s="106" t="s">
        <v>2082</v>
      </c>
      <c r="M24" s="6">
        <f>I24-K24</f>
        <v>20000</v>
      </c>
      <c r="N24" s="7">
        <f>IF(ISERROR(K24/I24),"",K24/I24)</f>
        <v>0.71014492753623193</v>
      </c>
      <c r="O24" s="12">
        <f>I24/E24</f>
        <v>2875</v>
      </c>
      <c r="P24" s="12">
        <f>K24/E24</f>
        <v>2041.6666666666667</v>
      </c>
      <c r="Q24" s="13">
        <v>3</v>
      </c>
      <c r="R24" s="13">
        <v>1</v>
      </c>
      <c r="S24" s="13" t="s">
        <v>51</v>
      </c>
      <c r="T24" s="8" t="s">
        <v>1362</v>
      </c>
      <c r="U24" s="5"/>
      <c r="V24" s="5" t="s">
        <v>1363</v>
      </c>
      <c r="X24" s="23">
        <f t="shared" si="25"/>
        <v>79.5</v>
      </c>
      <c r="Y24" s="21">
        <f t="shared" si="25"/>
        <v>24</v>
      </c>
      <c r="Z24" s="28">
        <f t="shared" si="26"/>
        <v>200</v>
      </c>
      <c r="AA24" s="6">
        <f t="shared" si="26"/>
        <v>69000</v>
      </c>
      <c r="AB24" s="6">
        <f>K24</f>
        <v>49000</v>
      </c>
      <c r="AC24" s="6">
        <f t="shared" si="27"/>
        <v>20000</v>
      </c>
      <c r="AD24" s="7">
        <f t="shared" si="27"/>
        <v>0.71014492753623193</v>
      </c>
      <c r="AE24" s="12">
        <f t="shared" si="27"/>
        <v>2875</v>
      </c>
      <c r="AF24" s="13" t="str">
        <f>S24</f>
        <v>계</v>
      </c>
      <c r="AG24" s="13" t="str">
        <f>Q24&amp;"/"&amp;R24</f>
        <v>3/1</v>
      </c>
      <c r="AI24" s="32" t="str">
        <f t="shared" si="1"/>
        <v>인덕원마을삼성</v>
      </c>
      <c r="AJ24" s="21">
        <f t="shared" si="0"/>
        <v>24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>X</v>
      </c>
      <c r="AQ24" s="13" t="str">
        <f>IF(I24="","",IF(I24&lt;=$AQ$1,"O","X"))</f>
        <v>X</v>
      </c>
      <c r="AR24" s="13" t="str">
        <f>IF(O24="","",IF(O24&lt;=$AR$1,"O","X"))</f>
        <v>X</v>
      </c>
      <c r="AS24" s="13" t="str">
        <f>IF(M24="","",IF(M24&lt;=$AS$1,"O","X"))</f>
        <v>X</v>
      </c>
      <c r="AT24" s="13" t="s">
        <v>32</v>
      </c>
      <c r="AU24" s="13" t="str">
        <f>IF(OR(F24="",AJ24=""),"",IF(AND((F24&lt;=85),(AJ24&gt;=15)),"O","X"))</f>
        <v>O</v>
      </c>
      <c r="AV24" s="13" t="str">
        <f>IF(C24="","",IF(C24&gt;=$AV$1,"O","X"))</f>
        <v>O</v>
      </c>
      <c r="AW24" s="13" t="str">
        <f>IF(AP24="","",IF(AND(AP24="O",AQ24="O",AS24="O",AU24="O",AV24="O"),"후보","X"))</f>
        <v>X</v>
      </c>
    </row>
    <row r="25" spans="1:49" x14ac:dyDescent="0.3">
      <c r="A25" s="5" t="s">
        <v>1358</v>
      </c>
      <c r="B25" s="14" t="s">
        <v>1359</v>
      </c>
      <c r="C25" s="25">
        <v>1314</v>
      </c>
      <c r="D25" s="23">
        <v>106.5</v>
      </c>
      <c r="E25" s="21">
        <v>32</v>
      </c>
      <c r="F25" s="23">
        <v>84.9</v>
      </c>
      <c r="G25" s="24">
        <v>26</v>
      </c>
      <c r="H25" s="25">
        <v>644</v>
      </c>
      <c r="I25" s="29">
        <v>90000</v>
      </c>
      <c r="J25" s="106" t="s">
        <v>2080</v>
      </c>
      <c r="K25" s="29">
        <v>60000</v>
      </c>
      <c r="L25" s="106" t="s">
        <v>2081</v>
      </c>
      <c r="M25" s="6">
        <f>I25-K25</f>
        <v>30000</v>
      </c>
      <c r="N25" s="7">
        <f>IF(ISERROR(K25/I25),"",K25/I25)</f>
        <v>0.66666666666666663</v>
      </c>
      <c r="O25" s="12">
        <f>I25/E25</f>
        <v>2812.5</v>
      </c>
      <c r="P25" s="12">
        <f>K25/E25</f>
        <v>1875</v>
      </c>
      <c r="Q25" s="13">
        <v>3</v>
      </c>
      <c r="R25" s="13">
        <v>2</v>
      </c>
      <c r="S25" s="13" t="s">
        <v>51</v>
      </c>
      <c r="T25" s="8">
        <v>106</v>
      </c>
      <c r="U25" s="5"/>
      <c r="V25" s="5" t="s">
        <v>1364</v>
      </c>
      <c r="X25" s="23">
        <f t="shared" si="25"/>
        <v>106.5</v>
      </c>
      <c r="Y25" s="21">
        <f t="shared" si="25"/>
        <v>32</v>
      </c>
      <c r="Z25" s="28">
        <f t="shared" si="26"/>
        <v>644</v>
      </c>
      <c r="AA25" s="6">
        <f t="shared" si="26"/>
        <v>90000</v>
      </c>
      <c r="AB25" s="6">
        <f>K25</f>
        <v>60000</v>
      </c>
      <c r="AC25" s="6">
        <f t="shared" si="27"/>
        <v>30000</v>
      </c>
      <c r="AD25" s="7">
        <f t="shared" si="27"/>
        <v>0.66666666666666663</v>
      </c>
      <c r="AE25" s="12">
        <f t="shared" si="27"/>
        <v>2812.5</v>
      </c>
      <c r="AF25" s="13" t="str">
        <f>S25</f>
        <v>계</v>
      </c>
      <c r="AG25" s="13" t="str">
        <f>Q25&amp;"/"&amp;R25</f>
        <v>3/2</v>
      </c>
      <c r="AI25" s="32" t="str">
        <f t="shared" si="1"/>
        <v>인덕원마을삼성</v>
      </c>
      <c r="AJ25" s="21">
        <f t="shared" si="0"/>
        <v>32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>X</v>
      </c>
      <c r="AQ25" s="13" t="str">
        <f>IF(I25="","",IF(I25&lt;=$AQ$1,"O","X"))</f>
        <v>X</v>
      </c>
      <c r="AR25" s="13" t="str">
        <f>IF(O25="","",IF(O25&lt;=$AR$1,"O","X"))</f>
        <v>X</v>
      </c>
      <c r="AS25" s="13" t="str">
        <f>IF(M25="","",IF(M25&lt;=$AS$1,"O","X"))</f>
        <v>X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>X</v>
      </c>
    </row>
    <row r="26" spans="1:49" x14ac:dyDescent="0.3">
      <c r="A26" s="5"/>
      <c r="B26" s="13"/>
      <c r="C26" s="9"/>
      <c r="D26" s="5"/>
      <c r="E26" s="18"/>
      <c r="F26" s="23"/>
      <c r="G26" s="5"/>
      <c r="H26" s="5"/>
      <c r="I26" s="5"/>
      <c r="J26" s="8"/>
      <c r="K26" s="5"/>
      <c r="L26" s="8"/>
      <c r="M26" s="5"/>
      <c r="N26" s="5"/>
      <c r="O26" s="12"/>
      <c r="P26" s="12"/>
      <c r="Q26" s="21"/>
      <c r="R26" s="21"/>
      <c r="S26" s="5"/>
      <c r="T26" s="59"/>
      <c r="U26" s="5"/>
      <c r="V26" s="5"/>
      <c r="X26" s="90" t="str">
        <f>$A$4&amp;" "&amp;A27&amp;"("&amp;B27&amp;","&amp;C27&amp;"^)"</f>
        <v>관양동 한가람두산('92.11,436^)</v>
      </c>
      <c r="Y26" s="91"/>
      <c r="Z26" s="91"/>
      <c r="AA26" s="91"/>
      <c r="AB26" s="91"/>
      <c r="AC26" s="91"/>
      <c r="AD26" s="91"/>
      <c r="AE26" s="91"/>
      <c r="AF26" s="91"/>
      <c r="AG26" s="92"/>
      <c r="AI26" s="32" t="str">
        <f t="shared" si="1"/>
        <v/>
      </c>
      <c r="AJ26" s="33" t="str">
        <f t="shared" si="0"/>
        <v/>
      </c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</row>
    <row r="27" spans="1:49" x14ac:dyDescent="0.3">
      <c r="A27" s="5" t="s">
        <v>1365</v>
      </c>
      <c r="B27" s="14" t="s">
        <v>1366</v>
      </c>
      <c r="C27" s="25">
        <v>436</v>
      </c>
      <c r="D27" s="23">
        <v>77</v>
      </c>
      <c r="E27" s="21">
        <v>23</v>
      </c>
      <c r="F27" s="23">
        <v>60</v>
      </c>
      <c r="G27" s="24">
        <v>18</v>
      </c>
      <c r="H27" s="25">
        <v>168</v>
      </c>
      <c r="I27" s="29">
        <v>59000</v>
      </c>
      <c r="J27" s="106" t="s">
        <v>2084</v>
      </c>
      <c r="K27" s="29">
        <v>35000</v>
      </c>
      <c r="L27" s="106" t="s">
        <v>2076</v>
      </c>
      <c r="M27" s="6">
        <f>I27-K27</f>
        <v>24000</v>
      </c>
      <c r="N27" s="7">
        <f>IF(ISERROR(K27/I27),"",K27/I27)</f>
        <v>0.59322033898305082</v>
      </c>
      <c r="O27" s="12">
        <f>I27/E27</f>
        <v>2565.217391304348</v>
      </c>
      <c r="P27" s="12">
        <f>K27/E27</f>
        <v>1521.7391304347825</v>
      </c>
      <c r="Q27" s="13">
        <v>3</v>
      </c>
      <c r="R27" s="13">
        <v>1</v>
      </c>
      <c r="S27" s="13" t="s">
        <v>51</v>
      </c>
      <c r="T27" s="8">
        <v>76</v>
      </c>
      <c r="U27" s="5"/>
      <c r="V27" s="5" t="s">
        <v>1367</v>
      </c>
      <c r="X27" s="23">
        <f>D27</f>
        <v>77</v>
      </c>
      <c r="Y27" s="21">
        <f>E27</f>
        <v>23</v>
      </c>
      <c r="Z27" s="28">
        <f>H27</f>
        <v>168</v>
      </c>
      <c r="AA27" s="6">
        <f>I27</f>
        <v>59000</v>
      </c>
      <c r="AB27" s="6">
        <f>K27</f>
        <v>35000</v>
      </c>
      <c r="AC27" s="6">
        <f t="shared" ref="AC27:AE28" si="28">M27</f>
        <v>24000</v>
      </c>
      <c r="AD27" s="7">
        <f t="shared" si="28"/>
        <v>0.59322033898305082</v>
      </c>
      <c r="AE27" s="12">
        <f t="shared" si="28"/>
        <v>2565.217391304348</v>
      </c>
      <c r="AF27" s="13" t="str">
        <f>S27</f>
        <v>계</v>
      </c>
      <c r="AG27" s="13" t="str">
        <f>Q27&amp;"/"&amp;R27</f>
        <v>3/1</v>
      </c>
      <c r="AI27" s="32" t="str">
        <f t="shared" si="1"/>
        <v>한가람두산</v>
      </c>
      <c r="AJ27" s="21">
        <f t="shared" si="0"/>
        <v>23</v>
      </c>
      <c r="AK27" s="13" t="str">
        <f>IF(AJ27="","",$AK$2)</f>
        <v>A-</v>
      </c>
      <c r="AL27" s="13"/>
      <c r="AM27" s="13"/>
      <c r="AN27" s="13"/>
      <c r="AO27" s="13" t="str">
        <f>IF(AJ27="","",$AO$2)</f>
        <v>C</v>
      </c>
      <c r="AP27" s="13" t="str">
        <f>IF(N27="","",IF(N27&gt;=$AP$1/100,"O","X"))</f>
        <v>X</v>
      </c>
      <c r="AQ27" s="13" t="str">
        <f>IF(I27="","",IF(I27&lt;=$AQ$1,"O","X"))</f>
        <v>X</v>
      </c>
      <c r="AR27" s="13" t="str">
        <f>IF(O27="","",IF(O27&lt;=$AR$1,"O","X"))</f>
        <v>X</v>
      </c>
      <c r="AS27" s="13" t="str">
        <f>IF(M27="","",IF(M27&lt;=$AS$1,"O","X"))</f>
        <v>X</v>
      </c>
      <c r="AT27" s="13" t="s">
        <v>32</v>
      </c>
      <c r="AU27" s="13" t="str">
        <f>IF(OR(F27="",AJ27=""),"",IF(AND((F27&lt;=85),(AJ27&gt;=15)),"O","X"))</f>
        <v>O</v>
      </c>
      <c r="AV27" s="13" t="str">
        <f>IF(C27="","",IF(C27&gt;=$AV$1,"O","X"))</f>
        <v>O</v>
      </c>
      <c r="AW27" s="13" t="str">
        <f>IF(AP27="","",IF(AND(AP27="O",AQ27="O",AS27="O",AU27="O",AV27="O"),"후보","X"))</f>
        <v>X</v>
      </c>
    </row>
    <row r="28" spans="1:49" x14ac:dyDescent="0.3">
      <c r="A28" s="5" t="s">
        <v>1365</v>
      </c>
      <c r="B28" s="14" t="s">
        <v>1366</v>
      </c>
      <c r="C28" s="25">
        <v>436</v>
      </c>
      <c r="D28" s="23">
        <v>104.8</v>
      </c>
      <c r="E28" s="21">
        <v>32</v>
      </c>
      <c r="F28" s="23">
        <v>84.8</v>
      </c>
      <c r="G28" s="24">
        <v>26</v>
      </c>
      <c r="H28" s="25">
        <v>268</v>
      </c>
      <c r="I28" s="29">
        <v>90000</v>
      </c>
      <c r="J28" s="106" t="s">
        <v>2085</v>
      </c>
      <c r="K28" s="29">
        <v>45000</v>
      </c>
      <c r="L28" s="106" t="s">
        <v>2076</v>
      </c>
      <c r="M28" s="6">
        <f>I28-K28</f>
        <v>45000</v>
      </c>
      <c r="N28" s="7">
        <f>IF(ISERROR(K28/I28),"",K28/I28)</f>
        <v>0.5</v>
      </c>
      <c r="O28" s="12">
        <f>I28/E28</f>
        <v>2812.5</v>
      </c>
      <c r="P28" s="12">
        <f>K28/E28</f>
        <v>1406.25</v>
      </c>
      <c r="Q28" s="13">
        <v>3</v>
      </c>
      <c r="R28" s="13">
        <v>2</v>
      </c>
      <c r="S28" s="13" t="s">
        <v>51</v>
      </c>
      <c r="T28" s="8">
        <v>104</v>
      </c>
      <c r="U28" s="5"/>
      <c r="V28" s="5" t="s">
        <v>1368</v>
      </c>
      <c r="X28" s="23">
        <f>D28</f>
        <v>104.8</v>
      </c>
      <c r="Y28" s="21">
        <f>E28</f>
        <v>32</v>
      </c>
      <c r="Z28" s="28">
        <f>H28</f>
        <v>268</v>
      </c>
      <c r="AA28" s="6">
        <f>I28</f>
        <v>90000</v>
      </c>
      <c r="AB28" s="6">
        <f>K28</f>
        <v>45000</v>
      </c>
      <c r="AC28" s="6">
        <f t="shared" si="28"/>
        <v>45000</v>
      </c>
      <c r="AD28" s="7">
        <f t="shared" si="28"/>
        <v>0.5</v>
      </c>
      <c r="AE28" s="12">
        <f t="shared" si="28"/>
        <v>2812.5</v>
      </c>
      <c r="AF28" s="13" t="str">
        <f>S28</f>
        <v>계</v>
      </c>
      <c r="AG28" s="13" t="str">
        <f>Q28&amp;"/"&amp;R28</f>
        <v>3/2</v>
      </c>
      <c r="AI28" s="32" t="str">
        <f t="shared" si="1"/>
        <v>한가람두산</v>
      </c>
      <c r="AJ28" s="21">
        <f t="shared" si="0"/>
        <v>32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>X</v>
      </c>
      <c r="AQ28" s="13" t="str">
        <f>IF(I28="","",IF(I28&lt;=$AQ$1,"O","X"))</f>
        <v>X</v>
      </c>
      <c r="AR28" s="13" t="str">
        <f>IF(O28="","",IF(O28&lt;=$AR$1,"O","X"))</f>
        <v>X</v>
      </c>
      <c r="AS28" s="13" t="str">
        <f>IF(M28="","",IF(M28&lt;=$AS$1,"O","X"))</f>
        <v>X</v>
      </c>
      <c r="AT28" s="13" t="s">
        <v>32</v>
      </c>
      <c r="AU28" s="13" t="str">
        <f>IF(OR(F28="",AJ28=""),"",IF(AND((F28&lt;=85),(AJ28&gt;=15)),"O","X"))</f>
        <v>O</v>
      </c>
      <c r="AV28" s="13" t="str">
        <f>IF(C28="","",IF(C28&gt;=$AV$1,"O","X"))</f>
        <v>O</v>
      </c>
      <c r="AW28" s="13" t="str">
        <f>IF(AP28="","",IF(AND(AP28="O",AQ28="O",AS28="O",AU28="O",AV28="O"),"후보","X"))</f>
        <v>X</v>
      </c>
    </row>
    <row r="29" spans="1:49" x14ac:dyDescent="0.3">
      <c r="A29" s="5"/>
      <c r="B29" s="13"/>
      <c r="C29" s="9"/>
      <c r="D29" s="5"/>
      <c r="E29" s="18"/>
      <c r="F29" s="23"/>
      <c r="G29" s="5"/>
      <c r="H29" s="5"/>
      <c r="I29" s="5"/>
      <c r="J29" s="8"/>
      <c r="K29" s="5"/>
      <c r="L29" s="8"/>
      <c r="M29" s="5"/>
      <c r="N29" s="5"/>
      <c r="O29" s="12"/>
      <c r="P29" s="12"/>
      <c r="Q29" s="21"/>
      <c r="R29" s="21"/>
      <c r="S29" s="5"/>
      <c r="T29" s="59"/>
      <c r="U29" s="5"/>
      <c r="V29" s="5"/>
      <c r="X29" s="90" t="str">
        <f>$A$4&amp;" "&amp;A30&amp;"("&amp;B30&amp;","&amp;C30&amp;"^)"</f>
        <v>관양동 현대('85.04,904^)</v>
      </c>
      <c r="Y29" s="91"/>
      <c r="Z29" s="91"/>
      <c r="AA29" s="91"/>
      <c r="AB29" s="91"/>
      <c r="AC29" s="91"/>
      <c r="AD29" s="91"/>
      <c r="AE29" s="91"/>
      <c r="AF29" s="91"/>
      <c r="AG29" s="92"/>
      <c r="AI29" s="32" t="str">
        <f t="shared" si="1"/>
        <v/>
      </c>
      <c r="AJ29" s="33" t="str">
        <f t="shared" si="0"/>
        <v/>
      </c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</row>
    <row r="30" spans="1:49" x14ac:dyDescent="0.3">
      <c r="A30" s="5" t="s">
        <v>1369</v>
      </c>
      <c r="B30" s="14" t="s">
        <v>1370</v>
      </c>
      <c r="C30" s="25">
        <v>904</v>
      </c>
      <c r="D30" s="23">
        <v>108.5</v>
      </c>
      <c r="E30" s="21">
        <v>33</v>
      </c>
      <c r="F30" s="23">
        <v>84.5</v>
      </c>
      <c r="G30" s="24">
        <v>26</v>
      </c>
      <c r="H30" s="25">
        <v>268</v>
      </c>
      <c r="I30" s="29">
        <v>80000</v>
      </c>
      <c r="J30" s="106" t="s">
        <v>2084</v>
      </c>
      <c r="K30" s="29">
        <v>31000</v>
      </c>
      <c r="L30" s="106" t="s">
        <v>2087</v>
      </c>
      <c r="M30" s="6">
        <f>I30-K30</f>
        <v>49000</v>
      </c>
      <c r="N30" s="7">
        <f>IF(ISERROR(K30/I30),"",K30/I30)</f>
        <v>0.38750000000000001</v>
      </c>
      <c r="O30" s="12">
        <f>I30/E30</f>
        <v>2424.242424242424</v>
      </c>
      <c r="P30" s="12">
        <f>K30/E30</f>
        <v>939.39393939393938</v>
      </c>
      <c r="Q30" s="13">
        <v>3</v>
      </c>
      <c r="R30" s="13">
        <v>1</v>
      </c>
      <c r="S30" s="13" t="s">
        <v>1356</v>
      </c>
      <c r="T30" s="8" t="s">
        <v>1371</v>
      </c>
      <c r="U30" s="5"/>
      <c r="V30" s="5" t="s">
        <v>1372</v>
      </c>
      <c r="X30" s="23">
        <f t="shared" ref="X30:Y33" si="29">D30</f>
        <v>108.5</v>
      </c>
      <c r="Y30" s="21">
        <f t="shared" si="29"/>
        <v>33</v>
      </c>
      <c r="Z30" s="28">
        <f t="shared" ref="Z30:AA33" si="30">H30</f>
        <v>268</v>
      </c>
      <c r="AA30" s="6">
        <f t="shared" si="30"/>
        <v>80000</v>
      </c>
      <c r="AB30" s="6">
        <f>K30</f>
        <v>31000</v>
      </c>
      <c r="AC30" s="6">
        <f t="shared" ref="AC30:AE33" si="31">M30</f>
        <v>49000</v>
      </c>
      <c r="AD30" s="7">
        <f t="shared" si="31"/>
        <v>0.38750000000000001</v>
      </c>
      <c r="AE30" s="12">
        <f t="shared" si="31"/>
        <v>2424.242424242424</v>
      </c>
      <c r="AF30" s="13" t="str">
        <f>S30</f>
        <v>복</v>
      </c>
      <c r="AG30" s="13" t="str">
        <f>Q30&amp;"/"&amp;R30</f>
        <v>3/1</v>
      </c>
      <c r="AI30" s="32" t="str">
        <f t="shared" si="1"/>
        <v>현대</v>
      </c>
      <c r="AJ30" s="21">
        <f t="shared" si="0"/>
        <v>33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>X</v>
      </c>
      <c r="AQ30" s="13" t="str">
        <f>IF(I30="","",IF(I30&lt;=$AQ$1,"O","X"))</f>
        <v>X</v>
      </c>
      <c r="AR30" s="13" t="str">
        <f>IF(O30="","",IF(O30&lt;=$AR$1,"O","X"))</f>
        <v>X</v>
      </c>
      <c r="AS30" s="13" t="str">
        <f>IF(M30="","",IF(M30&lt;=$AS$1,"O","X"))</f>
        <v>X</v>
      </c>
      <c r="AT30" s="13" t="s">
        <v>32</v>
      </c>
      <c r="AU30" s="13" t="str">
        <f>IF(OR(F30="",AJ30=""),"",IF(AND((F30&lt;=85),(AJ30&gt;=15)),"O","X"))</f>
        <v>O</v>
      </c>
      <c r="AV30" s="13" t="str">
        <f>IF(C30="","",IF(C30&gt;=$AV$1,"O","X"))</f>
        <v>O</v>
      </c>
      <c r="AW30" s="13" t="str">
        <f>IF(AP30="","",IF(AND(AP30="O",AQ30="O",AS30="O",AU30="O",AV30="O"),"후보","X"))</f>
        <v>X</v>
      </c>
    </row>
    <row r="31" spans="1:49" x14ac:dyDescent="0.3">
      <c r="A31" s="5" t="s">
        <v>1369</v>
      </c>
      <c r="B31" s="14" t="s">
        <v>1370</v>
      </c>
      <c r="C31" s="25">
        <v>904</v>
      </c>
      <c r="D31" s="23">
        <v>108.6</v>
      </c>
      <c r="E31" s="21">
        <v>33</v>
      </c>
      <c r="F31" s="23">
        <v>84.5</v>
      </c>
      <c r="G31" s="24">
        <v>26</v>
      </c>
      <c r="H31" s="25">
        <v>188</v>
      </c>
      <c r="I31" s="29">
        <v>85000</v>
      </c>
      <c r="J31" s="106" t="s">
        <v>2086</v>
      </c>
      <c r="K31" s="29">
        <v>30000</v>
      </c>
      <c r="L31" s="106" t="s">
        <v>2088</v>
      </c>
      <c r="M31" s="6">
        <f>I31-K31</f>
        <v>55000</v>
      </c>
      <c r="N31" s="7">
        <f>IF(ISERROR(K31/I31),"",K31/I31)</f>
        <v>0.35294117647058826</v>
      </c>
      <c r="O31" s="12">
        <f>I31/E31</f>
        <v>2575.757575757576</v>
      </c>
      <c r="P31" s="12">
        <f>K31/E31</f>
        <v>909.09090909090912</v>
      </c>
      <c r="Q31" s="13">
        <v>3</v>
      </c>
      <c r="R31" s="13">
        <v>1</v>
      </c>
      <c r="S31" s="13" t="s">
        <v>1356</v>
      </c>
      <c r="T31" s="8" t="s">
        <v>1373</v>
      </c>
      <c r="U31" s="5"/>
      <c r="V31" s="5" t="s">
        <v>1372</v>
      </c>
      <c r="X31" s="23">
        <f t="shared" si="29"/>
        <v>108.6</v>
      </c>
      <c r="Y31" s="21">
        <f t="shared" si="29"/>
        <v>33</v>
      </c>
      <c r="Z31" s="28">
        <f t="shared" si="30"/>
        <v>188</v>
      </c>
      <c r="AA31" s="6">
        <f t="shared" si="30"/>
        <v>85000</v>
      </c>
      <c r="AB31" s="6">
        <f>K31</f>
        <v>30000</v>
      </c>
      <c r="AC31" s="6">
        <f t="shared" si="31"/>
        <v>55000</v>
      </c>
      <c r="AD31" s="7">
        <f t="shared" si="31"/>
        <v>0.35294117647058826</v>
      </c>
      <c r="AE31" s="12">
        <f t="shared" si="31"/>
        <v>2575.757575757576</v>
      </c>
      <c r="AF31" s="13" t="str">
        <f>S31</f>
        <v>복</v>
      </c>
      <c r="AG31" s="13" t="str">
        <f>Q31&amp;"/"&amp;R31</f>
        <v>3/1</v>
      </c>
      <c r="AI31" s="32" t="str">
        <f t="shared" si="1"/>
        <v>현대</v>
      </c>
      <c r="AJ31" s="21">
        <f t="shared" si="0"/>
        <v>33</v>
      </c>
      <c r="AK31" s="13" t="str">
        <f>IF(AJ31="","",$AK$2)</f>
        <v>A-</v>
      </c>
      <c r="AL31" s="13"/>
      <c r="AM31" s="13"/>
      <c r="AN31" s="13"/>
      <c r="AO31" s="13" t="str">
        <f>IF(AJ31="","",$AO$2)</f>
        <v>C</v>
      </c>
      <c r="AP31" s="13" t="str">
        <f>IF(N31="","",IF(N31&gt;=$AP$1/100,"O","X"))</f>
        <v>X</v>
      </c>
      <c r="AQ31" s="13" t="str">
        <f>IF(I31="","",IF(I31&lt;=$AQ$1,"O","X"))</f>
        <v>X</v>
      </c>
      <c r="AR31" s="13" t="str">
        <f>IF(O31="","",IF(O31&lt;=$AR$1,"O","X"))</f>
        <v>X</v>
      </c>
      <c r="AS31" s="13" t="str">
        <f>IF(M31="","",IF(M31&lt;=$AS$1,"O","X"))</f>
        <v>X</v>
      </c>
      <c r="AT31" s="13" t="s">
        <v>32</v>
      </c>
      <c r="AU31" s="13" t="str">
        <f>IF(OR(F31="",AJ31=""),"",IF(AND((F31&lt;=85),(AJ31&gt;=15)),"O","X"))</f>
        <v>O</v>
      </c>
      <c r="AV31" s="13" t="str">
        <f>IF(C31="","",IF(C31&gt;=$AV$1,"O","X"))</f>
        <v>O</v>
      </c>
      <c r="AW31" s="13" t="str">
        <f>IF(AP31="","",IF(AND(AP31="O",AQ31="O",AS31="O",AU31="O",AV31="O"),"후보","X"))</f>
        <v>X</v>
      </c>
    </row>
    <row r="32" spans="1:49" x14ac:dyDescent="0.3">
      <c r="A32" s="5" t="s">
        <v>1369</v>
      </c>
      <c r="B32" s="14" t="s">
        <v>1370</v>
      </c>
      <c r="C32" s="25">
        <v>904</v>
      </c>
      <c r="D32" s="23">
        <v>144.19999999999999</v>
      </c>
      <c r="E32" s="21">
        <v>44</v>
      </c>
      <c r="F32" s="23">
        <v>123.6</v>
      </c>
      <c r="G32" s="24">
        <v>37</v>
      </c>
      <c r="H32" s="25">
        <v>280</v>
      </c>
      <c r="I32" s="29">
        <v>110000</v>
      </c>
      <c r="J32" s="106" t="s">
        <v>2084</v>
      </c>
      <c r="K32" s="29">
        <v>39000</v>
      </c>
      <c r="L32" s="106" t="s">
        <v>2090</v>
      </c>
      <c r="M32" s="6">
        <f>I32-K32</f>
        <v>71000</v>
      </c>
      <c r="N32" s="7">
        <f>IF(ISERROR(K32/I32),"",K32/I32)</f>
        <v>0.35454545454545455</v>
      </c>
      <c r="O32" s="12">
        <f>I32/E32</f>
        <v>2500</v>
      </c>
      <c r="P32" s="12">
        <f>K32/E32</f>
        <v>886.36363636363637</v>
      </c>
      <c r="Q32" s="13">
        <v>4</v>
      </c>
      <c r="R32" s="13">
        <v>2</v>
      </c>
      <c r="S32" s="13" t="s">
        <v>51</v>
      </c>
      <c r="T32" s="8">
        <v>144</v>
      </c>
      <c r="U32" s="5"/>
      <c r="V32" s="5" t="s">
        <v>1374</v>
      </c>
      <c r="X32" s="23">
        <f t="shared" si="29"/>
        <v>144.19999999999999</v>
      </c>
      <c r="Y32" s="21">
        <f t="shared" si="29"/>
        <v>44</v>
      </c>
      <c r="Z32" s="28">
        <f t="shared" si="30"/>
        <v>280</v>
      </c>
      <c r="AA32" s="6">
        <f t="shared" si="30"/>
        <v>110000</v>
      </c>
      <c r="AB32" s="6">
        <f>K32</f>
        <v>39000</v>
      </c>
      <c r="AC32" s="6">
        <f t="shared" si="31"/>
        <v>71000</v>
      </c>
      <c r="AD32" s="7">
        <f t="shared" si="31"/>
        <v>0.35454545454545455</v>
      </c>
      <c r="AE32" s="12">
        <f t="shared" si="31"/>
        <v>2500</v>
      </c>
      <c r="AF32" s="13" t="str">
        <f>S32</f>
        <v>계</v>
      </c>
      <c r="AG32" s="13" t="str">
        <f>Q32&amp;"/"&amp;R32</f>
        <v>4/2</v>
      </c>
      <c r="AI32" s="32" t="str">
        <f t="shared" si="1"/>
        <v>현대</v>
      </c>
      <c r="AJ32" s="21">
        <f t="shared" si="0"/>
        <v>44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>X</v>
      </c>
      <c r="AQ32" s="13" t="str">
        <f>IF(I32="","",IF(I32&lt;=$AQ$1,"O","X"))</f>
        <v>X</v>
      </c>
      <c r="AR32" s="13" t="str">
        <f>IF(O32="","",IF(O32&lt;=$AR$1,"O","X"))</f>
        <v>X</v>
      </c>
      <c r="AS32" s="13" t="str">
        <f>IF(M32="","",IF(M32&lt;=$AS$1,"O","X"))</f>
        <v>X</v>
      </c>
      <c r="AT32" s="13" t="s">
        <v>32</v>
      </c>
      <c r="AU32" s="13" t="str">
        <f>IF(OR(F32="",AJ32=""),"",IF(AND((F32&lt;=85),(AJ32&gt;=15)),"O","X"))</f>
        <v>X</v>
      </c>
      <c r="AV32" s="13" t="str">
        <f>IF(C32="","",IF(C32&gt;=$AV$1,"O","X"))</f>
        <v>O</v>
      </c>
      <c r="AW32" s="13" t="str">
        <f>IF(AP32="","",IF(AND(AP32="O",AQ32="O",AS32="O",AU32="O",AV32="O"),"후보","X"))</f>
        <v>X</v>
      </c>
    </row>
    <row r="33" spans="1:49" x14ac:dyDescent="0.3">
      <c r="A33" s="5" t="s">
        <v>1369</v>
      </c>
      <c r="B33" s="14" t="s">
        <v>1370</v>
      </c>
      <c r="C33" s="25">
        <v>904</v>
      </c>
      <c r="D33" s="23">
        <v>169.7</v>
      </c>
      <c r="E33" s="21">
        <v>51</v>
      </c>
      <c r="F33" s="23">
        <v>147.1</v>
      </c>
      <c r="G33" s="24">
        <v>45</v>
      </c>
      <c r="H33" s="25">
        <v>168</v>
      </c>
      <c r="I33" s="29">
        <v>135000</v>
      </c>
      <c r="J33" s="106" t="s">
        <v>2084</v>
      </c>
      <c r="K33" s="29">
        <v>45000</v>
      </c>
      <c r="L33" s="106" t="s">
        <v>2089</v>
      </c>
      <c r="M33" s="6">
        <f>I33-K33</f>
        <v>90000</v>
      </c>
      <c r="N33" s="7">
        <f>IF(ISERROR(K33/I33),"",K33/I33)</f>
        <v>0.33333333333333331</v>
      </c>
      <c r="O33" s="12">
        <f>I33/E33</f>
        <v>2647.0588235294117</v>
      </c>
      <c r="P33" s="12">
        <f>K33/E33</f>
        <v>882.35294117647061</v>
      </c>
      <c r="Q33" s="13">
        <v>5</v>
      </c>
      <c r="R33" s="13">
        <v>2</v>
      </c>
      <c r="S33" s="13" t="s">
        <v>51</v>
      </c>
      <c r="T33" s="8">
        <v>169</v>
      </c>
      <c r="U33" s="5"/>
      <c r="V33" s="5" t="s">
        <v>1375</v>
      </c>
      <c r="X33" s="23">
        <f t="shared" si="29"/>
        <v>169.7</v>
      </c>
      <c r="Y33" s="21">
        <f t="shared" si="29"/>
        <v>51</v>
      </c>
      <c r="Z33" s="28">
        <f t="shared" si="30"/>
        <v>168</v>
      </c>
      <c r="AA33" s="6">
        <f t="shared" si="30"/>
        <v>135000</v>
      </c>
      <c r="AB33" s="6">
        <f>K33</f>
        <v>45000</v>
      </c>
      <c r="AC33" s="6">
        <f t="shared" si="31"/>
        <v>90000</v>
      </c>
      <c r="AD33" s="7">
        <f t="shared" si="31"/>
        <v>0.33333333333333331</v>
      </c>
      <c r="AE33" s="12">
        <f t="shared" si="31"/>
        <v>2647.0588235294117</v>
      </c>
      <c r="AF33" s="13" t="str">
        <f>S33</f>
        <v>계</v>
      </c>
      <c r="AG33" s="13" t="str">
        <f>Q33&amp;"/"&amp;R33</f>
        <v>5/2</v>
      </c>
      <c r="AI33" s="32" t="str">
        <f t="shared" si="1"/>
        <v>현대</v>
      </c>
      <c r="AJ33" s="21">
        <f t="shared" si="0"/>
        <v>51</v>
      </c>
      <c r="AK33" s="13" t="str">
        <f>IF(AJ33="","",$AK$2)</f>
        <v>A-</v>
      </c>
      <c r="AL33" s="13"/>
      <c r="AM33" s="13"/>
      <c r="AN33" s="13"/>
      <c r="AO33" s="13" t="str">
        <f>IF(AJ33="","",$AO$2)</f>
        <v>C</v>
      </c>
      <c r="AP33" s="13" t="str">
        <f>IF(N33="","",IF(N33&gt;=$AP$1/100,"O","X"))</f>
        <v>X</v>
      </c>
      <c r="AQ33" s="13" t="str">
        <f>IF(I33="","",IF(I33&lt;=$AQ$1,"O","X"))</f>
        <v>X</v>
      </c>
      <c r="AR33" s="13" t="str">
        <f>IF(O33="","",IF(O33&lt;=$AR$1,"O","X"))</f>
        <v>X</v>
      </c>
      <c r="AS33" s="13" t="str">
        <f>IF(M33="","",IF(M33&lt;=$AS$1,"O","X"))</f>
        <v>X</v>
      </c>
      <c r="AT33" s="13" t="s">
        <v>32</v>
      </c>
      <c r="AU33" s="13" t="str">
        <f>IF(OR(F33="",AJ33=""),"",IF(AND((F33&lt;=85),(AJ33&gt;=15)),"O","X"))</f>
        <v>X</v>
      </c>
      <c r="AV33" s="13" t="str">
        <f>IF(C33="","",IF(C33&gt;=$AV$1,"O","X"))</f>
        <v>O</v>
      </c>
      <c r="AW33" s="13" t="str">
        <f>IF(AP33="","",IF(AND(AP33="O",AQ33="O",AS33="O",AU33="O",AV33="O"),"후보","X"))</f>
        <v>X</v>
      </c>
    </row>
    <row r="34" spans="1:49" x14ac:dyDescent="0.3">
      <c r="A34" s="5"/>
      <c r="B34" s="13"/>
      <c r="C34" s="9"/>
      <c r="D34" s="5"/>
      <c r="E34" s="18"/>
      <c r="F34" s="23"/>
      <c r="G34" s="5"/>
      <c r="H34" s="5"/>
      <c r="I34" s="5"/>
      <c r="J34" s="8"/>
      <c r="K34" s="5"/>
      <c r="L34" s="8"/>
      <c r="M34" s="5"/>
      <c r="N34" s="5"/>
      <c r="O34" s="12"/>
      <c r="P34" s="12"/>
      <c r="Q34" s="21"/>
      <c r="R34" s="21"/>
      <c r="S34" s="5"/>
      <c r="T34" s="59"/>
      <c r="U34" s="5"/>
      <c r="V34" s="5"/>
      <c r="X34" s="90" t="str">
        <f>$A$4&amp;" "&amp;A35&amp;"("&amp;B35&amp;","&amp;C35&amp;"^)"</f>
        <v>관양동 공작성일('93.02,750^)</v>
      </c>
      <c r="Y34" s="91"/>
      <c r="Z34" s="91"/>
      <c r="AA34" s="91"/>
      <c r="AB34" s="91"/>
      <c r="AC34" s="91"/>
      <c r="AD34" s="91"/>
      <c r="AE34" s="91"/>
      <c r="AF34" s="91"/>
      <c r="AG34" s="92"/>
      <c r="AI34" s="32" t="str">
        <f t="shared" si="1"/>
        <v/>
      </c>
      <c r="AJ34" s="33" t="str">
        <f t="shared" si="0"/>
        <v/>
      </c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1:49" x14ac:dyDescent="0.3">
      <c r="A35" s="5" t="s">
        <v>1376</v>
      </c>
      <c r="B35" s="14" t="s">
        <v>1377</v>
      </c>
      <c r="C35" s="25">
        <v>750</v>
      </c>
      <c r="D35" s="23">
        <v>55</v>
      </c>
      <c r="E35" s="21">
        <v>17</v>
      </c>
      <c r="F35" s="23">
        <v>39.6</v>
      </c>
      <c r="G35" s="24">
        <v>12</v>
      </c>
      <c r="H35" s="25">
        <v>310</v>
      </c>
      <c r="I35" s="29">
        <v>33000</v>
      </c>
      <c r="J35" s="106" t="s">
        <v>2057</v>
      </c>
      <c r="K35" s="29">
        <v>23000</v>
      </c>
      <c r="L35" s="106" t="s">
        <v>2092</v>
      </c>
      <c r="M35" s="6">
        <f>I35-K35</f>
        <v>10000</v>
      </c>
      <c r="N35" s="7">
        <f>IF(ISERROR(K35/I35),"",K35/I35)</f>
        <v>0.69696969696969702</v>
      </c>
      <c r="O35" s="12">
        <f>I35/E35</f>
        <v>1941.1764705882354</v>
      </c>
      <c r="P35" s="12">
        <f>K35/E35</f>
        <v>1352.9411764705883</v>
      </c>
      <c r="Q35" s="13">
        <v>2</v>
      </c>
      <c r="R35" s="13">
        <v>1</v>
      </c>
      <c r="S35" s="13" t="s">
        <v>1356</v>
      </c>
      <c r="T35" s="8">
        <v>55</v>
      </c>
      <c r="U35" s="5"/>
      <c r="V35" s="5" t="s">
        <v>1378</v>
      </c>
      <c r="X35" s="23">
        <f t="shared" ref="X35:Y37" si="32">D35</f>
        <v>55</v>
      </c>
      <c r="Y35" s="21">
        <f t="shared" si="32"/>
        <v>17</v>
      </c>
      <c r="Z35" s="28">
        <f t="shared" ref="Z35:AA37" si="33">H35</f>
        <v>310</v>
      </c>
      <c r="AA35" s="6">
        <f t="shared" si="33"/>
        <v>33000</v>
      </c>
      <c r="AB35" s="6">
        <f>K35</f>
        <v>23000</v>
      </c>
      <c r="AC35" s="6">
        <f t="shared" ref="AC35:AE37" si="34">M35</f>
        <v>10000</v>
      </c>
      <c r="AD35" s="7">
        <f t="shared" si="34"/>
        <v>0.69696969696969702</v>
      </c>
      <c r="AE35" s="12">
        <f t="shared" si="34"/>
        <v>1941.1764705882354</v>
      </c>
      <c r="AF35" s="13" t="str">
        <f>S35</f>
        <v>복</v>
      </c>
      <c r="AG35" s="13" t="str">
        <f>Q35&amp;"/"&amp;R35</f>
        <v>2/1</v>
      </c>
      <c r="AI35" s="32" t="str">
        <f t="shared" si="1"/>
        <v>공작성일</v>
      </c>
      <c r="AJ35" s="21">
        <f t="shared" ref="AJ35:AJ66" si="35">IF(E35="","",E35)</f>
        <v>17</v>
      </c>
      <c r="AK35" s="13" t="str">
        <f>IF(AJ35="","",$AK$2)</f>
        <v>A-</v>
      </c>
      <c r="AL35" s="13"/>
      <c r="AM35" s="13"/>
      <c r="AN35" s="13"/>
      <c r="AO35" s="13" t="str">
        <f>IF(AJ35="","",$AO$2)</f>
        <v>C</v>
      </c>
      <c r="AP35" s="13" t="str">
        <f>IF(N35="","",IF(N35&gt;=$AP$1/100,"O","X"))</f>
        <v>X</v>
      </c>
      <c r="AQ35" s="13" t="str">
        <f>IF(I35="","",IF(I35&lt;=$AQ$1,"O","X"))</f>
        <v>O</v>
      </c>
      <c r="AR35" s="13" t="str">
        <f>IF(O35="","",IF(O35&lt;=$AR$1,"O","X"))</f>
        <v>X</v>
      </c>
      <c r="AS35" s="13" t="str">
        <f>IF(M35="","",IF(M35&lt;=$AS$1,"O","X"))</f>
        <v>X</v>
      </c>
      <c r="AT35" s="13" t="s">
        <v>32</v>
      </c>
      <c r="AU35" s="13" t="str">
        <f>IF(OR(F35="",AJ35=""),"",IF(AND((F35&lt;=85),(AJ35&gt;=15)),"O","X"))</f>
        <v>O</v>
      </c>
      <c r="AV35" s="13" t="str">
        <f>IF(C35="","",IF(C35&gt;=$AV$1,"O","X"))</f>
        <v>O</v>
      </c>
      <c r="AW35" s="13" t="str">
        <f>IF(AP35="","",IF(AND(AP35="O",AQ35="O",AS35="O",AU35="O",AV35="O"),"후보","X"))</f>
        <v>X</v>
      </c>
    </row>
    <row r="36" spans="1:49" x14ac:dyDescent="0.3">
      <c r="A36" s="5" t="s">
        <v>1376</v>
      </c>
      <c r="B36" s="14" t="s">
        <v>1377</v>
      </c>
      <c r="C36" s="25">
        <v>750</v>
      </c>
      <c r="D36" s="23">
        <v>76.8</v>
      </c>
      <c r="E36" s="21">
        <v>23</v>
      </c>
      <c r="F36" s="23">
        <v>59.6</v>
      </c>
      <c r="G36" s="24">
        <v>18</v>
      </c>
      <c r="H36" s="25">
        <v>200</v>
      </c>
      <c r="I36" s="29">
        <v>57500</v>
      </c>
      <c r="J36" s="106" t="s">
        <v>2091</v>
      </c>
      <c r="K36" s="29">
        <v>35000</v>
      </c>
      <c r="L36" s="106" t="s">
        <v>2093</v>
      </c>
      <c r="M36" s="6">
        <f>I36-K36</f>
        <v>22500</v>
      </c>
      <c r="N36" s="7">
        <f>IF(ISERROR(K36/I36),"",K36/I36)</f>
        <v>0.60869565217391308</v>
      </c>
      <c r="O36" s="12">
        <f>I36/E36</f>
        <v>2500</v>
      </c>
      <c r="P36" s="12">
        <f>K36/E36</f>
        <v>1521.7391304347825</v>
      </c>
      <c r="Q36" s="13">
        <v>3</v>
      </c>
      <c r="R36" s="13">
        <v>1</v>
      </c>
      <c r="S36" s="13" t="s">
        <v>51</v>
      </c>
      <c r="T36" s="8">
        <v>76</v>
      </c>
      <c r="U36" s="5"/>
      <c r="V36" s="5" t="s">
        <v>1379</v>
      </c>
      <c r="X36" s="23">
        <f t="shared" si="32"/>
        <v>76.8</v>
      </c>
      <c r="Y36" s="21">
        <f t="shared" si="32"/>
        <v>23</v>
      </c>
      <c r="Z36" s="28">
        <f t="shared" si="33"/>
        <v>200</v>
      </c>
      <c r="AA36" s="6">
        <f t="shared" si="33"/>
        <v>57500</v>
      </c>
      <c r="AB36" s="6">
        <f>K36</f>
        <v>35000</v>
      </c>
      <c r="AC36" s="6">
        <f t="shared" si="34"/>
        <v>22500</v>
      </c>
      <c r="AD36" s="7">
        <f t="shared" si="34"/>
        <v>0.60869565217391308</v>
      </c>
      <c r="AE36" s="12">
        <f t="shared" si="34"/>
        <v>2500</v>
      </c>
      <c r="AF36" s="13" t="str">
        <f>S36</f>
        <v>계</v>
      </c>
      <c r="AG36" s="13" t="str">
        <f>Q36&amp;"/"&amp;R36</f>
        <v>3/1</v>
      </c>
      <c r="AI36" s="32" t="str">
        <f t="shared" si="1"/>
        <v>공작성일</v>
      </c>
      <c r="AJ36" s="21">
        <f t="shared" si="35"/>
        <v>23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>X</v>
      </c>
      <c r="AQ36" s="13" t="str">
        <f>IF(I36="","",IF(I36&lt;=$AQ$1,"O","X"))</f>
        <v>X</v>
      </c>
      <c r="AR36" s="13" t="str">
        <f>IF(O36="","",IF(O36&lt;=$AR$1,"O","X"))</f>
        <v>X</v>
      </c>
      <c r="AS36" s="13" t="str">
        <f>IF(M36="","",IF(M36&lt;=$AS$1,"O","X"))</f>
        <v>X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O</v>
      </c>
      <c r="AW36" s="13" t="str">
        <f>IF(AP36="","",IF(AND(AP36="O",AQ36="O",AS36="O",AU36="O",AV36="O"),"후보","X"))</f>
        <v>X</v>
      </c>
    </row>
    <row r="37" spans="1:49" x14ac:dyDescent="0.3">
      <c r="A37" s="5" t="s">
        <v>1376</v>
      </c>
      <c r="B37" s="14" t="s">
        <v>1377</v>
      </c>
      <c r="C37" s="25">
        <v>750</v>
      </c>
      <c r="D37" s="23">
        <v>96.5</v>
      </c>
      <c r="E37" s="21">
        <v>29</v>
      </c>
      <c r="F37" s="23">
        <v>79</v>
      </c>
      <c r="G37" s="24">
        <v>24</v>
      </c>
      <c r="H37" s="25">
        <v>240</v>
      </c>
      <c r="I37" s="29">
        <v>70000</v>
      </c>
      <c r="J37" s="106" t="s">
        <v>2053</v>
      </c>
      <c r="K37" s="29">
        <v>45000</v>
      </c>
      <c r="L37" s="106" t="s">
        <v>2094</v>
      </c>
      <c r="M37" s="6">
        <f>I37-K37</f>
        <v>25000</v>
      </c>
      <c r="N37" s="7">
        <f>IF(ISERROR(K37/I37),"",K37/I37)</f>
        <v>0.6428571428571429</v>
      </c>
      <c r="O37" s="12">
        <f>I37/E37</f>
        <v>2413.7931034482758</v>
      </c>
      <c r="P37" s="12">
        <f>K37/E37</f>
        <v>1551.7241379310344</v>
      </c>
      <c r="Q37" s="13">
        <v>3</v>
      </c>
      <c r="R37" s="13">
        <v>2</v>
      </c>
      <c r="S37" s="13" t="s">
        <v>51</v>
      </c>
      <c r="T37" s="8">
        <v>96</v>
      </c>
      <c r="U37" s="5"/>
      <c r="V37" s="5" t="s">
        <v>1380</v>
      </c>
      <c r="X37" s="23">
        <f t="shared" si="32"/>
        <v>96.5</v>
      </c>
      <c r="Y37" s="21">
        <f t="shared" si="32"/>
        <v>29</v>
      </c>
      <c r="Z37" s="28">
        <f t="shared" si="33"/>
        <v>240</v>
      </c>
      <c r="AA37" s="6">
        <f t="shared" si="33"/>
        <v>70000</v>
      </c>
      <c r="AB37" s="6">
        <f>K37</f>
        <v>45000</v>
      </c>
      <c r="AC37" s="6">
        <f t="shared" si="34"/>
        <v>25000</v>
      </c>
      <c r="AD37" s="7">
        <f t="shared" si="34"/>
        <v>0.6428571428571429</v>
      </c>
      <c r="AE37" s="12">
        <f t="shared" si="34"/>
        <v>2413.7931034482758</v>
      </c>
      <c r="AF37" s="13" t="str">
        <f>S37</f>
        <v>계</v>
      </c>
      <c r="AG37" s="13" t="str">
        <f>Q37&amp;"/"&amp;R37</f>
        <v>3/2</v>
      </c>
      <c r="AI37" s="32" t="str">
        <f t="shared" ref="AI37:AI68" si="36">IF(A37="","",A37)</f>
        <v>공작성일</v>
      </c>
      <c r="AJ37" s="21">
        <f t="shared" si="35"/>
        <v>29</v>
      </c>
      <c r="AK37" s="13" t="str">
        <f>IF(AJ37="","",$AK$2)</f>
        <v>A-</v>
      </c>
      <c r="AL37" s="13"/>
      <c r="AM37" s="13"/>
      <c r="AN37" s="13"/>
      <c r="AO37" s="13" t="str">
        <f>IF(AJ37="","",$AO$2)</f>
        <v>C</v>
      </c>
      <c r="AP37" s="13" t="str">
        <f>IF(N37="","",IF(N37&gt;=$AP$1/100,"O","X"))</f>
        <v>X</v>
      </c>
      <c r="AQ37" s="13" t="str">
        <f>IF(I37="","",IF(I37&lt;=$AQ$1,"O","X"))</f>
        <v>X</v>
      </c>
      <c r="AR37" s="13" t="str">
        <f>IF(O37="","",IF(O37&lt;=$AR$1,"O","X"))</f>
        <v>X</v>
      </c>
      <c r="AS37" s="13" t="str">
        <f>IF(M37="","",IF(M37&lt;=$AS$1,"O","X"))</f>
        <v>X</v>
      </c>
      <c r="AT37" s="13" t="s">
        <v>32</v>
      </c>
      <c r="AU37" s="13" t="str">
        <f>IF(OR(F37="",AJ37=""),"",IF(AND((F37&lt;=85),(AJ37&gt;=15)),"O","X"))</f>
        <v>O</v>
      </c>
      <c r="AV37" s="13" t="str">
        <f>IF(C37="","",IF(C37&gt;=$AV$1,"O","X"))</f>
        <v>O</v>
      </c>
      <c r="AW37" s="13" t="str">
        <f>IF(AP37="","",IF(AND(AP37="O",AQ37="O",AS37="O",AU37="O",AV37="O"),"후보","X"))</f>
        <v>X</v>
      </c>
    </row>
    <row r="38" spans="1:49" x14ac:dyDescent="0.3">
      <c r="A38" s="5"/>
      <c r="B38" s="13"/>
      <c r="C38" s="9"/>
      <c r="D38" s="5"/>
      <c r="E38" s="18"/>
      <c r="F38" s="23"/>
      <c r="G38" s="5"/>
      <c r="H38" s="5"/>
      <c r="I38" s="5"/>
      <c r="J38" s="8"/>
      <c r="K38" s="5"/>
      <c r="L38" s="8"/>
      <c r="M38" s="5"/>
      <c r="N38" s="5"/>
      <c r="O38" s="12"/>
      <c r="P38" s="12"/>
      <c r="Q38" s="21"/>
      <c r="R38" s="21"/>
      <c r="S38" s="5"/>
      <c r="T38" s="59"/>
      <c r="U38" s="5"/>
      <c r="V38" s="5"/>
      <c r="X38" s="90" t="str">
        <f>$A$4&amp;" "&amp;A39&amp;"("&amp;B39&amp;","&amp;C39&amp;"^)"</f>
        <v>관양동 평촌더샵센트럴시티('16.06,1459^)</v>
      </c>
      <c r="Y38" s="91"/>
      <c r="Z38" s="91"/>
      <c r="AA38" s="91"/>
      <c r="AB38" s="91"/>
      <c r="AC38" s="91"/>
      <c r="AD38" s="91"/>
      <c r="AE38" s="91"/>
      <c r="AF38" s="91"/>
      <c r="AG38" s="92"/>
      <c r="AI38" s="32" t="str">
        <f t="shared" si="36"/>
        <v/>
      </c>
      <c r="AJ38" s="33" t="str">
        <f t="shared" si="35"/>
        <v/>
      </c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</row>
    <row r="39" spans="1:49" x14ac:dyDescent="0.3">
      <c r="A39" s="5" t="s">
        <v>1381</v>
      </c>
      <c r="B39" s="14" t="s">
        <v>1382</v>
      </c>
      <c r="C39" s="25">
        <v>1459</v>
      </c>
      <c r="D39" s="23">
        <v>80.7</v>
      </c>
      <c r="E39" s="21">
        <v>24</v>
      </c>
      <c r="F39" s="23">
        <v>60</v>
      </c>
      <c r="G39" s="24">
        <v>18</v>
      </c>
      <c r="H39" s="25">
        <v>102</v>
      </c>
      <c r="I39" s="29">
        <v>90000</v>
      </c>
      <c r="J39" s="106" t="s">
        <v>2095</v>
      </c>
      <c r="K39" s="29">
        <v>60000</v>
      </c>
      <c r="L39" s="106" t="s">
        <v>2101</v>
      </c>
      <c r="M39" s="6">
        <f t="shared" ref="M39:M44" si="37">I39-K39</f>
        <v>30000</v>
      </c>
      <c r="N39" s="7">
        <f t="shared" ref="N39:N44" si="38">IF(ISERROR(K39/I39),"",K39/I39)</f>
        <v>0.66666666666666663</v>
      </c>
      <c r="O39" s="12">
        <f t="shared" ref="O39:O44" si="39">I39/E39</f>
        <v>3750</v>
      </c>
      <c r="P39" s="12">
        <f t="shared" ref="P39:P44" si="40">K39/E39</f>
        <v>2500</v>
      </c>
      <c r="Q39" s="13">
        <v>3</v>
      </c>
      <c r="R39" s="13">
        <v>2</v>
      </c>
      <c r="S39" s="13" t="s">
        <v>51</v>
      </c>
      <c r="T39" s="8" t="s">
        <v>1383</v>
      </c>
      <c r="U39" s="5"/>
      <c r="V39" s="5" t="s">
        <v>1384</v>
      </c>
      <c r="X39" s="23">
        <f t="shared" ref="X39:Y44" si="41">D39</f>
        <v>80.7</v>
      </c>
      <c r="Y39" s="21">
        <f t="shared" si="41"/>
        <v>24</v>
      </c>
      <c r="Z39" s="28">
        <f t="shared" ref="Z39:AA44" si="42">H39</f>
        <v>102</v>
      </c>
      <c r="AA39" s="6">
        <f t="shared" si="42"/>
        <v>90000</v>
      </c>
      <c r="AB39" s="6">
        <f t="shared" ref="AB39:AB44" si="43">K39</f>
        <v>60000</v>
      </c>
      <c r="AC39" s="6">
        <f t="shared" ref="AC39:AE44" si="44">M39</f>
        <v>30000</v>
      </c>
      <c r="AD39" s="7">
        <f t="shared" si="44"/>
        <v>0.66666666666666663</v>
      </c>
      <c r="AE39" s="12">
        <f t="shared" si="44"/>
        <v>3750</v>
      </c>
      <c r="AF39" s="13" t="str">
        <f t="shared" ref="AF39:AF44" si="45">S39</f>
        <v>계</v>
      </c>
      <c r="AG39" s="13" t="str">
        <f t="shared" ref="AG39:AG44" si="46">Q39&amp;"/"&amp;R39</f>
        <v>3/2</v>
      </c>
      <c r="AI39" s="32" t="str">
        <f t="shared" si="36"/>
        <v>평촌더샵센트럴시티</v>
      </c>
      <c r="AJ39" s="21">
        <f t="shared" si="35"/>
        <v>24</v>
      </c>
      <c r="AK39" s="13" t="str">
        <f t="shared" ref="AK39:AK44" si="47">IF(AJ39="","",$AK$2)</f>
        <v>A-</v>
      </c>
      <c r="AL39" s="13"/>
      <c r="AM39" s="13"/>
      <c r="AN39" s="13"/>
      <c r="AO39" s="13" t="str">
        <f t="shared" ref="AO39:AO44" si="48">IF(AJ39="","",$AO$2)</f>
        <v>C</v>
      </c>
      <c r="AP39" s="13" t="str">
        <f t="shared" ref="AP39:AP44" si="49">IF(N39="","",IF(N39&gt;=$AP$1/100,"O","X"))</f>
        <v>X</v>
      </c>
      <c r="AQ39" s="13" t="str">
        <f t="shared" ref="AQ39:AQ44" si="50">IF(I39="","",IF(I39&lt;=$AQ$1,"O","X"))</f>
        <v>X</v>
      </c>
      <c r="AR39" s="13" t="str">
        <f t="shared" ref="AR39:AR44" si="51">IF(O39="","",IF(O39&lt;=$AR$1,"O","X"))</f>
        <v>X</v>
      </c>
      <c r="AS39" s="13" t="str">
        <f t="shared" ref="AS39:AS44" si="52">IF(M39="","",IF(M39&lt;=$AS$1,"O","X"))</f>
        <v>X</v>
      </c>
      <c r="AT39" s="13" t="s">
        <v>32</v>
      </c>
      <c r="AU39" s="13" t="str">
        <f t="shared" ref="AU39:AU44" si="53">IF(OR(F39="",AJ39=""),"",IF(AND((F39&lt;=85),(AJ39&gt;=15)),"O","X"))</f>
        <v>O</v>
      </c>
      <c r="AV39" s="13" t="str">
        <f t="shared" ref="AV39:AV44" si="54">IF(C39="","",IF(C39&gt;=$AV$1,"O","X"))</f>
        <v>O</v>
      </c>
      <c r="AW39" s="13" t="str">
        <f t="shared" ref="AW39:AW44" si="55">IF(AP39="","",IF(AND(AP39="O",AQ39="O",AS39="O",AU39="O",AV39="O"),"후보","X"))</f>
        <v>X</v>
      </c>
    </row>
    <row r="40" spans="1:49" x14ac:dyDescent="0.3">
      <c r="A40" s="5" t="s">
        <v>1381</v>
      </c>
      <c r="B40" s="14" t="s">
        <v>1382</v>
      </c>
      <c r="C40" s="25">
        <v>1459</v>
      </c>
      <c r="D40" s="23">
        <v>81.5</v>
      </c>
      <c r="E40" s="21">
        <v>25</v>
      </c>
      <c r="F40" s="23">
        <v>60</v>
      </c>
      <c r="G40" s="24">
        <v>18</v>
      </c>
      <c r="H40" s="25">
        <v>218</v>
      </c>
      <c r="I40" s="29">
        <v>84000</v>
      </c>
      <c r="J40" s="106" t="s">
        <v>2096</v>
      </c>
      <c r="K40" s="29">
        <v>55000</v>
      </c>
      <c r="L40" s="106" t="s">
        <v>2098</v>
      </c>
      <c r="M40" s="6">
        <f t="shared" si="37"/>
        <v>29000</v>
      </c>
      <c r="N40" s="7">
        <f t="shared" si="38"/>
        <v>0.65476190476190477</v>
      </c>
      <c r="O40" s="12">
        <f t="shared" si="39"/>
        <v>3360</v>
      </c>
      <c r="P40" s="12">
        <f t="shared" si="40"/>
        <v>2200</v>
      </c>
      <c r="Q40" s="13">
        <v>3</v>
      </c>
      <c r="R40" s="13">
        <v>2</v>
      </c>
      <c r="S40" s="13" t="s">
        <v>51</v>
      </c>
      <c r="T40" s="8" t="s">
        <v>1385</v>
      </c>
      <c r="U40" s="5"/>
      <c r="V40" s="5" t="s">
        <v>1384</v>
      </c>
      <c r="X40" s="23">
        <f t="shared" si="41"/>
        <v>81.5</v>
      </c>
      <c r="Y40" s="21">
        <f t="shared" si="41"/>
        <v>25</v>
      </c>
      <c r="Z40" s="28">
        <f t="shared" si="42"/>
        <v>218</v>
      </c>
      <c r="AA40" s="6">
        <f t="shared" si="42"/>
        <v>84000</v>
      </c>
      <c r="AB40" s="6">
        <f t="shared" si="43"/>
        <v>55000</v>
      </c>
      <c r="AC40" s="6">
        <f t="shared" si="44"/>
        <v>29000</v>
      </c>
      <c r="AD40" s="7">
        <f t="shared" si="44"/>
        <v>0.65476190476190477</v>
      </c>
      <c r="AE40" s="12">
        <f t="shared" si="44"/>
        <v>3360</v>
      </c>
      <c r="AF40" s="13" t="str">
        <f t="shared" si="45"/>
        <v>계</v>
      </c>
      <c r="AG40" s="13" t="str">
        <f t="shared" si="46"/>
        <v>3/2</v>
      </c>
      <c r="AI40" s="32" t="str">
        <f t="shared" si="36"/>
        <v>평촌더샵센트럴시티</v>
      </c>
      <c r="AJ40" s="21">
        <f t="shared" si="35"/>
        <v>25</v>
      </c>
      <c r="AK40" s="13" t="str">
        <f t="shared" si="47"/>
        <v>A-</v>
      </c>
      <c r="AL40" s="13"/>
      <c r="AM40" s="13"/>
      <c r="AN40" s="13"/>
      <c r="AO40" s="13" t="str">
        <f t="shared" si="48"/>
        <v>C</v>
      </c>
      <c r="AP40" s="13" t="str">
        <f t="shared" si="49"/>
        <v>X</v>
      </c>
      <c r="AQ40" s="13" t="str">
        <f t="shared" si="50"/>
        <v>X</v>
      </c>
      <c r="AR40" s="13" t="str">
        <f t="shared" si="51"/>
        <v>X</v>
      </c>
      <c r="AS40" s="13" t="str">
        <f t="shared" si="52"/>
        <v>X</v>
      </c>
      <c r="AT40" s="13" t="s">
        <v>32</v>
      </c>
      <c r="AU40" s="13" t="str">
        <f t="shared" si="53"/>
        <v>O</v>
      </c>
      <c r="AV40" s="13" t="str">
        <f t="shared" si="54"/>
        <v>O</v>
      </c>
      <c r="AW40" s="13" t="str">
        <f t="shared" si="55"/>
        <v>X</v>
      </c>
    </row>
    <row r="41" spans="1:49" x14ac:dyDescent="0.3">
      <c r="A41" s="5" t="s">
        <v>1381</v>
      </c>
      <c r="B41" s="14" t="s">
        <v>1382</v>
      </c>
      <c r="C41" s="25">
        <v>1459</v>
      </c>
      <c r="D41" s="23">
        <v>112.8</v>
      </c>
      <c r="E41" s="21">
        <v>34</v>
      </c>
      <c r="F41" s="23">
        <v>85</v>
      </c>
      <c r="G41" s="24">
        <v>26</v>
      </c>
      <c r="H41" s="25">
        <v>436</v>
      </c>
      <c r="I41" s="29">
        <v>128000</v>
      </c>
      <c r="J41" s="106" t="s">
        <v>2097</v>
      </c>
      <c r="K41" s="29">
        <v>70000</v>
      </c>
      <c r="L41" s="106" t="s">
        <v>2097</v>
      </c>
      <c r="M41" s="6">
        <f t="shared" si="37"/>
        <v>58000</v>
      </c>
      <c r="N41" s="7">
        <f t="shared" si="38"/>
        <v>0.546875</v>
      </c>
      <c r="O41" s="12">
        <f t="shared" si="39"/>
        <v>3764.705882352941</v>
      </c>
      <c r="P41" s="12">
        <f t="shared" si="40"/>
        <v>2058.8235294117649</v>
      </c>
      <c r="Q41" s="13">
        <v>3</v>
      </c>
      <c r="R41" s="13">
        <v>2</v>
      </c>
      <c r="S41" s="13" t="s">
        <v>51</v>
      </c>
      <c r="T41" s="8" t="s">
        <v>1386</v>
      </c>
      <c r="U41" s="5"/>
      <c r="V41" s="5" t="s">
        <v>1387</v>
      </c>
      <c r="X41" s="23">
        <f t="shared" si="41"/>
        <v>112.8</v>
      </c>
      <c r="Y41" s="21">
        <f t="shared" si="41"/>
        <v>34</v>
      </c>
      <c r="Z41" s="28">
        <f t="shared" si="42"/>
        <v>436</v>
      </c>
      <c r="AA41" s="6">
        <f t="shared" si="42"/>
        <v>128000</v>
      </c>
      <c r="AB41" s="6">
        <f t="shared" si="43"/>
        <v>70000</v>
      </c>
      <c r="AC41" s="6">
        <f t="shared" si="44"/>
        <v>58000</v>
      </c>
      <c r="AD41" s="7">
        <f t="shared" si="44"/>
        <v>0.546875</v>
      </c>
      <c r="AE41" s="12">
        <f t="shared" si="44"/>
        <v>3764.705882352941</v>
      </c>
      <c r="AF41" s="13" t="str">
        <f t="shared" si="45"/>
        <v>계</v>
      </c>
      <c r="AG41" s="13" t="str">
        <f t="shared" si="46"/>
        <v>3/2</v>
      </c>
      <c r="AI41" s="32" t="str">
        <f t="shared" si="36"/>
        <v>평촌더샵센트럴시티</v>
      </c>
      <c r="AJ41" s="21">
        <f t="shared" si="35"/>
        <v>34</v>
      </c>
      <c r="AK41" s="13" t="str">
        <f t="shared" si="47"/>
        <v>A-</v>
      </c>
      <c r="AL41" s="13"/>
      <c r="AM41" s="13"/>
      <c r="AN41" s="13"/>
      <c r="AO41" s="13" t="str">
        <f t="shared" si="48"/>
        <v>C</v>
      </c>
      <c r="AP41" s="13" t="str">
        <f t="shared" si="49"/>
        <v>X</v>
      </c>
      <c r="AQ41" s="13" t="str">
        <f t="shared" si="50"/>
        <v>X</v>
      </c>
      <c r="AR41" s="13" t="str">
        <f t="shared" si="51"/>
        <v>X</v>
      </c>
      <c r="AS41" s="13" t="str">
        <f t="shared" si="52"/>
        <v>X</v>
      </c>
      <c r="AT41" s="13" t="s">
        <v>32</v>
      </c>
      <c r="AU41" s="13" t="str">
        <f t="shared" si="53"/>
        <v>O</v>
      </c>
      <c r="AV41" s="13" t="str">
        <f t="shared" si="54"/>
        <v>O</v>
      </c>
      <c r="AW41" s="13" t="str">
        <f t="shared" si="55"/>
        <v>X</v>
      </c>
    </row>
    <row r="42" spans="1:49" x14ac:dyDescent="0.3">
      <c r="A42" s="5" t="s">
        <v>1381</v>
      </c>
      <c r="B42" s="14" t="s">
        <v>1382</v>
      </c>
      <c r="C42" s="25">
        <v>1459</v>
      </c>
      <c r="D42" s="23">
        <v>113.5</v>
      </c>
      <c r="E42" s="21">
        <v>34</v>
      </c>
      <c r="F42" s="23">
        <v>85</v>
      </c>
      <c r="G42" s="24">
        <v>26</v>
      </c>
      <c r="H42" s="25">
        <v>362</v>
      </c>
      <c r="I42" s="29">
        <v>128000</v>
      </c>
      <c r="J42" s="106" t="s">
        <v>2098</v>
      </c>
      <c r="K42" s="29">
        <v>70000</v>
      </c>
      <c r="L42" s="106" t="s">
        <v>2102</v>
      </c>
      <c r="M42" s="6">
        <f t="shared" si="37"/>
        <v>58000</v>
      </c>
      <c r="N42" s="7">
        <f t="shared" si="38"/>
        <v>0.546875</v>
      </c>
      <c r="O42" s="12">
        <f t="shared" si="39"/>
        <v>3764.705882352941</v>
      </c>
      <c r="P42" s="12">
        <f t="shared" si="40"/>
        <v>2058.8235294117649</v>
      </c>
      <c r="Q42" s="13">
        <v>3</v>
      </c>
      <c r="R42" s="13">
        <v>2</v>
      </c>
      <c r="S42" s="13" t="s">
        <v>51</v>
      </c>
      <c r="T42" s="8" t="s">
        <v>1388</v>
      </c>
      <c r="U42" s="5"/>
      <c r="V42" s="5" t="s">
        <v>1387</v>
      </c>
      <c r="X42" s="23">
        <f t="shared" si="41"/>
        <v>113.5</v>
      </c>
      <c r="Y42" s="21">
        <f t="shared" si="41"/>
        <v>34</v>
      </c>
      <c r="Z42" s="28">
        <f t="shared" si="42"/>
        <v>362</v>
      </c>
      <c r="AA42" s="6">
        <f t="shared" si="42"/>
        <v>128000</v>
      </c>
      <c r="AB42" s="6">
        <f t="shared" si="43"/>
        <v>70000</v>
      </c>
      <c r="AC42" s="6">
        <f t="shared" si="44"/>
        <v>58000</v>
      </c>
      <c r="AD42" s="7">
        <f t="shared" si="44"/>
        <v>0.546875</v>
      </c>
      <c r="AE42" s="12">
        <f t="shared" si="44"/>
        <v>3764.705882352941</v>
      </c>
      <c r="AF42" s="13" t="str">
        <f t="shared" si="45"/>
        <v>계</v>
      </c>
      <c r="AG42" s="13" t="str">
        <f t="shared" si="46"/>
        <v>3/2</v>
      </c>
      <c r="AI42" s="32" t="str">
        <f t="shared" si="36"/>
        <v>평촌더샵센트럴시티</v>
      </c>
      <c r="AJ42" s="21">
        <f t="shared" si="35"/>
        <v>34</v>
      </c>
      <c r="AK42" s="13" t="str">
        <f t="shared" si="47"/>
        <v>A-</v>
      </c>
      <c r="AL42" s="13"/>
      <c r="AM42" s="13"/>
      <c r="AN42" s="13"/>
      <c r="AO42" s="13" t="str">
        <f t="shared" si="48"/>
        <v>C</v>
      </c>
      <c r="AP42" s="13" t="str">
        <f t="shared" si="49"/>
        <v>X</v>
      </c>
      <c r="AQ42" s="13" t="str">
        <f t="shared" si="50"/>
        <v>X</v>
      </c>
      <c r="AR42" s="13" t="str">
        <f t="shared" si="51"/>
        <v>X</v>
      </c>
      <c r="AS42" s="13" t="str">
        <f t="shared" si="52"/>
        <v>X</v>
      </c>
      <c r="AT42" s="13" t="s">
        <v>32</v>
      </c>
      <c r="AU42" s="13" t="str">
        <f t="shared" si="53"/>
        <v>O</v>
      </c>
      <c r="AV42" s="13" t="str">
        <f t="shared" si="54"/>
        <v>O</v>
      </c>
      <c r="AW42" s="13" t="str">
        <f t="shared" si="55"/>
        <v>X</v>
      </c>
    </row>
    <row r="43" spans="1:49" x14ac:dyDescent="0.3">
      <c r="A43" s="5" t="s">
        <v>1381</v>
      </c>
      <c r="B43" s="14" t="s">
        <v>1382</v>
      </c>
      <c r="C43" s="25">
        <v>1459</v>
      </c>
      <c r="D43" s="23">
        <v>113.3</v>
      </c>
      <c r="E43" s="21">
        <v>34</v>
      </c>
      <c r="F43" s="23">
        <v>85</v>
      </c>
      <c r="G43" s="24">
        <v>26</v>
      </c>
      <c r="H43" s="25">
        <v>227</v>
      </c>
      <c r="I43" s="29">
        <v>126000</v>
      </c>
      <c r="J43" s="106" t="s">
        <v>2099</v>
      </c>
      <c r="K43" s="29">
        <v>61000</v>
      </c>
      <c r="L43" s="106" t="s">
        <v>2103</v>
      </c>
      <c r="M43" s="6">
        <f t="shared" si="37"/>
        <v>65000</v>
      </c>
      <c r="N43" s="7">
        <f t="shared" si="38"/>
        <v>0.48412698412698413</v>
      </c>
      <c r="O43" s="12">
        <f t="shared" si="39"/>
        <v>3705.8823529411766</v>
      </c>
      <c r="P43" s="12">
        <f t="shared" si="40"/>
        <v>1794.1176470588234</v>
      </c>
      <c r="Q43" s="13">
        <v>3</v>
      </c>
      <c r="R43" s="13">
        <v>2</v>
      </c>
      <c r="S43" s="13" t="s">
        <v>51</v>
      </c>
      <c r="T43" s="8" t="s">
        <v>1389</v>
      </c>
      <c r="U43" s="5"/>
      <c r="V43" s="5" t="s">
        <v>1387</v>
      </c>
      <c r="X43" s="23">
        <f t="shared" si="41"/>
        <v>113.3</v>
      </c>
      <c r="Y43" s="21">
        <f t="shared" si="41"/>
        <v>34</v>
      </c>
      <c r="Z43" s="28">
        <f t="shared" si="42"/>
        <v>227</v>
      </c>
      <c r="AA43" s="6">
        <f t="shared" si="42"/>
        <v>126000</v>
      </c>
      <c r="AB43" s="6">
        <f t="shared" si="43"/>
        <v>61000</v>
      </c>
      <c r="AC43" s="6">
        <f t="shared" si="44"/>
        <v>65000</v>
      </c>
      <c r="AD43" s="7">
        <f t="shared" si="44"/>
        <v>0.48412698412698413</v>
      </c>
      <c r="AE43" s="12">
        <f t="shared" si="44"/>
        <v>3705.8823529411766</v>
      </c>
      <c r="AF43" s="13" t="str">
        <f t="shared" si="45"/>
        <v>계</v>
      </c>
      <c r="AG43" s="13" t="str">
        <f t="shared" si="46"/>
        <v>3/2</v>
      </c>
      <c r="AI43" s="32" t="str">
        <f t="shared" si="36"/>
        <v>평촌더샵센트럴시티</v>
      </c>
      <c r="AJ43" s="21">
        <f t="shared" si="35"/>
        <v>34</v>
      </c>
      <c r="AK43" s="13" t="str">
        <f t="shared" si="47"/>
        <v>A-</v>
      </c>
      <c r="AL43" s="13"/>
      <c r="AM43" s="13"/>
      <c r="AN43" s="13"/>
      <c r="AO43" s="13" t="str">
        <f t="shared" si="48"/>
        <v>C</v>
      </c>
      <c r="AP43" s="13" t="str">
        <f t="shared" si="49"/>
        <v>X</v>
      </c>
      <c r="AQ43" s="13" t="str">
        <f t="shared" si="50"/>
        <v>X</v>
      </c>
      <c r="AR43" s="13" t="str">
        <f t="shared" si="51"/>
        <v>X</v>
      </c>
      <c r="AS43" s="13" t="str">
        <f t="shared" si="52"/>
        <v>X</v>
      </c>
      <c r="AT43" s="13" t="s">
        <v>32</v>
      </c>
      <c r="AU43" s="13" t="str">
        <f t="shared" si="53"/>
        <v>O</v>
      </c>
      <c r="AV43" s="13" t="str">
        <f t="shared" si="54"/>
        <v>O</v>
      </c>
      <c r="AW43" s="13" t="str">
        <f t="shared" si="55"/>
        <v>X</v>
      </c>
    </row>
    <row r="44" spans="1:49" x14ac:dyDescent="0.3">
      <c r="A44" s="5" t="s">
        <v>1381</v>
      </c>
      <c r="B44" s="14" t="s">
        <v>1382</v>
      </c>
      <c r="C44" s="25">
        <v>1459</v>
      </c>
      <c r="D44" s="23">
        <v>127.4</v>
      </c>
      <c r="E44" s="21">
        <v>39</v>
      </c>
      <c r="F44" s="23">
        <v>97</v>
      </c>
      <c r="G44" s="24">
        <v>29</v>
      </c>
      <c r="H44" s="25">
        <v>114</v>
      </c>
      <c r="I44" s="29">
        <v>150000</v>
      </c>
      <c r="J44" s="106" t="s">
        <v>2100</v>
      </c>
      <c r="K44" s="29">
        <v>75000</v>
      </c>
      <c r="L44" s="106" t="s">
        <v>2097</v>
      </c>
      <c r="M44" s="6">
        <f t="shared" si="37"/>
        <v>75000</v>
      </c>
      <c r="N44" s="7">
        <f t="shared" si="38"/>
        <v>0.5</v>
      </c>
      <c r="O44" s="12">
        <f t="shared" si="39"/>
        <v>3846.1538461538462</v>
      </c>
      <c r="P44" s="12">
        <f t="shared" si="40"/>
        <v>1923.0769230769231</v>
      </c>
      <c r="Q44" s="13">
        <v>4</v>
      </c>
      <c r="R44" s="13">
        <v>2</v>
      </c>
      <c r="S44" s="13" t="s">
        <v>51</v>
      </c>
      <c r="T44" s="8">
        <v>127</v>
      </c>
      <c r="U44" s="5"/>
      <c r="V44" s="5" t="s">
        <v>1390</v>
      </c>
      <c r="X44" s="23">
        <f t="shared" si="41"/>
        <v>127.4</v>
      </c>
      <c r="Y44" s="21">
        <f t="shared" si="41"/>
        <v>39</v>
      </c>
      <c r="Z44" s="28">
        <f t="shared" si="42"/>
        <v>114</v>
      </c>
      <c r="AA44" s="6">
        <f t="shared" si="42"/>
        <v>150000</v>
      </c>
      <c r="AB44" s="6">
        <f t="shared" si="43"/>
        <v>75000</v>
      </c>
      <c r="AC44" s="6">
        <f t="shared" si="44"/>
        <v>75000</v>
      </c>
      <c r="AD44" s="7">
        <f t="shared" si="44"/>
        <v>0.5</v>
      </c>
      <c r="AE44" s="12">
        <f t="shared" si="44"/>
        <v>3846.1538461538462</v>
      </c>
      <c r="AF44" s="13" t="str">
        <f t="shared" si="45"/>
        <v>계</v>
      </c>
      <c r="AG44" s="13" t="str">
        <f t="shared" si="46"/>
        <v>4/2</v>
      </c>
      <c r="AI44" s="32" t="str">
        <f t="shared" si="36"/>
        <v>평촌더샵센트럴시티</v>
      </c>
      <c r="AJ44" s="21">
        <f t="shared" si="35"/>
        <v>39</v>
      </c>
      <c r="AK44" s="13" t="str">
        <f t="shared" si="47"/>
        <v>A-</v>
      </c>
      <c r="AL44" s="13"/>
      <c r="AM44" s="13"/>
      <c r="AN44" s="13"/>
      <c r="AO44" s="13" t="str">
        <f t="shared" si="48"/>
        <v>C</v>
      </c>
      <c r="AP44" s="13" t="str">
        <f t="shared" si="49"/>
        <v>X</v>
      </c>
      <c r="AQ44" s="13" t="str">
        <f t="shared" si="50"/>
        <v>X</v>
      </c>
      <c r="AR44" s="13" t="str">
        <f t="shared" si="51"/>
        <v>X</v>
      </c>
      <c r="AS44" s="13" t="str">
        <f t="shared" si="52"/>
        <v>X</v>
      </c>
      <c r="AT44" s="13" t="s">
        <v>32</v>
      </c>
      <c r="AU44" s="13" t="str">
        <f t="shared" si="53"/>
        <v>X</v>
      </c>
      <c r="AV44" s="13" t="str">
        <f t="shared" si="54"/>
        <v>O</v>
      </c>
      <c r="AW44" s="13" t="str">
        <f t="shared" si="55"/>
        <v>X</v>
      </c>
    </row>
    <row r="45" spans="1:49" x14ac:dyDescent="0.3">
      <c r="A45" s="5"/>
      <c r="B45" s="13"/>
      <c r="C45" s="9"/>
      <c r="D45" s="5"/>
      <c r="E45" s="18"/>
      <c r="F45" s="23"/>
      <c r="G45" s="5"/>
      <c r="H45" s="5"/>
      <c r="I45" s="5"/>
      <c r="J45" s="8"/>
      <c r="K45" s="5"/>
      <c r="L45" s="8"/>
      <c r="M45" s="5"/>
      <c r="N45" s="5"/>
      <c r="O45" s="12"/>
      <c r="P45" s="12"/>
      <c r="Q45" s="21"/>
      <c r="R45" s="21"/>
      <c r="S45" s="5"/>
      <c r="T45" s="59"/>
      <c r="U45" s="5"/>
      <c r="V45" s="5"/>
      <c r="X45" s="90" t="str">
        <f>$A$4&amp;" "&amp;A46&amp;"("&amp;B46&amp;","&amp;C46&amp;"^)"</f>
        <v>관양동 한미('86.05,220^)</v>
      </c>
      <c r="Y45" s="91"/>
      <c r="Z45" s="91"/>
      <c r="AA45" s="91"/>
      <c r="AB45" s="91"/>
      <c r="AC45" s="91"/>
      <c r="AD45" s="91"/>
      <c r="AE45" s="91"/>
      <c r="AF45" s="91"/>
      <c r="AG45" s="92"/>
      <c r="AI45" s="32" t="str">
        <f t="shared" si="36"/>
        <v/>
      </c>
      <c r="AJ45" s="33" t="str">
        <f t="shared" si="35"/>
        <v/>
      </c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</row>
    <row r="46" spans="1:49" x14ac:dyDescent="0.3">
      <c r="A46" s="5" t="s">
        <v>1391</v>
      </c>
      <c r="B46" s="14" t="s">
        <v>1392</v>
      </c>
      <c r="C46" s="25">
        <v>220</v>
      </c>
      <c r="D46" s="23">
        <v>54.6</v>
      </c>
      <c r="E46" s="21">
        <v>17</v>
      </c>
      <c r="F46" s="23">
        <v>41.1</v>
      </c>
      <c r="G46" s="24">
        <v>12</v>
      </c>
      <c r="H46" s="25">
        <v>40</v>
      </c>
      <c r="I46" s="29">
        <v>59000</v>
      </c>
      <c r="J46" s="106" t="s">
        <v>2074</v>
      </c>
      <c r="K46" s="29">
        <v>17850</v>
      </c>
      <c r="L46" s="106" t="s">
        <v>2069</v>
      </c>
      <c r="M46" s="6">
        <f>I46-K46</f>
        <v>41150</v>
      </c>
      <c r="N46" s="7">
        <f>IF(ISERROR(K46/I46),"",K46/I46)</f>
        <v>0.30254237288135594</v>
      </c>
      <c r="O46" s="12">
        <f>I46/E46</f>
        <v>3470.5882352941176</v>
      </c>
      <c r="P46" s="12">
        <f>K46/E46</f>
        <v>1050</v>
      </c>
      <c r="Q46" s="13">
        <v>2</v>
      </c>
      <c r="R46" s="13">
        <v>1</v>
      </c>
      <c r="S46" s="13" t="s">
        <v>51</v>
      </c>
      <c r="T46" s="8" t="s">
        <v>1393</v>
      </c>
      <c r="U46" s="5" t="s">
        <v>2104</v>
      </c>
      <c r="V46" s="5" t="s">
        <v>1394</v>
      </c>
      <c r="X46" s="23">
        <f t="shared" ref="X46:Y49" si="56">D46</f>
        <v>54.6</v>
      </c>
      <c r="Y46" s="21">
        <f t="shared" si="56"/>
        <v>17</v>
      </c>
      <c r="Z46" s="28">
        <f t="shared" ref="Z46:AA49" si="57">H46</f>
        <v>40</v>
      </c>
      <c r="AA46" s="6">
        <f t="shared" si="57"/>
        <v>59000</v>
      </c>
      <c r="AB46" s="6">
        <f>K46</f>
        <v>17850</v>
      </c>
      <c r="AC46" s="6">
        <f t="shared" ref="AC46:AE49" si="58">M46</f>
        <v>41150</v>
      </c>
      <c r="AD46" s="7">
        <f t="shared" si="58"/>
        <v>0.30254237288135594</v>
      </c>
      <c r="AE46" s="12">
        <f t="shared" si="58"/>
        <v>3470.5882352941176</v>
      </c>
      <c r="AF46" s="13" t="str">
        <f>S46</f>
        <v>계</v>
      </c>
      <c r="AG46" s="13" t="str">
        <f>Q46&amp;"/"&amp;R46</f>
        <v>2/1</v>
      </c>
      <c r="AI46" s="32" t="str">
        <f t="shared" si="36"/>
        <v>한미</v>
      </c>
      <c r="AJ46" s="21">
        <f t="shared" si="35"/>
        <v>17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>X</v>
      </c>
      <c r="AQ46" s="13" t="str">
        <f>IF(I46="","",IF(I46&lt;=$AQ$1,"O","X"))</f>
        <v>X</v>
      </c>
      <c r="AR46" s="13" t="str">
        <f>IF(O46="","",IF(O46&lt;=$AR$1,"O","X"))</f>
        <v>X</v>
      </c>
      <c r="AS46" s="13" t="str">
        <f>IF(M46="","",IF(M46&lt;=$AS$1,"O","X"))</f>
        <v>X</v>
      </c>
      <c r="AT46" s="13" t="s">
        <v>32</v>
      </c>
      <c r="AU46" s="13" t="str">
        <f>IF(OR(F46="",AJ46=""),"",IF(AND((F46&lt;=85),(AJ46&gt;=15)),"O","X"))</f>
        <v>O</v>
      </c>
      <c r="AV46" s="13" t="str">
        <f>IF(C46="","",IF(C46&gt;=$AV$1,"O","X"))</f>
        <v>X</v>
      </c>
      <c r="AW46" s="13" t="str">
        <f>IF(AP46="","",IF(AND(AP46="O",AQ46="O",AS46="O",AU46="O",AV46="O"),"후보","X"))</f>
        <v>X</v>
      </c>
    </row>
    <row r="47" spans="1:49" x14ac:dyDescent="0.3">
      <c r="A47" s="5" t="s">
        <v>1391</v>
      </c>
      <c r="B47" s="14" t="s">
        <v>1392</v>
      </c>
      <c r="C47" s="25">
        <v>220</v>
      </c>
      <c r="D47" s="23">
        <v>57.7</v>
      </c>
      <c r="E47" s="21">
        <v>17</v>
      </c>
      <c r="F47" s="23">
        <v>43.7</v>
      </c>
      <c r="G47" s="24">
        <v>13</v>
      </c>
      <c r="H47" s="25">
        <v>50</v>
      </c>
      <c r="I47" s="29">
        <v>47000</v>
      </c>
      <c r="J47" s="106" t="s">
        <v>2063</v>
      </c>
      <c r="K47" s="29">
        <v>20000</v>
      </c>
      <c r="L47" s="106" t="s">
        <v>2108</v>
      </c>
      <c r="M47" s="6">
        <f>I47-K47</f>
        <v>27000</v>
      </c>
      <c r="N47" s="7">
        <f>IF(ISERROR(K47/I47),"",K47/I47)</f>
        <v>0.42553191489361702</v>
      </c>
      <c r="O47" s="12">
        <f>I47/E47</f>
        <v>2764.705882352941</v>
      </c>
      <c r="P47" s="12">
        <f>K47/E47</f>
        <v>1176.4705882352941</v>
      </c>
      <c r="Q47" s="13">
        <v>2</v>
      </c>
      <c r="R47" s="13">
        <v>1</v>
      </c>
      <c r="S47" s="13" t="s">
        <v>51</v>
      </c>
      <c r="T47" s="8" t="s">
        <v>1395</v>
      </c>
      <c r="U47" s="5" t="s">
        <v>2105</v>
      </c>
      <c r="V47" s="5" t="s">
        <v>1396</v>
      </c>
      <c r="X47" s="23">
        <f t="shared" si="56"/>
        <v>57.7</v>
      </c>
      <c r="Y47" s="21">
        <f t="shared" si="56"/>
        <v>17</v>
      </c>
      <c r="Z47" s="28">
        <f t="shared" si="57"/>
        <v>50</v>
      </c>
      <c r="AA47" s="6">
        <f t="shared" si="57"/>
        <v>47000</v>
      </c>
      <c r="AB47" s="6">
        <f>K47</f>
        <v>20000</v>
      </c>
      <c r="AC47" s="6">
        <f t="shared" si="58"/>
        <v>27000</v>
      </c>
      <c r="AD47" s="7">
        <f t="shared" si="58"/>
        <v>0.42553191489361702</v>
      </c>
      <c r="AE47" s="12">
        <f t="shared" si="58"/>
        <v>2764.705882352941</v>
      </c>
      <c r="AF47" s="13" t="str">
        <f>S47</f>
        <v>계</v>
      </c>
      <c r="AG47" s="13" t="str">
        <f>Q47&amp;"/"&amp;R47</f>
        <v>2/1</v>
      </c>
      <c r="AI47" s="32" t="str">
        <f t="shared" si="36"/>
        <v>한미</v>
      </c>
      <c r="AJ47" s="21">
        <f t="shared" si="35"/>
        <v>17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>X</v>
      </c>
      <c r="AQ47" s="13" t="str">
        <f>IF(I47="","",IF(I47&lt;=$AQ$1,"O","X"))</f>
        <v>X</v>
      </c>
      <c r="AR47" s="13" t="str">
        <f>IF(O47="","",IF(O47&lt;=$AR$1,"O","X"))</f>
        <v>X</v>
      </c>
      <c r="AS47" s="13" t="str">
        <f>IF(M47="","",IF(M47&lt;=$AS$1,"O","X"))</f>
        <v>X</v>
      </c>
      <c r="AT47" s="13" t="s">
        <v>32</v>
      </c>
      <c r="AU47" s="13" t="str">
        <f>IF(OR(F47="",AJ47=""),"",IF(AND((F47&lt;=85),(AJ47&gt;=15)),"O","X"))</f>
        <v>O</v>
      </c>
      <c r="AV47" s="13" t="str">
        <f>IF(C47="","",IF(C47&gt;=$AV$1,"O","X"))</f>
        <v>X</v>
      </c>
      <c r="AW47" s="13" t="str">
        <f>IF(AP47="","",IF(AND(AP47="O",AQ47="O",AS47="O",AU47="O",AV47="O"),"후보","X"))</f>
        <v>X</v>
      </c>
    </row>
    <row r="48" spans="1:49" x14ac:dyDescent="0.3">
      <c r="A48" s="5" t="s">
        <v>1391</v>
      </c>
      <c r="B48" s="14" t="s">
        <v>1392</v>
      </c>
      <c r="C48" s="25">
        <v>220</v>
      </c>
      <c r="D48" s="23">
        <v>64.900000000000006</v>
      </c>
      <c r="E48" s="21">
        <v>20</v>
      </c>
      <c r="F48" s="23">
        <v>49.7</v>
      </c>
      <c r="G48" s="24">
        <v>15</v>
      </c>
      <c r="H48" s="25">
        <v>50</v>
      </c>
      <c r="I48" s="29">
        <v>65000</v>
      </c>
      <c r="J48" s="106" t="s">
        <v>2069</v>
      </c>
      <c r="K48" s="29">
        <v>20000</v>
      </c>
      <c r="L48" s="106" t="s">
        <v>2107</v>
      </c>
      <c r="M48" s="6">
        <f>I48-K48</f>
        <v>45000</v>
      </c>
      <c r="N48" s="7">
        <f>IF(ISERROR(K48/I48),"",K48/I48)</f>
        <v>0.30769230769230771</v>
      </c>
      <c r="O48" s="12">
        <f>I48/E48</f>
        <v>3250</v>
      </c>
      <c r="P48" s="12">
        <f>K48/E48</f>
        <v>1000</v>
      </c>
      <c r="Q48" s="13">
        <v>3</v>
      </c>
      <c r="R48" s="13">
        <v>1</v>
      </c>
      <c r="S48" s="13" t="s">
        <v>51</v>
      </c>
      <c r="T48" s="8">
        <v>64</v>
      </c>
      <c r="U48" s="5" t="s">
        <v>2106</v>
      </c>
      <c r="V48" s="5" t="s">
        <v>1397</v>
      </c>
      <c r="X48" s="23">
        <f t="shared" si="56"/>
        <v>64.900000000000006</v>
      </c>
      <c r="Y48" s="21">
        <f t="shared" si="56"/>
        <v>20</v>
      </c>
      <c r="Z48" s="28">
        <f t="shared" si="57"/>
        <v>50</v>
      </c>
      <c r="AA48" s="6">
        <f t="shared" si="57"/>
        <v>65000</v>
      </c>
      <c r="AB48" s="6">
        <f>K48</f>
        <v>20000</v>
      </c>
      <c r="AC48" s="6">
        <f t="shared" si="58"/>
        <v>45000</v>
      </c>
      <c r="AD48" s="7">
        <f t="shared" si="58"/>
        <v>0.30769230769230771</v>
      </c>
      <c r="AE48" s="12">
        <f t="shared" si="58"/>
        <v>3250</v>
      </c>
      <c r="AF48" s="13" t="str">
        <f>S48</f>
        <v>계</v>
      </c>
      <c r="AG48" s="13" t="str">
        <f>Q48&amp;"/"&amp;R48</f>
        <v>3/1</v>
      </c>
      <c r="AI48" s="32" t="str">
        <f t="shared" si="36"/>
        <v>한미</v>
      </c>
      <c r="AJ48" s="21">
        <f t="shared" si="35"/>
        <v>20</v>
      </c>
      <c r="AK48" s="13" t="str">
        <f>IF(AJ48="","",$AK$2)</f>
        <v>A-</v>
      </c>
      <c r="AL48" s="13"/>
      <c r="AM48" s="13"/>
      <c r="AN48" s="13"/>
      <c r="AO48" s="13" t="str">
        <f>IF(AJ48="","",$AO$2)</f>
        <v>C</v>
      </c>
      <c r="AP48" s="13" t="str">
        <f>IF(N48="","",IF(N48&gt;=$AP$1/100,"O","X"))</f>
        <v>X</v>
      </c>
      <c r="AQ48" s="13" t="str">
        <f>IF(I48="","",IF(I48&lt;=$AQ$1,"O","X"))</f>
        <v>X</v>
      </c>
      <c r="AR48" s="13" t="str">
        <f>IF(O48="","",IF(O48&lt;=$AR$1,"O","X"))</f>
        <v>X</v>
      </c>
      <c r="AS48" s="13" t="str">
        <f>IF(M48="","",IF(M48&lt;=$AS$1,"O","X"))</f>
        <v>X</v>
      </c>
      <c r="AT48" s="13" t="s">
        <v>32</v>
      </c>
      <c r="AU48" s="13" t="str">
        <f>IF(OR(F48="",AJ48=""),"",IF(AND((F48&lt;=85),(AJ48&gt;=15)),"O","X"))</f>
        <v>O</v>
      </c>
      <c r="AV48" s="13" t="str">
        <f>IF(C48="","",IF(C48&gt;=$AV$1,"O","X"))</f>
        <v>X</v>
      </c>
      <c r="AW48" s="13" t="str">
        <f>IF(AP48="","",IF(AND(AP48="O",AQ48="O",AS48="O",AU48="O",AV48="O"),"후보","X"))</f>
        <v>X</v>
      </c>
    </row>
    <row r="49" spans="1:49" x14ac:dyDescent="0.3">
      <c r="A49" s="5" t="s">
        <v>1391</v>
      </c>
      <c r="B49" s="14" t="s">
        <v>1392</v>
      </c>
      <c r="C49" s="25">
        <v>220</v>
      </c>
      <c r="D49" s="23">
        <v>74.7</v>
      </c>
      <c r="E49" s="21">
        <v>23</v>
      </c>
      <c r="F49" s="23">
        <v>58</v>
      </c>
      <c r="G49" s="24">
        <v>18</v>
      </c>
      <c r="H49" s="25">
        <v>80</v>
      </c>
      <c r="I49" s="29">
        <v>76000</v>
      </c>
      <c r="J49" s="106" t="s">
        <v>2107</v>
      </c>
      <c r="K49" s="29">
        <v>25000</v>
      </c>
      <c r="L49" s="106" t="s">
        <v>2109</v>
      </c>
      <c r="M49" s="6">
        <f>I49-K49</f>
        <v>51000</v>
      </c>
      <c r="N49" s="7">
        <f>IF(ISERROR(K49/I49),"",K49/I49)</f>
        <v>0.32894736842105265</v>
      </c>
      <c r="O49" s="12">
        <f>I49/E49</f>
        <v>3304.3478260869565</v>
      </c>
      <c r="P49" s="12">
        <f>K49/E49</f>
        <v>1086.9565217391305</v>
      </c>
      <c r="Q49" s="13">
        <v>3</v>
      </c>
      <c r="R49" s="13">
        <v>1</v>
      </c>
      <c r="S49" s="13" t="s">
        <v>51</v>
      </c>
      <c r="T49" s="8">
        <v>74</v>
      </c>
      <c r="U49" s="5"/>
      <c r="V49" s="5" t="s">
        <v>1398</v>
      </c>
      <c r="X49" s="23">
        <f t="shared" si="56"/>
        <v>74.7</v>
      </c>
      <c r="Y49" s="21">
        <f t="shared" si="56"/>
        <v>23</v>
      </c>
      <c r="Z49" s="28">
        <f t="shared" si="57"/>
        <v>80</v>
      </c>
      <c r="AA49" s="6">
        <f t="shared" si="57"/>
        <v>76000</v>
      </c>
      <c r="AB49" s="6">
        <f>K49</f>
        <v>25000</v>
      </c>
      <c r="AC49" s="6">
        <f t="shared" si="58"/>
        <v>51000</v>
      </c>
      <c r="AD49" s="7">
        <f t="shared" si="58"/>
        <v>0.32894736842105265</v>
      </c>
      <c r="AE49" s="12">
        <f t="shared" si="58"/>
        <v>3304.3478260869565</v>
      </c>
      <c r="AF49" s="13" t="str">
        <f>S49</f>
        <v>계</v>
      </c>
      <c r="AG49" s="13" t="str">
        <f>Q49&amp;"/"&amp;R49</f>
        <v>3/1</v>
      </c>
      <c r="AI49" s="32" t="str">
        <f t="shared" si="36"/>
        <v>한미</v>
      </c>
      <c r="AJ49" s="21">
        <f t="shared" si="35"/>
        <v>23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>X</v>
      </c>
      <c r="AQ49" s="13" t="str">
        <f>IF(I49="","",IF(I49&lt;=$AQ$1,"O","X"))</f>
        <v>X</v>
      </c>
      <c r="AR49" s="13" t="str">
        <f>IF(O49="","",IF(O49&lt;=$AR$1,"O","X"))</f>
        <v>X</v>
      </c>
      <c r="AS49" s="13" t="str">
        <f>IF(M49="","",IF(M49&lt;=$AS$1,"O","X"))</f>
        <v>X</v>
      </c>
      <c r="AT49" s="13" t="s">
        <v>32</v>
      </c>
      <c r="AU49" s="13" t="str">
        <f>IF(OR(F49="",AJ49=""),"",IF(AND((F49&lt;=85),(AJ49&gt;=15)),"O","X"))</f>
        <v>O</v>
      </c>
      <c r="AV49" s="13" t="str">
        <f>IF(C49="","",IF(C49&gt;=$AV$1,"O","X"))</f>
        <v>X</v>
      </c>
      <c r="AW49" s="13" t="str">
        <f>IF(AP49="","",IF(AND(AP49="O",AQ49="O",AS49="O",AU49="O",AV49="O"),"후보","X"))</f>
        <v>X</v>
      </c>
    </row>
    <row r="50" spans="1:49" x14ac:dyDescent="0.3">
      <c r="A50" s="5"/>
      <c r="B50" s="13"/>
      <c r="C50" s="9"/>
      <c r="D50" s="5"/>
      <c r="E50" s="18"/>
      <c r="F50" s="23"/>
      <c r="G50" s="5"/>
      <c r="H50" s="5"/>
      <c r="I50" s="5"/>
      <c r="J50" s="8"/>
      <c r="K50" s="5"/>
      <c r="L50" s="8"/>
      <c r="M50" s="5"/>
      <c r="N50" s="5"/>
      <c r="O50" s="12"/>
      <c r="P50" s="12"/>
      <c r="Q50" s="21"/>
      <c r="R50" s="21"/>
      <c r="S50" s="5"/>
      <c r="T50" s="59"/>
      <c r="U50" s="5"/>
      <c r="V50" s="5"/>
      <c r="X50" s="90" t="str">
        <f>$A$4&amp;" "&amp;A51&amp;"("&amp;B51&amp;","&amp;C51&amp;"^)"</f>
        <v>관양동 한가람한양('95.05,952^)</v>
      </c>
      <c r="Y50" s="91"/>
      <c r="Z50" s="91"/>
      <c r="AA50" s="91"/>
      <c r="AB50" s="91"/>
      <c r="AC50" s="91"/>
      <c r="AD50" s="91"/>
      <c r="AE50" s="91"/>
      <c r="AF50" s="91"/>
      <c r="AG50" s="92"/>
      <c r="AI50" s="32" t="str">
        <f t="shared" si="36"/>
        <v/>
      </c>
      <c r="AJ50" s="33" t="str">
        <f t="shared" si="35"/>
        <v/>
      </c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</row>
    <row r="51" spans="1:49" x14ac:dyDescent="0.3">
      <c r="A51" s="5" t="s">
        <v>1399</v>
      </c>
      <c r="B51" s="14" t="s">
        <v>1400</v>
      </c>
      <c r="C51" s="25">
        <v>952</v>
      </c>
      <c r="D51" s="23">
        <v>55.1</v>
      </c>
      <c r="E51" s="21">
        <v>17</v>
      </c>
      <c r="F51" s="23">
        <v>41.1</v>
      </c>
      <c r="G51" s="24">
        <v>12</v>
      </c>
      <c r="H51" s="25">
        <v>560</v>
      </c>
      <c r="I51" s="29">
        <v>36500</v>
      </c>
      <c r="J51" s="106" t="s">
        <v>2057</v>
      </c>
      <c r="K51" s="29">
        <v>24000</v>
      </c>
      <c r="L51" s="106" t="s">
        <v>2094</v>
      </c>
      <c r="M51" s="6">
        <f>I51-K51</f>
        <v>12500</v>
      </c>
      <c r="N51" s="7">
        <f>IF(ISERROR(K51/I51),"",K51/I51)</f>
        <v>0.65753424657534243</v>
      </c>
      <c r="O51" s="12">
        <f>I51/E51</f>
        <v>2147.0588235294117</v>
      </c>
      <c r="P51" s="12">
        <f>K51/E51</f>
        <v>1411.7647058823529</v>
      </c>
      <c r="Q51" s="13">
        <v>2</v>
      </c>
      <c r="R51" s="13">
        <v>1</v>
      </c>
      <c r="S51" s="13" t="s">
        <v>1356</v>
      </c>
      <c r="T51" s="8">
        <v>55</v>
      </c>
      <c r="U51" s="5"/>
      <c r="V51" s="5" t="s">
        <v>1401</v>
      </c>
      <c r="X51" s="23">
        <f t="shared" ref="X51:Y53" si="59">D51</f>
        <v>55.1</v>
      </c>
      <c r="Y51" s="21">
        <f t="shared" si="59"/>
        <v>17</v>
      </c>
      <c r="Z51" s="28">
        <f t="shared" ref="Z51:AA53" si="60">H51</f>
        <v>560</v>
      </c>
      <c r="AA51" s="6">
        <f t="shared" si="60"/>
        <v>36500</v>
      </c>
      <c r="AB51" s="6">
        <f>K51</f>
        <v>24000</v>
      </c>
      <c r="AC51" s="6">
        <f t="shared" ref="AC51:AE53" si="61">M51</f>
        <v>12500</v>
      </c>
      <c r="AD51" s="7">
        <f t="shared" si="61"/>
        <v>0.65753424657534243</v>
      </c>
      <c r="AE51" s="12">
        <f t="shared" si="61"/>
        <v>2147.0588235294117</v>
      </c>
      <c r="AF51" s="13" t="str">
        <f>S51</f>
        <v>복</v>
      </c>
      <c r="AG51" s="13" t="str">
        <f>Q51&amp;"/"&amp;R51</f>
        <v>2/1</v>
      </c>
      <c r="AI51" s="32" t="str">
        <f t="shared" si="36"/>
        <v>한가람한양</v>
      </c>
      <c r="AJ51" s="21">
        <f t="shared" si="35"/>
        <v>17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>X</v>
      </c>
      <c r="AQ51" s="13" t="str">
        <f>IF(I51="","",IF(I51&lt;=$AQ$1,"O","X"))</f>
        <v>O</v>
      </c>
      <c r="AR51" s="13" t="str">
        <f>IF(O51="","",IF(O51&lt;=$AR$1,"O","X"))</f>
        <v>X</v>
      </c>
      <c r="AS51" s="13" t="str">
        <f>IF(M51="","",IF(M51&lt;=$AS$1,"O","X"))</f>
        <v>X</v>
      </c>
      <c r="AT51" s="13" t="s">
        <v>32</v>
      </c>
      <c r="AU51" s="13" t="str">
        <f>IF(OR(F51="",AJ51=""),"",IF(AND((F51&lt;=85),(AJ51&gt;=15)),"O","X"))</f>
        <v>O</v>
      </c>
      <c r="AV51" s="13" t="str">
        <f>IF(C51="","",IF(C51&gt;=$AV$1,"O","X"))</f>
        <v>O</v>
      </c>
      <c r="AW51" s="13" t="str">
        <f>IF(AP51="","",IF(AND(AP51="O",AQ51="O",AS51="O",AU51="O",AV51="O"),"후보","X"))</f>
        <v>X</v>
      </c>
    </row>
    <row r="52" spans="1:49" x14ac:dyDescent="0.3">
      <c r="A52" s="5" t="s">
        <v>1399</v>
      </c>
      <c r="B52" s="14" t="s">
        <v>1400</v>
      </c>
      <c r="C52" s="25">
        <v>952</v>
      </c>
      <c r="D52" s="23">
        <v>79.7</v>
      </c>
      <c r="E52" s="21">
        <v>24</v>
      </c>
      <c r="F52" s="23">
        <v>59.8</v>
      </c>
      <c r="G52" s="24">
        <v>18</v>
      </c>
      <c r="H52" s="25">
        <v>72</v>
      </c>
      <c r="I52" s="29">
        <v>55000</v>
      </c>
      <c r="J52" s="106" t="s">
        <v>2110</v>
      </c>
      <c r="K52" s="29">
        <v>35000</v>
      </c>
      <c r="L52" s="106" t="s">
        <v>2112</v>
      </c>
      <c r="M52" s="6">
        <f>I52-K52</f>
        <v>20000</v>
      </c>
      <c r="N52" s="7">
        <f>IF(ISERROR(K52/I52),"",K52/I52)</f>
        <v>0.63636363636363635</v>
      </c>
      <c r="O52" s="12">
        <f>I52/E52</f>
        <v>2291.6666666666665</v>
      </c>
      <c r="P52" s="12">
        <f>K52/E52</f>
        <v>1458.3333333333333</v>
      </c>
      <c r="Q52" s="13">
        <v>3</v>
      </c>
      <c r="R52" s="13">
        <v>1</v>
      </c>
      <c r="S52" s="13" t="s">
        <v>1356</v>
      </c>
      <c r="T52" s="8">
        <v>79</v>
      </c>
      <c r="U52" s="5"/>
      <c r="V52" s="5" t="s">
        <v>1402</v>
      </c>
      <c r="X52" s="23">
        <f t="shared" si="59"/>
        <v>79.7</v>
      </c>
      <c r="Y52" s="21">
        <f t="shared" si="59"/>
        <v>24</v>
      </c>
      <c r="Z52" s="28">
        <f t="shared" si="60"/>
        <v>72</v>
      </c>
      <c r="AA52" s="6">
        <f t="shared" si="60"/>
        <v>55000</v>
      </c>
      <c r="AB52" s="6">
        <f>K52</f>
        <v>35000</v>
      </c>
      <c r="AC52" s="6">
        <f t="shared" si="61"/>
        <v>20000</v>
      </c>
      <c r="AD52" s="7">
        <f t="shared" si="61"/>
        <v>0.63636363636363635</v>
      </c>
      <c r="AE52" s="12">
        <f t="shared" si="61"/>
        <v>2291.6666666666665</v>
      </c>
      <c r="AF52" s="13" t="str">
        <f>S52</f>
        <v>복</v>
      </c>
      <c r="AG52" s="13" t="str">
        <f>Q52&amp;"/"&amp;R52</f>
        <v>3/1</v>
      </c>
      <c r="AI52" s="32" t="str">
        <f t="shared" si="36"/>
        <v>한가람한양</v>
      </c>
      <c r="AJ52" s="21">
        <f t="shared" si="35"/>
        <v>24</v>
      </c>
      <c r="AK52" s="13" t="str">
        <f>IF(AJ52="","",$AK$2)</f>
        <v>A-</v>
      </c>
      <c r="AL52" s="13"/>
      <c r="AM52" s="13"/>
      <c r="AN52" s="13"/>
      <c r="AO52" s="13" t="str">
        <f>IF(AJ52="","",$AO$2)</f>
        <v>C</v>
      </c>
      <c r="AP52" s="13" t="str">
        <f>IF(N52="","",IF(N52&gt;=$AP$1/100,"O","X"))</f>
        <v>X</v>
      </c>
      <c r="AQ52" s="13" t="str">
        <f>IF(I52="","",IF(I52&lt;=$AQ$1,"O","X"))</f>
        <v>X</v>
      </c>
      <c r="AR52" s="13" t="str">
        <f>IF(O52="","",IF(O52&lt;=$AR$1,"O","X"))</f>
        <v>X</v>
      </c>
      <c r="AS52" s="13" t="str">
        <f>IF(M52="","",IF(M52&lt;=$AS$1,"O","X"))</f>
        <v>X</v>
      </c>
      <c r="AT52" s="13" t="s">
        <v>32</v>
      </c>
      <c r="AU52" s="13" t="str">
        <f>IF(OR(F52="",AJ52=""),"",IF(AND((F52&lt;=85),(AJ52&gt;=15)),"O","X"))</f>
        <v>O</v>
      </c>
      <c r="AV52" s="13" t="str">
        <f>IF(C52="","",IF(C52&gt;=$AV$1,"O","X"))</f>
        <v>O</v>
      </c>
      <c r="AW52" s="13" t="str">
        <f>IF(AP52="","",IF(AND(AP52="O",AQ52="O",AS52="O",AU52="O",AV52="O"),"후보","X"))</f>
        <v>X</v>
      </c>
    </row>
    <row r="53" spans="1:49" x14ac:dyDescent="0.3">
      <c r="A53" s="5" t="s">
        <v>1399</v>
      </c>
      <c r="B53" s="14" t="s">
        <v>1400</v>
      </c>
      <c r="C53" s="25">
        <v>952</v>
      </c>
      <c r="D53" s="23">
        <v>104.7</v>
      </c>
      <c r="E53" s="21">
        <v>32</v>
      </c>
      <c r="F53" s="23">
        <v>84.9</v>
      </c>
      <c r="G53" s="24">
        <v>26</v>
      </c>
      <c r="H53" s="25">
        <v>320</v>
      </c>
      <c r="I53" s="29">
        <v>72000</v>
      </c>
      <c r="J53" s="106" t="s">
        <v>2111</v>
      </c>
      <c r="K53" s="29">
        <v>45000</v>
      </c>
      <c r="L53" s="106" t="s">
        <v>2113</v>
      </c>
      <c r="M53" s="6">
        <f>I53-K53</f>
        <v>27000</v>
      </c>
      <c r="N53" s="7">
        <f>IF(ISERROR(K53/I53),"",K53/I53)</f>
        <v>0.625</v>
      </c>
      <c r="O53" s="12">
        <f>I53/E53</f>
        <v>2250</v>
      </c>
      <c r="P53" s="12">
        <f>K53/E53</f>
        <v>1406.25</v>
      </c>
      <c r="Q53" s="13">
        <v>3</v>
      </c>
      <c r="R53" s="13">
        <v>2</v>
      </c>
      <c r="S53" s="13" t="s">
        <v>51</v>
      </c>
      <c r="T53" s="8">
        <v>104</v>
      </c>
      <c r="U53" s="5"/>
      <c r="V53" s="5" t="s">
        <v>1403</v>
      </c>
      <c r="X53" s="23">
        <f t="shared" si="59"/>
        <v>104.7</v>
      </c>
      <c r="Y53" s="21">
        <f t="shared" si="59"/>
        <v>32</v>
      </c>
      <c r="Z53" s="28">
        <f t="shared" si="60"/>
        <v>320</v>
      </c>
      <c r="AA53" s="6">
        <f t="shared" si="60"/>
        <v>72000</v>
      </c>
      <c r="AB53" s="6">
        <f>K53</f>
        <v>45000</v>
      </c>
      <c r="AC53" s="6">
        <f t="shared" si="61"/>
        <v>27000</v>
      </c>
      <c r="AD53" s="7">
        <f t="shared" si="61"/>
        <v>0.625</v>
      </c>
      <c r="AE53" s="12">
        <f t="shared" si="61"/>
        <v>2250</v>
      </c>
      <c r="AF53" s="13" t="str">
        <f>S53</f>
        <v>계</v>
      </c>
      <c r="AG53" s="13" t="str">
        <f>Q53&amp;"/"&amp;R53</f>
        <v>3/2</v>
      </c>
      <c r="AI53" s="32" t="str">
        <f t="shared" si="36"/>
        <v>한가람한양</v>
      </c>
      <c r="AJ53" s="21">
        <f t="shared" si="35"/>
        <v>32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>X</v>
      </c>
      <c r="AQ53" s="13" t="str">
        <f>IF(I53="","",IF(I53&lt;=$AQ$1,"O","X"))</f>
        <v>X</v>
      </c>
      <c r="AR53" s="13" t="str">
        <f>IF(O53="","",IF(O53&lt;=$AR$1,"O","X"))</f>
        <v>X</v>
      </c>
      <c r="AS53" s="13" t="str">
        <f>IF(M53="","",IF(M53&lt;=$AS$1,"O","X"))</f>
        <v>X</v>
      </c>
      <c r="AT53" s="13" t="s">
        <v>32</v>
      </c>
      <c r="AU53" s="13" t="str">
        <f>IF(OR(F53="",AJ53=""),"",IF(AND((F53&lt;=85),(AJ53&gt;=15)),"O","X"))</f>
        <v>O</v>
      </c>
      <c r="AV53" s="13" t="str">
        <f>IF(C53="","",IF(C53&gt;=$AV$1,"O","X"))</f>
        <v>O</v>
      </c>
      <c r="AW53" s="13" t="str">
        <f>IF(AP53="","",IF(AND(AP53="O",AQ53="O",AS53="O",AU53="O",AV53="O"),"후보","X"))</f>
        <v>X</v>
      </c>
    </row>
    <row r="54" spans="1:49" x14ac:dyDescent="0.3">
      <c r="A54" s="5"/>
      <c r="B54" s="13"/>
      <c r="C54" s="9"/>
      <c r="D54" s="5"/>
      <c r="E54" s="18"/>
      <c r="F54" s="23"/>
      <c r="G54" s="5"/>
      <c r="H54" s="5"/>
      <c r="I54" s="5"/>
      <c r="J54" s="8"/>
      <c r="K54" s="5"/>
      <c r="L54" s="8"/>
      <c r="M54" s="5"/>
      <c r="N54" s="5"/>
      <c r="O54" s="12"/>
      <c r="P54" s="12"/>
      <c r="Q54" s="21"/>
      <c r="R54" s="21"/>
      <c r="S54" s="5"/>
      <c r="T54" s="59"/>
      <c r="U54" s="5"/>
      <c r="V54" s="5"/>
      <c r="X54" s="90" t="str">
        <f>$A$4&amp;" "&amp;A55&amp;"("&amp;B55&amp;","&amp;C55&amp;"^)"</f>
        <v>관양동 한가람세경('96.11,1292^)</v>
      </c>
      <c r="Y54" s="91"/>
      <c r="Z54" s="91"/>
      <c r="AA54" s="91"/>
      <c r="AB54" s="91"/>
      <c r="AC54" s="91"/>
      <c r="AD54" s="91"/>
      <c r="AE54" s="91"/>
      <c r="AF54" s="91"/>
      <c r="AG54" s="92"/>
      <c r="AI54" s="32" t="str">
        <f t="shared" si="36"/>
        <v/>
      </c>
      <c r="AJ54" s="33" t="str">
        <f t="shared" si="35"/>
        <v/>
      </c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</row>
    <row r="55" spans="1:49" x14ac:dyDescent="0.3">
      <c r="A55" s="5" t="s">
        <v>1404</v>
      </c>
      <c r="B55" s="14" t="s">
        <v>1405</v>
      </c>
      <c r="C55" s="25">
        <v>1292</v>
      </c>
      <c r="D55" s="23">
        <v>64.099999999999994</v>
      </c>
      <c r="E55" s="21">
        <v>19</v>
      </c>
      <c r="F55" s="23">
        <v>49.7</v>
      </c>
      <c r="G55" s="24">
        <v>15</v>
      </c>
      <c r="H55" s="25">
        <v>660</v>
      </c>
      <c r="I55" s="29">
        <v>46000</v>
      </c>
      <c r="J55" s="106" t="s">
        <v>2114</v>
      </c>
      <c r="K55" s="29">
        <v>30000</v>
      </c>
      <c r="L55" s="106" t="s">
        <v>2115</v>
      </c>
      <c r="M55" s="6">
        <f>I55-K55</f>
        <v>16000</v>
      </c>
      <c r="N55" s="7">
        <f>IF(ISERROR(K55/I55),"",K55/I55)</f>
        <v>0.65217391304347827</v>
      </c>
      <c r="O55" s="12">
        <f>I55/E55</f>
        <v>2421.0526315789475</v>
      </c>
      <c r="P55" s="12">
        <f>K55/E55</f>
        <v>1578.9473684210527</v>
      </c>
      <c r="Q55" s="13">
        <v>2</v>
      </c>
      <c r="R55" s="13">
        <v>1</v>
      </c>
      <c r="S55" s="13" t="s">
        <v>1356</v>
      </c>
      <c r="T55" s="8">
        <v>64</v>
      </c>
      <c r="U55" s="5"/>
      <c r="V55" s="5" t="s">
        <v>1406</v>
      </c>
      <c r="X55" s="23">
        <f>D55</f>
        <v>64.099999999999994</v>
      </c>
      <c r="Y55" s="21">
        <f>E55</f>
        <v>19</v>
      </c>
      <c r="Z55" s="28">
        <f>H55</f>
        <v>660</v>
      </c>
      <c r="AA55" s="6">
        <f>I55</f>
        <v>46000</v>
      </c>
      <c r="AB55" s="6">
        <f>K55</f>
        <v>30000</v>
      </c>
      <c r="AC55" s="6">
        <f t="shared" ref="AC55:AE56" si="62">M55</f>
        <v>16000</v>
      </c>
      <c r="AD55" s="7">
        <f t="shared" si="62"/>
        <v>0.65217391304347827</v>
      </c>
      <c r="AE55" s="12">
        <f t="shared" si="62"/>
        <v>2421.0526315789475</v>
      </c>
      <c r="AF55" s="13" t="str">
        <f>S55</f>
        <v>복</v>
      </c>
      <c r="AG55" s="13" t="str">
        <f>Q55&amp;"/"&amp;R55</f>
        <v>2/1</v>
      </c>
      <c r="AI55" s="32" t="str">
        <f t="shared" si="36"/>
        <v>한가람세경</v>
      </c>
      <c r="AJ55" s="21">
        <f t="shared" si="35"/>
        <v>19</v>
      </c>
      <c r="AK55" s="13" t="str">
        <f>IF(AJ55="","",$AK$2)</f>
        <v>A-</v>
      </c>
      <c r="AL55" s="13"/>
      <c r="AM55" s="13"/>
      <c r="AN55" s="13"/>
      <c r="AO55" s="13" t="str">
        <f>IF(AJ55="","",$AO$2)</f>
        <v>C</v>
      </c>
      <c r="AP55" s="13" t="str">
        <f>IF(N55="","",IF(N55&gt;=$AP$1/100,"O","X"))</f>
        <v>X</v>
      </c>
      <c r="AQ55" s="13" t="str">
        <f>IF(I55="","",IF(I55&lt;=$AQ$1,"O","X"))</f>
        <v>X</v>
      </c>
      <c r="AR55" s="13" t="str">
        <f>IF(O55="","",IF(O55&lt;=$AR$1,"O","X"))</f>
        <v>X</v>
      </c>
      <c r="AS55" s="13" t="str">
        <f>IF(M55="","",IF(M55&lt;=$AS$1,"O","X"))</f>
        <v>X</v>
      </c>
      <c r="AT55" s="13" t="s">
        <v>32</v>
      </c>
      <c r="AU55" s="13" t="str">
        <f>IF(OR(F55="",AJ55=""),"",IF(AND((F55&lt;=85),(AJ55&gt;=15)),"O","X"))</f>
        <v>O</v>
      </c>
      <c r="AV55" s="13" t="str">
        <f>IF(C55="","",IF(C55&gt;=$AV$1,"O","X"))</f>
        <v>O</v>
      </c>
      <c r="AW55" s="13" t="str">
        <f>IF(AP55="","",IF(AND(AP55="O",AQ55="O",AS55="O",AU55="O",AV55="O"),"후보","X"))</f>
        <v>X</v>
      </c>
    </row>
    <row r="56" spans="1:49" x14ac:dyDescent="0.3">
      <c r="A56" s="5" t="s">
        <v>1404</v>
      </c>
      <c r="B56" s="14" t="s">
        <v>1405</v>
      </c>
      <c r="C56" s="25">
        <v>1292</v>
      </c>
      <c r="D56" s="23">
        <v>66.8</v>
      </c>
      <c r="E56" s="21">
        <v>20</v>
      </c>
      <c r="F56" s="23">
        <v>51.8</v>
      </c>
      <c r="G56" s="24">
        <v>16</v>
      </c>
      <c r="H56" s="25">
        <v>632</v>
      </c>
      <c r="I56" s="29">
        <v>46000</v>
      </c>
      <c r="J56" s="106" t="s">
        <v>2094</v>
      </c>
      <c r="K56" s="29">
        <v>27000</v>
      </c>
      <c r="L56" s="106" t="s">
        <v>2116</v>
      </c>
      <c r="M56" s="6">
        <f>I56-K56</f>
        <v>19000</v>
      </c>
      <c r="N56" s="7">
        <f>IF(ISERROR(K56/I56),"",K56/I56)</f>
        <v>0.58695652173913049</v>
      </c>
      <c r="O56" s="12">
        <f>I56/E56</f>
        <v>2300</v>
      </c>
      <c r="P56" s="12">
        <f>K56/E56</f>
        <v>1350</v>
      </c>
      <c r="Q56" s="13">
        <v>2</v>
      </c>
      <c r="R56" s="13">
        <v>1</v>
      </c>
      <c r="S56" s="13" t="s">
        <v>1356</v>
      </c>
      <c r="T56" s="8">
        <v>66</v>
      </c>
      <c r="U56" s="5"/>
      <c r="V56" s="5" t="s">
        <v>1407</v>
      </c>
      <c r="X56" s="23">
        <f>D56</f>
        <v>66.8</v>
      </c>
      <c r="Y56" s="21">
        <f>E56</f>
        <v>20</v>
      </c>
      <c r="Z56" s="28">
        <f>H56</f>
        <v>632</v>
      </c>
      <c r="AA56" s="6">
        <f>I56</f>
        <v>46000</v>
      </c>
      <c r="AB56" s="6">
        <f>K56</f>
        <v>27000</v>
      </c>
      <c r="AC56" s="6">
        <f t="shared" si="62"/>
        <v>19000</v>
      </c>
      <c r="AD56" s="7">
        <f t="shared" si="62"/>
        <v>0.58695652173913049</v>
      </c>
      <c r="AE56" s="12">
        <f t="shared" si="62"/>
        <v>2300</v>
      </c>
      <c r="AF56" s="13" t="str">
        <f>S56</f>
        <v>복</v>
      </c>
      <c r="AG56" s="13" t="str">
        <f>Q56&amp;"/"&amp;R56</f>
        <v>2/1</v>
      </c>
      <c r="AI56" s="32" t="str">
        <f t="shared" si="36"/>
        <v>한가람세경</v>
      </c>
      <c r="AJ56" s="21">
        <f t="shared" si="35"/>
        <v>20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>X</v>
      </c>
      <c r="AQ56" s="13" t="str">
        <f>IF(I56="","",IF(I56&lt;=$AQ$1,"O","X"))</f>
        <v>X</v>
      </c>
      <c r="AR56" s="13" t="str">
        <f>IF(O56="","",IF(O56&lt;=$AR$1,"O","X"))</f>
        <v>X</v>
      </c>
      <c r="AS56" s="13" t="str">
        <f>IF(M56="","",IF(M56&lt;=$AS$1,"O","X"))</f>
        <v>X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O</v>
      </c>
      <c r="AW56" s="13" t="str">
        <f>IF(AP56="","",IF(AND(AP56="O",AQ56="O",AS56="O",AU56="O",AV56="O"),"후보","X"))</f>
        <v>X</v>
      </c>
    </row>
    <row r="57" spans="1:49" x14ac:dyDescent="0.3">
      <c r="A57" s="5"/>
      <c r="B57" s="13"/>
      <c r="C57" s="9"/>
      <c r="D57" s="5"/>
      <c r="E57" s="18"/>
      <c r="F57" s="23"/>
      <c r="G57" s="5"/>
      <c r="H57" s="5"/>
      <c r="I57" s="5"/>
      <c r="J57" s="8"/>
      <c r="K57" s="5"/>
      <c r="L57" s="8"/>
      <c r="M57" s="5"/>
      <c r="N57" s="5"/>
      <c r="O57" s="12"/>
      <c r="P57" s="12"/>
      <c r="Q57" s="21"/>
      <c r="R57" s="21"/>
      <c r="S57" s="5"/>
      <c r="T57" s="59"/>
      <c r="U57" s="5"/>
      <c r="V57" s="5"/>
      <c r="X57" s="90" t="str">
        <f>$A$4&amp;" "&amp;A58&amp;"("&amp;B58&amp;","&amp;C58&amp;"^)"</f>
        <v>관양동 공작부영('93.03,1710^)</v>
      </c>
      <c r="Y57" s="91"/>
      <c r="Z57" s="91"/>
      <c r="AA57" s="91"/>
      <c r="AB57" s="91"/>
      <c r="AC57" s="91"/>
      <c r="AD57" s="91"/>
      <c r="AE57" s="91"/>
      <c r="AF57" s="91"/>
      <c r="AG57" s="92"/>
      <c r="AI57" s="32" t="str">
        <f t="shared" si="36"/>
        <v/>
      </c>
      <c r="AJ57" s="33" t="str">
        <f t="shared" si="35"/>
        <v/>
      </c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</row>
    <row r="58" spans="1:49" x14ac:dyDescent="0.3">
      <c r="A58" s="5" t="s">
        <v>1408</v>
      </c>
      <c r="B58" s="14" t="s">
        <v>1409</v>
      </c>
      <c r="C58" s="25">
        <v>1710</v>
      </c>
      <c r="D58" s="23">
        <v>51.5</v>
      </c>
      <c r="E58" s="21">
        <v>16</v>
      </c>
      <c r="F58" s="23">
        <v>37.9</v>
      </c>
      <c r="G58" s="24">
        <v>11</v>
      </c>
      <c r="H58" s="25">
        <v>735</v>
      </c>
      <c r="I58" s="29">
        <v>37000</v>
      </c>
      <c r="J58" s="106" t="s">
        <v>2053</v>
      </c>
      <c r="K58" s="29">
        <v>25000</v>
      </c>
      <c r="L58" s="106" t="s">
        <v>2059</v>
      </c>
      <c r="M58" s="6">
        <f>I58-K58</f>
        <v>12000</v>
      </c>
      <c r="N58" s="7">
        <f>IF(ISERROR(K58/I58),"",K58/I58)</f>
        <v>0.67567567567567566</v>
      </c>
      <c r="O58" s="12">
        <f>I58/E58</f>
        <v>2312.5</v>
      </c>
      <c r="P58" s="12">
        <f>K58/E58</f>
        <v>1562.5</v>
      </c>
      <c r="Q58" s="13">
        <v>2</v>
      </c>
      <c r="R58" s="13">
        <v>1</v>
      </c>
      <c r="S58" s="13" t="s">
        <v>1356</v>
      </c>
      <c r="T58" s="8">
        <v>51</v>
      </c>
      <c r="U58" s="5"/>
      <c r="V58" s="5" t="s">
        <v>1410</v>
      </c>
      <c r="X58" s="23">
        <f t="shared" ref="X58:Y60" si="63">D58</f>
        <v>51.5</v>
      </c>
      <c r="Y58" s="21">
        <f t="shared" si="63"/>
        <v>16</v>
      </c>
      <c r="Z58" s="28">
        <f t="shared" ref="Z58:AA60" si="64">H58</f>
        <v>735</v>
      </c>
      <c r="AA58" s="6">
        <f t="shared" si="64"/>
        <v>37000</v>
      </c>
      <c r="AB58" s="6">
        <f>K58</f>
        <v>25000</v>
      </c>
      <c r="AC58" s="6">
        <f t="shared" ref="AC58:AE60" si="65">M58</f>
        <v>12000</v>
      </c>
      <c r="AD58" s="7">
        <f t="shared" si="65"/>
        <v>0.67567567567567566</v>
      </c>
      <c r="AE58" s="12">
        <f t="shared" si="65"/>
        <v>2312.5</v>
      </c>
      <c r="AF58" s="13" t="str">
        <f>S58</f>
        <v>복</v>
      </c>
      <c r="AG58" s="13" t="str">
        <f>Q58&amp;"/"&amp;R58</f>
        <v>2/1</v>
      </c>
      <c r="AI58" s="32" t="str">
        <f t="shared" si="36"/>
        <v>공작부영</v>
      </c>
      <c r="AJ58" s="21">
        <f t="shared" si="35"/>
        <v>16</v>
      </c>
      <c r="AK58" s="13" t="str">
        <f>IF(AJ58="","",$AK$2)</f>
        <v>A-</v>
      </c>
      <c r="AL58" s="13"/>
      <c r="AM58" s="13"/>
      <c r="AN58" s="13"/>
      <c r="AO58" s="13" t="str">
        <f>IF(AJ58="","",$AO$2)</f>
        <v>C</v>
      </c>
      <c r="AP58" s="13" t="str">
        <f>IF(N58="","",IF(N58&gt;=$AP$1/100,"O","X"))</f>
        <v>X</v>
      </c>
      <c r="AQ58" s="13" t="str">
        <f>IF(I58="","",IF(I58&lt;=$AQ$1,"O","X"))</f>
        <v>O</v>
      </c>
      <c r="AR58" s="13" t="str">
        <f>IF(O58="","",IF(O58&lt;=$AR$1,"O","X"))</f>
        <v>X</v>
      </c>
      <c r="AS58" s="13" t="str">
        <f>IF(M58="","",IF(M58&lt;=$AS$1,"O","X"))</f>
        <v>X</v>
      </c>
      <c r="AT58" s="13" t="s">
        <v>32</v>
      </c>
      <c r="AU58" s="13" t="str">
        <f>IF(OR(F58="",AJ58=""),"",IF(AND((F58&lt;=85),(AJ58&gt;=15)),"O","X"))</f>
        <v>O</v>
      </c>
      <c r="AV58" s="13" t="str">
        <f>IF(C58="","",IF(C58&gt;=$AV$1,"O","X"))</f>
        <v>O</v>
      </c>
      <c r="AW58" s="13" t="str">
        <f>IF(AP58="","",IF(AND(AP58="O",AQ58="O",AS58="O",AU58="O",AV58="O"),"후보","X"))</f>
        <v>X</v>
      </c>
    </row>
    <row r="59" spans="1:49" x14ac:dyDescent="0.3">
      <c r="A59" s="5" t="s">
        <v>1408</v>
      </c>
      <c r="B59" s="14" t="s">
        <v>1409</v>
      </c>
      <c r="C59" s="25">
        <v>1710</v>
      </c>
      <c r="D59" s="23">
        <v>68.099999999999994</v>
      </c>
      <c r="E59" s="21">
        <v>21</v>
      </c>
      <c r="F59" s="23">
        <v>50</v>
      </c>
      <c r="G59" s="24">
        <v>15</v>
      </c>
      <c r="H59" s="25">
        <v>510</v>
      </c>
      <c r="I59" s="29">
        <v>42000</v>
      </c>
      <c r="J59" s="106" t="s">
        <v>2053</v>
      </c>
      <c r="K59" s="29">
        <v>26000</v>
      </c>
      <c r="L59" s="106" t="s">
        <v>2093</v>
      </c>
      <c r="M59" s="6">
        <f>I59-K59</f>
        <v>16000</v>
      </c>
      <c r="N59" s="7">
        <f>IF(ISERROR(K59/I59),"",K59/I59)</f>
        <v>0.61904761904761907</v>
      </c>
      <c r="O59" s="12">
        <f>I59/E59</f>
        <v>2000</v>
      </c>
      <c r="P59" s="12">
        <f>K59/E59</f>
        <v>1238.0952380952381</v>
      </c>
      <c r="Q59" s="13">
        <v>3</v>
      </c>
      <c r="R59" s="13">
        <v>1</v>
      </c>
      <c r="S59" s="13" t="s">
        <v>1356</v>
      </c>
      <c r="T59" s="8">
        <v>68</v>
      </c>
      <c r="U59" s="5"/>
      <c r="V59" s="5" t="s">
        <v>1411</v>
      </c>
      <c r="X59" s="23">
        <f t="shared" si="63"/>
        <v>68.099999999999994</v>
      </c>
      <c r="Y59" s="21">
        <f t="shared" si="63"/>
        <v>21</v>
      </c>
      <c r="Z59" s="28">
        <f t="shared" si="64"/>
        <v>510</v>
      </c>
      <c r="AA59" s="6">
        <f t="shared" si="64"/>
        <v>42000</v>
      </c>
      <c r="AB59" s="6">
        <f>K59</f>
        <v>26000</v>
      </c>
      <c r="AC59" s="6">
        <f t="shared" si="65"/>
        <v>16000</v>
      </c>
      <c r="AD59" s="7">
        <f t="shared" si="65"/>
        <v>0.61904761904761907</v>
      </c>
      <c r="AE59" s="12">
        <f t="shared" si="65"/>
        <v>2000</v>
      </c>
      <c r="AF59" s="13" t="str">
        <f>S59</f>
        <v>복</v>
      </c>
      <c r="AG59" s="13" t="str">
        <f>Q59&amp;"/"&amp;R59</f>
        <v>3/1</v>
      </c>
      <c r="AI59" s="32" t="str">
        <f t="shared" si="36"/>
        <v>공작부영</v>
      </c>
      <c r="AJ59" s="21">
        <f t="shared" si="35"/>
        <v>21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>X</v>
      </c>
      <c r="AQ59" s="13" t="str">
        <f>IF(I59="","",IF(I59&lt;=$AQ$1,"O","X"))</f>
        <v>O</v>
      </c>
      <c r="AR59" s="13" t="str">
        <f>IF(O59="","",IF(O59&lt;=$AR$1,"O","X"))</f>
        <v>X</v>
      </c>
      <c r="AS59" s="13" t="str">
        <f>IF(M59="","",IF(M59&lt;=$AS$1,"O","X"))</f>
        <v>X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>X</v>
      </c>
    </row>
    <row r="60" spans="1:49" x14ac:dyDescent="0.3">
      <c r="A60" s="5" t="s">
        <v>1408</v>
      </c>
      <c r="B60" s="14" t="s">
        <v>1409</v>
      </c>
      <c r="C60" s="25">
        <v>1710</v>
      </c>
      <c r="D60" s="23">
        <v>83.7</v>
      </c>
      <c r="E60" s="21">
        <v>25</v>
      </c>
      <c r="F60" s="23">
        <v>60</v>
      </c>
      <c r="G60" s="24">
        <v>18</v>
      </c>
      <c r="H60" s="25">
        <v>465</v>
      </c>
      <c r="I60" s="29">
        <v>55000</v>
      </c>
      <c r="J60" s="106" t="s">
        <v>2117</v>
      </c>
      <c r="K60" s="29">
        <v>36000</v>
      </c>
      <c r="L60" s="106" t="s">
        <v>2116</v>
      </c>
      <c r="M60" s="6">
        <f>I60-K60</f>
        <v>19000</v>
      </c>
      <c r="N60" s="7">
        <f>IF(ISERROR(K60/I60),"",K60/I60)</f>
        <v>0.65454545454545454</v>
      </c>
      <c r="O60" s="12">
        <f>I60/E60</f>
        <v>2200</v>
      </c>
      <c r="P60" s="12">
        <f>K60/E60</f>
        <v>1440</v>
      </c>
      <c r="Q60" s="13">
        <v>3</v>
      </c>
      <c r="R60" s="13">
        <v>1</v>
      </c>
      <c r="S60" s="13" t="s">
        <v>1356</v>
      </c>
      <c r="T60" s="8">
        <v>83</v>
      </c>
      <c r="U60" s="5"/>
      <c r="V60" s="5" t="s">
        <v>1412</v>
      </c>
      <c r="X60" s="23">
        <f t="shared" si="63"/>
        <v>83.7</v>
      </c>
      <c r="Y60" s="21">
        <f t="shared" si="63"/>
        <v>25</v>
      </c>
      <c r="Z60" s="28">
        <f t="shared" si="64"/>
        <v>465</v>
      </c>
      <c r="AA60" s="6">
        <f t="shared" si="64"/>
        <v>55000</v>
      </c>
      <c r="AB60" s="6">
        <f>K60</f>
        <v>36000</v>
      </c>
      <c r="AC60" s="6">
        <f t="shared" si="65"/>
        <v>19000</v>
      </c>
      <c r="AD60" s="7">
        <f t="shared" si="65"/>
        <v>0.65454545454545454</v>
      </c>
      <c r="AE60" s="12">
        <f t="shared" si="65"/>
        <v>2200</v>
      </c>
      <c r="AF60" s="13" t="str">
        <f>S60</f>
        <v>복</v>
      </c>
      <c r="AG60" s="13" t="str">
        <f>Q60&amp;"/"&amp;R60</f>
        <v>3/1</v>
      </c>
      <c r="AI60" s="32" t="str">
        <f t="shared" si="36"/>
        <v>공작부영</v>
      </c>
      <c r="AJ60" s="21">
        <f t="shared" si="35"/>
        <v>25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>X</v>
      </c>
      <c r="AQ60" s="13" t="str">
        <f>IF(I60="","",IF(I60&lt;=$AQ$1,"O","X"))</f>
        <v>X</v>
      </c>
      <c r="AR60" s="13" t="str">
        <f>IF(O60="","",IF(O60&lt;=$AR$1,"O","X"))</f>
        <v>X</v>
      </c>
      <c r="AS60" s="13" t="str">
        <f>IF(M60="","",IF(M60&lt;=$AS$1,"O","X"))</f>
        <v>X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>X</v>
      </c>
    </row>
    <row r="61" spans="1:49" x14ac:dyDescent="0.3">
      <c r="A61" s="5"/>
      <c r="B61" s="13"/>
      <c r="C61" s="9"/>
      <c r="D61" s="5"/>
      <c r="E61" s="18"/>
      <c r="F61" s="23"/>
      <c r="G61" s="5"/>
      <c r="H61" s="5"/>
      <c r="I61" s="5"/>
      <c r="J61" s="8"/>
      <c r="K61" s="5"/>
      <c r="L61" s="8"/>
      <c r="M61" s="5"/>
      <c r="N61" s="5"/>
      <c r="O61" s="12"/>
      <c r="P61" s="12"/>
      <c r="Q61" s="21"/>
      <c r="R61" s="21"/>
      <c r="S61" s="5"/>
      <c r="T61" s="59"/>
      <c r="U61" s="5"/>
      <c r="V61" s="5"/>
      <c r="X61" s="90" t="str">
        <f>$A$4&amp;" "&amp;A62&amp;"("&amp;B62&amp;","&amp;C62&amp;"^)"</f>
        <v>관양동 한가람신라('92.07,1068^)</v>
      </c>
      <c r="Y61" s="91"/>
      <c r="Z61" s="91"/>
      <c r="AA61" s="91"/>
      <c r="AB61" s="91"/>
      <c r="AC61" s="91"/>
      <c r="AD61" s="91"/>
      <c r="AE61" s="91"/>
      <c r="AF61" s="91"/>
      <c r="AG61" s="92"/>
      <c r="AI61" s="32" t="str">
        <f t="shared" si="36"/>
        <v/>
      </c>
      <c r="AJ61" s="33" t="str">
        <f t="shared" si="35"/>
        <v/>
      </c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</row>
    <row r="62" spans="1:49" x14ac:dyDescent="0.3">
      <c r="A62" s="5" t="s">
        <v>1413</v>
      </c>
      <c r="B62" s="14" t="s">
        <v>1414</v>
      </c>
      <c r="C62" s="25">
        <v>1068</v>
      </c>
      <c r="D62" s="23">
        <v>50</v>
      </c>
      <c r="E62" s="21">
        <v>15</v>
      </c>
      <c r="F62" s="23">
        <v>38.299999999999997</v>
      </c>
      <c r="G62" s="24">
        <v>12</v>
      </c>
      <c r="H62" s="25">
        <v>180</v>
      </c>
      <c r="I62" s="29">
        <v>31000</v>
      </c>
      <c r="J62" s="106" t="s">
        <v>2053</v>
      </c>
      <c r="K62" s="29">
        <v>19000</v>
      </c>
      <c r="L62" s="106" t="s">
        <v>2063</v>
      </c>
      <c r="M62" s="6">
        <f>I62-K62</f>
        <v>12000</v>
      </c>
      <c r="N62" s="7">
        <f>IF(ISERROR(K62/I62),"",K62/I62)</f>
        <v>0.61290322580645162</v>
      </c>
      <c r="O62" s="12">
        <f>I62/E62</f>
        <v>2066.6666666666665</v>
      </c>
      <c r="P62" s="12">
        <f>K62/E62</f>
        <v>1266.6666666666667</v>
      </c>
      <c r="Q62" s="13">
        <v>2</v>
      </c>
      <c r="R62" s="13">
        <v>1</v>
      </c>
      <c r="S62" s="13" t="s">
        <v>1356</v>
      </c>
      <c r="T62" s="8">
        <v>49</v>
      </c>
      <c r="U62" s="5"/>
      <c r="V62" s="5" t="s">
        <v>1415</v>
      </c>
      <c r="X62" s="23">
        <f t="shared" ref="X62:Y66" si="66">D62</f>
        <v>50</v>
      </c>
      <c r="Y62" s="21">
        <f t="shared" si="66"/>
        <v>15</v>
      </c>
      <c r="Z62" s="28">
        <f t="shared" ref="Z62:AA66" si="67">H62</f>
        <v>180</v>
      </c>
      <c r="AA62" s="6">
        <f t="shared" si="67"/>
        <v>31000</v>
      </c>
      <c r="AB62" s="6">
        <f>K62</f>
        <v>19000</v>
      </c>
      <c r="AC62" s="6">
        <f t="shared" ref="AC62:AE66" si="68">M62</f>
        <v>12000</v>
      </c>
      <c r="AD62" s="7">
        <f t="shared" si="68"/>
        <v>0.61290322580645162</v>
      </c>
      <c r="AE62" s="12">
        <f t="shared" si="68"/>
        <v>2066.6666666666665</v>
      </c>
      <c r="AF62" s="13" t="str">
        <f>S62</f>
        <v>복</v>
      </c>
      <c r="AG62" s="13" t="str">
        <f>Q62&amp;"/"&amp;R62</f>
        <v>2/1</v>
      </c>
      <c r="AI62" s="32" t="str">
        <f t="shared" si="36"/>
        <v>한가람신라</v>
      </c>
      <c r="AJ62" s="21">
        <f t="shared" si="35"/>
        <v>15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>X</v>
      </c>
      <c r="AQ62" s="13" t="str">
        <f>IF(I62="","",IF(I62&lt;=$AQ$1,"O","X"))</f>
        <v>O</v>
      </c>
      <c r="AR62" s="13" t="str">
        <f>IF(O62="","",IF(O62&lt;=$AR$1,"O","X"))</f>
        <v>X</v>
      </c>
      <c r="AS62" s="13" t="str">
        <f>IF(M62="","",IF(M62&lt;=$AS$1,"O","X"))</f>
        <v>X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>X</v>
      </c>
    </row>
    <row r="63" spans="1:49" x14ac:dyDescent="0.3">
      <c r="A63" s="5" t="s">
        <v>1413</v>
      </c>
      <c r="B63" s="14" t="s">
        <v>1414</v>
      </c>
      <c r="C63" s="25">
        <v>1068</v>
      </c>
      <c r="D63" s="23">
        <v>52.8</v>
      </c>
      <c r="E63" s="21">
        <v>16</v>
      </c>
      <c r="F63" s="23">
        <v>38.299999999999997</v>
      </c>
      <c r="G63" s="24">
        <v>12</v>
      </c>
      <c r="H63" s="25">
        <v>138</v>
      </c>
      <c r="I63" s="29">
        <v>37000</v>
      </c>
      <c r="J63" s="106" t="s">
        <v>2118</v>
      </c>
      <c r="K63" s="29">
        <v>20000</v>
      </c>
      <c r="L63" s="106" t="s">
        <v>2118</v>
      </c>
      <c r="M63" s="6">
        <f>I63-K63</f>
        <v>17000</v>
      </c>
      <c r="N63" s="7">
        <f>IF(ISERROR(K63/I63),"",K63/I63)</f>
        <v>0.54054054054054057</v>
      </c>
      <c r="O63" s="12">
        <f>I63/E63</f>
        <v>2312.5</v>
      </c>
      <c r="P63" s="12">
        <f>K63/E63</f>
        <v>1250</v>
      </c>
      <c r="Q63" s="13">
        <v>2</v>
      </c>
      <c r="R63" s="13">
        <v>1</v>
      </c>
      <c r="S63" s="13" t="s">
        <v>1356</v>
      </c>
      <c r="T63" s="8">
        <v>52</v>
      </c>
      <c r="U63" s="5"/>
      <c r="V63" s="5" t="s">
        <v>1416</v>
      </c>
      <c r="X63" s="23">
        <f t="shared" si="66"/>
        <v>52.8</v>
      </c>
      <c r="Y63" s="21">
        <f t="shared" si="66"/>
        <v>16</v>
      </c>
      <c r="Z63" s="28">
        <f t="shared" si="67"/>
        <v>138</v>
      </c>
      <c r="AA63" s="6">
        <f t="shared" si="67"/>
        <v>37000</v>
      </c>
      <c r="AB63" s="6">
        <f>K63</f>
        <v>20000</v>
      </c>
      <c r="AC63" s="6">
        <f t="shared" si="68"/>
        <v>17000</v>
      </c>
      <c r="AD63" s="7">
        <f t="shared" si="68"/>
        <v>0.54054054054054057</v>
      </c>
      <c r="AE63" s="12">
        <f t="shared" si="68"/>
        <v>2312.5</v>
      </c>
      <c r="AF63" s="13" t="str">
        <f>S63</f>
        <v>복</v>
      </c>
      <c r="AG63" s="13" t="str">
        <f>Q63&amp;"/"&amp;R63</f>
        <v>2/1</v>
      </c>
      <c r="AI63" s="32" t="str">
        <f t="shared" si="36"/>
        <v>한가람신라</v>
      </c>
      <c r="AJ63" s="21">
        <f t="shared" si="35"/>
        <v>16</v>
      </c>
      <c r="AK63" s="13" t="str">
        <f>IF(AJ63="","",$AK$2)</f>
        <v>A-</v>
      </c>
      <c r="AL63" s="13"/>
      <c r="AM63" s="13"/>
      <c r="AN63" s="13"/>
      <c r="AO63" s="13" t="str">
        <f>IF(AJ63="","",$AO$2)</f>
        <v>C</v>
      </c>
      <c r="AP63" s="13" t="str">
        <f>IF(N63="","",IF(N63&gt;=$AP$1/100,"O","X"))</f>
        <v>X</v>
      </c>
      <c r="AQ63" s="13" t="str">
        <f>IF(I63="","",IF(I63&lt;=$AQ$1,"O","X"))</f>
        <v>O</v>
      </c>
      <c r="AR63" s="13" t="str">
        <f>IF(O63="","",IF(O63&lt;=$AR$1,"O","X"))</f>
        <v>X</v>
      </c>
      <c r="AS63" s="13" t="str">
        <f>IF(M63="","",IF(M63&lt;=$AS$1,"O","X"))</f>
        <v>X</v>
      </c>
      <c r="AT63" s="13" t="s">
        <v>32</v>
      </c>
      <c r="AU63" s="13" t="str">
        <f>IF(OR(F63="",AJ63=""),"",IF(AND((F63&lt;=85),(AJ63&gt;=15)),"O","X"))</f>
        <v>O</v>
      </c>
      <c r="AV63" s="13" t="str">
        <f>IF(C63="","",IF(C63&gt;=$AV$1,"O","X"))</f>
        <v>O</v>
      </c>
      <c r="AW63" s="13" t="str">
        <f>IF(AP63="","",IF(AND(AP63="O",AQ63="O",AS63="O",AU63="O",AV63="O"),"후보","X"))</f>
        <v>X</v>
      </c>
    </row>
    <row r="64" spans="1:49" x14ac:dyDescent="0.3">
      <c r="A64" s="5" t="s">
        <v>1413</v>
      </c>
      <c r="B64" s="14" t="s">
        <v>1414</v>
      </c>
      <c r="C64" s="25">
        <v>1068</v>
      </c>
      <c r="D64" s="23">
        <v>57.1</v>
      </c>
      <c r="E64" s="21">
        <v>17</v>
      </c>
      <c r="F64" s="23">
        <v>42.7</v>
      </c>
      <c r="G64" s="24">
        <v>13</v>
      </c>
      <c r="H64" s="25">
        <v>238</v>
      </c>
      <c r="I64" s="29">
        <v>39000</v>
      </c>
      <c r="J64" s="106" t="s">
        <v>2057</v>
      </c>
      <c r="K64" s="29">
        <v>19000</v>
      </c>
      <c r="L64" s="106" t="s">
        <v>2093</v>
      </c>
      <c r="M64" s="6">
        <f>I64-K64</f>
        <v>20000</v>
      </c>
      <c r="N64" s="7">
        <f>IF(ISERROR(K64/I64),"",K64/I64)</f>
        <v>0.48717948717948717</v>
      </c>
      <c r="O64" s="12">
        <f>I64/E64</f>
        <v>2294.1176470588234</v>
      </c>
      <c r="P64" s="12">
        <f>K64/E64</f>
        <v>1117.6470588235295</v>
      </c>
      <c r="Q64" s="13">
        <v>2</v>
      </c>
      <c r="R64" s="13">
        <v>1</v>
      </c>
      <c r="S64" s="13" t="s">
        <v>1356</v>
      </c>
      <c r="T64" s="8">
        <v>57</v>
      </c>
      <c r="U64" s="5"/>
      <c r="V64" s="5" t="s">
        <v>1417</v>
      </c>
      <c r="X64" s="23">
        <f t="shared" si="66"/>
        <v>57.1</v>
      </c>
      <c r="Y64" s="21">
        <f t="shared" si="66"/>
        <v>17</v>
      </c>
      <c r="Z64" s="28">
        <f t="shared" si="67"/>
        <v>238</v>
      </c>
      <c r="AA64" s="6">
        <f t="shared" si="67"/>
        <v>39000</v>
      </c>
      <c r="AB64" s="6">
        <f>K64</f>
        <v>19000</v>
      </c>
      <c r="AC64" s="6">
        <f t="shared" si="68"/>
        <v>20000</v>
      </c>
      <c r="AD64" s="7">
        <f t="shared" si="68"/>
        <v>0.48717948717948717</v>
      </c>
      <c r="AE64" s="12">
        <f t="shared" si="68"/>
        <v>2294.1176470588234</v>
      </c>
      <c r="AF64" s="13" t="str">
        <f>S64</f>
        <v>복</v>
      </c>
      <c r="AG64" s="13" t="str">
        <f>Q64&amp;"/"&amp;R64</f>
        <v>2/1</v>
      </c>
      <c r="AI64" s="32" t="str">
        <f t="shared" si="36"/>
        <v>한가람신라</v>
      </c>
      <c r="AJ64" s="21">
        <f t="shared" si="35"/>
        <v>17</v>
      </c>
      <c r="AK64" s="13" t="str">
        <f>IF(AJ64="","",$AK$2)</f>
        <v>A-</v>
      </c>
      <c r="AL64" s="13"/>
      <c r="AM64" s="13"/>
      <c r="AN64" s="13"/>
      <c r="AO64" s="13" t="str">
        <f>IF(AJ64="","",$AO$2)</f>
        <v>C</v>
      </c>
      <c r="AP64" s="13" t="str">
        <f>IF(N64="","",IF(N64&gt;=$AP$1/100,"O","X"))</f>
        <v>X</v>
      </c>
      <c r="AQ64" s="13" t="str">
        <f>IF(I64="","",IF(I64&lt;=$AQ$1,"O","X"))</f>
        <v>O</v>
      </c>
      <c r="AR64" s="13" t="str">
        <f>IF(O64="","",IF(O64&lt;=$AR$1,"O","X"))</f>
        <v>X</v>
      </c>
      <c r="AS64" s="13" t="str">
        <f>IF(M64="","",IF(M64&lt;=$AS$1,"O","X"))</f>
        <v>X</v>
      </c>
      <c r="AT64" s="13" t="s">
        <v>32</v>
      </c>
      <c r="AU64" s="13" t="str">
        <f>IF(OR(F64="",AJ64=""),"",IF(AND((F64&lt;=85),(AJ64&gt;=15)),"O","X"))</f>
        <v>O</v>
      </c>
      <c r="AV64" s="13" t="str">
        <f>IF(C64="","",IF(C64&gt;=$AV$1,"O","X"))</f>
        <v>O</v>
      </c>
      <c r="AW64" s="13" t="str">
        <f>IF(AP64="","",IF(AND(AP64="O",AQ64="O",AS64="O",AU64="O",AV64="O"),"후보","X"))</f>
        <v>X</v>
      </c>
    </row>
    <row r="65" spans="1:49" x14ac:dyDescent="0.3">
      <c r="A65" s="5" t="s">
        <v>1413</v>
      </c>
      <c r="B65" s="14" t="s">
        <v>1414</v>
      </c>
      <c r="C65" s="25">
        <v>1068</v>
      </c>
      <c r="D65" s="23">
        <v>59.7</v>
      </c>
      <c r="E65" s="21">
        <v>18</v>
      </c>
      <c r="F65" s="23">
        <v>45.8</v>
      </c>
      <c r="G65" s="24">
        <v>14</v>
      </c>
      <c r="H65" s="25">
        <v>182</v>
      </c>
      <c r="I65" s="29">
        <v>42000</v>
      </c>
      <c r="J65" s="106" t="s">
        <v>2053</v>
      </c>
      <c r="K65" s="29">
        <v>18900</v>
      </c>
      <c r="L65" s="106" t="s">
        <v>2067</v>
      </c>
      <c r="M65" s="6">
        <f>I65-K65</f>
        <v>23100</v>
      </c>
      <c r="N65" s="7">
        <f>IF(ISERROR(K65/I65),"",K65/I65)</f>
        <v>0.45</v>
      </c>
      <c r="O65" s="12">
        <f>I65/E65</f>
        <v>2333.3333333333335</v>
      </c>
      <c r="P65" s="12">
        <f>K65/E65</f>
        <v>1050</v>
      </c>
      <c r="Q65" s="13">
        <v>2</v>
      </c>
      <c r="R65" s="13">
        <v>1</v>
      </c>
      <c r="S65" s="13" t="s">
        <v>1356</v>
      </c>
      <c r="T65" s="8">
        <v>59</v>
      </c>
      <c r="U65" s="5"/>
      <c r="V65" s="5" t="s">
        <v>1418</v>
      </c>
      <c r="X65" s="23">
        <f t="shared" si="66"/>
        <v>59.7</v>
      </c>
      <c r="Y65" s="21">
        <f t="shared" si="66"/>
        <v>18</v>
      </c>
      <c r="Z65" s="28">
        <f t="shared" si="67"/>
        <v>182</v>
      </c>
      <c r="AA65" s="6">
        <f t="shared" si="67"/>
        <v>42000</v>
      </c>
      <c r="AB65" s="6">
        <f>K65</f>
        <v>18900</v>
      </c>
      <c r="AC65" s="6">
        <f t="shared" si="68"/>
        <v>23100</v>
      </c>
      <c r="AD65" s="7">
        <f t="shared" si="68"/>
        <v>0.45</v>
      </c>
      <c r="AE65" s="12">
        <f t="shared" si="68"/>
        <v>2333.3333333333335</v>
      </c>
      <c r="AF65" s="13" t="str">
        <f>S65</f>
        <v>복</v>
      </c>
      <c r="AG65" s="13" t="str">
        <f>Q65&amp;"/"&amp;R65</f>
        <v>2/1</v>
      </c>
      <c r="AI65" s="32" t="str">
        <f t="shared" si="36"/>
        <v>한가람신라</v>
      </c>
      <c r="AJ65" s="21">
        <f t="shared" si="35"/>
        <v>18</v>
      </c>
      <c r="AK65" s="13" t="str">
        <f>IF(AJ65="","",$AK$2)</f>
        <v>A-</v>
      </c>
      <c r="AL65" s="13"/>
      <c r="AM65" s="13"/>
      <c r="AN65" s="13"/>
      <c r="AO65" s="13" t="str">
        <f>IF(AJ65="","",$AO$2)</f>
        <v>C</v>
      </c>
      <c r="AP65" s="13" t="str">
        <f>IF(N65="","",IF(N65&gt;=$AP$1/100,"O","X"))</f>
        <v>X</v>
      </c>
      <c r="AQ65" s="13" t="str">
        <f>IF(I65="","",IF(I65&lt;=$AQ$1,"O","X"))</f>
        <v>O</v>
      </c>
      <c r="AR65" s="13" t="str">
        <f>IF(O65="","",IF(O65&lt;=$AR$1,"O","X"))</f>
        <v>X</v>
      </c>
      <c r="AS65" s="13" t="str">
        <f>IF(M65="","",IF(M65&lt;=$AS$1,"O","X"))</f>
        <v>X</v>
      </c>
      <c r="AT65" s="13" t="s">
        <v>32</v>
      </c>
      <c r="AU65" s="13" t="str">
        <f>IF(OR(F65="",AJ65=""),"",IF(AND((F65&lt;=85),(AJ65&gt;=15)),"O","X"))</f>
        <v>O</v>
      </c>
      <c r="AV65" s="13" t="str">
        <f>IF(C65="","",IF(C65&gt;=$AV$1,"O","X"))</f>
        <v>O</v>
      </c>
      <c r="AW65" s="13" t="str">
        <f>IF(AP65="","",IF(AND(AP65="O",AQ65="O",AS65="O",AU65="O",AV65="O"),"후보","X"))</f>
        <v>X</v>
      </c>
    </row>
    <row r="66" spans="1:49" x14ac:dyDescent="0.3">
      <c r="A66" s="5" t="s">
        <v>1413</v>
      </c>
      <c r="B66" s="14" t="s">
        <v>1414</v>
      </c>
      <c r="C66" s="25">
        <v>1068</v>
      </c>
      <c r="D66" s="23">
        <v>80.099999999999994</v>
      </c>
      <c r="E66" s="21">
        <v>24</v>
      </c>
      <c r="F66" s="23">
        <v>59.8</v>
      </c>
      <c r="G66" s="24">
        <v>18</v>
      </c>
      <c r="H66" s="25">
        <v>330</v>
      </c>
      <c r="I66" s="29">
        <v>55000</v>
      </c>
      <c r="J66" s="106" t="s">
        <v>2093</v>
      </c>
      <c r="K66" s="29">
        <v>33000</v>
      </c>
      <c r="L66" s="106" t="s">
        <v>2053</v>
      </c>
      <c r="M66" s="6">
        <f>I66-K66</f>
        <v>22000</v>
      </c>
      <c r="N66" s="7">
        <f>IF(ISERROR(K66/I66),"",K66/I66)</f>
        <v>0.6</v>
      </c>
      <c r="O66" s="12">
        <f>I66/E66</f>
        <v>2291.6666666666665</v>
      </c>
      <c r="P66" s="12">
        <f>K66/E66</f>
        <v>1375</v>
      </c>
      <c r="Q66" s="13">
        <v>3</v>
      </c>
      <c r="R66" s="13">
        <v>1</v>
      </c>
      <c r="S66" s="13" t="s">
        <v>1356</v>
      </c>
      <c r="T66" s="8">
        <v>80</v>
      </c>
      <c r="U66" s="5"/>
      <c r="V66" s="5" t="s">
        <v>1419</v>
      </c>
      <c r="X66" s="23">
        <f t="shared" si="66"/>
        <v>80.099999999999994</v>
      </c>
      <c r="Y66" s="21">
        <f t="shared" si="66"/>
        <v>24</v>
      </c>
      <c r="Z66" s="28">
        <f t="shared" si="67"/>
        <v>330</v>
      </c>
      <c r="AA66" s="6">
        <f t="shared" si="67"/>
        <v>55000</v>
      </c>
      <c r="AB66" s="6">
        <f>K66</f>
        <v>33000</v>
      </c>
      <c r="AC66" s="6">
        <f t="shared" si="68"/>
        <v>22000</v>
      </c>
      <c r="AD66" s="7">
        <f t="shared" si="68"/>
        <v>0.6</v>
      </c>
      <c r="AE66" s="12">
        <f t="shared" si="68"/>
        <v>2291.6666666666665</v>
      </c>
      <c r="AF66" s="13" t="str">
        <f>S66</f>
        <v>복</v>
      </c>
      <c r="AG66" s="13" t="str">
        <f>Q66&amp;"/"&amp;R66</f>
        <v>3/1</v>
      </c>
      <c r="AI66" s="32" t="str">
        <f t="shared" si="36"/>
        <v>한가람신라</v>
      </c>
      <c r="AJ66" s="21">
        <f t="shared" si="35"/>
        <v>24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>X</v>
      </c>
      <c r="AQ66" s="13" t="str">
        <f>IF(I66="","",IF(I66&lt;=$AQ$1,"O","X"))</f>
        <v>X</v>
      </c>
      <c r="AR66" s="13" t="str">
        <f>IF(O66="","",IF(O66&lt;=$AR$1,"O","X"))</f>
        <v>X</v>
      </c>
      <c r="AS66" s="13" t="str">
        <f>IF(M66="","",IF(M66&lt;=$AS$1,"O","X"))</f>
        <v>X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>X</v>
      </c>
    </row>
    <row r="67" spans="1:49" x14ac:dyDescent="0.3">
      <c r="A67" s="5"/>
      <c r="B67" s="13"/>
      <c r="C67" s="9"/>
      <c r="D67" s="5"/>
      <c r="E67" s="18"/>
      <c r="F67" s="23"/>
      <c r="G67" s="5"/>
      <c r="H67" s="5"/>
      <c r="I67" s="5"/>
      <c r="J67" s="8"/>
      <c r="K67" s="5"/>
      <c r="L67" s="8"/>
      <c r="M67" s="5"/>
      <c r="N67" s="5"/>
      <c r="O67" s="12"/>
      <c r="P67" s="12"/>
      <c r="Q67" s="21"/>
      <c r="R67" s="21"/>
      <c r="S67" s="5"/>
      <c r="T67" s="59"/>
      <c r="U67" s="5"/>
      <c r="V67" s="5"/>
      <c r="X67" s="90" t="str">
        <f>$A$4&amp;" "&amp;A68&amp;"("&amp;B68&amp;","&amp;C68&amp;"^)"</f>
        <v>관양동 한가람삼성('95.01,708^)</v>
      </c>
      <c r="Y67" s="91"/>
      <c r="Z67" s="91"/>
      <c r="AA67" s="91"/>
      <c r="AB67" s="91"/>
      <c r="AC67" s="91"/>
      <c r="AD67" s="91"/>
      <c r="AE67" s="91"/>
      <c r="AF67" s="91"/>
      <c r="AG67" s="92"/>
      <c r="AI67" s="32" t="str">
        <f t="shared" si="36"/>
        <v/>
      </c>
      <c r="AJ67" s="33" t="str">
        <f t="shared" ref="AJ67:AJ82" si="69">IF(E67="","",E67)</f>
        <v/>
      </c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</row>
    <row r="68" spans="1:49" x14ac:dyDescent="0.3">
      <c r="A68" s="5" t="s">
        <v>1420</v>
      </c>
      <c r="B68" s="14" t="s">
        <v>1421</v>
      </c>
      <c r="C68" s="25">
        <v>708</v>
      </c>
      <c r="D68" s="23">
        <v>83.8</v>
      </c>
      <c r="E68" s="21">
        <v>25</v>
      </c>
      <c r="F68" s="23">
        <v>59.8</v>
      </c>
      <c r="G68" s="24">
        <v>18</v>
      </c>
      <c r="H68" s="25">
        <v>250</v>
      </c>
      <c r="I68" s="29">
        <v>59000</v>
      </c>
      <c r="J68" s="106" t="s">
        <v>2116</v>
      </c>
      <c r="K68" s="29">
        <v>36000</v>
      </c>
      <c r="L68" s="106" t="s">
        <v>2120</v>
      </c>
      <c r="M68" s="6">
        <f>I68-K68</f>
        <v>23000</v>
      </c>
      <c r="N68" s="7">
        <f>IF(ISERROR(K68/I68),"",K68/I68)</f>
        <v>0.61016949152542377</v>
      </c>
      <c r="O68" s="12">
        <f>I68/E68</f>
        <v>2360</v>
      </c>
      <c r="P68" s="12">
        <f>K68/E68</f>
        <v>1440</v>
      </c>
      <c r="Q68" s="13">
        <v>3</v>
      </c>
      <c r="R68" s="13">
        <v>1</v>
      </c>
      <c r="S68" s="13" t="s">
        <v>1356</v>
      </c>
      <c r="T68" s="8">
        <v>83</v>
      </c>
      <c r="U68" s="5"/>
      <c r="V68" s="5" t="s">
        <v>1422</v>
      </c>
      <c r="X68" s="23">
        <f>D68</f>
        <v>83.8</v>
      </c>
      <c r="Y68" s="21">
        <f>E68</f>
        <v>25</v>
      </c>
      <c r="Z68" s="28">
        <f>H68</f>
        <v>250</v>
      </c>
      <c r="AA68" s="6">
        <f>I68</f>
        <v>59000</v>
      </c>
      <c r="AB68" s="6">
        <f>K68</f>
        <v>36000</v>
      </c>
      <c r="AC68" s="6">
        <f t="shared" ref="AC68:AE69" si="70">M68</f>
        <v>23000</v>
      </c>
      <c r="AD68" s="7">
        <f t="shared" si="70"/>
        <v>0.61016949152542377</v>
      </c>
      <c r="AE68" s="12">
        <f t="shared" si="70"/>
        <v>2360</v>
      </c>
      <c r="AF68" s="13" t="str">
        <f>S68</f>
        <v>복</v>
      </c>
      <c r="AG68" s="13" t="str">
        <f>Q68&amp;"/"&amp;R68</f>
        <v>3/1</v>
      </c>
      <c r="AI68" s="32" t="str">
        <f t="shared" si="36"/>
        <v>한가람삼성</v>
      </c>
      <c r="AJ68" s="21">
        <f t="shared" si="69"/>
        <v>25</v>
      </c>
      <c r="AK68" s="13" t="str">
        <f>IF(AJ68="","",$AK$2)</f>
        <v>A-</v>
      </c>
      <c r="AL68" s="13"/>
      <c r="AM68" s="13"/>
      <c r="AN68" s="13"/>
      <c r="AO68" s="13" t="str">
        <f>IF(AJ68="","",$AO$2)</f>
        <v>C</v>
      </c>
      <c r="AP68" s="13" t="str">
        <f>IF(N68="","",IF(N68&gt;=$AP$1/100,"O","X"))</f>
        <v>X</v>
      </c>
      <c r="AQ68" s="13" t="str">
        <f>IF(I68="","",IF(I68&lt;=$AQ$1,"O","X"))</f>
        <v>X</v>
      </c>
      <c r="AR68" s="13" t="str">
        <f>IF(O68="","",IF(O68&lt;=$AR$1,"O","X"))</f>
        <v>X</v>
      </c>
      <c r="AS68" s="13" t="str">
        <f>IF(M68="","",IF(M68&lt;=$AS$1,"O","X"))</f>
        <v>X</v>
      </c>
      <c r="AT68" s="13" t="s">
        <v>32</v>
      </c>
      <c r="AU68" s="13" t="str">
        <f>IF(OR(F68="",AJ68=""),"",IF(AND((F68&lt;=85),(AJ68&gt;=15)),"O","X"))</f>
        <v>O</v>
      </c>
      <c r="AV68" s="13" t="str">
        <f>IF(C68="","",IF(C68&gt;=$AV$1,"O","X"))</f>
        <v>O</v>
      </c>
      <c r="AW68" s="13" t="str">
        <f>IF(AP68="","",IF(AND(AP68="O",AQ68="O",AS68="O",AU68="O",AV68="O"),"후보","X"))</f>
        <v>X</v>
      </c>
    </row>
    <row r="69" spans="1:49" x14ac:dyDescent="0.3">
      <c r="A69" s="5" t="s">
        <v>1420</v>
      </c>
      <c r="B69" s="14" t="s">
        <v>1421</v>
      </c>
      <c r="C69" s="25">
        <v>708</v>
      </c>
      <c r="D69" s="23">
        <v>106.7</v>
      </c>
      <c r="E69" s="21">
        <v>32</v>
      </c>
      <c r="F69" s="23">
        <v>84.9</v>
      </c>
      <c r="G69" s="24">
        <v>26</v>
      </c>
      <c r="H69" s="25">
        <v>458</v>
      </c>
      <c r="I69" s="29">
        <v>75000</v>
      </c>
      <c r="J69" s="106" t="s">
        <v>2119</v>
      </c>
      <c r="K69" s="29">
        <v>45000</v>
      </c>
      <c r="L69" s="106" t="s">
        <v>2082</v>
      </c>
      <c r="M69" s="6">
        <f>I69-K69</f>
        <v>30000</v>
      </c>
      <c r="N69" s="7">
        <f>IF(ISERROR(K69/I69),"",K69/I69)</f>
        <v>0.6</v>
      </c>
      <c r="O69" s="12">
        <f>I69/E69</f>
        <v>2343.75</v>
      </c>
      <c r="P69" s="12">
        <f>K69/E69</f>
        <v>1406.25</v>
      </c>
      <c r="Q69" s="13">
        <v>3</v>
      </c>
      <c r="R69" s="13">
        <v>2</v>
      </c>
      <c r="S69" s="13" t="s">
        <v>51</v>
      </c>
      <c r="T69" s="8">
        <v>106</v>
      </c>
      <c r="U69" s="5"/>
      <c r="V69" s="5" t="s">
        <v>1423</v>
      </c>
      <c r="X69" s="23">
        <f>D69</f>
        <v>106.7</v>
      </c>
      <c r="Y69" s="21">
        <f>E69</f>
        <v>32</v>
      </c>
      <c r="Z69" s="28">
        <f>H69</f>
        <v>458</v>
      </c>
      <c r="AA69" s="6">
        <f>I69</f>
        <v>75000</v>
      </c>
      <c r="AB69" s="6">
        <f>K69</f>
        <v>45000</v>
      </c>
      <c r="AC69" s="6">
        <f t="shared" si="70"/>
        <v>30000</v>
      </c>
      <c r="AD69" s="7">
        <f t="shared" si="70"/>
        <v>0.6</v>
      </c>
      <c r="AE69" s="12">
        <f t="shared" si="70"/>
        <v>2343.75</v>
      </c>
      <c r="AF69" s="13" t="str">
        <f>S69</f>
        <v>계</v>
      </c>
      <c r="AG69" s="13" t="str">
        <f>Q69&amp;"/"&amp;R69</f>
        <v>3/2</v>
      </c>
      <c r="AI69" s="32" t="str">
        <f t="shared" ref="AI69:AI82" si="71">IF(A69="","",A69)</f>
        <v>한가람삼성</v>
      </c>
      <c r="AJ69" s="21">
        <f t="shared" si="69"/>
        <v>32</v>
      </c>
      <c r="AK69" s="13" t="str">
        <f>IF(AJ69="","",$AK$2)</f>
        <v>A-</v>
      </c>
      <c r="AL69" s="13"/>
      <c r="AM69" s="13"/>
      <c r="AN69" s="13"/>
      <c r="AO69" s="13" t="str">
        <f>IF(AJ69="","",$AO$2)</f>
        <v>C</v>
      </c>
      <c r="AP69" s="13" t="str">
        <f>IF(N69="","",IF(N69&gt;=$AP$1/100,"O","X"))</f>
        <v>X</v>
      </c>
      <c r="AQ69" s="13" t="str">
        <f>IF(I69="","",IF(I69&lt;=$AQ$1,"O","X"))</f>
        <v>X</v>
      </c>
      <c r="AR69" s="13" t="str">
        <f>IF(O69="","",IF(O69&lt;=$AR$1,"O","X"))</f>
        <v>X</v>
      </c>
      <c r="AS69" s="13" t="str">
        <f>IF(M69="","",IF(M69&lt;=$AS$1,"O","X"))</f>
        <v>X</v>
      </c>
      <c r="AT69" s="13" t="s">
        <v>32</v>
      </c>
      <c r="AU69" s="13" t="str">
        <f>IF(OR(F69="",AJ69=""),"",IF(AND((F69&lt;=85),(AJ69&gt;=15)),"O","X"))</f>
        <v>O</v>
      </c>
      <c r="AV69" s="13" t="str">
        <f>IF(C69="","",IF(C69&gt;=$AV$1,"O","X"))</f>
        <v>O</v>
      </c>
      <c r="AW69" s="13" t="str">
        <f>IF(AP69="","",IF(AND(AP69="O",AQ69="O",AS69="O",AU69="O",AV69="O"),"후보","X"))</f>
        <v>X</v>
      </c>
    </row>
    <row r="70" spans="1:49" x14ac:dyDescent="0.3">
      <c r="A70" s="5"/>
      <c r="B70" s="13"/>
      <c r="C70" s="9"/>
      <c r="D70" s="5"/>
      <c r="E70" s="18"/>
      <c r="F70" s="23"/>
      <c r="G70" s="5"/>
      <c r="H70" s="5"/>
      <c r="I70" s="5"/>
      <c r="J70" s="8"/>
      <c r="K70" s="5"/>
      <c r="L70" s="8"/>
      <c r="M70" s="5"/>
      <c r="N70" s="5"/>
      <c r="O70" s="12"/>
      <c r="P70" s="12"/>
      <c r="Q70" s="21"/>
      <c r="R70" s="21"/>
      <c r="S70" s="5"/>
      <c r="T70" s="59"/>
      <c r="U70" s="5"/>
      <c r="V70" s="5"/>
      <c r="X70" s="90" t="str">
        <f>$A$4&amp;" "&amp;A71&amp;"("&amp;B71&amp;","&amp;C71&amp;"^)"</f>
        <v>관양동 동편마을4단지('12.03,711^)</v>
      </c>
      <c r="Y70" s="91"/>
      <c r="Z70" s="91"/>
      <c r="AA70" s="91"/>
      <c r="AB70" s="91"/>
      <c r="AC70" s="91"/>
      <c r="AD70" s="91"/>
      <c r="AE70" s="91"/>
      <c r="AF70" s="91"/>
      <c r="AG70" s="92"/>
      <c r="AI70" s="32" t="str">
        <f t="shared" si="71"/>
        <v/>
      </c>
      <c r="AJ70" s="33" t="str">
        <f t="shared" si="69"/>
        <v/>
      </c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</row>
    <row r="71" spans="1:49" x14ac:dyDescent="0.3">
      <c r="A71" s="5" t="s">
        <v>1424</v>
      </c>
      <c r="B71" s="14" t="s">
        <v>1425</v>
      </c>
      <c r="C71" s="25">
        <v>711</v>
      </c>
      <c r="D71" s="23">
        <v>126.9</v>
      </c>
      <c r="E71" s="21">
        <v>38</v>
      </c>
      <c r="F71" s="23">
        <v>100.5</v>
      </c>
      <c r="G71" s="24">
        <v>30</v>
      </c>
      <c r="H71" s="25">
        <v>195</v>
      </c>
      <c r="I71" s="29">
        <v>120000</v>
      </c>
      <c r="J71" s="106" t="s">
        <v>2121</v>
      </c>
      <c r="K71" s="29">
        <v>65000</v>
      </c>
      <c r="L71" s="106" t="s">
        <v>2127</v>
      </c>
      <c r="M71" s="6">
        <f t="shared" ref="M71:M82" si="72">I71-K71</f>
        <v>55000</v>
      </c>
      <c r="N71" s="7">
        <f t="shared" ref="N71:N82" si="73">IF(ISERROR(K71/I71),"",K71/I71)</f>
        <v>0.54166666666666663</v>
      </c>
      <c r="O71" s="12">
        <f t="shared" ref="O71:O82" si="74">I71/E71</f>
        <v>3157.8947368421054</v>
      </c>
      <c r="P71" s="12">
        <f t="shared" ref="P71:P82" si="75">K71/E71</f>
        <v>1710.5263157894738</v>
      </c>
      <c r="Q71" s="13">
        <v>3</v>
      </c>
      <c r="R71" s="13">
        <v>2</v>
      </c>
      <c r="S71" s="13" t="s">
        <v>51</v>
      </c>
      <c r="T71" s="8" t="s">
        <v>1426</v>
      </c>
      <c r="U71" s="5"/>
      <c r="V71" s="5" t="s">
        <v>1427</v>
      </c>
      <c r="X71" s="23">
        <f t="shared" ref="X71:X82" si="76">D71</f>
        <v>126.9</v>
      </c>
      <c r="Y71" s="21">
        <f t="shared" ref="Y71:Y82" si="77">E71</f>
        <v>38</v>
      </c>
      <c r="Z71" s="28">
        <f t="shared" ref="Z71:Z82" si="78">H71</f>
        <v>195</v>
      </c>
      <c r="AA71" s="6">
        <f t="shared" ref="AA71:AA82" si="79">I71</f>
        <v>120000</v>
      </c>
      <c r="AB71" s="6">
        <f t="shared" ref="AB71:AB82" si="80">K71</f>
        <v>65000</v>
      </c>
      <c r="AC71" s="6">
        <f t="shared" ref="AC71:AC82" si="81">M71</f>
        <v>55000</v>
      </c>
      <c r="AD71" s="7">
        <f t="shared" ref="AD71:AD82" si="82">N71</f>
        <v>0.54166666666666663</v>
      </c>
      <c r="AE71" s="12">
        <f t="shared" ref="AE71:AE82" si="83">O71</f>
        <v>3157.8947368421054</v>
      </c>
      <c r="AF71" s="13" t="str">
        <f t="shared" ref="AF71:AF82" si="84">S71</f>
        <v>계</v>
      </c>
      <c r="AG71" s="13" t="str">
        <f t="shared" ref="AG71:AG82" si="85">Q71&amp;"/"&amp;R71</f>
        <v>3/2</v>
      </c>
      <c r="AI71" s="32" t="str">
        <f t="shared" si="71"/>
        <v>동편마을4단지</v>
      </c>
      <c r="AJ71" s="21">
        <f t="shared" si="69"/>
        <v>38</v>
      </c>
      <c r="AK71" s="13" t="str">
        <f t="shared" ref="AK71:AK82" si="86">IF(AJ71="","",$AK$2)</f>
        <v>A-</v>
      </c>
      <c r="AL71" s="13"/>
      <c r="AM71" s="13"/>
      <c r="AN71" s="13"/>
      <c r="AO71" s="13" t="str">
        <f t="shared" ref="AO71:AO82" si="87">IF(AJ71="","",$AO$2)</f>
        <v>C</v>
      </c>
      <c r="AP71" s="13" t="str">
        <f t="shared" ref="AP71:AP82" si="88">IF(N71="","",IF(N71&gt;=$AP$1/100,"O","X"))</f>
        <v>X</v>
      </c>
      <c r="AQ71" s="13" t="str">
        <f t="shared" ref="AQ71:AQ82" si="89">IF(I71="","",IF(I71&lt;=$AQ$1,"O","X"))</f>
        <v>X</v>
      </c>
      <c r="AR71" s="13" t="str">
        <f t="shared" ref="AR71:AR82" si="90">IF(O71="","",IF(O71&lt;=$AR$1,"O","X"))</f>
        <v>X</v>
      </c>
      <c r="AS71" s="13" t="str">
        <f t="shared" ref="AS71:AS82" si="91">IF(M71="","",IF(M71&lt;=$AS$1,"O","X"))</f>
        <v>X</v>
      </c>
      <c r="AT71" s="13" t="s">
        <v>32</v>
      </c>
      <c r="AU71" s="13" t="str">
        <f t="shared" ref="AU71:AU82" si="92">IF(OR(F71="",AJ71=""),"",IF(AND((F71&lt;=85),(AJ71&gt;=15)),"O","X"))</f>
        <v>X</v>
      </c>
      <c r="AV71" s="13" t="str">
        <f t="shared" ref="AV71:AV82" si="93">IF(C71="","",IF(C71&gt;=$AV$1,"O","X"))</f>
        <v>O</v>
      </c>
      <c r="AW71" s="13" t="str">
        <f t="shared" ref="AW71:AW82" si="94">IF(AP71="","",IF(AND(AP71="O",AQ71="O",AS71="O",AU71="O",AV71="O"),"후보","X"))</f>
        <v>X</v>
      </c>
    </row>
    <row r="72" spans="1:49" x14ac:dyDescent="0.3">
      <c r="A72" s="5" t="s">
        <v>1424</v>
      </c>
      <c r="B72" s="14" t="s">
        <v>1425</v>
      </c>
      <c r="C72" s="25">
        <v>711</v>
      </c>
      <c r="D72" s="23">
        <v>126.9</v>
      </c>
      <c r="E72" s="21">
        <v>38</v>
      </c>
      <c r="F72" s="23">
        <v>100.5</v>
      </c>
      <c r="G72" s="24">
        <v>30</v>
      </c>
      <c r="H72" s="25">
        <v>20</v>
      </c>
      <c r="I72" s="29">
        <v>112000</v>
      </c>
      <c r="J72" s="106"/>
      <c r="K72" s="29">
        <v>67000</v>
      </c>
      <c r="L72" s="106"/>
      <c r="M72" s="6">
        <f t="shared" si="72"/>
        <v>45000</v>
      </c>
      <c r="N72" s="7">
        <f t="shared" si="73"/>
        <v>0.5982142857142857</v>
      </c>
      <c r="O72" s="12">
        <f t="shared" si="74"/>
        <v>2947.3684210526317</v>
      </c>
      <c r="P72" s="12">
        <f t="shared" si="75"/>
        <v>1763.1578947368421</v>
      </c>
      <c r="Q72" s="13">
        <v>3</v>
      </c>
      <c r="R72" s="13">
        <v>2</v>
      </c>
      <c r="S72" s="13" t="s">
        <v>51</v>
      </c>
      <c r="T72" s="8" t="s">
        <v>1428</v>
      </c>
      <c r="U72" s="5" t="s">
        <v>2122</v>
      </c>
      <c r="V72" s="5" t="s">
        <v>1427</v>
      </c>
      <c r="X72" s="23">
        <f t="shared" si="76"/>
        <v>126.9</v>
      </c>
      <c r="Y72" s="21">
        <f t="shared" si="77"/>
        <v>38</v>
      </c>
      <c r="Z72" s="28">
        <f t="shared" si="78"/>
        <v>20</v>
      </c>
      <c r="AA72" s="6">
        <f t="shared" si="79"/>
        <v>112000</v>
      </c>
      <c r="AB72" s="6">
        <f t="shared" si="80"/>
        <v>67000</v>
      </c>
      <c r="AC72" s="6">
        <f t="shared" si="81"/>
        <v>45000</v>
      </c>
      <c r="AD72" s="7">
        <f t="shared" si="82"/>
        <v>0.5982142857142857</v>
      </c>
      <c r="AE72" s="12">
        <f t="shared" si="83"/>
        <v>2947.3684210526317</v>
      </c>
      <c r="AF72" s="13" t="str">
        <f t="shared" si="84"/>
        <v>계</v>
      </c>
      <c r="AG72" s="13" t="str">
        <f t="shared" si="85"/>
        <v>3/2</v>
      </c>
      <c r="AI72" s="32" t="str">
        <f t="shared" si="71"/>
        <v>동편마을4단지</v>
      </c>
      <c r="AJ72" s="21">
        <f t="shared" si="69"/>
        <v>38</v>
      </c>
      <c r="AK72" s="13" t="str">
        <f t="shared" si="86"/>
        <v>A-</v>
      </c>
      <c r="AL72" s="13"/>
      <c r="AM72" s="13"/>
      <c r="AN72" s="13"/>
      <c r="AO72" s="13" t="str">
        <f t="shared" si="87"/>
        <v>C</v>
      </c>
      <c r="AP72" s="13" t="str">
        <f t="shared" si="88"/>
        <v>X</v>
      </c>
      <c r="AQ72" s="13" t="str">
        <f t="shared" si="89"/>
        <v>X</v>
      </c>
      <c r="AR72" s="13" t="str">
        <f t="shared" si="90"/>
        <v>X</v>
      </c>
      <c r="AS72" s="13" t="str">
        <f t="shared" si="91"/>
        <v>X</v>
      </c>
      <c r="AT72" s="13" t="s">
        <v>32</v>
      </c>
      <c r="AU72" s="13" t="str">
        <f t="shared" si="92"/>
        <v>X</v>
      </c>
      <c r="AV72" s="13" t="str">
        <f t="shared" si="93"/>
        <v>O</v>
      </c>
      <c r="AW72" s="13" t="str">
        <f t="shared" si="94"/>
        <v>X</v>
      </c>
    </row>
    <row r="73" spans="1:49" x14ac:dyDescent="0.3">
      <c r="A73" s="5" t="s">
        <v>1424</v>
      </c>
      <c r="B73" s="14" t="s">
        <v>1425</v>
      </c>
      <c r="C73" s="25">
        <v>711</v>
      </c>
      <c r="D73" s="23">
        <v>127.1</v>
      </c>
      <c r="E73" s="21">
        <v>38</v>
      </c>
      <c r="F73" s="23">
        <v>100.7</v>
      </c>
      <c r="G73" s="24">
        <v>30</v>
      </c>
      <c r="H73" s="25">
        <v>73</v>
      </c>
      <c r="I73" s="29">
        <v>125000</v>
      </c>
      <c r="J73" s="106" t="s">
        <v>2093</v>
      </c>
      <c r="K73" s="29">
        <v>68250</v>
      </c>
      <c r="L73" s="106" t="s">
        <v>2128</v>
      </c>
      <c r="M73" s="6">
        <f t="shared" si="72"/>
        <v>56750</v>
      </c>
      <c r="N73" s="7">
        <f t="shared" si="73"/>
        <v>0.54600000000000004</v>
      </c>
      <c r="O73" s="12">
        <f t="shared" si="74"/>
        <v>3289.4736842105262</v>
      </c>
      <c r="P73" s="12">
        <f t="shared" si="75"/>
        <v>1796.0526315789473</v>
      </c>
      <c r="Q73" s="13">
        <v>3</v>
      </c>
      <c r="R73" s="13">
        <v>2</v>
      </c>
      <c r="S73" s="13" t="s">
        <v>51</v>
      </c>
      <c r="T73" s="8" t="s">
        <v>1429</v>
      </c>
      <c r="U73" s="5"/>
      <c r="V73" s="5" t="s">
        <v>1427</v>
      </c>
      <c r="X73" s="23">
        <f t="shared" si="76"/>
        <v>127.1</v>
      </c>
      <c r="Y73" s="21">
        <f t="shared" si="77"/>
        <v>38</v>
      </c>
      <c r="Z73" s="28">
        <f t="shared" si="78"/>
        <v>73</v>
      </c>
      <c r="AA73" s="6">
        <f t="shared" si="79"/>
        <v>125000</v>
      </c>
      <c r="AB73" s="6">
        <f t="shared" si="80"/>
        <v>68250</v>
      </c>
      <c r="AC73" s="6">
        <f t="shared" si="81"/>
        <v>56750</v>
      </c>
      <c r="AD73" s="7">
        <f t="shared" si="82"/>
        <v>0.54600000000000004</v>
      </c>
      <c r="AE73" s="12">
        <f t="shared" si="83"/>
        <v>3289.4736842105262</v>
      </c>
      <c r="AF73" s="13" t="str">
        <f t="shared" si="84"/>
        <v>계</v>
      </c>
      <c r="AG73" s="13" t="str">
        <f t="shared" si="85"/>
        <v>3/2</v>
      </c>
      <c r="AI73" s="32" t="str">
        <f t="shared" si="71"/>
        <v>동편마을4단지</v>
      </c>
      <c r="AJ73" s="21">
        <f t="shared" si="69"/>
        <v>38</v>
      </c>
      <c r="AK73" s="13" t="str">
        <f t="shared" si="86"/>
        <v>A-</v>
      </c>
      <c r="AL73" s="13"/>
      <c r="AM73" s="13"/>
      <c r="AN73" s="13"/>
      <c r="AO73" s="13" t="str">
        <f t="shared" si="87"/>
        <v>C</v>
      </c>
      <c r="AP73" s="13" t="str">
        <f t="shared" si="88"/>
        <v>X</v>
      </c>
      <c r="AQ73" s="13" t="str">
        <f t="shared" si="89"/>
        <v>X</v>
      </c>
      <c r="AR73" s="13" t="str">
        <f t="shared" si="90"/>
        <v>X</v>
      </c>
      <c r="AS73" s="13" t="str">
        <f t="shared" si="91"/>
        <v>X</v>
      </c>
      <c r="AT73" s="13" t="s">
        <v>32</v>
      </c>
      <c r="AU73" s="13" t="str">
        <f t="shared" si="92"/>
        <v>X</v>
      </c>
      <c r="AV73" s="13" t="str">
        <f t="shared" si="93"/>
        <v>O</v>
      </c>
      <c r="AW73" s="13" t="str">
        <f t="shared" si="94"/>
        <v>X</v>
      </c>
    </row>
    <row r="74" spans="1:49" x14ac:dyDescent="0.3">
      <c r="A74" s="5" t="s">
        <v>1424</v>
      </c>
      <c r="B74" s="14" t="s">
        <v>1425</v>
      </c>
      <c r="C74" s="25">
        <v>711</v>
      </c>
      <c r="D74" s="23">
        <v>127.2</v>
      </c>
      <c r="E74" s="21">
        <v>38</v>
      </c>
      <c r="F74" s="23">
        <v>100.8</v>
      </c>
      <c r="G74" s="24">
        <v>30</v>
      </c>
      <c r="H74" s="25">
        <v>32</v>
      </c>
      <c r="I74" s="29">
        <v>112000</v>
      </c>
      <c r="J74" s="106"/>
      <c r="K74" s="29">
        <v>66100</v>
      </c>
      <c r="L74" s="106" t="s">
        <v>2129</v>
      </c>
      <c r="M74" s="6">
        <f t="shared" si="72"/>
        <v>45900</v>
      </c>
      <c r="N74" s="7">
        <f t="shared" si="73"/>
        <v>0.59017857142857144</v>
      </c>
      <c r="O74" s="12">
        <f t="shared" si="74"/>
        <v>2947.3684210526317</v>
      </c>
      <c r="P74" s="12">
        <f t="shared" si="75"/>
        <v>1739.4736842105262</v>
      </c>
      <c r="Q74" s="13">
        <v>3</v>
      </c>
      <c r="R74" s="13">
        <v>2</v>
      </c>
      <c r="S74" s="13" t="s">
        <v>51</v>
      </c>
      <c r="T74" s="8" t="s">
        <v>1430</v>
      </c>
      <c r="U74" s="5" t="s">
        <v>2123</v>
      </c>
      <c r="V74" s="5" t="s">
        <v>1427</v>
      </c>
      <c r="X74" s="23">
        <f t="shared" si="76"/>
        <v>127.2</v>
      </c>
      <c r="Y74" s="21">
        <f t="shared" si="77"/>
        <v>38</v>
      </c>
      <c r="Z74" s="28">
        <f t="shared" si="78"/>
        <v>32</v>
      </c>
      <c r="AA74" s="6">
        <f t="shared" si="79"/>
        <v>112000</v>
      </c>
      <c r="AB74" s="6">
        <f t="shared" si="80"/>
        <v>66100</v>
      </c>
      <c r="AC74" s="6">
        <f t="shared" si="81"/>
        <v>45900</v>
      </c>
      <c r="AD74" s="7">
        <f t="shared" si="82"/>
        <v>0.59017857142857144</v>
      </c>
      <c r="AE74" s="12">
        <f t="shared" si="83"/>
        <v>2947.3684210526317</v>
      </c>
      <c r="AF74" s="13" t="str">
        <f t="shared" si="84"/>
        <v>계</v>
      </c>
      <c r="AG74" s="13" t="str">
        <f t="shared" si="85"/>
        <v>3/2</v>
      </c>
      <c r="AI74" s="32" t="str">
        <f t="shared" si="71"/>
        <v>동편마을4단지</v>
      </c>
      <c r="AJ74" s="21">
        <f t="shared" si="69"/>
        <v>38</v>
      </c>
      <c r="AK74" s="13" t="str">
        <f t="shared" si="86"/>
        <v>A-</v>
      </c>
      <c r="AL74" s="13"/>
      <c r="AM74" s="13"/>
      <c r="AN74" s="13"/>
      <c r="AO74" s="13" t="str">
        <f t="shared" si="87"/>
        <v>C</v>
      </c>
      <c r="AP74" s="13" t="str">
        <f t="shared" si="88"/>
        <v>X</v>
      </c>
      <c r="AQ74" s="13" t="str">
        <f t="shared" si="89"/>
        <v>X</v>
      </c>
      <c r="AR74" s="13" t="str">
        <f t="shared" si="90"/>
        <v>X</v>
      </c>
      <c r="AS74" s="13" t="str">
        <f t="shared" si="91"/>
        <v>X</v>
      </c>
      <c r="AT74" s="13" t="s">
        <v>32</v>
      </c>
      <c r="AU74" s="13" t="str">
        <f t="shared" si="92"/>
        <v>X</v>
      </c>
      <c r="AV74" s="13" t="str">
        <f t="shared" si="93"/>
        <v>O</v>
      </c>
      <c r="AW74" s="13" t="str">
        <f t="shared" si="94"/>
        <v>X</v>
      </c>
    </row>
    <row r="75" spans="1:49" x14ac:dyDescent="0.3">
      <c r="A75" s="5" t="s">
        <v>1424</v>
      </c>
      <c r="B75" s="14" t="s">
        <v>1425</v>
      </c>
      <c r="C75" s="25">
        <v>711</v>
      </c>
      <c r="D75" s="23">
        <v>152.1</v>
      </c>
      <c r="E75" s="21">
        <v>46</v>
      </c>
      <c r="F75" s="23">
        <v>120.5</v>
      </c>
      <c r="G75" s="24">
        <v>36</v>
      </c>
      <c r="H75" s="25">
        <v>118</v>
      </c>
      <c r="I75" s="29">
        <v>139000</v>
      </c>
      <c r="J75" s="106" t="s">
        <v>2117</v>
      </c>
      <c r="K75" s="29">
        <v>75000</v>
      </c>
      <c r="L75" s="106" t="s">
        <v>2130</v>
      </c>
      <c r="M75" s="6">
        <f t="shared" si="72"/>
        <v>64000</v>
      </c>
      <c r="N75" s="7">
        <f t="shared" si="73"/>
        <v>0.53956834532374098</v>
      </c>
      <c r="O75" s="12">
        <f t="shared" si="74"/>
        <v>3021.7391304347825</v>
      </c>
      <c r="P75" s="12">
        <f t="shared" si="75"/>
        <v>1630.4347826086957</v>
      </c>
      <c r="Q75" s="13">
        <v>4</v>
      </c>
      <c r="R75" s="13">
        <v>2</v>
      </c>
      <c r="S75" s="13" t="s">
        <v>51</v>
      </c>
      <c r="T75" s="8" t="s">
        <v>1431</v>
      </c>
      <c r="U75" s="5"/>
      <c r="V75" s="5" t="s">
        <v>1432</v>
      </c>
      <c r="X75" s="23">
        <f t="shared" si="76"/>
        <v>152.1</v>
      </c>
      <c r="Y75" s="21">
        <f t="shared" si="77"/>
        <v>46</v>
      </c>
      <c r="Z75" s="28">
        <f t="shared" si="78"/>
        <v>118</v>
      </c>
      <c r="AA75" s="6">
        <f t="shared" si="79"/>
        <v>139000</v>
      </c>
      <c r="AB75" s="6">
        <f t="shared" si="80"/>
        <v>75000</v>
      </c>
      <c r="AC75" s="6">
        <f t="shared" si="81"/>
        <v>64000</v>
      </c>
      <c r="AD75" s="7">
        <f t="shared" si="82"/>
        <v>0.53956834532374098</v>
      </c>
      <c r="AE75" s="12">
        <f t="shared" si="83"/>
        <v>3021.7391304347825</v>
      </c>
      <c r="AF75" s="13" t="str">
        <f t="shared" si="84"/>
        <v>계</v>
      </c>
      <c r="AG75" s="13" t="str">
        <f t="shared" si="85"/>
        <v>4/2</v>
      </c>
      <c r="AI75" s="32" t="str">
        <f t="shared" si="71"/>
        <v>동편마을4단지</v>
      </c>
      <c r="AJ75" s="21">
        <f t="shared" si="69"/>
        <v>46</v>
      </c>
      <c r="AK75" s="13" t="str">
        <f t="shared" si="86"/>
        <v>A-</v>
      </c>
      <c r="AL75" s="13"/>
      <c r="AM75" s="13"/>
      <c r="AN75" s="13"/>
      <c r="AO75" s="13" t="str">
        <f t="shared" si="87"/>
        <v>C</v>
      </c>
      <c r="AP75" s="13" t="str">
        <f t="shared" si="88"/>
        <v>X</v>
      </c>
      <c r="AQ75" s="13" t="str">
        <f t="shared" si="89"/>
        <v>X</v>
      </c>
      <c r="AR75" s="13" t="str">
        <f t="shared" si="90"/>
        <v>X</v>
      </c>
      <c r="AS75" s="13" t="str">
        <f t="shared" si="91"/>
        <v>X</v>
      </c>
      <c r="AT75" s="13" t="s">
        <v>32</v>
      </c>
      <c r="AU75" s="13" t="str">
        <f t="shared" si="92"/>
        <v>X</v>
      </c>
      <c r="AV75" s="13" t="str">
        <f t="shared" si="93"/>
        <v>O</v>
      </c>
      <c r="AW75" s="13" t="str">
        <f t="shared" si="94"/>
        <v>X</v>
      </c>
    </row>
    <row r="76" spans="1:49" x14ac:dyDescent="0.3">
      <c r="A76" s="5" t="s">
        <v>1424</v>
      </c>
      <c r="B76" s="14" t="s">
        <v>1425</v>
      </c>
      <c r="C76" s="25">
        <v>711</v>
      </c>
      <c r="D76" s="23">
        <v>152.30000000000001</v>
      </c>
      <c r="E76" s="21">
        <v>46</v>
      </c>
      <c r="F76" s="23">
        <v>120.7</v>
      </c>
      <c r="G76" s="24">
        <v>36</v>
      </c>
      <c r="H76" s="25">
        <v>96</v>
      </c>
      <c r="I76" s="29">
        <v>150000</v>
      </c>
      <c r="J76" s="106" t="s">
        <v>2124</v>
      </c>
      <c r="K76" s="29">
        <v>90000</v>
      </c>
      <c r="L76" s="106" t="s">
        <v>2131</v>
      </c>
      <c r="M76" s="6">
        <f t="shared" si="72"/>
        <v>60000</v>
      </c>
      <c r="N76" s="7">
        <f t="shared" si="73"/>
        <v>0.6</v>
      </c>
      <c r="O76" s="12">
        <f t="shared" si="74"/>
        <v>3260.8695652173915</v>
      </c>
      <c r="P76" s="12">
        <f t="shared" si="75"/>
        <v>1956.5217391304348</v>
      </c>
      <c r="Q76" s="13">
        <v>4</v>
      </c>
      <c r="R76" s="13">
        <v>2</v>
      </c>
      <c r="S76" s="13" t="s">
        <v>51</v>
      </c>
      <c r="T76" s="8" t="s">
        <v>1433</v>
      </c>
      <c r="U76" s="5"/>
      <c r="V76" s="5" t="s">
        <v>1432</v>
      </c>
      <c r="X76" s="23">
        <f t="shared" si="76"/>
        <v>152.30000000000001</v>
      </c>
      <c r="Y76" s="21">
        <f t="shared" si="77"/>
        <v>46</v>
      </c>
      <c r="Z76" s="28">
        <f t="shared" si="78"/>
        <v>96</v>
      </c>
      <c r="AA76" s="6">
        <f t="shared" si="79"/>
        <v>150000</v>
      </c>
      <c r="AB76" s="6">
        <f t="shared" si="80"/>
        <v>90000</v>
      </c>
      <c r="AC76" s="6">
        <f t="shared" si="81"/>
        <v>60000</v>
      </c>
      <c r="AD76" s="7">
        <f t="shared" si="82"/>
        <v>0.6</v>
      </c>
      <c r="AE76" s="12">
        <f t="shared" si="83"/>
        <v>3260.8695652173915</v>
      </c>
      <c r="AF76" s="13" t="str">
        <f t="shared" si="84"/>
        <v>계</v>
      </c>
      <c r="AG76" s="13" t="str">
        <f t="shared" si="85"/>
        <v>4/2</v>
      </c>
      <c r="AI76" s="32" t="str">
        <f t="shared" si="71"/>
        <v>동편마을4단지</v>
      </c>
      <c r="AJ76" s="21">
        <f t="shared" si="69"/>
        <v>46</v>
      </c>
      <c r="AK76" s="13" t="str">
        <f t="shared" si="86"/>
        <v>A-</v>
      </c>
      <c r="AL76" s="13"/>
      <c r="AM76" s="13"/>
      <c r="AN76" s="13"/>
      <c r="AO76" s="13" t="str">
        <f t="shared" si="87"/>
        <v>C</v>
      </c>
      <c r="AP76" s="13" t="str">
        <f t="shared" si="88"/>
        <v>X</v>
      </c>
      <c r="AQ76" s="13" t="str">
        <f t="shared" si="89"/>
        <v>X</v>
      </c>
      <c r="AR76" s="13" t="str">
        <f t="shared" si="90"/>
        <v>X</v>
      </c>
      <c r="AS76" s="13" t="str">
        <f t="shared" si="91"/>
        <v>X</v>
      </c>
      <c r="AT76" s="13" t="s">
        <v>32</v>
      </c>
      <c r="AU76" s="13" t="str">
        <f t="shared" si="92"/>
        <v>X</v>
      </c>
      <c r="AV76" s="13" t="str">
        <f t="shared" si="93"/>
        <v>O</v>
      </c>
      <c r="AW76" s="13" t="str">
        <f t="shared" si="94"/>
        <v>X</v>
      </c>
    </row>
    <row r="77" spans="1:49" x14ac:dyDescent="0.3">
      <c r="A77" s="5" t="s">
        <v>1424</v>
      </c>
      <c r="B77" s="14" t="s">
        <v>1425</v>
      </c>
      <c r="C77" s="25">
        <v>711</v>
      </c>
      <c r="D77" s="23">
        <v>152.30000000000001</v>
      </c>
      <c r="E77" s="21">
        <v>46</v>
      </c>
      <c r="F77" s="23">
        <v>120.7</v>
      </c>
      <c r="G77" s="24">
        <v>36</v>
      </c>
      <c r="H77" s="25">
        <v>18</v>
      </c>
      <c r="I77" s="29">
        <v>175000</v>
      </c>
      <c r="J77" s="106" t="s">
        <v>2125</v>
      </c>
      <c r="K77" s="29">
        <v>78000</v>
      </c>
      <c r="L77" s="106"/>
      <c r="M77" s="6">
        <f t="shared" si="72"/>
        <v>97000</v>
      </c>
      <c r="N77" s="7">
        <f t="shared" si="73"/>
        <v>0.44571428571428573</v>
      </c>
      <c r="O77" s="12">
        <f t="shared" si="74"/>
        <v>3804.3478260869565</v>
      </c>
      <c r="P77" s="12">
        <f t="shared" si="75"/>
        <v>1695.6521739130435</v>
      </c>
      <c r="Q77" s="13">
        <v>4</v>
      </c>
      <c r="R77" s="13">
        <v>2</v>
      </c>
      <c r="S77" s="13" t="s">
        <v>51</v>
      </c>
      <c r="T77" s="8" t="s">
        <v>1434</v>
      </c>
      <c r="U77" s="5" t="s">
        <v>2132</v>
      </c>
      <c r="V77" s="5" t="s">
        <v>1432</v>
      </c>
      <c r="X77" s="23">
        <f t="shared" si="76"/>
        <v>152.30000000000001</v>
      </c>
      <c r="Y77" s="21">
        <f t="shared" si="77"/>
        <v>46</v>
      </c>
      <c r="Z77" s="28">
        <f t="shared" si="78"/>
        <v>18</v>
      </c>
      <c r="AA77" s="6">
        <f t="shared" si="79"/>
        <v>175000</v>
      </c>
      <c r="AB77" s="6">
        <f t="shared" si="80"/>
        <v>78000</v>
      </c>
      <c r="AC77" s="6">
        <f t="shared" si="81"/>
        <v>97000</v>
      </c>
      <c r="AD77" s="7">
        <f t="shared" si="82"/>
        <v>0.44571428571428573</v>
      </c>
      <c r="AE77" s="12">
        <f t="shared" si="83"/>
        <v>3804.3478260869565</v>
      </c>
      <c r="AF77" s="13" t="str">
        <f t="shared" si="84"/>
        <v>계</v>
      </c>
      <c r="AG77" s="13" t="str">
        <f t="shared" si="85"/>
        <v>4/2</v>
      </c>
      <c r="AI77" s="32" t="str">
        <f t="shared" si="71"/>
        <v>동편마을4단지</v>
      </c>
      <c r="AJ77" s="21">
        <f t="shared" si="69"/>
        <v>46</v>
      </c>
      <c r="AK77" s="13" t="str">
        <f t="shared" si="86"/>
        <v>A-</v>
      </c>
      <c r="AL77" s="13"/>
      <c r="AM77" s="13"/>
      <c r="AN77" s="13"/>
      <c r="AO77" s="13" t="str">
        <f t="shared" si="87"/>
        <v>C</v>
      </c>
      <c r="AP77" s="13" t="str">
        <f t="shared" si="88"/>
        <v>X</v>
      </c>
      <c r="AQ77" s="13" t="str">
        <f t="shared" si="89"/>
        <v>X</v>
      </c>
      <c r="AR77" s="13" t="str">
        <f t="shared" si="90"/>
        <v>X</v>
      </c>
      <c r="AS77" s="13" t="str">
        <f t="shared" si="91"/>
        <v>X</v>
      </c>
      <c r="AT77" s="13" t="s">
        <v>32</v>
      </c>
      <c r="AU77" s="13" t="str">
        <f t="shared" si="92"/>
        <v>X</v>
      </c>
      <c r="AV77" s="13" t="str">
        <f t="shared" si="93"/>
        <v>O</v>
      </c>
      <c r="AW77" s="13" t="str">
        <f t="shared" si="94"/>
        <v>X</v>
      </c>
    </row>
    <row r="78" spans="1:49" x14ac:dyDescent="0.3">
      <c r="A78" s="5" t="s">
        <v>1424</v>
      </c>
      <c r="B78" s="14" t="s">
        <v>1425</v>
      </c>
      <c r="C78" s="25">
        <v>711</v>
      </c>
      <c r="D78" s="23">
        <v>171.1</v>
      </c>
      <c r="E78" s="21">
        <v>52</v>
      </c>
      <c r="F78" s="23">
        <v>135.5</v>
      </c>
      <c r="G78" s="24">
        <v>41</v>
      </c>
      <c r="H78" s="25">
        <v>65</v>
      </c>
      <c r="I78" s="29">
        <v>140000</v>
      </c>
      <c r="J78" s="106" t="s">
        <v>2084</v>
      </c>
      <c r="K78" s="29">
        <v>95000</v>
      </c>
      <c r="L78" s="106" t="s">
        <v>2121</v>
      </c>
      <c r="M78" s="6">
        <f t="shared" si="72"/>
        <v>45000</v>
      </c>
      <c r="N78" s="7">
        <f t="shared" si="73"/>
        <v>0.6785714285714286</v>
      </c>
      <c r="O78" s="12">
        <f t="shared" si="74"/>
        <v>2692.3076923076924</v>
      </c>
      <c r="P78" s="12">
        <f t="shared" si="75"/>
        <v>1826.9230769230769</v>
      </c>
      <c r="Q78" s="13">
        <v>4</v>
      </c>
      <c r="R78" s="13">
        <v>2</v>
      </c>
      <c r="S78" s="13" t="s">
        <v>51</v>
      </c>
      <c r="T78" s="8" t="s">
        <v>1435</v>
      </c>
      <c r="U78" s="5"/>
      <c r="V78" s="5" t="s">
        <v>1436</v>
      </c>
      <c r="X78" s="23">
        <f t="shared" si="76"/>
        <v>171.1</v>
      </c>
      <c r="Y78" s="21">
        <f t="shared" si="77"/>
        <v>52</v>
      </c>
      <c r="Z78" s="28">
        <f t="shared" si="78"/>
        <v>65</v>
      </c>
      <c r="AA78" s="6">
        <f t="shared" si="79"/>
        <v>140000</v>
      </c>
      <c r="AB78" s="6">
        <f t="shared" si="80"/>
        <v>95000</v>
      </c>
      <c r="AC78" s="6">
        <f t="shared" si="81"/>
        <v>45000</v>
      </c>
      <c r="AD78" s="7">
        <f t="shared" si="82"/>
        <v>0.6785714285714286</v>
      </c>
      <c r="AE78" s="12">
        <f t="shared" si="83"/>
        <v>2692.3076923076924</v>
      </c>
      <c r="AF78" s="13" t="str">
        <f t="shared" si="84"/>
        <v>계</v>
      </c>
      <c r="AG78" s="13" t="str">
        <f t="shared" si="85"/>
        <v>4/2</v>
      </c>
      <c r="AI78" s="32" t="str">
        <f t="shared" si="71"/>
        <v>동편마을4단지</v>
      </c>
      <c r="AJ78" s="21">
        <f t="shared" si="69"/>
        <v>52</v>
      </c>
      <c r="AK78" s="13" t="str">
        <f t="shared" si="86"/>
        <v>A-</v>
      </c>
      <c r="AL78" s="13"/>
      <c r="AM78" s="13"/>
      <c r="AN78" s="13"/>
      <c r="AO78" s="13" t="str">
        <f t="shared" si="87"/>
        <v>C</v>
      </c>
      <c r="AP78" s="13" t="str">
        <f t="shared" si="88"/>
        <v>X</v>
      </c>
      <c r="AQ78" s="13" t="str">
        <f t="shared" si="89"/>
        <v>X</v>
      </c>
      <c r="AR78" s="13" t="str">
        <f t="shared" si="90"/>
        <v>X</v>
      </c>
      <c r="AS78" s="13" t="str">
        <f t="shared" si="91"/>
        <v>X</v>
      </c>
      <c r="AT78" s="13" t="s">
        <v>32</v>
      </c>
      <c r="AU78" s="13" t="str">
        <f t="shared" si="92"/>
        <v>X</v>
      </c>
      <c r="AV78" s="13" t="str">
        <f t="shared" si="93"/>
        <v>O</v>
      </c>
      <c r="AW78" s="13" t="str">
        <f t="shared" si="94"/>
        <v>X</v>
      </c>
    </row>
    <row r="79" spans="1:49" x14ac:dyDescent="0.3">
      <c r="A79" s="5" t="s">
        <v>1424</v>
      </c>
      <c r="B79" s="14" t="s">
        <v>1425</v>
      </c>
      <c r="C79" s="25">
        <v>711</v>
      </c>
      <c r="D79" s="23">
        <v>171.2</v>
      </c>
      <c r="E79" s="21">
        <v>52</v>
      </c>
      <c r="F79" s="23">
        <v>135.69999999999999</v>
      </c>
      <c r="G79" s="24">
        <v>41</v>
      </c>
      <c r="H79" s="25">
        <v>40</v>
      </c>
      <c r="I79" s="29">
        <v>180000</v>
      </c>
      <c r="J79" s="106" t="s">
        <v>2126</v>
      </c>
      <c r="K79" s="29">
        <v>75000</v>
      </c>
      <c r="L79" s="106" t="s">
        <v>2126</v>
      </c>
      <c r="M79" s="6">
        <f t="shared" si="72"/>
        <v>105000</v>
      </c>
      <c r="N79" s="7">
        <f t="shared" si="73"/>
        <v>0.41666666666666669</v>
      </c>
      <c r="O79" s="12">
        <f t="shared" si="74"/>
        <v>3461.5384615384614</v>
      </c>
      <c r="P79" s="12">
        <f t="shared" si="75"/>
        <v>1442.3076923076924</v>
      </c>
      <c r="Q79" s="13">
        <v>4</v>
      </c>
      <c r="R79" s="13">
        <v>2</v>
      </c>
      <c r="S79" s="13" t="s">
        <v>51</v>
      </c>
      <c r="T79" s="8">
        <v>171</v>
      </c>
      <c r="U79" s="5"/>
      <c r="V79" s="5" t="s">
        <v>1436</v>
      </c>
      <c r="X79" s="23">
        <f t="shared" si="76"/>
        <v>171.2</v>
      </c>
      <c r="Y79" s="21">
        <f t="shared" si="77"/>
        <v>52</v>
      </c>
      <c r="Z79" s="28">
        <f t="shared" si="78"/>
        <v>40</v>
      </c>
      <c r="AA79" s="6">
        <f t="shared" si="79"/>
        <v>180000</v>
      </c>
      <c r="AB79" s="6">
        <f t="shared" si="80"/>
        <v>75000</v>
      </c>
      <c r="AC79" s="6">
        <f t="shared" si="81"/>
        <v>105000</v>
      </c>
      <c r="AD79" s="7">
        <f t="shared" si="82"/>
        <v>0.41666666666666669</v>
      </c>
      <c r="AE79" s="12">
        <f t="shared" si="83"/>
        <v>3461.5384615384614</v>
      </c>
      <c r="AF79" s="13" t="str">
        <f t="shared" si="84"/>
        <v>계</v>
      </c>
      <c r="AG79" s="13" t="str">
        <f t="shared" si="85"/>
        <v>4/2</v>
      </c>
      <c r="AI79" s="32" t="str">
        <f t="shared" si="71"/>
        <v>동편마을4단지</v>
      </c>
      <c r="AJ79" s="21">
        <f t="shared" si="69"/>
        <v>52</v>
      </c>
      <c r="AK79" s="13" t="str">
        <f t="shared" si="86"/>
        <v>A-</v>
      </c>
      <c r="AL79" s="13"/>
      <c r="AM79" s="13"/>
      <c r="AN79" s="13"/>
      <c r="AO79" s="13" t="str">
        <f t="shared" si="87"/>
        <v>C</v>
      </c>
      <c r="AP79" s="13" t="str">
        <f t="shared" si="88"/>
        <v>X</v>
      </c>
      <c r="AQ79" s="13" t="str">
        <f t="shared" si="89"/>
        <v>X</v>
      </c>
      <c r="AR79" s="13" t="str">
        <f t="shared" si="90"/>
        <v>X</v>
      </c>
      <c r="AS79" s="13" t="str">
        <f t="shared" si="91"/>
        <v>X</v>
      </c>
      <c r="AT79" s="13" t="s">
        <v>32</v>
      </c>
      <c r="AU79" s="13" t="str">
        <f t="shared" si="92"/>
        <v>X</v>
      </c>
      <c r="AV79" s="13" t="str">
        <f t="shared" si="93"/>
        <v>O</v>
      </c>
      <c r="AW79" s="13" t="str">
        <f t="shared" si="94"/>
        <v>X</v>
      </c>
    </row>
    <row r="80" spans="1:49" x14ac:dyDescent="0.3">
      <c r="A80" s="5" t="s">
        <v>1424</v>
      </c>
      <c r="B80" s="14" t="s">
        <v>1425</v>
      </c>
      <c r="C80" s="25">
        <v>711</v>
      </c>
      <c r="D80" s="23">
        <v>171.1</v>
      </c>
      <c r="E80" s="21">
        <v>52</v>
      </c>
      <c r="F80" s="23">
        <v>135.5</v>
      </c>
      <c r="G80" s="24">
        <v>41</v>
      </c>
      <c r="H80" s="25">
        <v>40</v>
      </c>
      <c r="I80" s="29">
        <v>150000</v>
      </c>
      <c r="J80" s="106" t="s">
        <v>2125</v>
      </c>
      <c r="K80" s="29">
        <v>90000</v>
      </c>
      <c r="L80" s="106"/>
      <c r="M80" s="6">
        <f t="shared" si="72"/>
        <v>60000</v>
      </c>
      <c r="N80" s="7">
        <f t="shared" si="73"/>
        <v>0.6</v>
      </c>
      <c r="O80" s="12">
        <f t="shared" si="74"/>
        <v>2884.6153846153848</v>
      </c>
      <c r="P80" s="12">
        <f t="shared" si="75"/>
        <v>1730.7692307692307</v>
      </c>
      <c r="Q80" s="13">
        <v>4</v>
      </c>
      <c r="R80" s="13">
        <v>2</v>
      </c>
      <c r="S80" s="13" t="s">
        <v>51</v>
      </c>
      <c r="T80" s="8" t="s">
        <v>1437</v>
      </c>
      <c r="U80" s="5" t="s">
        <v>2132</v>
      </c>
      <c r="V80" s="5" t="s">
        <v>1436</v>
      </c>
      <c r="X80" s="23">
        <f t="shared" si="76"/>
        <v>171.1</v>
      </c>
      <c r="Y80" s="21">
        <f t="shared" si="77"/>
        <v>52</v>
      </c>
      <c r="Z80" s="28">
        <f t="shared" si="78"/>
        <v>40</v>
      </c>
      <c r="AA80" s="6">
        <f t="shared" si="79"/>
        <v>150000</v>
      </c>
      <c r="AB80" s="6">
        <f t="shared" si="80"/>
        <v>90000</v>
      </c>
      <c r="AC80" s="6">
        <f t="shared" si="81"/>
        <v>60000</v>
      </c>
      <c r="AD80" s="7">
        <f t="shared" si="82"/>
        <v>0.6</v>
      </c>
      <c r="AE80" s="12">
        <f t="shared" si="83"/>
        <v>2884.6153846153848</v>
      </c>
      <c r="AF80" s="13" t="str">
        <f t="shared" si="84"/>
        <v>계</v>
      </c>
      <c r="AG80" s="13" t="str">
        <f t="shared" si="85"/>
        <v>4/2</v>
      </c>
      <c r="AI80" s="32" t="str">
        <f t="shared" si="71"/>
        <v>동편마을4단지</v>
      </c>
      <c r="AJ80" s="21">
        <f t="shared" si="69"/>
        <v>52</v>
      </c>
      <c r="AK80" s="13" t="str">
        <f t="shared" si="86"/>
        <v>A-</v>
      </c>
      <c r="AL80" s="13"/>
      <c r="AM80" s="13"/>
      <c r="AN80" s="13"/>
      <c r="AO80" s="13" t="str">
        <f t="shared" si="87"/>
        <v>C</v>
      </c>
      <c r="AP80" s="13" t="str">
        <f t="shared" si="88"/>
        <v>X</v>
      </c>
      <c r="AQ80" s="13" t="str">
        <f t="shared" si="89"/>
        <v>X</v>
      </c>
      <c r="AR80" s="13" t="str">
        <f t="shared" si="90"/>
        <v>X</v>
      </c>
      <c r="AS80" s="13" t="str">
        <f t="shared" si="91"/>
        <v>X</v>
      </c>
      <c r="AT80" s="13" t="s">
        <v>32</v>
      </c>
      <c r="AU80" s="13" t="str">
        <f t="shared" si="92"/>
        <v>X</v>
      </c>
      <c r="AV80" s="13" t="str">
        <f t="shared" si="93"/>
        <v>O</v>
      </c>
      <c r="AW80" s="13" t="str">
        <f t="shared" si="94"/>
        <v>X</v>
      </c>
    </row>
    <row r="81" spans="1:49" x14ac:dyDescent="0.3">
      <c r="A81" s="5" t="s">
        <v>1424</v>
      </c>
      <c r="B81" s="14" t="s">
        <v>1425</v>
      </c>
      <c r="C81" s="25">
        <v>711</v>
      </c>
      <c r="D81" s="23">
        <v>171.1</v>
      </c>
      <c r="E81" s="21">
        <v>52</v>
      </c>
      <c r="F81" s="23">
        <v>135.5</v>
      </c>
      <c r="G81" s="24">
        <v>41</v>
      </c>
      <c r="H81" s="25">
        <v>11</v>
      </c>
      <c r="I81" s="29">
        <v>150000</v>
      </c>
      <c r="J81" s="106"/>
      <c r="K81" s="29">
        <v>90000</v>
      </c>
      <c r="L81" s="106"/>
      <c r="M81" s="6">
        <f t="shared" si="72"/>
        <v>60000</v>
      </c>
      <c r="N81" s="7">
        <f t="shared" si="73"/>
        <v>0.6</v>
      </c>
      <c r="O81" s="12">
        <f t="shared" si="74"/>
        <v>2884.6153846153848</v>
      </c>
      <c r="P81" s="12">
        <f t="shared" si="75"/>
        <v>1730.7692307692307</v>
      </c>
      <c r="Q81" s="13">
        <v>4</v>
      </c>
      <c r="R81" s="13">
        <v>2</v>
      </c>
      <c r="S81" s="13" t="s">
        <v>51</v>
      </c>
      <c r="T81" s="8" t="s">
        <v>1438</v>
      </c>
      <c r="U81" s="5" t="s">
        <v>2133</v>
      </c>
      <c r="V81" s="5" t="s">
        <v>1436</v>
      </c>
      <c r="X81" s="23">
        <f t="shared" si="76"/>
        <v>171.1</v>
      </c>
      <c r="Y81" s="21">
        <f t="shared" si="77"/>
        <v>52</v>
      </c>
      <c r="Z81" s="28">
        <f t="shared" si="78"/>
        <v>11</v>
      </c>
      <c r="AA81" s="6">
        <f t="shared" si="79"/>
        <v>150000</v>
      </c>
      <c r="AB81" s="6">
        <f t="shared" si="80"/>
        <v>90000</v>
      </c>
      <c r="AC81" s="6">
        <f t="shared" si="81"/>
        <v>60000</v>
      </c>
      <c r="AD81" s="7">
        <f t="shared" si="82"/>
        <v>0.6</v>
      </c>
      <c r="AE81" s="12">
        <f t="shared" si="83"/>
        <v>2884.6153846153848</v>
      </c>
      <c r="AF81" s="13" t="str">
        <f t="shared" si="84"/>
        <v>계</v>
      </c>
      <c r="AG81" s="13" t="str">
        <f t="shared" si="85"/>
        <v>4/2</v>
      </c>
      <c r="AI81" s="32" t="str">
        <f t="shared" si="71"/>
        <v>동편마을4단지</v>
      </c>
      <c r="AJ81" s="21">
        <f t="shared" si="69"/>
        <v>52</v>
      </c>
      <c r="AK81" s="13" t="str">
        <f t="shared" si="86"/>
        <v>A-</v>
      </c>
      <c r="AL81" s="13"/>
      <c r="AM81" s="13"/>
      <c r="AN81" s="13"/>
      <c r="AO81" s="13" t="str">
        <f t="shared" si="87"/>
        <v>C</v>
      </c>
      <c r="AP81" s="13" t="str">
        <f t="shared" si="88"/>
        <v>X</v>
      </c>
      <c r="AQ81" s="13" t="str">
        <f t="shared" si="89"/>
        <v>X</v>
      </c>
      <c r="AR81" s="13" t="str">
        <f t="shared" si="90"/>
        <v>X</v>
      </c>
      <c r="AS81" s="13" t="str">
        <f t="shared" si="91"/>
        <v>X</v>
      </c>
      <c r="AT81" s="13" t="s">
        <v>32</v>
      </c>
      <c r="AU81" s="13" t="str">
        <f t="shared" si="92"/>
        <v>X</v>
      </c>
      <c r="AV81" s="13" t="str">
        <f t="shared" si="93"/>
        <v>O</v>
      </c>
      <c r="AW81" s="13" t="str">
        <f t="shared" si="94"/>
        <v>X</v>
      </c>
    </row>
    <row r="82" spans="1:49" x14ac:dyDescent="0.3">
      <c r="A82" s="5" t="s">
        <v>1424</v>
      </c>
      <c r="B82" s="14" t="s">
        <v>1425</v>
      </c>
      <c r="C82" s="25">
        <v>711</v>
      </c>
      <c r="D82" s="23">
        <v>201.6</v>
      </c>
      <c r="E82" s="21">
        <v>61</v>
      </c>
      <c r="F82" s="23">
        <v>159.69999999999999</v>
      </c>
      <c r="G82" s="24">
        <v>48</v>
      </c>
      <c r="H82" s="25">
        <v>3</v>
      </c>
      <c r="I82" s="29">
        <v>144400</v>
      </c>
      <c r="J82" s="106" t="s">
        <v>2073</v>
      </c>
      <c r="K82" s="29"/>
      <c r="L82" s="106"/>
      <c r="M82" s="6">
        <f t="shared" si="72"/>
        <v>144400</v>
      </c>
      <c r="N82" s="7">
        <f t="shared" si="73"/>
        <v>0</v>
      </c>
      <c r="O82" s="12">
        <f t="shared" si="74"/>
        <v>2367.2131147540986</v>
      </c>
      <c r="P82" s="12">
        <f t="shared" si="75"/>
        <v>0</v>
      </c>
      <c r="Q82" s="13">
        <v>4</v>
      </c>
      <c r="R82" s="13">
        <v>2</v>
      </c>
      <c r="S82" s="13" t="s">
        <v>51</v>
      </c>
      <c r="T82" s="8" t="s">
        <v>1439</v>
      </c>
      <c r="U82" s="5" t="s">
        <v>2134</v>
      </c>
      <c r="V82" s="5" t="s">
        <v>1440</v>
      </c>
      <c r="X82" s="23">
        <f t="shared" si="76"/>
        <v>201.6</v>
      </c>
      <c r="Y82" s="21">
        <f t="shared" si="77"/>
        <v>61</v>
      </c>
      <c r="Z82" s="28">
        <f t="shared" si="78"/>
        <v>3</v>
      </c>
      <c r="AA82" s="6">
        <f t="shared" si="79"/>
        <v>144400</v>
      </c>
      <c r="AB82" s="6">
        <f t="shared" si="80"/>
        <v>0</v>
      </c>
      <c r="AC82" s="6">
        <f t="shared" si="81"/>
        <v>144400</v>
      </c>
      <c r="AD82" s="7">
        <f t="shared" si="82"/>
        <v>0</v>
      </c>
      <c r="AE82" s="12">
        <f t="shared" si="83"/>
        <v>2367.2131147540986</v>
      </c>
      <c r="AF82" s="13" t="str">
        <f t="shared" si="84"/>
        <v>계</v>
      </c>
      <c r="AG82" s="13" t="str">
        <f t="shared" si="85"/>
        <v>4/2</v>
      </c>
      <c r="AI82" s="32" t="str">
        <f t="shared" si="71"/>
        <v>동편마을4단지</v>
      </c>
      <c r="AJ82" s="21">
        <f t="shared" si="69"/>
        <v>61</v>
      </c>
      <c r="AK82" s="13" t="str">
        <f t="shared" si="86"/>
        <v>A-</v>
      </c>
      <c r="AL82" s="13"/>
      <c r="AM82" s="13"/>
      <c r="AN82" s="13"/>
      <c r="AO82" s="13" t="str">
        <f t="shared" si="87"/>
        <v>C</v>
      </c>
      <c r="AP82" s="13" t="str">
        <f t="shared" si="88"/>
        <v>X</v>
      </c>
      <c r="AQ82" s="13" t="str">
        <f t="shared" si="89"/>
        <v>X</v>
      </c>
      <c r="AR82" s="13" t="str">
        <f t="shared" si="90"/>
        <v>X</v>
      </c>
      <c r="AS82" s="13" t="str">
        <f t="shared" si="91"/>
        <v>X</v>
      </c>
      <c r="AT82" s="13" t="s">
        <v>32</v>
      </c>
      <c r="AU82" s="13" t="str">
        <f t="shared" si="92"/>
        <v>X</v>
      </c>
      <c r="AV82" s="13" t="str">
        <f t="shared" si="93"/>
        <v>O</v>
      </c>
      <c r="AW82" s="13" t="str">
        <f t="shared" si="94"/>
        <v>X</v>
      </c>
    </row>
  </sheetData>
  <mergeCells count="1">
    <mergeCell ref="AK1:AO1"/>
  </mergeCells>
  <phoneticPr fontId="2" type="noConversion"/>
  <conditionalFormatting sqref="AW4:AW6">
    <cfRule type="expression" dxfId="9975" priority="1282">
      <formula>AW4="X"</formula>
    </cfRule>
    <cfRule type="expression" dxfId="9974" priority="1283">
      <formula>AW4="후보"</formula>
    </cfRule>
  </conditionalFormatting>
  <conditionalFormatting sqref="AA2:AA6">
    <cfRule type="colorScale" priority="12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9973" priority="1279" operator="greaterThan">
      <formula>0.9</formula>
    </cfRule>
    <cfRule type="cellIs" dxfId="9972" priority="1280" operator="greaterThan">
      <formula>0.85</formula>
    </cfRule>
  </conditionalFormatting>
  <conditionalFormatting sqref="N1:N2">
    <cfRule type="cellIs" dxfId="9971" priority="1277" operator="greaterThan">
      <formula>0.9</formula>
    </cfRule>
    <cfRule type="cellIs" dxfId="9970" priority="1278" operator="greaterThan">
      <formula>0.85</formula>
    </cfRule>
  </conditionalFormatting>
  <conditionalFormatting sqref="N6">
    <cfRule type="cellIs" dxfId="9969" priority="1275" operator="greaterThan">
      <formula>0.9</formula>
    </cfRule>
    <cfRule type="cellIs" dxfId="9968" priority="1276" operator="greaterThan">
      <formula>0.85</formula>
    </cfRule>
  </conditionalFormatting>
  <conditionalFormatting sqref="E6">
    <cfRule type="expression" dxfId="9967" priority="1271">
      <formula>AND(IF(OR($Q6=1,$Q6=2),1,0),IF($E6&lt;=20,1,0))</formula>
    </cfRule>
    <cfRule type="expression" dxfId="9966" priority="1272">
      <formula>AND(IF($Q6=2,1,0),IF($E6&lt;30,1,0))</formula>
    </cfRule>
    <cfRule type="expression" dxfId="9965" priority="1273">
      <formula>AND(IF($Q6=3,1,0),IF($E6&lt;30,1,0))</formula>
    </cfRule>
    <cfRule type="expression" dxfId="9964" priority="1274">
      <formula>AND(IF($Q6=3,1,IF($Q6=4,1,0)),IF($F6&lt;=85,1,0))</formula>
    </cfRule>
  </conditionalFormatting>
  <conditionalFormatting sqref="Y6">
    <cfRule type="expression" dxfId="9963" priority="1267">
      <formula>AND(IF(OR($Q6=1,$Q6=2),1,0),IF($Y6&lt;=20,1,0))</formula>
    </cfRule>
    <cfRule type="expression" dxfId="9962" priority="1268">
      <formula>AND(IF($Q6=2,1,0),IF($Y6&lt;30,1,0))</formula>
    </cfRule>
    <cfRule type="expression" dxfId="9961" priority="1269">
      <formula>AND(IF($Q6=3,1,0),IF($Y6&lt;30,1,0))</formula>
    </cfRule>
    <cfRule type="expression" dxfId="9960" priority="1270">
      <formula>AND(IF($Q6=3,1,IF($Q6=4,1,0)),IF($F6&lt;=85,1,0))</formula>
    </cfRule>
  </conditionalFormatting>
  <conditionalFormatting sqref="AJ6">
    <cfRule type="expression" dxfId="9959" priority="1263">
      <formula>AND(IF(OR($Q6=1,$Q6=2),1,0),IF($Y6&lt;=20,1,0))</formula>
    </cfRule>
    <cfRule type="expression" dxfId="9958" priority="1264">
      <formula>AND(IF($Q6=2,1,0),IF($Y6&lt;30,1,0))</formula>
    </cfRule>
    <cfRule type="expression" dxfId="9957" priority="1265">
      <formula>AND(IF($Q6=3,1,0),IF($Y6&lt;30,1,0))</formula>
    </cfRule>
    <cfRule type="expression" dxfId="9956" priority="1266">
      <formula>AND(IF($Q6=3,1,IF($Q6=4,1,0)),IF($F6&lt;=85,1,0))</formula>
    </cfRule>
  </conditionalFormatting>
  <conditionalFormatting sqref="AW7">
    <cfRule type="expression" dxfId="9955" priority="1261">
      <formula>AW7="X"</formula>
    </cfRule>
    <cfRule type="expression" dxfId="9954" priority="1262">
      <formula>AW7="후보"</formula>
    </cfRule>
  </conditionalFormatting>
  <conditionalFormatting sqref="AA7">
    <cfRule type="colorScale" priority="1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9953" priority="1258" operator="greaterThan">
      <formula>0.9</formula>
    </cfRule>
    <cfRule type="cellIs" dxfId="9952" priority="1259" operator="greaterThan">
      <formula>0.85</formula>
    </cfRule>
  </conditionalFormatting>
  <conditionalFormatting sqref="N7">
    <cfRule type="cellIs" dxfId="9951" priority="1256" operator="greaterThan">
      <formula>0.9</formula>
    </cfRule>
    <cfRule type="cellIs" dxfId="9950" priority="1257" operator="greaterThan">
      <formula>0.85</formula>
    </cfRule>
  </conditionalFormatting>
  <conditionalFormatting sqref="E7">
    <cfRule type="expression" dxfId="9949" priority="1252">
      <formula>AND(IF(OR($Q7=1,$Q7=2),1,0),IF($E7&lt;=20,1,0))</formula>
    </cfRule>
    <cfRule type="expression" dxfId="9948" priority="1253">
      <formula>AND(IF($Q7=2,1,0),IF($E7&lt;30,1,0))</formula>
    </cfRule>
    <cfRule type="expression" dxfId="9947" priority="1254">
      <formula>AND(IF($Q7=3,1,0),IF($E7&lt;30,1,0))</formula>
    </cfRule>
    <cfRule type="expression" dxfId="9946" priority="1255">
      <formula>AND(IF($Q7=3,1,IF($Q7=4,1,0)),IF($F7&lt;=85,1,0))</formula>
    </cfRule>
  </conditionalFormatting>
  <conditionalFormatting sqref="Y7">
    <cfRule type="expression" dxfId="9945" priority="1248">
      <formula>AND(IF(OR($Q7=1,$Q7=2),1,0),IF($Y7&lt;=20,1,0))</formula>
    </cfRule>
    <cfRule type="expression" dxfId="9944" priority="1249">
      <formula>AND(IF($Q7=2,1,0),IF($Y7&lt;30,1,0))</formula>
    </cfRule>
    <cfRule type="expression" dxfId="9943" priority="1250">
      <formula>AND(IF($Q7=3,1,0),IF($Y7&lt;30,1,0))</formula>
    </cfRule>
    <cfRule type="expression" dxfId="9942" priority="1251">
      <formula>AND(IF($Q7=3,1,IF($Q7=4,1,0)),IF($F7&lt;=85,1,0))</formula>
    </cfRule>
  </conditionalFormatting>
  <conditionalFormatting sqref="AJ7">
    <cfRule type="expression" dxfId="9941" priority="1244">
      <formula>AND(IF(OR($Q7=1,$Q7=2),1,0),IF($Y7&lt;=20,1,0))</formula>
    </cfRule>
    <cfRule type="expression" dxfId="9940" priority="1245">
      <formula>AND(IF($Q7=2,1,0),IF($Y7&lt;30,1,0))</formula>
    </cfRule>
    <cfRule type="expression" dxfId="9939" priority="1246">
      <formula>AND(IF($Q7=3,1,0),IF($Y7&lt;30,1,0))</formula>
    </cfRule>
    <cfRule type="expression" dxfId="9938" priority="1247">
      <formula>AND(IF($Q7=3,1,IF($Q7=4,1,0)),IF($F7&lt;=85,1,0))</formula>
    </cfRule>
  </conditionalFormatting>
  <conditionalFormatting sqref="AW8">
    <cfRule type="expression" dxfId="9937" priority="1242">
      <formula>AW8="X"</formula>
    </cfRule>
    <cfRule type="expression" dxfId="9936" priority="1243">
      <formula>AW8="후보"</formula>
    </cfRule>
  </conditionalFormatting>
  <conditionalFormatting sqref="AA8">
    <cfRule type="colorScale" priority="1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9935" priority="1239" operator="greaterThan">
      <formula>0.9</formula>
    </cfRule>
    <cfRule type="cellIs" dxfId="9934" priority="1240" operator="greaterThan">
      <formula>0.85</formula>
    </cfRule>
  </conditionalFormatting>
  <conditionalFormatting sqref="N8">
    <cfRule type="cellIs" dxfId="9933" priority="1237" operator="greaterThan">
      <formula>0.9</formula>
    </cfRule>
    <cfRule type="cellIs" dxfId="9932" priority="1238" operator="greaterThan">
      <formula>0.85</formula>
    </cfRule>
  </conditionalFormatting>
  <conditionalFormatting sqref="E8">
    <cfRule type="expression" dxfId="9931" priority="1233">
      <formula>AND(IF(OR($Q8=1,$Q8=2),1,0),IF($E8&lt;=20,1,0))</formula>
    </cfRule>
    <cfRule type="expression" dxfId="9930" priority="1234">
      <formula>AND(IF($Q8=2,1,0),IF($E8&lt;30,1,0))</formula>
    </cfRule>
    <cfRule type="expression" dxfId="9929" priority="1235">
      <formula>AND(IF($Q8=3,1,0),IF($E8&lt;30,1,0))</formula>
    </cfRule>
    <cfRule type="expression" dxfId="9928" priority="1236">
      <formula>AND(IF($Q8=3,1,IF($Q8=4,1,0)),IF($F8&lt;=85,1,0))</formula>
    </cfRule>
  </conditionalFormatting>
  <conditionalFormatting sqref="Y8">
    <cfRule type="expression" dxfId="9927" priority="1229">
      <formula>AND(IF(OR($Q8=1,$Q8=2),1,0),IF($Y8&lt;=20,1,0))</formula>
    </cfRule>
    <cfRule type="expression" dxfId="9926" priority="1230">
      <formula>AND(IF($Q8=2,1,0),IF($Y8&lt;30,1,0))</formula>
    </cfRule>
    <cfRule type="expression" dxfId="9925" priority="1231">
      <formula>AND(IF($Q8=3,1,0),IF($Y8&lt;30,1,0))</formula>
    </cfRule>
    <cfRule type="expression" dxfId="9924" priority="1232">
      <formula>AND(IF($Q8=3,1,IF($Q8=4,1,0)),IF($F8&lt;=85,1,0))</formula>
    </cfRule>
  </conditionalFormatting>
  <conditionalFormatting sqref="AJ8">
    <cfRule type="expression" dxfId="9923" priority="1225">
      <formula>AND(IF(OR($Q8=1,$Q8=2),1,0),IF($Y8&lt;=20,1,0))</formula>
    </cfRule>
    <cfRule type="expression" dxfId="9922" priority="1226">
      <formula>AND(IF($Q8=2,1,0),IF($Y8&lt;30,1,0))</formula>
    </cfRule>
    <cfRule type="expression" dxfId="9921" priority="1227">
      <formula>AND(IF($Q8=3,1,0),IF($Y8&lt;30,1,0))</formula>
    </cfRule>
    <cfRule type="expression" dxfId="9920" priority="1228">
      <formula>AND(IF($Q8=3,1,IF($Q8=4,1,0)),IF($F8&lt;=85,1,0))</formula>
    </cfRule>
  </conditionalFormatting>
  <conditionalFormatting sqref="AW9">
    <cfRule type="expression" dxfId="9919" priority="1223">
      <formula>AW9="X"</formula>
    </cfRule>
    <cfRule type="expression" dxfId="9918" priority="1224">
      <formula>AW9="후보"</formula>
    </cfRule>
  </conditionalFormatting>
  <conditionalFormatting sqref="AA9">
    <cfRule type="colorScale" priority="1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">
    <cfRule type="cellIs" dxfId="9917" priority="1220" operator="greaterThan">
      <formula>0.9</formula>
    </cfRule>
    <cfRule type="cellIs" dxfId="9916" priority="1221" operator="greaterThan">
      <formula>0.85</formula>
    </cfRule>
  </conditionalFormatting>
  <conditionalFormatting sqref="N9">
    <cfRule type="cellIs" dxfId="9915" priority="1218" operator="greaterThan">
      <formula>0.9</formula>
    </cfRule>
    <cfRule type="cellIs" dxfId="9914" priority="1219" operator="greaterThan">
      <formula>0.85</formula>
    </cfRule>
  </conditionalFormatting>
  <conditionalFormatting sqref="E9">
    <cfRule type="expression" dxfId="9913" priority="1214">
      <formula>AND(IF(OR($Q9=1,$Q9=2),1,0),IF($E9&lt;=20,1,0))</formula>
    </cfRule>
    <cfRule type="expression" dxfId="9912" priority="1215">
      <formula>AND(IF($Q9=2,1,0),IF($E9&lt;30,1,0))</formula>
    </cfRule>
    <cfRule type="expression" dxfId="9911" priority="1216">
      <formula>AND(IF($Q9=3,1,0),IF($E9&lt;30,1,0))</formula>
    </cfRule>
    <cfRule type="expression" dxfId="9910" priority="1217">
      <formula>AND(IF($Q9=3,1,IF($Q9=4,1,0)),IF($F9&lt;=85,1,0))</formula>
    </cfRule>
  </conditionalFormatting>
  <conditionalFormatting sqref="Y9">
    <cfRule type="expression" dxfId="9909" priority="1210">
      <formula>AND(IF(OR($Q9=1,$Q9=2),1,0),IF($Y9&lt;=20,1,0))</formula>
    </cfRule>
    <cfRule type="expression" dxfId="9908" priority="1211">
      <formula>AND(IF($Q9=2,1,0),IF($Y9&lt;30,1,0))</formula>
    </cfRule>
    <cfRule type="expression" dxfId="9907" priority="1212">
      <formula>AND(IF($Q9=3,1,0),IF($Y9&lt;30,1,0))</formula>
    </cfRule>
    <cfRule type="expression" dxfId="9906" priority="1213">
      <formula>AND(IF($Q9=3,1,IF($Q9=4,1,0)),IF($F9&lt;=85,1,0))</formula>
    </cfRule>
  </conditionalFormatting>
  <conditionalFormatting sqref="AJ9">
    <cfRule type="expression" dxfId="9905" priority="1206">
      <formula>AND(IF(OR($Q9=1,$Q9=2),1,0),IF($Y9&lt;=20,1,0))</formula>
    </cfRule>
    <cfRule type="expression" dxfId="9904" priority="1207">
      <formula>AND(IF($Q9=2,1,0),IF($Y9&lt;30,1,0))</formula>
    </cfRule>
    <cfRule type="expression" dxfId="9903" priority="1208">
      <formula>AND(IF($Q9=3,1,0),IF($Y9&lt;30,1,0))</formula>
    </cfRule>
    <cfRule type="expression" dxfId="9902" priority="1209">
      <formula>AND(IF($Q9=3,1,IF($Q9=4,1,0)),IF($F9&lt;=85,1,0))</formula>
    </cfRule>
  </conditionalFormatting>
  <conditionalFormatting sqref="AW10">
    <cfRule type="expression" dxfId="9901" priority="1204">
      <formula>AW10="X"</formula>
    </cfRule>
    <cfRule type="expression" dxfId="9900" priority="1205">
      <formula>AW10="후보"</formula>
    </cfRule>
  </conditionalFormatting>
  <conditionalFormatting sqref="AA10">
    <cfRule type="colorScale" priority="12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9899" priority="1201" operator="greaterThan">
      <formula>0.9</formula>
    </cfRule>
    <cfRule type="cellIs" dxfId="9898" priority="1202" operator="greaterThan">
      <formula>0.85</formula>
    </cfRule>
  </conditionalFormatting>
  <conditionalFormatting sqref="N10">
    <cfRule type="cellIs" dxfId="9897" priority="1199" operator="greaterThan">
      <formula>0.9</formula>
    </cfRule>
    <cfRule type="cellIs" dxfId="9896" priority="1200" operator="greaterThan">
      <formula>0.85</formula>
    </cfRule>
  </conditionalFormatting>
  <conditionalFormatting sqref="E10">
    <cfRule type="expression" dxfId="9895" priority="1195">
      <formula>AND(IF(OR($Q10=1,$Q10=2),1,0),IF($E10&lt;=20,1,0))</formula>
    </cfRule>
    <cfRule type="expression" dxfId="9894" priority="1196">
      <formula>AND(IF($Q10=2,1,0),IF($E10&lt;30,1,0))</formula>
    </cfRule>
    <cfRule type="expression" dxfId="9893" priority="1197">
      <formula>AND(IF($Q10=3,1,0),IF($E10&lt;30,1,0))</formula>
    </cfRule>
    <cfRule type="expression" dxfId="9892" priority="1198">
      <formula>AND(IF($Q10=3,1,IF($Q10=4,1,0)),IF($F10&lt;=85,1,0))</formula>
    </cfRule>
  </conditionalFormatting>
  <conditionalFormatting sqref="Y10">
    <cfRule type="expression" dxfId="9891" priority="1191">
      <formula>AND(IF(OR($Q10=1,$Q10=2),1,0),IF($Y10&lt;=20,1,0))</formula>
    </cfRule>
    <cfRule type="expression" dxfId="9890" priority="1192">
      <formula>AND(IF($Q10=2,1,0),IF($Y10&lt;30,1,0))</formula>
    </cfRule>
    <cfRule type="expression" dxfId="9889" priority="1193">
      <formula>AND(IF($Q10=3,1,0),IF($Y10&lt;30,1,0))</formula>
    </cfRule>
    <cfRule type="expression" dxfId="9888" priority="1194">
      <formula>AND(IF($Q10=3,1,IF($Q10=4,1,0)),IF($F10&lt;=85,1,0))</formula>
    </cfRule>
  </conditionalFormatting>
  <conditionalFormatting sqref="AJ10">
    <cfRule type="expression" dxfId="9887" priority="1187">
      <formula>AND(IF(OR($Q10=1,$Q10=2),1,0),IF($Y10&lt;=20,1,0))</formula>
    </cfRule>
    <cfRule type="expression" dxfId="9886" priority="1188">
      <formula>AND(IF($Q10=2,1,0),IF($Y10&lt;30,1,0))</formula>
    </cfRule>
    <cfRule type="expression" dxfId="9885" priority="1189">
      <formula>AND(IF($Q10=3,1,0),IF($Y10&lt;30,1,0))</formula>
    </cfRule>
    <cfRule type="expression" dxfId="9884" priority="1190">
      <formula>AND(IF($Q10=3,1,IF($Q10=4,1,0)),IF($F10&lt;=85,1,0))</formula>
    </cfRule>
  </conditionalFormatting>
  <conditionalFormatting sqref="AW11">
    <cfRule type="expression" dxfId="9883" priority="1185">
      <formula>AW11="X"</formula>
    </cfRule>
    <cfRule type="expression" dxfId="9882" priority="1186">
      <formula>AW11="후보"</formula>
    </cfRule>
  </conditionalFormatting>
  <conditionalFormatting sqref="AA11">
    <cfRule type="colorScale" priority="11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9881" priority="1182" operator="greaterThan">
      <formula>0.9</formula>
    </cfRule>
    <cfRule type="cellIs" dxfId="9880" priority="1183" operator="greaterThan">
      <formula>0.85</formula>
    </cfRule>
  </conditionalFormatting>
  <conditionalFormatting sqref="N11">
    <cfRule type="cellIs" dxfId="9879" priority="1180" operator="greaterThan">
      <formula>0.9</formula>
    </cfRule>
    <cfRule type="cellIs" dxfId="9878" priority="1181" operator="greaterThan">
      <formula>0.85</formula>
    </cfRule>
  </conditionalFormatting>
  <conditionalFormatting sqref="E11">
    <cfRule type="expression" dxfId="9877" priority="1176">
      <formula>AND(IF(OR($Q11=1,$Q11=2),1,0),IF($E11&lt;=20,1,0))</formula>
    </cfRule>
    <cfRule type="expression" dxfId="9876" priority="1177">
      <formula>AND(IF($Q11=2,1,0),IF($E11&lt;30,1,0))</formula>
    </cfRule>
    <cfRule type="expression" dxfId="9875" priority="1178">
      <formula>AND(IF($Q11=3,1,0),IF($E11&lt;30,1,0))</formula>
    </cfRule>
    <cfRule type="expression" dxfId="9874" priority="1179">
      <formula>AND(IF($Q11=3,1,IF($Q11=4,1,0)),IF($F11&lt;=85,1,0))</formula>
    </cfRule>
  </conditionalFormatting>
  <conditionalFormatting sqref="Y11">
    <cfRule type="expression" dxfId="9873" priority="1172">
      <formula>AND(IF(OR($Q11=1,$Q11=2),1,0),IF($Y11&lt;=20,1,0))</formula>
    </cfRule>
    <cfRule type="expression" dxfId="9872" priority="1173">
      <formula>AND(IF($Q11=2,1,0),IF($Y11&lt;30,1,0))</formula>
    </cfRule>
    <cfRule type="expression" dxfId="9871" priority="1174">
      <formula>AND(IF($Q11=3,1,0),IF($Y11&lt;30,1,0))</formula>
    </cfRule>
    <cfRule type="expression" dxfId="9870" priority="1175">
      <formula>AND(IF($Q11=3,1,IF($Q11=4,1,0)),IF($F11&lt;=85,1,0))</formula>
    </cfRule>
  </conditionalFormatting>
  <conditionalFormatting sqref="AJ11">
    <cfRule type="expression" dxfId="9869" priority="1168">
      <formula>AND(IF(OR($Q11=1,$Q11=2),1,0),IF($Y11&lt;=20,1,0))</formula>
    </cfRule>
    <cfRule type="expression" dxfId="9868" priority="1169">
      <formula>AND(IF($Q11=2,1,0),IF($Y11&lt;30,1,0))</formula>
    </cfRule>
    <cfRule type="expression" dxfId="9867" priority="1170">
      <formula>AND(IF($Q11=3,1,0),IF($Y11&lt;30,1,0))</formula>
    </cfRule>
    <cfRule type="expression" dxfId="9866" priority="1171">
      <formula>AND(IF($Q11=3,1,IF($Q11=4,1,0)),IF($F11&lt;=85,1,0))</formula>
    </cfRule>
  </conditionalFormatting>
  <conditionalFormatting sqref="AW12">
    <cfRule type="expression" dxfId="9865" priority="1166">
      <formula>AW12="X"</formula>
    </cfRule>
    <cfRule type="expression" dxfId="9864" priority="1167">
      <formula>AW12="후보"</formula>
    </cfRule>
  </conditionalFormatting>
  <conditionalFormatting sqref="AA12">
    <cfRule type="colorScale" priority="11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9863" priority="1163" operator="greaterThan">
      <formula>0.9</formula>
    </cfRule>
    <cfRule type="cellIs" dxfId="9862" priority="1164" operator="greaterThan">
      <formula>0.85</formula>
    </cfRule>
  </conditionalFormatting>
  <conditionalFormatting sqref="N12">
    <cfRule type="cellIs" dxfId="9861" priority="1161" operator="greaterThan">
      <formula>0.9</formula>
    </cfRule>
    <cfRule type="cellIs" dxfId="9860" priority="1162" operator="greaterThan">
      <formula>0.85</formula>
    </cfRule>
  </conditionalFormatting>
  <conditionalFormatting sqref="E12">
    <cfRule type="expression" dxfId="9859" priority="1157">
      <formula>AND(IF(OR($Q12=1,$Q12=2),1,0),IF($E12&lt;=20,1,0))</formula>
    </cfRule>
    <cfRule type="expression" dxfId="9858" priority="1158">
      <formula>AND(IF($Q12=2,1,0),IF($E12&lt;30,1,0))</formula>
    </cfRule>
    <cfRule type="expression" dxfId="9857" priority="1159">
      <formula>AND(IF($Q12=3,1,0),IF($E12&lt;30,1,0))</formula>
    </cfRule>
    <cfRule type="expression" dxfId="9856" priority="1160">
      <formula>AND(IF($Q12=3,1,IF($Q12=4,1,0)),IF($F12&lt;=85,1,0))</formula>
    </cfRule>
  </conditionalFormatting>
  <conditionalFormatting sqref="Y12">
    <cfRule type="expression" dxfId="9855" priority="1153">
      <formula>AND(IF(OR($Q12=1,$Q12=2),1,0),IF($Y12&lt;=20,1,0))</formula>
    </cfRule>
    <cfRule type="expression" dxfId="9854" priority="1154">
      <formula>AND(IF($Q12=2,1,0),IF($Y12&lt;30,1,0))</formula>
    </cfRule>
    <cfRule type="expression" dxfId="9853" priority="1155">
      <formula>AND(IF($Q12=3,1,0),IF($Y12&lt;30,1,0))</formula>
    </cfRule>
    <cfRule type="expression" dxfId="9852" priority="1156">
      <formula>AND(IF($Q12=3,1,IF($Q12=4,1,0)),IF($F12&lt;=85,1,0))</formula>
    </cfRule>
  </conditionalFormatting>
  <conditionalFormatting sqref="AJ12">
    <cfRule type="expression" dxfId="9851" priority="1149">
      <formula>AND(IF(OR($Q12=1,$Q12=2),1,0),IF($Y12&lt;=20,1,0))</formula>
    </cfRule>
    <cfRule type="expression" dxfId="9850" priority="1150">
      <formula>AND(IF($Q12=2,1,0),IF($Y12&lt;30,1,0))</formula>
    </cfRule>
    <cfRule type="expression" dxfId="9849" priority="1151">
      <formula>AND(IF($Q12=3,1,0),IF($Y12&lt;30,1,0))</formula>
    </cfRule>
    <cfRule type="expression" dxfId="9848" priority="1152">
      <formula>AND(IF($Q12=3,1,IF($Q12=4,1,0)),IF($F12&lt;=85,1,0))</formula>
    </cfRule>
  </conditionalFormatting>
  <conditionalFormatting sqref="AW13">
    <cfRule type="expression" dxfId="9847" priority="1147">
      <formula>AW13="X"</formula>
    </cfRule>
    <cfRule type="expression" dxfId="9846" priority="1148">
      <formula>AW13="후보"</formula>
    </cfRule>
  </conditionalFormatting>
  <conditionalFormatting sqref="AA13">
    <cfRule type="colorScale" priority="11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9845" priority="1144" operator="greaterThan">
      <formula>0.9</formula>
    </cfRule>
    <cfRule type="cellIs" dxfId="9844" priority="1145" operator="greaterThan">
      <formula>0.85</formula>
    </cfRule>
  </conditionalFormatting>
  <conditionalFormatting sqref="N13">
    <cfRule type="cellIs" dxfId="9843" priority="1142" operator="greaterThan">
      <formula>0.9</formula>
    </cfRule>
    <cfRule type="cellIs" dxfId="9842" priority="1143" operator="greaterThan">
      <formula>0.85</formula>
    </cfRule>
  </conditionalFormatting>
  <conditionalFormatting sqref="E13">
    <cfRule type="expression" dxfId="9841" priority="1138">
      <formula>AND(IF(OR($Q13=1,$Q13=2),1,0),IF($E13&lt;=20,1,0))</formula>
    </cfRule>
    <cfRule type="expression" dxfId="9840" priority="1139">
      <formula>AND(IF($Q13=2,1,0),IF($E13&lt;30,1,0))</formula>
    </cfRule>
    <cfRule type="expression" dxfId="9839" priority="1140">
      <formula>AND(IF($Q13=3,1,0),IF($E13&lt;30,1,0))</formula>
    </cfRule>
    <cfRule type="expression" dxfId="9838" priority="1141">
      <formula>AND(IF($Q13=3,1,IF($Q13=4,1,0)),IF($F13&lt;=85,1,0))</formula>
    </cfRule>
  </conditionalFormatting>
  <conditionalFormatting sqref="Y13">
    <cfRule type="expression" dxfId="9837" priority="1134">
      <formula>AND(IF(OR($Q13=1,$Q13=2),1,0),IF($Y13&lt;=20,1,0))</formula>
    </cfRule>
    <cfRule type="expression" dxfId="9836" priority="1135">
      <formula>AND(IF($Q13=2,1,0),IF($Y13&lt;30,1,0))</formula>
    </cfRule>
    <cfRule type="expression" dxfId="9835" priority="1136">
      <formula>AND(IF($Q13=3,1,0),IF($Y13&lt;30,1,0))</formula>
    </cfRule>
    <cfRule type="expression" dxfId="9834" priority="1137">
      <formula>AND(IF($Q13=3,1,IF($Q13=4,1,0)),IF($F13&lt;=85,1,0))</formula>
    </cfRule>
  </conditionalFormatting>
  <conditionalFormatting sqref="AJ13">
    <cfRule type="expression" dxfId="9833" priority="1130">
      <formula>AND(IF(OR($Q13=1,$Q13=2),1,0),IF($Y13&lt;=20,1,0))</formula>
    </cfRule>
    <cfRule type="expression" dxfId="9832" priority="1131">
      <formula>AND(IF($Q13=2,1,0),IF($Y13&lt;30,1,0))</formula>
    </cfRule>
    <cfRule type="expression" dxfId="9831" priority="1132">
      <formula>AND(IF($Q13=3,1,0),IF($Y13&lt;30,1,0))</formula>
    </cfRule>
    <cfRule type="expression" dxfId="9830" priority="1133">
      <formula>AND(IF($Q13=3,1,IF($Q13=4,1,0)),IF($F13&lt;=85,1,0))</formula>
    </cfRule>
  </conditionalFormatting>
  <conditionalFormatting sqref="AW14">
    <cfRule type="expression" dxfId="9829" priority="1128">
      <formula>AW14="X"</formula>
    </cfRule>
    <cfRule type="expression" dxfId="9828" priority="1129">
      <formula>AW14="후보"</formula>
    </cfRule>
  </conditionalFormatting>
  <conditionalFormatting sqref="AA14">
    <cfRule type="colorScale" priority="11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9827" priority="1125" operator="greaterThan">
      <formula>0.9</formula>
    </cfRule>
    <cfRule type="cellIs" dxfId="9826" priority="1126" operator="greaterThan">
      <formula>0.85</formula>
    </cfRule>
  </conditionalFormatting>
  <conditionalFormatting sqref="N14">
    <cfRule type="cellIs" dxfId="9825" priority="1123" operator="greaterThan">
      <formula>0.9</formula>
    </cfRule>
    <cfRule type="cellIs" dxfId="9824" priority="1124" operator="greaterThan">
      <formula>0.85</formula>
    </cfRule>
  </conditionalFormatting>
  <conditionalFormatting sqref="E14">
    <cfRule type="expression" dxfId="9823" priority="1119">
      <formula>AND(IF(OR($Q14=1,$Q14=2),1,0),IF($E14&lt;=20,1,0))</formula>
    </cfRule>
    <cfRule type="expression" dxfId="9822" priority="1120">
      <formula>AND(IF($Q14=2,1,0),IF($E14&lt;30,1,0))</formula>
    </cfRule>
    <cfRule type="expression" dxfId="9821" priority="1121">
      <formula>AND(IF($Q14=3,1,0),IF($E14&lt;30,1,0))</formula>
    </cfRule>
    <cfRule type="expression" dxfId="9820" priority="1122">
      <formula>AND(IF($Q14=3,1,IF($Q14=4,1,0)),IF($F14&lt;=85,1,0))</formula>
    </cfRule>
  </conditionalFormatting>
  <conditionalFormatting sqref="Y14">
    <cfRule type="expression" dxfId="9819" priority="1115">
      <formula>AND(IF(OR($Q14=1,$Q14=2),1,0),IF($Y14&lt;=20,1,0))</formula>
    </cfRule>
    <cfRule type="expression" dxfId="9818" priority="1116">
      <formula>AND(IF($Q14=2,1,0),IF($Y14&lt;30,1,0))</formula>
    </cfRule>
    <cfRule type="expression" dxfId="9817" priority="1117">
      <formula>AND(IF($Q14=3,1,0),IF($Y14&lt;30,1,0))</formula>
    </cfRule>
    <cfRule type="expression" dxfId="9816" priority="1118">
      <formula>AND(IF($Q14=3,1,IF($Q14=4,1,0)),IF($F14&lt;=85,1,0))</formula>
    </cfRule>
  </conditionalFormatting>
  <conditionalFormatting sqref="AJ14">
    <cfRule type="expression" dxfId="9815" priority="1111">
      <formula>AND(IF(OR($Q14=1,$Q14=2),1,0),IF($Y14&lt;=20,1,0))</formula>
    </cfRule>
    <cfRule type="expression" dxfId="9814" priority="1112">
      <formula>AND(IF($Q14=2,1,0),IF($Y14&lt;30,1,0))</formula>
    </cfRule>
    <cfRule type="expression" dxfId="9813" priority="1113">
      <formula>AND(IF($Q14=3,1,0),IF($Y14&lt;30,1,0))</formula>
    </cfRule>
    <cfRule type="expression" dxfId="9812" priority="1114">
      <formula>AND(IF($Q14=3,1,IF($Q14=4,1,0)),IF($F14&lt;=85,1,0))</formula>
    </cfRule>
  </conditionalFormatting>
  <conditionalFormatting sqref="AW15">
    <cfRule type="expression" dxfId="9811" priority="1109">
      <formula>AW15="X"</formula>
    </cfRule>
    <cfRule type="expression" dxfId="9810" priority="1110">
      <formula>AW15="후보"</formula>
    </cfRule>
  </conditionalFormatting>
  <conditionalFormatting sqref="AA15">
    <cfRule type="colorScale" priority="11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9809" priority="1106" operator="greaterThan">
      <formula>0.9</formula>
    </cfRule>
    <cfRule type="cellIs" dxfId="9808" priority="1107" operator="greaterThan">
      <formula>0.85</formula>
    </cfRule>
  </conditionalFormatting>
  <conditionalFormatting sqref="N15">
    <cfRule type="cellIs" dxfId="9807" priority="1104" operator="greaterThan">
      <formula>0.9</formula>
    </cfRule>
    <cfRule type="cellIs" dxfId="9806" priority="1105" operator="greaterThan">
      <formula>0.85</formula>
    </cfRule>
  </conditionalFormatting>
  <conditionalFormatting sqref="E15">
    <cfRule type="expression" dxfId="9805" priority="1100">
      <formula>AND(IF(OR($Q15=1,$Q15=2),1,0),IF($E15&lt;=20,1,0))</formula>
    </cfRule>
    <cfRule type="expression" dxfId="9804" priority="1101">
      <formula>AND(IF($Q15=2,1,0),IF($E15&lt;30,1,0))</formula>
    </cfRule>
    <cfRule type="expression" dxfId="9803" priority="1102">
      <formula>AND(IF($Q15=3,1,0),IF($E15&lt;30,1,0))</formula>
    </cfRule>
    <cfRule type="expression" dxfId="9802" priority="1103">
      <formula>AND(IF($Q15=3,1,IF($Q15=4,1,0)),IF($F15&lt;=85,1,0))</formula>
    </cfRule>
  </conditionalFormatting>
  <conditionalFormatting sqref="Y15">
    <cfRule type="expression" dxfId="9801" priority="1096">
      <formula>AND(IF(OR($Q15=1,$Q15=2),1,0),IF($Y15&lt;=20,1,0))</formula>
    </cfRule>
    <cfRule type="expression" dxfId="9800" priority="1097">
      <formula>AND(IF($Q15=2,1,0),IF($Y15&lt;30,1,0))</formula>
    </cfRule>
    <cfRule type="expression" dxfId="9799" priority="1098">
      <formula>AND(IF($Q15=3,1,0),IF($Y15&lt;30,1,0))</formula>
    </cfRule>
    <cfRule type="expression" dxfId="9798" priority="1099">
      <formula>AND(IF($Q15=3,1,IF($Q15=4,1,0)),IF($F15&lt;=85,1,0))</formula>
    </cfRule>
  </conditionalFormatting>
  <conditionalFormatting sqref="AJ15">
    <cfRule type="expression" dxfId="9797" priority="1092">
      <formula>AND(IF(OR($Q15=1,$Q15=2),1,0),IF($Y15&lt;=20,1,0))</formula>
    </cfRule>
    <cfRule type="expression" dxfId="9796" priority="1093">
      <formula>AND(IF($Q15=2,1,0),IF($Y15&lt;30,1,0))</formula>
    </cfRule>
    <cfRule type="expression" dxfId="9795" priority="1094">
      <formula>AND(IF($Q15=3,1,0),IF($Y15&lt;30,1,0))</formula>
    </cfRule>
    <cfRule type="expression" dxfId="9794" priority="1095">
      <formula>AND(IF($Q15=3,1,IF($Q15=4,1,0)),IF($F15&lt;=85,1,0))</formula>
    </cfRule>
  </conditionalFormatting>
  <conditionalFormatting sqref="AW16">
    <cfRule type="expression" dxfId="9793" priority="1090">
      <formula>AW16="X"</formula>
    </cfRule>
    <cfRule type="expression" dxfId="9792" priority="1091">
      <formula>AW16="후보"</formula>
    </cfRule>
  </conditionalFormatting>
  <conditionalFormatting sqref="AA16">
    <cfRule type="colorScale" priority="10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9791" priority="1087" operator="greaterThan">
      <formula>0.9</formula>
    </cfRule>
    <cfRule type="cellIs" dxfId="9790" priority="1088" operator="greaterThan">
      <formula>0.85</formula>
    </cfRule>
  </conditionalFormatting>
  <conditionalFormatting sqref="N16">
    <cfRule type="cellIs" dxfId="9789" priority="1085" operator="greaterThan">
      <formula>0.9</formula>
    </cfRule>
    <cfRule type="cellIs" dxfId="9788" priority="1086" operator="greaterThan">
      <formula>0.85</formula>
    </cfRule>
  </conditionalFormatting>
  <conditionalFormatting sqref="E16">
    <cfRule type="expression" dxfId="9787" priority="1081">
      <formula>AND(IF(OR($Q16=1,$Q16=2),1,0),IF($E16&lt;=20,1,0))</formula>
    </cfRule>
    <cfRule type="expression" dxfId="9786" priority="1082">
      <formula>AND(IF($Q16=2,1,0),IF($E16&lt;30,1,0))</formula>
    </cfRule>
    <cfRule type="expression" dxfId="9785" priority="1083">
      <formula>AND(IF($Q16=3,1,0),IF($E16&lt;30,1,0))</formula>
    </cfRule>
    <cfRule type="expression" dxfId="9784" priority="1084">
      <formula>AND(IF($Q16=3,1,IF($Q16=4,1,0)),IF($F16&lt;=85,1,0))</formula>
    </cfRule>
  </conditionalFormatting>
  <conditionalFormatting sqref="Y16">
    <cfRule type="expression" dxfId="9783" priority="1077">
      <formula>AND(IF(OR($Q16=1,$Q16=2),1,0),IF($Y16&lt;=20,1,0))</formula>
    </cfRule>
    <cfRule type="expression" dxfId="9782" priority="1078">
      <formula>AND(IF($Q16=2,1,0),IF($Y16&lt;30,1,0))</formula>
    </cfRule>
    <cfRule type="expression" dxfId="9781" priority="1079">
      <formula>AND(IF($Q16=3,1,0),IF($Y16&lt;30,1,0))</formula>
    </cfRule>
    <cfRule type="expression" dxfId="9780" priority="1080">
      <formula>AND(IF($Q16=3,1,IF($Q16=4,1,0)),IF($F16&lt;=85,1,0))</formula>
    </cfRule>
  </conditionalFormatting>
  <conditionalFormatting sqref="AJ16">
    <cfRule type="expression" dxfId="9779" priority="1073">
      <formula>AND(IF(OR($Q16=1,$Q16=2),1,0),IF($Y16&lt;=20,1,0))</formula>
    </cfRule>
    <cfRule type="expression" dxfId="9778" priority="1074">
      <formula>AND(IF($Q16=2,1,0),IF($Y16&lt;30,1,0))</formula>
    </cfRule>
    <cfRule type="expression" dxfId="9777" priority="1075">
      <formula>AND(IF($Q16=3,1,0),IF($Y16&lt;30,1,0))</formula>
    </cfRule>
    <cfRule type="expression" dxfId="9776" priority="1076">
      <formula>AND(IF($Q16=3,1,IF($Q16=4,1,0)),IF($F16&lt;=85,1,0))</formula>
    </cfRule>
  </conditionalFormatting>
  <conditionalFormatting sqref="AW17">
    <cfRule type="expression" dxfId="9775" priority="1071">
      <formula>AW17="X"</formula>
    </cfRule>
    <cfRule type="expression" dxfId="9774" priority="1072">
      <formula>AW17="후보"</formula>
    </cfRule>
  </conditionalFormatting>
  <conditionalFormatting sqref="AA17">
    <cfRule type="colorScale" priority="10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9773" priority="1068" operator="greaterThan">
      <formula>0.9</formula>
    </cfRule>
    <cfRule type="cellIs" dxfId="9772" priority="1069" operator="greaterThan">
      <formula>0.85</formula>
    </cfRule>
  </conditionalFormatting>
  <conditionalFormatting sqref="N17">
    <cfRule type="cellIs" dxfId="9771" priority="1066" operator="greaterThan">
      <formula>0.9</formula>
    </cfRule>
    <cfRule type="cellIs" dxfId="9770" priority="1067" operator="greaterThan">
      <formula>0.85</formula>
    </cfRule>
  </conditionalFormatting>
  <conditionalFormatting sqref="E17">
    <cfRule type="expression" dxfId="9769" priority="1062">
      <formula>AND(IF(OR($Q17=1,$Q17=2),1,0),IF($E17&lt;=20,1,0))</formula>
    </cfRule>
    <cfRule type="expression" dxfId="9768" priority="1063">
      <formula>AND(IF($Q17=2,1,0),IF($E17&lt;30,1,0))</formula>
    </cfRule>
    <cfRule type="expression" dxfId="9767" priority="1064">
      <formula>AND(IF($Q17=3,1,0),IF($E17&lt;30,1,0))</formula>
    </cfRule>
    <cfRule type="expression" dxfId="9766" priority="1065">
      <formula>AND(IF($Q17=3,1,IF($Q17=4,1,0)),IF($F17&lt;=85,1,0))</formula>
    </cfRule>
  </conditionalFormatting>
  <conditionalFormatting sqref="Y17">
    <cfRule type="expression" dxfId="9765" priority="1058">
      <formula>AND(IF(OR($Q17=1,$Q17=2),1,0),IF($Y17&lt;=20,1,0))</formula>
    </cfRule>
    <cfRule type="expression" dxfId="9764" priority="1059">
      <formula>AND(IF($Q17=2,1,0),IF($Y17&lt;30,1,0))</formula>
    </cfRule>
    <cfRule type="expression" dxfId="9763" priority="1060">
      <formula>AND(IF($Q17=3,1,0),IF($Y17&lt;30,1,0))</formula>
    </cfRule>
    <cfRule type="expression" dxfId="9762" priority="1061">
      <formula>AND(IF($Q17=3,1,IF($Q17=4,1,0)),IF($F17&lt;=85,1,0))</formula>
    </cfRule>
  </conditionalFormatting>
  <conditionalFormatting sqref="AJ17">
    <cfRule type="expression" dxfId="9761" priority="1054">
      <formula>AND(IF(OR($Q17=1,$Q17=2),1,0),IF($Y17&lt;=20,1,0))</formula>
    </cfRule>
    <cfRule type="expression" dxfId="9760" priority="1055">
      <formula>AND(IF($Q17=2,1,0),IF($Y17&lt;30,1,0))</formula>
    </cfRule>
    <cfRule type="expression" dxfId="9759" priority="1056">
      <formula>AND(IF($Q17=3,1,0),IF($Y17&lt;30,1,0))</formula>
    </cfRule>
    <cfRule type="expression" dxfId="9758" priority="1057">
      <formula>AND(IF($Q17=3,1,IF($Q17=4,1,0)),IF($F17&lt;=85,1,0))</formula>
    </cfRule>
  </conditionalFormatting>
  <conditionalFormatting sqref="AW18">
    <cfRule type="expression" dxfId="9757" priority="1052">
      <formula>AW18="X"</formula>
    </cfRule>
    <cfRule type="expression" dxfId="9756" priority="1053">
      <formula>AW18="후보"</formula>
    </cfRule>
  </conditionalFormatting>
  <conditionalFormatting sqref="AA18">
    <cfRule type="colorScale" priority="10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9755" priority="1049" operator="greaterThan">
      <formula>0.9</formula>
    </cfRule>
    <cfRule type="cellIs" dxfId="9754" priority="1050" operator="greaterThan">
      <formula>0.85</formula>
    </cfRule>
  </conditionalFormatting>
  <conditionalFormatting sqref="N18">
    <cfRule type="cellIs" dxfId="9753" priority="1047" operator="greaterThan">
      <formula>0.9</formula>
    </cfRule>
    <cfRule type="cellIs" dxfId="9752" priority="1048" operator="greaterThan">
      <formula>0.85</formula>
    </cfRule>
  </conditionalFormatting>
  <conditionalFormatting sqref="E18">
    <cfRule type="expression" dxfId="9751" priority="1043">
      <formula>AND(IF(OR($Q18=1,$Q18=2),1,0),IF($E18&lt;=20,1,0))</formula>
    </cfRule>
    <cfRule type="expression" dxfId="9750" priority="1044">
      <formula>AND(IF($Q18=2,1,0),IF($E18&lt;30,1,0))</formula>
    </cfRule>
    <cfRule type="expression" dxfId="9749" priority="1045">
      <formula>AND(IF($Q18=3,1,0),IF($E18&lt;30,1,0))</formula>
    </cfRule>
    <cfRule type="expression" dxfId="9748" priority="1046">
      <formula>AND(IF($Q18=3,1,IF($Q18=4,1,0)),IF($F18&lt;=85,1,0))</formula>
    </cfRule>
  </conditionalFormatting>
  <conditionalFormatting sqref="Y18">
    <cfRule type="expression" dxfId="9747" priority="1039">
      <formula>AND(IF(OR($Q18=1,$Q18=2),1,0),IF($Y18&lt;=20,1,0))</formula>
    </cfRule>
    <cfRule type="expression" dxfId="9746" priority="1040">
      <formula>AND(IF($Q18=2,1,0),IF($Y18&lt;30,1,0))</formula>
    </cfRule>
    <cfRule type="expression" dxfId="9745" priority="1041">
      <formula>AND(IF($Q18=3,1,0),IF($Y18&lt;30,1,0))</formula>
    </cfRule>
    <cfRule type="expression" dxfId="9744" priority="1042">
      <formula>AND(IF($Q18=3,1,IF($Q18=4,1,0)),IF($F18&lt;=85,1,0))</formula>
    </cfRule>
  </conditionalFormatting>
  <conditionalFormatting sqref="AJ18">
    <cfRule type="expression" dxfId="9743" priority="1035">
      <formula>AND(IF(OR($Q18=1,$Q18=2),1,0),IF($Y18&lt;=20,1,0))</formula>
    </cfRule>
    <cfRule type="expression" dxfId="9742" priority="1036">
      <formula>AND(IF($Q18=2,1,0),IF($Y18&lt;30,1,0))</formula>
    </cfRule>
    <cfRule type="expression" dxfId="9741" priority="1037">
      <formula>AND(IF($Q18=3,1,0),IF($Y18&lt;30,1,0))</formula>
    </cfRule>
    <cfRule type="expression" dxfId="9740" priority="1038">
      <formula>AND(IF($Q18=3,1,IF($Q18=4,1,0)),IF($F18&lt;=85,1,0))</formula>
    </cfRule>
  </conditionalFormatting>
  <conditionalFormatting sqref="AW19">
    <cfRule type="expression" dxfId="9739" priority="1033">
      <formula>AW19="X"</formula>
    </cfRule>
    <cfRule type="expression" dxfId="9738" priority="1034">
      <formula>AW19="후보"</formula>
    </cfRule>
  </conditionalFormatting>
  <conditionalFormatting sqref="AA19">
    <cfRule type="colorScale" priority="10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">
    <cfRule type="cellIs" dxfId="9737" priority="1030" operator="greaterThan">
      <formula>0.9</formula>
    </cfRule>
    <cfRule type="cellIs" dxfId="9736" priority="1031" operator="greaterThan">
      <formula>0.85</formula>
    </cfRule>
  </conditionalFormatting>
  <conditionalFormatting sqref="N19">
    <cfRule type="cellIs" dxfId="9735" priority="1028" operator="greaterThan">
      <formula>0.9</formula>
    </cfRule>
    <cfRule type="cellIs" dxfId="9734" priority="1029" operator="greaterThan">
      <formula>0.85</formula>
    </cfRule>
  </conditionalFormatting>
  <conditionalFormatting sqref="E19">
    <cfRule type="expression" dxfId="9733" priority="1024">
      <formula>AND(IF(OR($Q19=1,$Q19=2),1,0),IF($E19&lt;=20,1,0))</formula>
    </cfRule>
    <cfRule type="expression" dxfId="9732" priority="1025">
      <formula>AND(IF($Q19=2,1,0),IF($E19&lt;30,1,0))</formula>
    </cfRule>
    <cfRule type="expression" dxfId="9731" priority="1026">
      <formula>AND(IF($Q19=3,1,0),IF($E19&lt;30,1,0))</formula>
    </cfRule>
    <cfRule type="expression" dxfId="9730" priority="1027">
      <formula>AND(IF($Q19=3,1,IF($Q19=4,1,0)),IF($F19&lt;=85,1,0))</formula>
    </cfRule>
  </conditionalFormatting>
  <conditionalFormatting sqref="Y19">
    <cfRule type="expression" dxfId="9729" priority="1020">
      <formula>AND(IF(OR($Q19=1,$Q19=2),1,0),IF($Y19&lt;=20,1,0))</formula>
    </cfRule>
    <cfRule type="expression" dxfId="9728" priority="1021">
      <formula>AND(IF($Q19=2,1,0),IF($Y19&lt;30,1,0))</formula>
    </cfRule>
    <cfRule type="expression" dxfId="9727" priority="1022">
      <formula>AND(IF($Q19=3,1,0),IF($Y19&lt;30,1,0))</formula>
    </cfRule>
    <cfRule type="expression" dxfId="9726" priority="1023">
      <formula>AND(IF($Q19=3,1,IF($Q19=4,1,0)),IF($F19&lt;=85,1,0))</formula>
    </cfRule>
  </conditionalFormatting>
  <conditionalFormatting sqref="AJ19">
    <cfRule type="expression" dxfId="9725" priority="1016">
      <formula>AND(IF(OR($Q19=1,$Q19=2),1,0),IF($Y19&lt;=20,1,0))</formula>
    </cfRule>
    <cfRule type="expression" dxfId="9724" priority="1017">
      <formula>AND(IF($Q19=2,1,0),IF($Y19&lt;30,1,0))</formula>
    </cfRule>
    <cfRule type="expression" dxfId="9723" priority="1018">
      <formula>AND(IF($Q19=3,1,0),IF($Y19&lt;30,1,0))</formula>
    </cfRule>
    <cfRule type="expression" dxfId="9722" priority="1019">
      <formula>AND(IF($Q19=3,1,IF($Q19=4,1,0)),IF($F19&lt;=85,1,0))</formula>
    </cfRule>
  </conditionalFormatting>
  <conditionalFormatting sqref="AW20">
    <cfRule type="expression" dxfId="9721" priority="1014">
      <formula>AW20="X"</formula>
    </cfRule>
    <cfRule type="expression" dxfId="9720" priority="1015">
      <formula>AW20="후보"</formula>
    </cfRule>
  </conditionalFormatting>
  <conditionalFormatting sqref="AA20">
    <cfRule type="colorScale" priority="10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 N20">
    <cfRule type="cellIs" dxfId="9719" priority="1011" operator="greaterThan">
      <formula>0.9</formula>
    </cfRule>
    <cfRule type="cellIs" dxfId="9718" priority="1012" operator="greaterThan">
      <formula>0.85</formula>
    </cfRule>
  </conditionalFormatting>
  <conditionalFormatting sqref="AW21">
    <cfRule type="expression" dxfId="9717" priority="1009">
      <formula>AW21="X"</formula>
    </cfRule>
    <cfRule type="expression" dxfId="9716" priority="1010">
      <formula>AW21="후보"</formula>
    </cfRule>
  </conditionalFormatting>
  <conditionalFormatting sqref="AA21">
    <cfRule type="colorScale" priority="10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9715" priority="1006" operator="greaterThan">
      <formula>0.9</formula>
    </cfRule>
    <cfRule type="cellIs" dxfId="9714" priority="1007" operator="greaterThan">
      <formula>0.85</formula>
    </cfRule>
  </conditionalFormatting>
  <conditionalFormatting sqref="N21">
    <cfRule type="cellIs" dxfId="9713" priority="1004" operator="greaterThan">
      <formula>0.9</formula>
    </cfRule>
    <cfRule type="cellIs" dxfId="9712" priority="1005" operator="greaterThan">
      <formula>0.85</formula>
    </cfRule>
  </conditionalFormatting>
  <conditionalFormatting sqref="E21">
    <cfRule type="expression" dxfId="9711" priority="1000">
      <formula>AND(IF(OR($Q21=1,$Q21=2),1,0),IF($E21&lt;=20,1,0))</formula>
    </cfRule>
    <cfRule type="expression" dxfId="9710" priority="1001">
      <formula>AND(IF($Q21=2,1,0),IF($E21&lt;30,1,0))</formula>
    </cfRule>
    <cfRule type="expression" dxfId="9709" priority="1002">
      <formula>AND(IF($Q21=3,1,0),IF($E21&lt;30,1,0))</formula>
    </cfRule>
    <cfRule type="expression" dxfId="9708" priority="1003">
      <formula>AND(IF($Q21=3,1,IF($Q21=4,1,0)),IF($F21&lt;=85,1,0))</formula>
    </cfRule>
  </conditionalFormatting>
  <conditionalFormatting sqref="Y21">
    <cfRule type="expression" dxfId="9707" priority="996">
      <formula>AND(IF(OR($Q21=1,$Q21=2),1,0),IF($Y21&lt;=20,1,0))</formula>
    </cfRule>
    <cfRule type="expression" dxfId="9706" priority="997">
      <formula>AND(IF($Q21=2,1,0),IF($Y21&lt;30,1,0))</formula>
    </cfRule>
    <cfRule type="expression" dxfId="9705" priority="998">
      <formula>AND(IF($Q21=3,1,0),IF($Y21&lt;30,1,0))</formula>
    </cfRule>
    <cfRule type="expression" dxfId="9704" priority="999">
      <formula>AND(IF($Q21=3,1,IF($Q21=4,1,0)),IF($F21&lt;=85,1,0))</formula>
    </cfRule>
  </conditionalFormatting>
  <conditionalFormatting sqref="AJ21">
    <cfRule type="expression" dxfId="9703" priority="992">
      <formula>AND(IF(OR($Q21=1,$Q21=2),1,0),IF($Y21&lt;=20,1,0))</formula>
    </cfRule>
    <cfRule type="expression" dxfId="9702" priority="993">
      <formula>AND(IF($Q21=2,1,0),IF($Y21&lt;30,1,0))</formula>
    </cfRule>
    <cfRule type="expression" dxfId="9701" priority="994">
      <formula>AND(IF($Q21=3,1,0),IF($Y21&lt;30,1,0))</formula>
    </cfRule>
    <cfRule type="expression" dxfId="9700" priority="995">
      <formula>AND(IF($Q21=3,1,IF($Q21=4,1,0)),IF($F21&lt;=85,1,0))</formula>
    </cfRule>
  </conditionalFormatting>
  <conditionalFormatting sqref="AW22">
    <cfRule type="expression" dxfId="9699" priority="990">
      <formula>AW22="X"</formula>
    </cfRule>
    <cfRule type="expression" dxfId="9698" priority="991">
      <formula>AW22="후보"</formula>
    </cfRule>
  </conditionalFormatting>
  <conditionalFormatting sqref="AA22">
    <cfRule type="colorScale" priority="9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 N22">
    <cfRule type="cellIs" dxfId="9697" priority="987" operator="greaterThan">
      <formula>0.9</formula>
    </cfRule>
    <cfRule type="cellIs" dxfId="9696" priority="988" operator="greaterThan">
      <formula>0.85</formula>
    </cfRule>
  </conditionalFormatting>
  <conditionalFormatting sqref="AW23">
    <cfRule type="expression" dxfId="9695" priority="985">
      <formula>AW23="X"</formula>
    </cfRule>
    <cfRule type="expression" dxfId="9694" priority="986">
      <formula>AW23="후보"</formula>
    </cfRule>
  </conditionalFormatting>
  <conditionalFormatting sqref="AA23">
    <cfRule type="colorScale" priority="9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">
    <cfRule type="cellIs" dxfId="9693" priority="982" operator="greaterThan">
      <formula>0.9</formula>
    </cfRule>
    <cfRule type="cellIs" dxfId="9692" priority="983" operator="greaterThan">
      <formula>0.85</formula>
    </cfRule>
  </conditionalFormatting>
  <conditionalFormatting sqref="N23">
    <cfRule type="cellIs" dxfId="9691" priority="980" operator="greaterThan">
      <formula>0.9</formula>
    </cfRule>
    <cfRule type="cellIs" dxfId="9690" priority="981" operator="greaterThan">
      <formula>0.85</formula>
    </cfRule>
  </conditionalFormatting>
  <conditionalFormatting sqref="E23">
    <cfRule type="expression" dxfId="9689" priority="976">
      <formula>AND(IF(OR($Q23=1,$Q23=2),1,0),IF($E23&lt;=20,1,0))</formula>
    </cfRule>
    <cfRule type="expression" dxfId="9688" priority="977">
      <formula>AND(IF($Q23=2,1,0),IF($E23&lt;30,1,0))</formula>
    </cfRule>
    <cfRule type="expression" dxfId="9687" priority="978">
      <formula>AND(IF($Q23=3,1,0),IF($E23&lt;30,1,0))</formula>
    </cfRule>
    <cfRule type="expression" dxfId="9686" priority="979">
      <formula>AND(IF($Q23=3,1,IF($Q23=4,1,0)),IF($F23&lt;=85,1,0))</formula>
    </cfRule>
  </conditionalFormatting>
  <conditionalFormatting sqref="Y23">
    <cfRule type="expression" dxfId="9685" priority="972">
      <formula>AND(IF(OR($Q23=1,$Q23=2),1,0),IF($Y23&lt;=20,1,0))</formula>
    </cfRule>
    <cfRule type="expression" dxfId="9684" priority="973">
      <formula>AND(IF($Q23=2,1,0),IF($Y23&lt;30,1,0))</formula>
    </cfRule>
    <cfRule type="expression" dxfId="9683" priority="974">
      <formula>AND(IF($Q23=3,1,0),IF($Y23&lt;30,1,0))</formula>
    </cfRule>
    <cfRule type="expression" dxfId="9682" priority="975">
      <formula>AND(IF($Q23=3,1,IF($Q23=4,1,0)),IF($F23&lt;=85,1,0))</formula>
    </cfRule>
  </conditionalFormatting>
  <conditionalFormatting sqref="AJ23">
    <cfRule type="expression" dxfId="9681" priority="968">
      <formula>AND(IF(OR($Q23=1,$Q23=2),1,0),IF($Y23&lt;=20,1,0))</formula>
    </cfRule>
    <cfRule type="expression" dxfId="9680" priority="969">
      <formula>AND(IF($Q23=2,1,0),IF($Y23&lt;30,1,0))</formula>
    </cfRule>
    <cfRule type="expression" dxfId="9679" priority="970">
      <formula>AND(IF($Q23=3,1,0),IF($Y23&lt;30,1,0))</formula>
    </cfRule>
    <cfRule type="expression" dxfId="9678" priority="971">
      <formula>AND(IF($Q23=3,1,IF($Q23=4,1,0)),IF($F23&lt;=85,1,0))</formula>
    </cfRule>
  </conditionalFormatting>
  <conditionalFormatting sqref="AW24">
    <cfRule type="expression" dxfId="9677" priority="966">
      <formula>AW24="X"</formula>
    </cfRule>
    <cfRule type="expression" dxfId="9676" priority="967">
      <formula>AW24="후보"</formula>
    </cfRule>
  </conditionalFormatting>
  <conditionalFormatting sqref="AA24">
    <cfRule type="colorScale" priority="9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9675" priority="963" operator="greaterThan">
      <formula>0.9</formula>
    </cfRule>
    <cfRule type="cellIs" dxfId="9674" priority="964" operator="greaterThan">
      <formula>0.85</formula>
    </cfRule>
  </conditionalFormatting>
  <conditionalFormatting sqref="N24">
    <cfRule type="cellIs" dxfId="9673" priority="961" operator="greaterThan">
      <formula>0.9</formula>
    </cfRule>
    <cfRule type="cellIs" dxfId="9672" priority="962" operator="greaterThan">
      <formula>0.85</formula>
    </cfRule>
  </conditionalFormatting>
  <conditionalFormatting sqref="E24">
    <cfRule type="expression" dxfId="9671" priority="957">
      <formula>AND(IF(OR($Q24=1,$Q24=2),1,0),IF($E24&lt;=20,1,0))</formula>
    </cfRule>
    <cfRule type="expression" dxfId="9670" priority="958">
      <formula>AND(IF($Q24=2,1,0),IF($E24&lt;30,1,0))</formula>
    </cfRule>
    <cfRule type="expression" dxfId="9669" priority="959">
      <formula>AND(IF($Q24=3,1,0),IF($E24&lt;30,1,0))</formula>
    </cfRule>
    <cfRule type="expression" dxfId="9668" priority="960">
      <formula>AND(IF($Q24=3,1,IF($Q24=4,1,0)),IF($F24&lt;=85,1,0))</formula>
    </cfRule>
  </conditionalFormatting>
  <conditionalFormatting sqref="Y24">
    <cfRule type="expression" dxfId="9667" priority="953">
      <formula>AND(IF(OR($Q24=1,$Q24=2),1,0),IF($Y24&lt;=20,1,0))</formula>
    </cfRule>
    <cfRule type="expression" dxfId="9666" priority="954">
      <formula>AND(IF($Q24=2,1,0),IF($Y24&lt;30,1,0))</formula>
    </cfRule>
    <cfRule type="expression" dxfId="9665" priority="955">
      <formula>AND(IF($Q24=3,1,0),IF($Y24&lt;30,1,0))</formula>
    </cfRule>
    <cfRule type="expression" dxfId="9664" priority="956">
      <formula>AND(IF($Q24=3,1,IF($Q24=4,1,0)),IF($F24&lt;=85,1,0))</formula>
    </cfRule>
  </conditionalFormatting>
  <conditionalFormatting sqref="AJ24">
    <cfRule type="expression" dxfId="9663" priority="949">
      <formula>AND(IF(OR($Q24=1,$Q24=2),1,0),IF($Y24&lt;=20,1,0))</formula>
    </cfRule>
    <cfRule type="expression" dxfId="9662" priority="950">
      <formula>AND(IF($Q24=2,1,0),IF($Y24&lt;30,1,0))</formula>
    </cfRule>
    <cfRule type="expression" dxfId="9661" priority="951">
      <formula>AND(IF($Q24=3,1,0),IF($Y24&lt;30,1,0))</formula>
    </cfRule>
    <cfRule type="expression" dxfId="9660" priority="952">
      <formula>AND(IF($Q24=3,1,IF($Q24=4,1,0)),IF($F24&lt;=85,1,0))</formula>
    </cfRule>
  </conditionalFormatting>
  <conditionalFormatting sqref="AW25">
    <cfRule type="expression" dxfId="9659" priority="947">
      <formula>AW25="X"</formula>
    </cfRule>
    <cfRule type="expression" dxfId="9658" priority="948">
      <formula>AW25="후보"</formula>
    </cfRule>
  </conditionalFormatting>
  <conditionalFormatting sqref="AA25">
    <cfRule type="colorScale" priority="9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9657" priority="944" operator="greaterThan">
      <formula>0.9</formula>
    </cfRule>
    <cfRule type="cellIs" dxfId="9656" priority="945" operator="greaterThan">
      <formula>0.85</formula>
    </cfRule>
  </conditionalFormatting>
  <conditionalFormatting sqref="N25">
    <cfRule type="cellIs" dxfId="9655" priority="942" operator="greaterThan">
      <formula>0.9</formula>
    </cfRule>
    <cfRule type="cellIs" dxfId="9654" priority="943" operator="greaterThan">
      <formula>0.85</formula>
    </cfRule>
  </conditionalFormatting>
  <conditionalFormatting sqref="E25">
    <cfRule type="expression" dxfId="9653" priority="938">
      <formula>AND(IF(OR($Q25=1,$Q25=2),1,0),IF($E25&lt;=20,1,0))</formula>
    </cfRule>
    <cfRule type="expression" dxfId="9652" priority="939">
      <formula>AND(IF($Q25=2,1,0),IF($E25&lt;30,1,0))</formula>
    </cfRule>
    <cfRule type="expression" dxfId="9651" priority="940">
      <formula>AND(IF($Q25=3,1,0),IF($E25&lt;30,1,0))</formula>
    </cfRule>
    <cfRule type="expression" dxfId="9650" priority="941">
      <formula>AND(IF($Q25=3,1,IF($Q25=4,1,0)),IF($F25&lt;=85,1,0))</formula>
    </cfRule>
  </conditionalFormatting>
  <conditionalFormatting sqref="Y25">
    <cfRule type="expression" dxfId="9649" priority="934">
      <formula>AND(IF(OR($Q25=1,$Q25=2),1,0),IF($Y25&lt;=20,1,0))</formula>
    </cfRule>
    <cfRule type="expression" dxfId="9648" priority="935">
      <formula>AND(IF($Q25=2,1,0),IF($Y25&lt;30,1,0))</formula>
    </cfRule>
    <cfRule type="expression" dxfId="9647" priority="936">
      <formula>AND(IF($Q25=3,1,0),IF($Y25&lt;30,1,0))</formula>
    </cfRule>
    <cfRule type="expression" dxfId="9646" priority="937">
      <formula>AND(IF($Q25=3,1,IF($Q25=4,1,0)),IF($F25&lt;=85,1,0))</formula>
    </cfRule>
  </conditionalFormatting>
  <conditionalFormatting sqref="AJ25">
    <cfRule type="expression" dxfId="9645" priority="930">
      <formula>AND(IF(OR($Q25=1,$Q25=2),1,0),IF($Y25&lt;=20,1,0))</formula>
    </cfRule>
    <cfRule type="expression" dxfId="9644" priority="931">
      <formula>AND(IF($Q25=2,1,0),IF($Y25&lt;30,1,0))</formula>
    </cfRule>
    <cfRule type="expression" dxfId="9643" priority="932">
      <formula>AND(IF($Q25=3,1,0),IF($Y25&lt;30,1,0))</formula>
    </cfRule>
    <cfRule type="expression" dxfId="9642" priority="933">
      <formula>AND(IF($Q25=3,1,IF($Q25=4,1,0)),IF($F25&lt;=85,1,0))</formula>
    </cfRule>
  </conditionalFormatting>
  <conditionalFormatting sqref="AW26">
    <cfRule type="expression" dxfId="9641" priority="928">
      <formula>AW26="X"</formula>
    </cfRule>
    <cfRule type="expression" dxfId="9640" priority="929">
      <formula>AW26="후보"</formula>
    </cfRule>
  </conditionalFormatting>
  <conditionalFormatting sqref="AA26">
    <cfRule type="colorScale" priority="9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 N26">
    <cfRule type="cellIs" dxfId="9639" priority="925" operator="greaterThan">
      <formula>0.9</formula>
    </cfRule>
    <cfRule type="cellIs" dxfId="9638" priority="926" operator="greaterThan">
      <formula>0.85</formula>
    </cfRule>
  </conditionalFormatting>
  <conditionalFormatting sqref="AW27">
    <cfRule type="expression" dxfId="9637" priority="923">
      <formula>AW27="X"</formula>
    </cfRule>
    <cfRule type="expression" dxfId="9636" priority="924">
      <formula>AW27="후보"</formula>
    </cfRule>
  </conditionalFormatting>
  <conditionalFormatting sqref="AA27">
    <cfRule type="colorScale" priority="9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">
    <cfRule type="cellIs" dxfId="9635" priority="920" operator="greaterThan">
      <formula>0.9</formula>
    </cfRule>
    <cfRule type="cellIs" dxfId="9634" priority="921" operator="greaterThan">
      <formula>0.85</formula>
    </cfRule>
  </conditionalFormatting>
  <conditionalFormatting sqref="N27">
    <cfRule type="cellIs" dxfId="9633" priority="918" operator="greaterThan">
      <formula>0.9</formula>
    </cfRule>
    <cfRule type="cellIs" dxfId="9632" priority="919" operator="greaterThan">
      <formula>0.85</formula>
    </cfRule>
  </conditionalFormatting>
  <conditionalFormatting sqref="E27">
    <cfRule type="expression" dxfId="9631" priority="914">
      <formula>AND(IF(OR($Q27=1,$Q27=2),1,0),IF($E27&lt;=20,1,0))</formula>
    </cfRule>
    <cfRule type="expression" dxfId="9630" priority="915">
      <formula>AND(IF($Q27=2,1,0),IF($E27&lt;30,1,0))</formula>
    </cfRule>
    <cfRule type="expression" dxfId="9629" priority="916">
      <formula>AND(IF($Q27=3,1,0),IF($E27&lt;30,1,0))</formula>
    </cfRule>
    <cfRule type="expression" dxfId="9628" priority="917">
      <formula>AND(IF($Q27=3,1,IF($Q27=4,1,0)),IF($F27&lt;=85,1,0))</formula>
    </cfRule>
  </conditionalFormatting>
  <conditionalFormatting sqref="Y27">
    <cfRule type="expression" dxfId="9627" priority="910">
      <formula>AND(IF(OR($Q27=1,$Q27=2),1,0),IF($Y27&lt;=20,1,0))</formula>
    </cfRule>
    <cfRule type="expression" dxfId="9626" priority="911">
      <formula>AND(IF($Q27=2,1,0),IF($Y27&lt;30,1,0))</formula>
    </cfRule>
    <cfRule type="expression" dxfId="9625" priority="912">
      <formula>AND(IF($Q27=3,1,0),IF($Y27&lt;30,1,0))</formula>
    </cfRule>
    <cfRule type="expression" dxfId="9624" priority="913">
      <formula>AND(IF($Q27=3,1,IF($Q27=4,1,0)),IF($F27&lt;=85,1,0))</formula>
    </cfRule>
  </conditionalFormatting>
  <conditionalFormatting sqref="AJ27">
    <cfRule type="expression" dxfId="9623" priority="906">
      <formula>AND(IF(OR($Q27=1,$Q27=2),1,0),IF($Y27&lt;=20,1,0))</formula>
    </cfRule>
    <cfRule type="expression" dxfId="9622" priority="907">
      <formula>AND(IF($Q27=2,1,0),IF($Y27&lt;30,1,0))</formula>
    </cfRule>
    <cfRule type="expression" dxfId="9621" priority="908">
      <formula>AND(IF($Q27=3,1,0),IF($Y27&lt;30,1,0))</formula>
    </cfRule>
    <cfRule type="expression" dxfId="9620" priority="909">
      <formula>AND(IF($Q27=3,1,IF($Q27=4,1,0)),IF($F27&lt;=85,1,0))</formula>
    </cfRule>
  </conditionalFormatting>
  <conditionalFormatting sqref="AW28">
    <cfRule type="expression" dxfId="9619" priority="904">
      <formula>AW28="X"</formula>
    </cfRule>
    <cfRule type="expression" dxfId="9618" priority="905">
      <formula>AW28="후보"</formula>
    </cfRule>
  </conditionalFormatting>
  <conditionalFormatting sqref="AA28">
    <cfRule type="colorScale" priority="9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9617" priority="901" operator="greaterThan">
      <formula>0.9</formula>
    </cfRule>
    <cfRule type="cellIs" dxfId="9616" priority="902" operator="greaterThan">
      <formula>0.85</formula>
    </cfRule>
  </conditionalFormatting>
  <conditionalFormatting sqref="N28">
    <cfRule type="cellIs" dxfId="9615" priority="899" operator="greaterThan">
      <formula>0.9</formula>
    </cfRule>
    <cfRule type="cellIs" dxfId="9614" priority="900" operator="greaterThan">
      <formula>0.85</formula>
    </cfRule>
  </conditionalFormatting>
  <conditionalFormatting sqref="E28">
    <cfRule type="expression" dxfId="9613" priority="895">
      <formula>AND(IF(OR($Q28=1,$Q28=2),1,0),IF($E28&lt;=20,1,0))</formula>
    </cfRule>
    <cfRule type="expression" dxfId="9612" priority="896">
      <formula>AND(IF($Q28=2,1,0),IF($E28&lt;30,1,0))</formula>
    </cfRule>
    <cfRule type="expression" dxfId="9611" priority="897">
      <formula>AND(IF($Q28=3,1,0),IF($E28&lt;30,1,0))</formula>
    </cfRule>
    <cfRule type="expression" dxfId="9610" priority="898">
      <formula>AND(IF($Q28=3,1,IF($Q28=4,1,0)),IF($F28&lt;=85,1,0))</formula>
    </cfRule>
  </conditionalFormatting>
  <conditionalFormatting sqref="Y28">
    <cfRule type="expression" dxfId="9609" priority="891">
      <formula>AND(IF(OR($Q28=1,$Q28=2),1,0),IF($Y28&lt;=20,1,0))</formula>
    </cfRule>
    <cfRule type="expression" dxfId="9608" priority="892">
      <formula>AND(IF($Q28=2,1,0),IF($Y28&lt;30,1,0))</formula>
    </cfRule>
    <cfRule type="expression" dxfId="9607" priority="893">
      <formula>AND(IF($Q28=3,1,0),IF($Y28&lt;30,1,0))</formula>
    </cfRule>
    <cfRule type="expression" dxfId="9606" priority="894">
      <formula>AND(IF($Q28=3,1,IF($Q28=4,1,0)),IF($F28&lt;=85,1,0))</formula>
    </cfRule>
  </conditionalFormatting>
  <conditionalFormatting sqref="AJ28">
    <cfRule type="expression" dxfId="9605" priority="887">
      <formula>AND(IF(OR($Q28=1,$Q28=2),1,0),IF($Y28&lt;=20,1,0))</formula>
    </cfRule>
    <cfRule type="expression" dxfId="9604" priority="888">
      <formula>AND(IF($Q28=2,1,0),IF($Y28&lt;30,1,0))</formula>
    </cfRule>
    <cfRule type="expression" dxfId="9603" priority="889">
      <formula>AND(IF($Q28=3,1,0),IF($Y28&lt;30,1,0))</formula>
    </cfRule>
    <cfRule type="expression" dxfId="9602" priority="890">
      <formula>AND(IF($Q28=3,1,IF($Q28=4,1,0)),IF($F28&lt;=85,1,0))</formula>
    </cfRule>
  </conditionalFormatting>
  <conditionalFormatting sqref="AW29">
    <cfRule type="expression" dxfId="9601" priority="885">
      <formula>AW29="X"</formula>
    </cfRule>
    <cfRule type="expression" dxfId="9600" priority="886">
      <formula>AW29="후보"</formula>
    </cfRule>
  </conditionalFormatting>
  <conditionalFormatting sqref="AA29">
    <cfRule type="colorScale" priority="8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 N29">
    <cfRule type="cellIs" dxfId="9599" priority="882" operator="greaterThan">
      <formula>0.9</formula>
    </cfRule>
    <cfRule type="cellIs" dxfId="9598" priority="883" operator="greaterThan">
      <formula>0.85</formula>
    </cfRule>
  </conditionalFormatting>
  <conditionalFormatting sqref="AW30">
    <cfRule type="expression" dxfId="9597" priority="880">
      <formula>AW30="X"</formula>
    </cfRule>
    <cfRule type="expression" dxfId="9596" priority="881">
      <formula>AW30="후보"</formula>
    </cfRule>
  </conditionalFormatting>
  <conditionalFormatting sqref="AA30">
    <cfRule type="colorScale" priority="8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9595" priority="877" operator="greaterThan">
      <formula>0.9</formula>
    </cfRule>
    <cfRule type="cellIs" dxfId="9594" priority="878" operator="greaterThan">
      <formula>0.85</formula>
    </cfRule>
  </conditionalFormatting>
  <conditionalFormatting sqref="N30">
    <cfRule type="cellIs" dxfId="9593" priority="875" operator="greaterThan">
      <formula>0.9</formula>
    </cfRule>
    <cfRule type="cellIs" dxfId="9592" priority="876" operator="greaterThan">
      <formula>0.85</formula>
    </cfRule>
  </conditionalFormatting>
  <conditionalFormatting sqref="E30">
    <cfRule type="expression" dxfId="9591" priority="871">
      <formula>AND(IF(OR($Q30=1,$Q30=2),1,0),IF($E30&lt;=20,1,0))</formula>
    </cfRule>
    <cfRule type="expression" dxfId="9590" priority="872">
      <formula>AND(IF($Q30=2,1,0),IF($E30&lt;30,1,0))</formula>
    </cfRule>
    <cfRule type="expression" dxfId="9589" priority="873">
      <formula>AND(IF($Q30=3,1,0),IF($E30&lt;30,1,0))</formula>
    </cfRule>
    <cfRule type="expression" dxfId="9588" priority="874">
      <formula>AND(IF($Q30=3,1,IF($Q30=4,1,0)),IF($F30&lt;=85,1,0))</formula>
    </cfRule>
  </conditionalFormatting>
  <conditionalFormatting sqref="Y30">
    <cfRule type="expression" dxfId="9587" priority="867">
      <formula>AND(IF(OR($Q30=1,$Q30=2),1,0),IF($Y30&lt;=20,1,0))</formula>
    </cfRule>
    <cfRule type="expression" dxfId="9586" priority="868">
      <formula>AND(IF($Q30=2,1,0),IF($Y30&lt;30,1,0))</formula>
    </cfRule>
    <cfRule type="expression" dxfId="9585" priority="869">
      <formula>AND(IF($Q30=3,1,0),IF($Y30&lt;30,1,0))</formula>
    </cfRule>
    <cfRule type="expression" dxfId="9584" priority="870">
      <formula>AND(IF($Q30=3,1,IF($Q30=4,1,0)),IF($F30&lt;=85,1,0))</formula>
    </cfRule>
  </conditionalFormatting>
  <conditionalFormatting sqref="AJ30">
    <cfRule type="expression" dxfId="9583" priority="863">
      <formula>AND(IF(OR($Q30=1,$Q30=2),1,0),IF($Y30&lt;=20,1,0))</formula>
    </cfRule>
    <cfRule type="expression" dxfId="9582" priority="864">
      <formula>AND(IF($Q30=2,1,0),IF($Y30&lt;30,1,0))</formula>
    </cfRule>
    <cfRule type="expression" dxfId="9581" priority="865">
      <formula>AND(IF($Q30=3,1,0),IF($Y30&lt;30,1,0))</formula>
    </cfRule>
    <cfRule type="expression" dxfId="9580" priority="866">
      <formula>AND(IF($Q30=3,1,IF($Q30=4,1,0)),IF($F30&lt;=85,1,0))</formula>
    </cfRule>
  </conditionalFormatting>
  <conditionalFormatting sqref="AW31">
    <cfRule type="expression" dxfId="9579" priority="861">
      <formula>AW31="X"</formula>
    </cfRule>
    <cfRule type="expression" dxfId="9578" priority="862">
      <formula>AW31="후보"</formula>
    </cfRule>
  </conditionalFormatting>
  <conditionalFormatting sqref="AA31">
    <cfRule type="colorScale" priority="8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9577" priority="858" operator="greaterThan">
      <formula>0.9</formula>
    </cfRule>
    <cfRule type="cellIs" dxfId="9576" priority="859" operator="greaterThan">
      <formula>0.85</formula>
    </cfRule>
  </conditionalFormatting>
  <conditionalFormatting sqref="N31">
    <cfRule type="cellIs" dxfId="9575" priority="856" operator="greaterThan">
      <formula>0.9</formula>
    </cfRule>
    <cfRule type="cellIs" dxfId="9574" priority="857" operator="greaterThan">
      <formula>0.85</formula>
    </cfRule>
  </conditionalFormatting>
  <conditionalFormatting sqref="E31">
    <cfRule type="expression" dxfId="9573" priority="852">
      <formula>AND(IF(OR($Q31=1,$Q31=2),1,0),IF($E31&lt;=20,1,0))</formula>
    </cfRule>
    <cfRule type="expression" dxfId="9572" priority="853">
      <formula>AND(IF($Q31=2,1,0),IF($E31&lt;30,1,0))</formula>
    </cfRule>
    <cfRule type="expression" dxfId="9571" priority="854">
      <formula>AND(IF($Q31=3,1,0),IF($E31&lt;30,1,0))</formula>
    </cfRule>
    <cfRule type="expression" dxfId="9570" priority="855">
      <formula>AND(IF($Q31=3,1,IF($Q31=4,1,0)),IF($F31&lt;=85,1,0))</formula>
    </cfRule>
  </conditionalFormatting>
  <conditionalFormatting sqref="Y31">
    <cfRule type="expression" dxfId="9569" priority="848">
      <formula>AND(IF(OR($Q31=1,$Q31=2),1,0),IF($Y31&lt;=20,1,0))</formula>
    </cfRule>
    <cfRule type="expression" dxfId="9568" priority="849">
      <formula>AND(IF($Q31=2,1,0),IF($Y31&lt;30,1,0))</formula>
    </cfRule>
    <cfRule type="expression" dxfId="9567" priority="850">
      <formula>AND(IF($Q31=3,1,0),IF($Y31&lt;30,1,0))</formula>
    </cfRule>
    <cfRule type="expression" dxfId="9566" priority="851">
      <formula>AND(IF($Q31=3,1,IF($Q31=4,1,0)),IF($F31&lt;=85,1,0))</formula>
    </cfRule>
  </conditionalFormatting>
  <conditionalFormatting sqref="AJ31">
    <cfRule type="expression" dxfId="9565" priority="844">
      <formula>AND(IF(OR($Q31=1,$Q31=2),1,0),IF($Y31&lt;=20,1,0))</formula>
    </cfRule>
    <cfRule type="expression" dxfId="9564" priority="845">
      <formula>AND(IF($Q31=2,1,0),IF($Y31&lt;30,1,0))</formula>
    </cfRule>
    <cfRule type="expression" dxfId="9563" priority="846">
      <formula>AND(IF($Q31=3,1,0),IF($Y31&lt;30,1,0))</formula>
    </cfRule>
    <cfRule type="expression" dxfId="9562" priority="847">
      <formula>AND(IF($Q31=3,1,IF($Q31=4,1,0)),IF($F31&lt;=85,1,0))</formula>
    </cfRule>
  </conditionalFormatting>
  <conditionalFormatting sqref="AW32">
    <cfRule type="expression" dxfId="9561" priority="842">
      <formula>AW32="X"</formula>
    </cfRule>
    <cfRule type="expression" dxfId="9560" priority="843">
      <formula>AW32="후보"</formula>
    </cfRule>
  </conditionalFormatting>
  <conditionalFormatting sqref="AA32">
    <cfRule type="colorScale" priority="8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9559" priority="839" operator="greaterThan">
      <formula>0.9</formula>
    </cfRule>
    <cfRule type="cellIs" dxfId="9558" priority="840" operator="greaterThan">
      <formula>0.85</formula>
    </cfRule>
  </conditionalFormatting>
  <conditionalFormatting sqref="N32">
    <cfRule type="cellIs" dxfId="9557" priority="837" operator="greaterThan">
      <formula>0.9</formula>
    </cfRule>
    <cfRule type="cellIs" dxfId="9556" priority="838" operator="greaterThan">
      <formula>0.85</formula>
    </cfRule>
  </conditionalFormatting>
  <conditionalFormatting sqref="E32">
    <cfRule type="expression" dxfId="9555" priority="833">
      <formula>AND(IF(OR($Q32=1,$Q32=2),1,0),IF($E32&lt;=20,1,0))</formula>
    </cfRule>
    <cfRule type="expression" dxfId="9554" priority="834">
      <formula>AND(IF($Q32=2,1,0),IF($E32&lt;30,1,0))</formula>
    </cfRule>
    <cfRule type="expression" dxfId="9553" priority="835">
      <formula>AND(IF($Q32=3,1,0),IF($E32&lt;30,1,0))</formula>
    </cfRule>
    <cfRule type="expression" dxfId="9552" priority="836">
      <formula>AND(IF($Q32=3,1,IF($Q32=4,1,0)),IF($F32&lt;=85,1,0))</formula>
    </cfRule>
  </conditionalFormatting>
  <conditionalFormatting sqref="Y32">
    <cfRule type="expression" dxfId="9551" priority="829">
      <formula>AND(IF(OR($Q32=1,$Q32=2),1,0),IF($Y32&lt;=20,1,0))</formula>
    </cfRule>
    <cfRule type="expression" dxfId="9550" priority="830">
      <formula>AND(IF($Q32=2,1,0),IF($Y32&lt;30,1,0))</formula>
    </cfRule>
    <cfRule type="expression" dxfId="9549" priority="831">
      <formula>AND(IF($Q32=3,1,0),IF($Y32&lt;30,1,0))</formula>
    </cfRule>
    <cfRule type="expression" dxfId="9548" priority="832">
      <formula>AND(IF($Q32=3,1,IF($Q32=4,1,0)),IF($F32&lt;=85,1,0))</formula>
    </cfRule>
  </conditionalFormatting>
  <conditionalFormatting sqref="AJ32">
    <cfRule type="expression" dxfId="9547" priority="825">
      <formula>AND(IF(OR($Q32=1,$Q32=2),1,0),IF($Y32&lt;=20,1,0))</formula>
    </cfRule>
    <cfRule type="expression" dxfId="9546" priority="826">
      <formula>AND(IF($Q32=2,1,0),IF($Y32&lt;30,1,0))</formula>
    </cfRule>
    <cfRule type="expression" dxfId="9545" priority="827">
      <formula>AND(IF($Q32=3,1,0),IF($Y32&lt;30,1,0))</formula>
    </cfRule>
    <cfRule type="expression" dxfId="9544" priority="828">
      <formula>AND(IF($Q32=3,1,IF($Q32=4,1,0)),IF($F32&lt;=85,1,0))</formula>
    </cfRule>
  </conditionalFormatting>
  <conditionalFormatting sqref="AW33">
    <cfRule type="expression" dxfId="9543" priority="823">
      <formula>AW33="X"</formula>
    </cfRule>
    <cfRule type="expression" dxfId="9542" priority="824">
      <formula>AW33="후보"</formula>
    </cfRule>
  </conditionalFormatting>
  <conditionalFormatting sqref="AA33">
    <cfRule type="colorScale" priority="8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9541" priority="820" operator="greaterThan">
      <formula>0.9</formula>
    </cfRule>
    <cfRule type="cellIs" dxfId="9540" priority="821" operator="greaterThan">
      <formula>0.85</formula>
    </cfRule>
  </conditionalFormatting>
  <conditionalFormatting sqref="N33">
    <cfRule type="cellIs" dxfId="9539" priority="818" operator="greaterThan">
      <formula>0.9</formula>
    </cfRule>
    <cfRule type="cellIs" dxfId="9538" priority="819" operator="greaterThan">
      <formula>0.85</formula>
    </cfRule>
  </conditionalFormatting>
  <conditionalFormatting sqref="E33">
    <cfRule type="expression" dxfId="9537" priority="814">
      <formula>AND(IF(OR($Q33=1,$Q33=2),1,0),IF($E33&lt;=20,1,0))</formula>
    </cfRule>
    <cfRule type="expression" dxfId="9536" priority="815">
      <formula>AND(IF($Q33=2,1,0),IF($E33&lt;30,1,0))</formula>
    </cfRule>
    <cfRule type="expression" dxfId="9535" priority="816">
      <formula>AND(IF($Q33=3,1,0),IF($E33&lt;30,1,0))</formula>
    </cfRule>
    <cfRule type="expression" dxfId="9534" priority="817">
      <formula>AND(IF($Q33=3,1,IF($Q33=4,1,0)),IF($F33&lt;=85,1,0))</formula>
    </cfRule>
  </conditionalFormatting>
  <conditionalFormatting sqref="Y33">
    <cfRule type="expression" dxfId="9533" priority="810">
      <formula>AND(IF(OR($Q33=1,$Q33=2),1,0),IF($Y33&lt;=20,1,0))</formula>
    </cfRule>
    <cfRule type="expression" dxfId="9532" priority="811">
      <formula>AND(IF($Q33=2,1,0),IF($Y33&lt;30,1,0))</formula>
    </cfRule>
    <cfRule type="expression" dxfId="9531" priority="812">
      <formula>AND(IF($Q33=3,1,0),IF($Y33&lt;30,1,0))</formula>
    </cfRule>
    <cfRule type="expression" dxfId="9530" priority="813">
      <formula>AND(IF($Q33=3,1,IF($Q33=4,1,0)),IF($F33&lt;=85,1,0))</formula>
    </cfRule>
  </conditionalFormatting>
  <conditionalFormatting sqref="AJ33">
    <cfRule type="expression" dxfId="9529" priority="806">
      <formula>AND(IF(OR($Q33=1,$Q33=2),1,0),IF($Y33&lt;=20,1,0))</formula>
    </cfRule>
    <cfRule type="expression" dxfId="9528" priority="807">
      <formula>AND(IF($Q33=2,1,0),IF($Y33&lt;30,1,0))</formula>
    </cfRule>
    <cfRule type="expression" dxfId="9527" priority="808">
      <formula>AND(IF($Q33=3,1,0),IF($Y33&lt;30,1,0))</formula>
    </cfRule>
    <cfRule type="expression" dxfId="9526" priority="809">
      <formula>AND(IF($Q33=3,1,IF($Q33=4,1,0)),IF($F33&lt;=85,1,0))</formula>
    </cfRule>
  </conditionalFormatting>
  <conditionalFormatting sqref="AW34">
    <cfRule type="expression" dxfId="9525" priority="804">
      <formula>AW34="X"</formula>
    </cfRule>
    <cfRule type="expression" dxfId="9524" priority="805">
      <formula>AW34="후보"</formula>
    </cfRule>
  </conditionalFormatting>
  <conditionalFormatting sqref="AA34">
    <cfRule type="colorScale" priority="8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 N34">
    <cfRule type="cellIs" dxfId="9523" priority="801" operator="greaterThan">
      <formula>0.9</formula>
    </cfRule>
    <cfRule type="cellIs" dxfId="9522" priority="802" operator="greaterThan">
      <formula>0.85</formula>
    </cfRule>
  </conditionalFormatting>
  <conditionalFormatting sqref="AW35">
    <cfRule type="expression" dxfId="9521" priority="799">
      <formula>AW35="X"</formula>
    </cfRule>
    <cfRule type="expression" dxfId="9520" priority="800">
      <formula>AW35="후보"</formula>
    </cfRule>
  </conditionalFormatting>
  <conditionalFormatting sqref="AA35">
    <cfRule type="colorScale" priority="7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9519" priority="796" operator="greaterThan">
      <formula>0.9</formula>
    </cfRule>
    <cfRule type="cellIs" dxfId="9518" priority="797" operator="greaterThan">
      <formula>0.85</formula>
    </cfRule>
  </conditionalFormatting>
  <conditionalFormatting sqref="N35">
    <cfRule type="cellIs" dxfId="9517" priority="794" operator="greaterThan">
      <formula>0.9</formula>
    </cfRule>
    <cfRule type="cellIs" dxfId="9516" priority="795" operator="greaterThan">
      <formula>0.85</formula>
    </cfRule>
  </conditionalFormatting>
  <conditionalFormatting sqref="E35">
    <cfRule type="expression" dxfId="9515" priority="790">
      <formula>AND(IF(OR($Q35=1,$Q35=2),1,0),IF($E35&lt;=20,1,0))</formula>
    </cfRule>
    <cfRule type="expression" dxfId="9514" priority="791">
      <formula>AND(IF($Q35=2,1,0),IF($E35&lt;30,1,0))</formula>
    </cfRule>
    <cfRule type="expression" dxfId="9513" priority="792">
      <formula>AND(IF($Q35=3,1,0),IF($E35&lt;30,1,0))</formula>
    </cfRule>
    <cfRule type="expression" dxfId="9512" priority="793">
      <formula>AND(IF($Q35=3,1,IF($Q35=4,1,0)),IF($F35&lt;=85,1,0))</formula>
    </cfRule>
  </conditionalFormatting>
  <conditionalFormatting sqref="Y35">
    <cfRule type="expression" dxfId="9511" priority="786">
      <formula>AND(IF(OR($Q35=1,$Q35=2),1,0),IF($Y35&lt;=20,1,0))</formula>
    </cfRule>
    <cfRule type="expression" dxfId="9510" priority="787">
      <formula>AND(IF($Q35=2,1,0),IF($Y35&lt;30,1,0))</formula>
    </cfRule>
    <cfRule type="expression" dxfId="9509" priority="788">
      <formula>AND(IF($Q35=3,1,0),IF($Y35&lt;30,1,0))</formula>
    </cfRule>
    <cfRule type="expression" dxfId="9508" priority="789">
      <formula>AND(IF($Q35=3,1,IF($Q35=4,1,0)),IF($F35&lt;=85,1,0))</formula>
    </cfRule>
  </conditionalFormatting>
  <conditionalFormatting sqref="AJ35">
    <cfRule type="expression" dxfId="9507" priority="782">
      <formula>AND(IF(OR($Q35=1,$Q35=2),1,0),IF($Y35&lt;=20,1,0))</formula>
    </cfRule>
    <cfRule type="expression" dxfId="9506" priority="783">
      <formula>AND(IF($Q35=2,1,0),IF($Y35&lt;30,1,0))</formula>
    </cfRule>
    <cfRule type="expression" dxfId="9505" priority="784">
      <formula>AND(IF($Q35=3,1,0),IF($Y35&lt;30,1,0))</formula>
    </cfRule>
    <cfRule type="expression" dxfId="9504" priority="785">
      <formula>AND(IF($Q35=3,1,IF($Q35=4,1,0)),IF($F35&lt;=85,1,0))</formula>
    </cfRule>
  </conditionalFormatting>
  <conditionalFormatting sqref="AW36">
    <cfRule type="expression" dxfId="9503" priority="780">
      <formula>AW36="X"</formula>
    </cfRule>
    <cfRule type="expression" dxfId="9502" priority="781">
      <formula>AW36="후보"</formula>
    </cfRule>
  </conditionalFormatting>
  <conditionalFormatting sqref="AA36">
    <cfRule type="colorScale" priority="7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9501" priority="777" operator="greaterThan">
      <formula>0.9</formula>
    </cfRule>
    <cfRule type="cellIs" dxfId="9500" priority="778" operator="greaterThan">
      <formula>0.85</formula>
    </cfRule>
  </conditionalFormatting>
  <conditionalFormatting sqref="N36">
    <cfRule type="cellIs" dxfId="9499" priority="775" operator="greaterThan">
      <formula>0.9</formula>
    </cfRule>
    <cfRule type="cellIs" dxfId="9498" priority="776" operator="greaterThan">
      <formula>0.85</formula>
    </cfRule>
  </conditionalFormatting>
  <conditionalFormatting sqref="E36">
    <cfRule type="expression" dxfId="9497" priority="771">
      <formula>AND(IF(OR($Q36=1,$Q36=2),1,0),IF($E36&lt;=20,1,0))</formula>
    </cfRule>
    <cfRule type="expression" dxfId="9496" priority="772">
      <formula>AND(IF($Q36=2,1,0),IF($E36&lt;30,1,0))</formula>
    </cfRule>
    <cfRule type="expression" dxfId="9495" priority="773">
      <formula>AND(IF($Q36=3,1,0),IF($E36&lt;30,1,0))</formula>
    </cfRule>
    <cfRule type="expression" dxfId="9494" priority="774">
      <formula>AND(IF($Q36=3,1,IF($Q36=4,1,0)),IF($F36&lt;=85,1,0))</formula>
    </cfRule>
  </conditionalFormatting>
  <conditionalFormatting sqref="Y36">
    <cfRule type="expression" dxfId="9493" priority="767">
      <formula>AND(IF(OR($Q36=1,$Q36=2),1,0),IF($Y36&lt;=20,1,0))</formula>
    </cfRule>
    <cfRule type="expression" dxfId="9492" priority="768">
      <formula>AND(IF($Q36=2,1,0),IF($Y36&lt;30,1,0))</formula>
    </cfRule>
    <cfRule type="expression" dxfId="9491" priority="769">
      <formula>AND(IF($Q36=3,1,0),IF($Y36&lt;30,1,0))</formula>
    </cfRule>
    <cfRule type="expression" dxfId="9490" priority="770">
      <formula>AND(IF($Q36=3,1,IF($Q36=4,1,0)),IF($F36&lt;=85,1,0))</formula>
    </cfRule>
  </conditionalFormatting>
  <conditionalFormatting sqref="AJ36">
    <cfRule type="expression" dxfId="9489" priority="763">
      <formula>AND(IF(OR($Q36=1,$Q36=2),1,0),IF($Y36&lt;=20,1,0))</formula>
    </cfRule>
    <cfRule type="expression" dxfId="9488" priority="764">
      <formula>AND(IF($Q36=2,1,0),IF($Y36&lt;30,1,0))</formula>
    </cfRule>
    <cfRule type="expression" dxfId="9487" priority="765">
      <formula>AND(IF($Q36=3,1,0),IF($Y36&lt;30,1,0))</formula>
    </cfRule>
    <cfRule type="expression" dxfId="9486" priority="766">
      <formula>AND(IF($Q36=3,1,IF($Q36=4,1,0)),IF($F36&lt;=85,1,0))</formula>
    </cfRule>
  </conditionalFormatting>
  <conditionalFormatting sqref="AW37">
    <cfRule type="expression" dxfId="9485" priority="761">
      <formula>AW37="X"</formula>
    </cfRule>
    <cfRule type="expression" dxfId="9484" priority="762">
      <formula>AW37="후보"</formula>
    </cfRule>
  </conditionalFormatting>
  <conditionalFormatting sqref="AA37">
    <cfRule type="colorScale" priority="7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">
    <cfRule type="cellIs" dxfId="9483" priority="758" operator="greaterThan">
      <formula>0.9</formula>
    </cfRule>
    <cfRule type="cellIs" dxfId="9482" priority="759" operator="greaterThan">
      <formula>0.85</formula>
    </cfRule>
  </conditionalFormatting>
  <conditionalFormatting sqref="N37">
    <cfRule type="cellIs" dxfId="9481" priority="756" operator="greaterThan">
      <formula>0.9</formula>
    </cfRule>
    <cfRule type="cellIs" dxfId="9480" priority="757" operator="greaterThan">
      <formula>0.85</formula>
    </cfRule>
  </conditionalFormatting>
  <conditionalFormatting sqref="E37">
    <cfRule type="expression" dxfId="9479" priority="752">
      <formula>AND(IF(OR($Q37=1,$Q37=2),1,0),IF($E37&lt;=20,1,0))</formula>
    </cfRule>
    <cfRule type="expression" dxfId="9478" priority="753">
      <formula>AND(IF($Q37=2,1,0),IF($E37&lt;30,1,0))</formula>
    </cfRule>
    <cfRule type="expression" dxfId="9477" priority="754">
      <formula>AND(IF($Q37=3,1,0),IF($E37&lt;30,1,0))</formula>
    </cfRule>
    <cfRule type="expression" dxfId="9476" priority="755">
      <formula>AND(IF($Q37=3,1,IF($Q37=4,1,0)),IF($F37&lt;=85,1,0))</formula>
    </cfRule>
  </conditionalFormatting>
  <conditionalFormatting sqref="Y37">
    <cfRule type="expression" dxfId="9475" priority="748">
      <formula>AND(IF(OR($Q37=1,$Q37=2),1,0),IF($Y37&lt;=20,1,0))</formula>
    </cfRule>
    <cfRule type="expression" dxfId="9474" priority="749">
      <formula>AND(IF($Q37=2,1,0),IF($Y37&lt;30,1,0))</formula>
    </cfRule>
    <cfRule type="expression" dxfId="9473" priority="750">
      <formula>AND(IF($Q37=3,1,0),IF($Y37&lt;30,1,0))</formula>
    </cfRule>
    <cfRule type="expression" dxfId="9472" priority="751">
      <formula>AND(IF($Q37=3,1,IF($Q37=4,1,0)),IF($F37&lt;=85,1,0))</formula>
    </cfRule>
  </conditionalFormatting>
  <conditionalFormatting sqref="AJ37">
    <cfRule type="expression" dxfId="9471" priority="744">
      <formula>AND(IF(OR($Q37=1,$Q37=2),1,0),IF($Y37&lt;=20,1,0))</formula>
    </cfRule>
    <cfRule type="expression" dxfId="9470" priority="745">
      <formula>AND(IF($Q37=2,1,0),IF($Y37&lt;30,1,0))</formula>
    </cfRule>
    <cfRule type="expression" dxfId="9469" priority="746">
      <formula>AND(IF($Q37=3,1,0),IF($Y37&lt;30,1,0))</formula>
    </cfRule>
    <cfRule type="expression" dxfId="9468" priority="747">
      <formula>AND(IF($Q37=3,1,IF($Q37=4,1,0)),IF($F37&lt;=85,1,0))</formula>
    </cfRule>
  </conditionalFormatting>
  <conditionalFormatting sqref="AW38">
    <cfRule type="expression" dxfId="9467" priority="742">
      <formula>AW38="X"</formula>
    </cfRule>
    <cfRule type="expression" dxfId="9466" priority="743">
      <formula>AW38="후보"</formula>
    </cfRule>
  </conditionalFormatting>
  <conditionalFormatting sqref="AA38">
    <cfRule type="colorScale" priority="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 N38">
    <cfRule type="cellIs" dxfId="9465" priority="739" operator="greaterThan">
      <formula>0.9</formula>
    </cfRule>
    <cfRule type="cellIs" dxfId="9464" priority="740" operator="greaterThan">
      <formula>0.85</formula>
    </cfRule>
  </conditionalFormatting>
  <conditionalFormatting sqref="AW39">
    <cfRule type="expression" dxfId="9463" priority="737">
      <formula>AW39="X"</formula>
    </cfRule>
    <cfRule type="expression" dxfId="9462" priority="738">
      <formula>AW39="후보"</formula>
    </cfRule>
  </conditionalFormatting>
  <conditionalFormatting sqref="AA39">
    <cfRule type="colorScale" priority="7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9461" priority="734" operator="greaterThan">
      <formula>0.9</formula>
    </cfRule>
    <cfRule type="cellIs" dxfId="9460" priority="735" operator="greaterThan">
      <formula>0.85</formula>
    </cfRule>
  </conditionalFormatting>
  <conditionalFormatting sqref="N39">
    <cfRule type="cellIs" dxfId="9459" priority="732" operator="greaterThan">
      <formula>0.9</formula>
    </cfRule>
    <cfRule type="cellIs" dxfId="9458" priority="733" operator="greaterThan">
      <formula>0.85</formula>
    </cfRule>
  </conditionalFormatting>
  <conditionalFormatting sqref="E39">
    <cfRule type="expression" dxfId="9457" priority="728">
      <formula>AND(IF(OR($Q39=1,$Q39=2),1,0),IF($E39&lt;=20,1,0))</formula>
    </cfRule>
    <cfRule type="expression" dxfId="9456" priority="729">
      <formula>AND(IF($Q39=2,1,0),IF($E39&lt;30,1,0))</formula>
    </cfRule>
    <cfRule type="expression" dxfId="9455" priority="730">
      <formula>AND(IF($Q39=3,1,0),IF($E39&lt;30,1,0))</formula>
    </cfRule>
    <cfRule type="expression" dxfId="9454" priority="731">
      <formula>AND(IF($Q39=3,1,IF($Q39=4,1,0)),IF($F39&lt;=85,1,0))</formula>
    </cfRule>
  </conditionalFormatting>
  <conditionalFormatting sqref="Y39">
    <cfRule type="expression" dxfId="9453" priority="724">
      <formula>AND(IF(OR($Q39=1,$Q39=2),1,0),IF($Y39&lt;=20,1,0))</formula>
    </cfRule>
    <cfRule type="expression" dxfId="9452" priority="725">
      <formula>AND(IF($Q39=2,1,0),IF($Y39&lt;30,1,0))</formula>
    </cfRule>
    <cfRule type="expression" dxfId="9451" priority="726">
      <formula>AND(IF($Q39=3,1,0),IF($Y39&lt;30,1,0))</formula>
    </cfRule>
    <cfRule type="expression" dxfId="9450" priority="727">
      <formula>AND(IF($Q39=3,1,IF($Q39=4,1,0)),IF($F39&lt;=85,1,0))</formula>
    </cfRule>
  </conditionalFormatting>
  <conditionalFormatting sqref="AJ39">
    <cfRule type="expression" dxfId="9449" priority="720">
      <formula>AND(IF(OR($Q39=1,$Q39=2),1,0),IF($Y39&lt;=20,1,0))</formula>
    </cfRule>
    <cfRule type="expression" dxfId="9448" priority="721">
      <formula>AND(IF($Q39=2,1,0),IF($Y39&lt;30,1,0))</formula>
    </cfRule>
    <cfRule type="expression" dxfId="9447" priority="722">
      <formula>AND(IF($Q39=3,1,0),IF($Y39&lt;30,1,0))</formula>
    </cfRule>
    <cfRule type="expression" dxfId="9446" priority="723">
      <formula>AND(IF($Q39=3,1,IF($Q39=4,1,0)),IF($F39&lt;=85,1,0))</formula>
    </cfRule>
  </conditionalFormatting>
  <conditionalFormatting sqref="AW40">
    <cfRule type="expression" dxfId="9445" priority="718">
      <formula>AW40="X"</formula>
    </cfRule>
    <cfRule type="expression" dxfId="9444" priority="719">
      <formula>AW40="후보"</formula>
    </cfRule>
  </conditionalFormatting>
  <conditionalFormatting sqref="AA40">
    <cfRule type="colorScale" priority="7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">
    <cfRule type="cellIs" dxfId="9443" priority="715" operator="greaterThan">
      <formula>0.9</formula>
    </cfRule>
    <cfRule type="cellIs" dxfId="9442" priority="716" operator="greaterThan">
      <formula>0.85</formula>
    </cfRule>
  </conditionalFormatting>
  <conditionalFormatting sqref="N40">
    <cfRule type="cellIs" dxfId="9441" priority="713" operator="greaterThan">
      <formula>0.9</formula>
    </cfRule>
    <cfRule type="cellIs" dxfId="9440" priority="714" operator="greaterThan">
      <formula>0.85</formula>
    </cfRule>
  </conditionalFormatting>
  <conditionalFormatting sqref="E40">
    <cfRule type="expression" dxfId="9439" priority="709">
      <formula>AND(IF(OR($Q40=1,$Q40=2),1,0),IF($E40&lt;=20,1,0))</formula>
    </cfRule>
    <cfRule type="expression" dxfId="9438" priority="710">
      <formula>AND(IF($Q40=2,1,0),IF($E40&lt;30,1,0))</formula>
    </cfRule>
    <cfRule type="expression" dxfId="9437" priority="711">
      <formula>AND(IF($Q40=3,1,0),IF($E40&lt;30,1,0))</formula>
    </cfRule>
    <cfRule type="expression" dxfId="9436" priority="712">
      <formula>AND(IF($Q40=3,1,IF($Q40=4,1,0)),IF($F40&lt;=85,1,0))</formula>
    </cfRule>
  </conditionalFormatting>
  <conditionalFormatting sqref="Y40">
    <cfRule type="expression" dxfId="9435" priority="705">
      <formula>AND(IF(OR($Q40=1,$Q40=2),1,0),IF($Y40&lt;=20,1,0))</formula>
    </cfRule>
    <cfRule type="expression" dxfId="9434" priority="706">
      <formula>AND(IF($Q40=2,1,0),IF($Y40&lt;30,1,0))</formula>
    </cfRule>
    <cfRule type="expression" dxfId="9433" priority="707">
      <formula>AND(IF($Q40=3,1,0),IF($Y40&lt;30,1,0))</formula>
    </cfRule>
    <cfRule type="expression" dxfId="9432" priority="708">
      <formula>AND(IF($Q40=3,1,IF($Q40=4,1,0)),IF($F40&lt;=85,1,0))</formula>
    </cfRule>
  </conditionalFormatting>
  <conditionalFormatting sqref="AJ40">
    <cfRule type="expression" dxfId="9431" priority="701">
      <formula>AND(IF(OR($Q40=1,$Q40=2),1,0),IF($Y40&lt;=20,1,0))</formula>
    </cfRule>
    <cfRule type="expression" dxfId="9430" priority="702">
      <formula>AND(IF($Q40=2,1,0),IF($Y40&lt;30,1,0))</formula>
    </cfRule>
    <cfRule type="expression" dxfId="9429" priority="703">
      <formula>AND(IF($Q40=3,1,0),IF($Y40&lt;30,1,0))</formula>
    </cfRule>
    <cfRule type="expression" dxfId="9428" priority="704">
      <formula>AND(IF($Q40=3,1,IF($Q40=4,1,0)),IF($F40&lt;=85,1,0))</formula>
    </cfRule>
  </conditionalFormatting>
  <conditionalFormatting sqref="AW41">
    <cfRule type="expression" dxfId="9427" priority="699">
      <formula>AW41="X"</formula>
    </cfRule>
    <cfRule type="expression" dxfId="9426" priority="700">
      <formula>AW41="후보"</formula>
    </cfRule>
  </conditionalFormatting>
  <conditionalFormatting sqref="AA41">
    <cfRule type="colorScale" priority="6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9425" priority="696" operator="greaterThan">
      <formula>0.9</formula>
    </cfRule>
    <cfRule type="cellIs" dxfId="9424" priority="697" operator="greaterThan">
      <formula>0.85</formula>
    </cfRule>
  </conditionalFormatting>
  <conditionalFormatting sqref="N41">
    <cfRule type="cellIs" dxfId="9423" priority="694" operator="greaterThan">
      <formula>0.9</formula>
    </cfRule>
    <cfRule type="cellIs" dxfId="9422" priority="695" operator="greaterThan">
      <formula>0.85</formula>
    </cfRule>
  </conditionalFormatting>
  <conditionalFormatting sqref="E41">
    <cfRule type="expression" dxfId="9421" priority="690">
      <formula>AND(IF(OR($Q41=1,$Q41=2),1,0),IF($E41&lt;=20,1,0))</formula>
    </cfRule>
    <cfRule type="expression" dxfId="9420" priority="691">
      <formula>AND(IF($Q41=2,1,0),IF($E41&lt;30,1,0))</formula>
    </cfRule>
    <cfRule type="expression" dxfId="9419" priority="692">
      <formula>AND(IF($Q41=3,1,0),IF($E41&lt;30,1,0))</formula>
    </cfRule>
    <cfRule type="expression" dxfId="9418" priority="693">
      <formula>AND(IF($Q41=3,1,IF($Q41=4,1,0)),IF($F41&lt;=85,1,0))</formula>
    </cfRule>
  </conditionalFormatting>
  <conditionalFormatting sqref="Y41">
    <cfRule type="expression" dxfId="9417" priority="686">
      <formula>AND(IF(OR($Q41=1,$Q41=2),1,0),IF($Y41&lt;=20,1,0))</formula>
    </cfRule>
    <cfRule type="expression" dxfId="9416" priority="687">
      <formula>AND(IF($Q41=2,1,0),IF($Y41&lt;30,1,0))</formula>
    </cfRule>
    <cfRule type="expression" dxfId="9415" priority="688">
      <formula>AND(IF($Q41=3,1,0),IF($Y41&lt;30,1,0))</formula>
    </cfRule>
    <cfRule type="expression" dxfId="9414" priority="689">
      <formula>AND(IF($Q41=3,1,IF($Q41=4,1,0)),IF($F41&lt;=85,1,0))</formula>
    </cfRule>
  </conditionalFormatting>
  <conditionalFormatting sqref="AJ41">
    <cfRule type="expression" dxfId="9413" priority="682">
      <formula>AND(IF(OR($Q41=1,$Q41=2),1,0),IF($Y41&lt;=20,1,0))</formula>
    </cfRule>
    <cfRule type="expression" dxfId="9412" priority="683">
      <formula>AND(IF($Q41=2,1,0),IF($Y41&lt;30,1,0))</formula>
    </cfRule>
    <cfRule type="expression" dxfId="9411" priority="684">
      <formula>AND(IF($Q41=3,1,0),IF($Y41&lt;30,1,0))</formula>
    </cfRule>
    <cfRule type="expression" dxfId="9410" priority="685">
      <formula>AND(IF($Q41=3,1,IF($Q41=4,1,0)),IF($F41&lt;=85,1,0))</formula>
    </cfRule>
  </conditionalFormatting>
  <conditionalFormatting sqref="AW42">
    <cfRule type="expression" dxfId="9409" priority="680">
      <formula>AW42="X"</formula>
    </cfRule>
    <cfRule type="expression" dxfId="9408" priority="681">
      <formula>AW42="후보"</formula>
    </cfRule>
  </conditionalFormatting>
  <conditionalFormatting sqref="AA42">
    <cfRule type="colorScale" priority="6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9407" priority="677" operator="greaterThan">
      <formula>0.9</formula>
    </cfRule>
    <cfRule type="cellIs" dxfId="9406" priority="678" operator="greaterThan">
      <formula>0.85</formula>
    </cfRule>
  </conditionalFormatting>
  <conditionalFormatting sqref="N42">
    <cfRule type="cellIs" dxfId="9405" priority="675" operator="greaterThan">
      <formula>0.9</formula>
    </cfRule>
    <cfRule type="cellIs" dxfId="9404" priority="676" operator="greaterThan">
      <formula>0.85</formula>
    </cfRule>
  </conditionalFormatting>
  <conditionalFormatting sqref="E42">
    <cfRule type="expression" dxfId="9403" priority="671">
      <formula>AND(IF(OR($Q42=1,$Q42=2),1,0),IF($E42&lt;=20,1,0))</formula>
    </cfRule>
    <cfRule type="expression" dxfId="9402" priority="672">
      <formula>AND(IF($Q42=2,1,0),IF($E42&lt;30,1,0))</formula>
    </cfRule>
    <cfRule type="expression" dxfId="9401" priority="673">
      <formula>AND(IF($Q42=3,1,0),IF($E42&lt;30,1,0))</formula>
    </cfRule>
    <cfRule type="expression" dxfId="9400" priority="674">
      <formula>AND(IF($Q42=3,1,IF($Q42=4,1,0)),IF($F42&lt;=85,1,0))</formula>
    </cfRule>
  </conditionalFormatting>
  <conditionalFormatting sqref="Y42">
    <cfRule type="expression" dxfId="9399" priority="667">
      <formula>AND(IF(OR($Q42=1,$Q42=2),1,0),IF($Y42&lt;=20,1,0))</formula>
    </cfRule>
    <cfRule type="expression" dxfId="9398" priority="668">
      <formula>AND(IF($Q42=2,1,0),IF($Y42&lt;30,1,0))</formula>
    </cfRule>
    <cfRule type="expression" dxfId="9397" priority="669">
      <formula>AND(IF($Q42=3,1,0),IF($Y42&lt;30,1,0))</formula>
    </cfRule>
    <cfRule type="expression" dxfId="9396" priority="670">
      <formula>AND(IF($Q42=3,1,IF($Q42=4,1,0)),IF($F42&lt;=85,1,0))</formula>
    </cfRule>
  </conditionalFormatting>
  <conditionalFormatting sqref="AJ42">
    <cfRule type="expression" dxfId="9395" priority="663">
      <formula>AND(IF(OR($Q42=1,$Q42=2),1,0),IF($Y42&lt;=20,1,0))</formula>
    </cfRule>
    <cfRule type="expression" dxfId="9394" priority="664">
      <formula>AND(IF($Q42=2,1,0),IF($Y42&lt;30,1,0))</formula>
    </cfRule>
    <cfRule type="expression" dxfId="9393" priority="665">
      <formula>AND(IF($Q42=3,1,0),IF($Y42&lt;30,1,0))</formula>
    </cfRule>
    <cfRule type="expression" dxfId="9392" priority="666">
      <formula>AND(IF($Q42=3,1,IF($Q42=4,1,0)),IF($F42&lt;=85,1,0))</formula>
    </cfRule>
  </conditionalFormatting>
  <conditionalFormatting sqref="AW43">
    <cfRule type="expression" dxfId="9391" priority="661">
      <formula>AW43="X"</formula>
    </cfRule>
    <cfRule type="expression" dxfId="9390" priority="662">
      <formula>AW43="후보"</formula>
    </cfRule>
  </conditionalFormatting>
  <conditionalFormatting sqref="AA43">
    <cfRule type="colorScale" priority="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9389" priority="658" operator="greaterThan">
      <formula>0.9</formula>
    </cfRule>
    <cfRule type="cellIs" dxfId="9388" priority="659" operator="greaterThan">
      <formula>0.85</formula>
    </cfRule>
  </conditionalFormatting>
  <conditionalFormatting sqref="N43">
    <cfRule type="cellIs" dxfId="9387" priority="656" operator="greaterThan">
      <formula>0.9</formula>
    </cfRule>
    <cfRule type="cellIs" dxfId="9386" priority="657" operator="greaterThan">
      <formula>0.85</formula>
    </cfRule>
  </conditionalFormatting>
  <conditionalFormatting sqref="E43">
    <cfRule type="expression" dxfId="9385" priority="652">
      <formula>AND(IF(OR($Q43=1,$Q43=2),1,0),IF($E43&lt;=20,1,0))</formula>
    </cfRule>
    <cfRule type="expression" dxfId="9384" priority="653">
      <formula>AND(IF($Q43=2,1,0),IF($E43&lt;30,1,0))</formula>
    </cfRule>
    <cfRule type="expression" dxfId="9383" priority="654">
      <formula>AND(IF($Q43=3,1,0),IF($E43&lt;30,1,0))</formula>
    </cfRule>
    <cfRule type="expression" dxfId="9382" priority="655">
      <formula>AND(IF($Q43=3,1,IF($Q43=4,1,0)),IF($F43&lt;=85,1,0))</formula>
    </cfRule>
  </conditionalFormatting>
  <conditionalFormatting sqref="Y43">
    <cfRule type="expression" dxfId="9381" priority="648">
      <formula>AND(IF(OR($Q43=1,$Q43=2),1,0),IF($Y43&lt;=20,1,0))</formula>
    </cfRule>
    <cfRule type="expression" dxfId="9380" priority="649">
      <formula>AND(IF($Q43=2,1,0),IF($Y43&lt;30,1,0))</formula>
    </cfRule>
    <cfRule type="expression" dxfId="9379" priority="650">
      <formula>AND(IF($Q43=3,1,0),IF($Y43&lt;30,1,0))</formula>
    </cfRule>
    <cfRule type="expression" dxfId="9378" priority="651">
      <formula>AND(IF($Q43=3,1,IF($Q43=4,1,0)),IF($F43&lt;=85,1,0))</formula>
    </cfRule>
  </conditionalFormatting>
  <conditionalFormatting sqref="AJ43">
    <cfRule type="expression" dxfId="9377" priority="644">
      <formula>AND(IF(OR($Q43=1,$Q43=2),1,0),IF($Y43&lt;=20,1,0))</formula>
    </cfRule>
    <cfRule type="expression" dxfId="9376" priority="645">
      <formula>AND(IF($Q43=2,1,0),IF($Y43&lt;30,1,0))</formula>
    </cfRule>
    <cfRule type="expression" dxfId="9375" priority="646">
      <formula>AND(IF($Q43=3,1,0),IF($Y43&lt;30,1,0))</formula>
    </cfRule>
    <cfRule type="expression" dxfId="9374" priority="647">
      <formula>AND(IF($Q43=3,1,IF($Q43=4,1,0)),IF($F43&lt;=85,1,0))</formula>
    </cfRule>
  </conditionalFormatting>
  <conditionalFormatting sqref="AW44">
    <cfRule type="expression" dxfId="9373" priority="642">
      <formula>AW44="X"</formula>
    </cfRule>
    <cfRule type="expression" dxfId="9372" priority="643">
      <formula>AW44="후보"</formula>
    </cfRule>
  </conditionalFormatting>
  <conditionalFormatting sqref="AA44">
    <cfRule type="colorScale" priority="6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9371" priority="639" operator="greaterThan">
      <formula>0.9</formula>
    </cfRule>
    <cfRule type="cellIs" dxfId="9370" priority="640" operator="greaterThan">
      <formula>0.85</formula>
    </cfRule>
  </conditionalFormatting>
  <conditionalFormatting sqref="N44">
    <cfRule type="cellIs" dxfId="9369" priority="637" operator="greaterThan">
      <formula>0.9</formula>
    </cfRule>
    <cfRule type="cellIs" dxfId="9368" priority="638" operator="greaterThan">
      <formula>0.85</formula>
    </cfRule>
  </conditionalFormatting>
  <conditionalFormatting sqref="E44">
    <cfRule type="expression" dxfId="9367" priority="633">
      <formula>AND(IF(OR($Q44=1,$Q44=2),1,0),IF($E44&lt;=20,1,0))</formula>
    </cfRule>
    <cfRule type="expression" dxfId="9366" priority="634">
      <formula>AND(IF($Q44=2,1,0),IF($E44&lt;30,1,0))</formula>
    </cfRule>
    <cfRule type="expression" dxfId="9365" priority="635">
      <formula>AND(IF($Q44=3,1,0),IF($E44&lt;30,1,0))</formula>
    </cfRule>
    <cfRule type="expression" dxfId="9364" priority="636">
      <formula>AND(IF($Q44=3,1,IF($Q44=4,1,0)),IF($F44&lt;=85,1,0))</formula>
    </cfRule>
  </conditionalFormatting>
  <conditionalFormatting sqref="Y44">
    <cfRule type="expression" dxfId="9363" priority="629">
      <formula>AND(IF(OR($Q44=1,$Q44=2),1,0),IF($Y44&lt;=20,1,0))</formula>
    </cfRule>
    <cfRule type="expression" dxfId="9362" priority="630">
      <formula>AND(IF($Q44=2,1,0),IF($Y44&lt;30,1,0))</formula>
    </cfRule>
    <cfRule type="expression" dxfId="9361" priority="631">
      <formula>AND(IF($Q44=3,1,0),IF($Y44&lt;30,1,0))</formula>
    </cfRule>
    <cfRule type="expression" dxfId="9360" priority="632">
      <formula>AND(IF($Q44=3,1,IF($Q44=4,1,0)),IF($F44&lt;=85,1,0))</formula>
    </cfRule>
  </conditionalFormatting>
  <conditionalFormatting sqref="AJ44">
    <cfRule type="expression" dxfId="9359" priority="625">
      <formula>AND(IF(OR($Q44=1,$Q44=2),1,0),IF($Y44&lt;=20,1,0))</formula>
    </cfRule>
    <cfRule type="expression" dxfId="9358" priority="626">
      <formula>AND(IF($Q44=2,1,0),IF($Y44&lt;30,1,0))</formula>
    </cfRule>
    <cfRule type="expression" dxfId="9357" priority="627">
      <formula>AND(IF($Q44=3,1,0),IF($Y44&lt;30,1,0))</formula>
    </cfRule>
    <cfRule type="expression" dxfId="9356" priority="628">
      <formula>AND(IF($Q44=3,1,IF($Q44=4,1,0)),IF($F44&lt;=85,1,0))</formula>
    </cfRule>
  </conditionalFormatting>
  <conditionalFormatting sqref="AW45">
    <cfRule type="expression" dxfId="9355" priority="623">
      <formula>AW45="X"</formula>
    </cfRule>
    <cfRule type="expression" dxfId="9354" priority="624">
      <formula>AW45="후보"</formula>
    </cfRule>
  </conditionalFormatting>
  <conditionalFormatting sqref="AA45">
    <cfRule type="colorScale" priority="6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 N45">
    <cfRule type="cellIs" dxfId="9353" priority="620" operator="greaterThan">
      <formula>0.9</formula>
    </cfRule>
    <cfRule type="cellIs" dxfId="9352" priority="621" operator="greaterThan">
      <formula>0.85</formula>
    </cfRule>
  </conditionalFormatting>
  <conditionalFormatting sqref="AW46">
    <cfRule type="expression" dxfId="9351" priority="618">
      <formula>AW46="X"</formula>
    </cfRule>
    <cfRule type="expression" dxfId="9350" priority="619">
      <formula>AW46="후보"</formula>
    </cfRule>
  </conditionalFormatting>
  <conditionalFormatting sqref="AA46">
    <cfRule type="colorScale" priority="6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9349" priority="615" operator="greaterThan">
      <formula>0.9</formula>
    </cfRule>
    <cfRule type="cellIs" dxfId="9348" priority="616" operator="greaterThan">
      <formula>0.85</formula>
    </cfRule>
  </conditionalFormatting>
  <conditionalFormatting sqref="N46">
    <cfRule type="cellIs" dxfId="9347" priority="613" operator="greaterThan">
      <formula>0.9</formula>
    </cfRule>
    <cfRule type="cellIs" dxfId="9346" priority="614" operator="greaterThan">
      <formula>0.85</formula>
    </cfRule>
  </conditionalFormatting>
  <conditionalFormatting sqref="E46">
    <cfRule type="expression" dxfId="9345" priority="609">
      <formula>AND(IF(OR($Q46=1,$Q46=2),1,0),IF($E46&lt;=20,1,0))</formula>
    </cfRule>
    <cfRule type="expression" dxfId="9344" priority="610">
      <formula>AND(IF($Q46=2,1,0),IF($E46&lt;30,1,0))</formula>
    </cfRule>
    <cfRule type="expression" dxfId="9343" priority="611">
      <formula>AND(IF($Q46=3,1,0),IF($E46&lt;30,1,0))</formula>
    </cfRule>
    <cfRule type="expression" dxfId="9342" priority="612">
      <formula>AND(IF($Q46=3,1,IF($Q46=4,1,0)),IF($F46&lt;=85,1,0))</formula>
    </cfRule>
  </conditionalFormatting>
  <conditionalFormatting sqref="Y46">
    <cfRule type="expression" dxfId="9341" priority="605">
      <formula>AND(IF(OR($Q46=1,$Q46=2),1,0),IF($Y46&lt;=20,1,0))</formula>
    </cfRule>
    <cfRule type="expression" dxfId="9340" priority="606">
      <formula>AND(IF($Q46=2,1,0),IF($Y46&lt;30,1,0))</formula>
    </cfRule>
    <cfRule type="expression" dxfId="9339" priority="607">
      <formula>AND(IF($Q46=3,1,0),IF($Y46&lt;30,1,0))</formula>
    </cfRule>
    <cfRule type="expression" dxfId="9338" priority="608">
      <formula>AND(IF($Q46=3,1,IF($Q46=4,1,0)),IF($F46&lt;=85,1,0))</formula>
    </cfRule>
  </conditionalFormatting>
  <conditionalFormatting sqref="AJ46">
    <cfRule type="expression" dxfId="9337" priority="601">
      <formula>AND(IF(OR($Q46=1,$Q46=2),1,0),IF($Y46&lt;=20,1,0))</formula>
    </cfRule>
    <cfRule type="expression" dxfId="9336" priority="602">
      <formula>AND(IF($Q46=2,1,0),IF($Y46&lt;30,1,0))</formula>
    </cfRule>
    <cfRule type="expression" dxfId="9335" priority="603">
      <formula>AND(IF($Q46=3,1,0),IF($Y46&lt;30,1,0))</formula>
    </cfRule>
    <cfRule type="expression" dxfId="9334" priority="604">
      <formula>AND(IF($Q46=3,1,IF($Q46=4,1,0)),IF($F46&lt;=85,1,0))</formula>
    </cfRule>
  </conditionalFormatting>
  <conditionalFormatting sqref="AW47">
    <cfRule type="expression" dxfId="9333" priority="599">
      <formula>AW47="X"</formula>
    </cfRule>
    <cfRule type="expression" dxfId="9332" priority="600">
      <formula>AW47="후보"</formula>
    </cfRule>
  </conditionalFormatting>
  <conditionalFormatting sqref="AA47">
    <cfRule type="colorScale" priority="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9331" priority="596" operator="greaterThan">
      <formula>0.9</formula>
    </cfRule>
    <cfRule type="cellIs" dxfId="9330" priority="597" operator="greaterThan">
      <formula>0.85</formula>
    </cfRule>
  </conditionalFormatting>
  <conditionalFormatting sqref="N47">
    <cfRule type="cellIs" dxfId="9329" priority="594" operator="greaterThan">
      <formula>0.9</formula>
    </cfRule>
    <cfRule type="cellIs" dxfId="9328" priority="595" operator="greaterThan">
      <formula>0.85</formula>
    </cfRule>
  </conditionalFormatting>
  <conditionalFormatting sqref="E47">
    <cfRule type="expression" dxfId="9327" priority="590">
      <formula>AND(IF(OR($Q47=1,$Q47=2),1,0),IF($E47&lt;=20,1,0))</formula>
    </cfRule>
    <cfRule type="expression" dxfId="9326" priority="591">
      <formula>AND(IF($Q47=2,1,0),IF($E47&lt;30,1,0))</formula>
    </cfRule>
    <cfRule type="expression" dxfId="9325" priority="592">
      <formula>AND(IF($Q47=3,1,0),IF($E47&lt;30,1,0))</formula>
    </cfRule>
    <cfRule type="expression" dxfId="9324" priority="593">
      <formula>AND(IF($Q47=3,1,IF($Q47=4,1,0)),IF($F47&lt;=85,1,0))</formula>
    </cfRule>
  </conditionalFormatting>
  <conditionalFormatting sqref="Y47">
    <cfRule type="expression" dxfId="9323" priority="586">
      <formula>AND(IF(OR($Q47=1,$Q47=2),1,0),IF($Y47&lt;=20,1,0))</formula>
    </cfRule>
    <cfRule type="expression" dxfId="9322" priority="587">
      <formula>AND(IF($Q47=2,1,0),IF($Y47&lt;30,1,0))</formula>
    </cfRule>
    <cfRule type="expression" dxfId="9321" priority="588">
      <formula>AND(IF($Q47=3,1,0),IF($Y47&lt;30,1,0))</formula>
    </cfRule>
    <cfRule type="expression" dxfId="9320" priority="589">
      <formula>AND(IF($Q47=3,1,IF($Q47=4,1,0)),IF($F47&lt;=85,1,0))</formula>
    </cfRule>
  </conditionalFormatting>
  <conditionalFormatting sqref="AJ47">
    <cfRule type="expression" dxfId="9319" priority="582">
      <formula>AND(IF(OR($Q47=1,$Q47=2),1,0),IF($Y47&lt;=20,1,0))</formula>
    </cfRule>
    <cfRule type="expression" dxfId="9318" priority="583">
      <formula>AND(IF($Q47=2,1,0),IF($Y47&lt;30,1,0))</formula>
    </cfRule>
    <cfRule type="expression" dxfId="9317" priority="584">
      <formula>AND(IF($Q47=3,1,0),IF($Y47&lt;30,1,0))</formula>
    </cfRule>
    <cfRule type="expression" dxfId="9316" priority="585">
      <formula>AND(IF($Q47=3,1,IF($Q47=4,1,0)),IF($F47&lt;=85,1,0))</formula>
    </cfRule>
  </conditionalFormatting>
  <conditionalFormatting sqref="AW48">
    <cfRule type="expression" dxfId="9315" priority="580">
      <formula>AW48="X"</formula>
    </cfRule>
    <cfRule type="expression" dxfId="9314" priority="581">
      <formula>AW48="후보"</formula>
    </cfRule>
  </conditionalFormatting>
  <conditionalFormatting sqref="AA48">
    <cfRule type="colorScale" priority="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">
    <cfRule type="cellIs" dxfId="9313" priority="577" operator="greaterThan">
      <formula>0.9</formula>
    </cfRule>
    <cfRule type="cellIs" dxfId="9312" priority="578" operator="greaterThan">
      <formula>0.85</formula>
    </cfRule>
  </conditionalFormatting>
  <conditionalFormatting sqref="N48">
    <cfRule type="cellIs" dxfId="9311" priority="575" operator="greaterThan">
      <formula>0.9</formula>
    </cfRule>
    <cfRule type="cellIs" dxfId="9310" priority="576" operator="greaterThan">
      <formula>0.85</formula>
    </cfRule>
  </conditionalFormatting>
  <conditionalFormatting sqref="E48">
    <cfRule type="expression" dxfId="9309" priority="571">
      <formula>AND(IF(OR($Q48=1,$Q48=2),1,0),IF($E48&lt;=20,1,0))</formula>
    </cfRule>
    <cfRule type="expression" dxfId="9308" priority="572">
      <formula>AND(IF($Q48=2,1,0),IF($E48&lt;30,1,0))</formula>
    </cfRule>
    <cfRule type="expression" dxfId="9307" priority="573">
      <formula>AND(IF($Q48=3,1,0),IF($E48&lt;30,1,0))</formula>
    </cfRule>
    <cfRule type="expression" dxfId="9306" priority="574">
      <formula>AND(IF($Q48=3,1,IF($Q48=4,1,0)),IF($F48&lt;=85,1,0))</formula>
    </cfRule>
  </conditionalFormatting>
  <conditionalFormatting sqref="Y48">
    <cfRule type="expression" dxfId="9305" priority="567">
      <formula>AND(IF(OR($Q48=1,$Q48=2),1,0),IF($Y48&lt;=20,1,0))</formula>
    </cfRule>
    <cfRule type="expression" dxfId="9304" priority="568">
      <formula>AND(IF($Q48=2,1,0),IF($Y48&lt;30,1,0))</formula>
    </cfRule>
    <cfRule type="expression" dxfId="9303" priority="569">
      <formula>AND(IF($Q48=3,1,0),IF($Y48&lt;30,1,0))</formula>
    </cfRule>
    <cfRule type="expression" dxfId="9302" priority="570">
      <formula>AND(IF($Q48=3,1,IF($Q48=4,1,0)),IF($F48&lt;=85,1,0))</formula>
    </cfRule>
  </conditionalFormatting>
  <conditionalFormatting sqref="AJ48">
    <cfRule type="expression" dxfId="9301" priority="563">
      <formula>AND(IF(OR($Q48=1,$Q48=2),1,0),IF($Y48&lt;=20,1,0))</formula>
    </cfRule>
    <cfRule type="expression" dxfId="9300" priority="564">
      <formula>AND(IF($Q48=2,1,0),IF($Y48&lt;30,1,0))</formula>
    </cfRule>
    <cfRule type="expression" dxfId="9299" priority="565">
      <formula>AND(IF($Q48=3,1,0),IF($Y48&lt;30,1,0))</formula>
    </cfRule>
    <cfRule type="expression" dxfId="9298" priority="566">
      <formula>AND(IF($Q48=3,1,IF($Q48=4,1,0)),IF($F48&lt;=85,1,0))</formula>
    </cfRule>
  </conditionalFormatting>
  <conditionalFormatting sqref="AW49">
    <cfRule type="expression" dxfId="9297" priority="561">
      <formula>AW49="X"</formula>
    </cfRule>
    <cfRule type="expression" dxfId="9296" priority="562">
      <formula>AW49="후보"</formula>
    </cfRule>
  </conditionalFormatting>
  <conditionalFormatting sqref="AA49">
    <cfRule type="colorScale" priority="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9295" priority="558" operator="greaterThan">
      <formula>0.9</formula>
    </cfRule>
    <cfRule type="cellIs" dxfId="9294" priority="559" operator="greaterThan">
      <formula>0.85</formula>
    </cfRule>
  </conditionalFormatting>
  <conditionalFormatting sqref="N49">
    <cfRule type="cellIs" dxfId="9293" priority="556" operator="greaterThan">
      <formula>0.9</formula>
    </cfRule>
    <cfRule type="cellIs" dxfId="9292" priority="557" operator="greaterThan">
      <formula>0.85</formula>
    </cfRule>
  </conditionalFormatting>
  <conditionalFormatting sqref="E49">
    <cfRule type="expression" dxfId="9291" priority="552">
      <formula>AND(IF(OR($Q49=1,$Q49=2),1,0),IF($E49&lt;=20,1,0))</formula>
    </cfRule>
    <cfRule type="expression" dxfId="9290" priority="553">
      <formula>AND(IF($Q49=2,1,0),IF($E49&lt;30,1,0))</formula>
    </cfRule>
    <cfRule type="expression" dxfId="9289" priority="554">
      <formula>AND(IF($Q49=3,1,0),IF($E49&lt;30,1,0))</formula>
    </cfRule>
    <cfRule type="expression" dxfId="9288" priority="555">
      <formula>AND(IF($Q49=3,1,IF($Q49=4,1,0)),IF($F49&lt;=85,1,0))</formula>
    </cfRule>
  </conditionalFormatting>
  <conditionalFormatting sqref="Y49">
    <cfRule type="expression" dxfId="9287" priority="548">
      <formula>AND(IF(OR($Q49=1,$Q49=2),1,0),IF($Y49&lt;=20,1,0))</formula>
    </cfRule>
    <cfRule type="expression" dxfId="9286" priority="549">
      <formula>AND(IF($Q49=2,1,0),IF($Y49&lt;30,1,0))</formula>
    </cfRule>
    <cfRule type="expression" dxfId="9285" priority="550">
      <formula>AND(IF($Q49=3,1,0),IF($Y49&lt;30,1,0))</formula>
    </cfRule>
    <cfRule type="expression" dxfId="9284" priority="551">
      <formula>AND(IF($Q49=3,1,IF($Q49=4,1,0)),IF($F49&lt;=85,1,0))</formula>
    </cfRule>
  </conditionalFormatting>
  <conditionalFormatting sqref="AJ49">
    <cfRule type="expression" dxfId="9283" priority="544">
      <formula>AND(IF(OR($Q49=1,$Q49=2),1,0),IF($Y49&lt;=20,1,0))</formula>
    </cfRule>
    <cfRule type="expression" dxfId="9282" priority="545">
      <formula>AND(IF($Q49=2,1,0),IF($Y49&lt;30,1,0))</formula>
    </cfRule>
    <cfRule type="expression" dxfId="9281" priority="546">
      <formula>AND(IF($Q49=3,1,0),IF($Y49&lt;30,1,0))</formula>
    </cfRule>
    <cfRule type="expression" dxfId="9280" priority="547">
      <formula>AND(IF($Q49=3,1,IF($Q49=4,1,0)),IF($F49&lt;=85,1,0))</formula>
    </cfRule>
  </conditionalFormatting>
  <conditionalFormatting sqref="AW50">
    <cfRule type="expression" dxfId="9279" priority="542">
      <formula>AW50="X"</formula>
    </cfRule>
    <cfRule type="expression" dxfId="9278" priority="543">
      <formula>AW50="후보"</formula>
    </cfRule>
  </conditionalFormatting>
  <conditionalFormatting sqref="AA50">
    <cfRule type="colorScale" priority="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 N50">
    <cfRule type="cellIs" dxfId="9277" priority="539" operator="greaterThan">
      <formula>0.9</formula>
    </cfRule>
    <cfRule type="cellIs" dxfId="9276" priority="540" operator="greaterThan">
      <formula>0.85</formula>
    </cfRule>
  </conditionalFormatting>
  <conditionalFormatting sqref="AW51">
    <cfRule type="expression" dxfId="9275" priority="537">
      <formula>AW51="X"</formula>
    </cfRule>
    <cfRule type="expression" dxfId="9274" priority="538">
      <formula>AW51="후보"</formula>
    </cfRule>
  </conditionalFormatting>
  <conditionalFormatting sqref="AA51">
    <cfRule type="colorScale" priority="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9273" priority="534" operator="greaterThan">
      <formula>0.9</formula>
    </cfRule>
    <cfRule type="cellIs" dxfId="9272" priority="535" operator="greaterThan">
      <formula>0.85</formula>
    </cfRule>
  </conditionalFormatting>
  <conditionalFormatting sqref="N51">
    <cfRule type="cellIs" dxfId="9271" priority="532" operator="greaterThan">
      <formula>0.9</formula>
    </cfRule>
    <cfRule type="cellIs" dxfId="9270" priority="533" operator="greaterThan">
      <formula>0.85</formula>
    </cfRule>
  </conditionalFormatting>
  <conditionalFormatting sqref="E51">
    <cfRule type="expression" dxfId="9269" priority="528">
      <formula>AND(IF(OR($Q51=1,$Q51=2),1,0),IF($E51&lt;=20,1,0))</formula>
    </cfRule>
    <cfRule type="expression" dxfId="9268" priority="529">
      <formula>AND(IF($Q51=2,1,0),IF($E51&lt;30,1,0))</formula>
    </cfRule>
    <cfRule type="expression" dxfId="9267" priority="530">
      <formula>AND(IF($Q51=3,1,0),IF($E51&lt;30,1,0))</formula>
    </cfRule>
    <cfRule type="expression" dxfId="9266" priority="531">
      <formula>AND(IF($Q51=3,1,IF($Q51=4,1,0)),IF($F51&lt;=85,1,0))</formula>
    </cfRule>
  </conditionalFormatting>
  <conditionalFormatting sqref="Y51">
    <cfRule type="expression" dxfId="9265" priority="524">
      <formula>AND(IF(OR($Q51=1,$Q51=2),1,0),IF($Y51&lt;=20,1,0))</formula>
    </cfRule>
    <cfRule type="expression" dxfId="9264" priority="525">
      <formula>AND(IF($Q51=2,1,0),IF($Y51&lt;30,1,0))</formula>
    </cfRule>
    <cfRule type="expression" dxfId="9263" priority="526">
      <formula>AND(IF($Q51=3,1,0),IF($Y51&lt;30,1,0))</formula>
    </cfRule>
    <cfRule type="expression" dxfId="9262" priority="527">
      <formula>AND(IF($Q51=3,1,IF($Q51=4,1,0)),IF($F51&lt;=85,1,0))</formula>
    </cfRule>
  </conditionalFormatting>
  <conditionalFormatting sqref="AJ51">
    <cfRule type="expression" dxfId="9261" priority="520">
      <formula>AND(IF(OR($Q51=1,$Q51=2),1,0),IF($Y51&lt;=20,1,0))</formula>
    </cfRule>
    <cfRule type="expression" dxfId="9260" priority="521">
      <formula>AND(IF($Q51=2,1,0),IF($Y51&lt;30,1,0))</formula>
    </cfRule>
    <cfRule type="expression" dxfId="9259" priority="522">
      <formula>AND(IF($Q51=3,1,0),IF($Y51&lt;30,1,0))</formula>
    </cfRule>
    <cfRule type="expression" dxfId="9258" priority="523">
      <formula>AND(IF($Q51=3,1,IF($Q51=4,1,0)),IF($F51&lt;=85,1,0))</formula>
    </cfRule>
  </conditionalFormatting>
  <conditionalFormatting sqref="AW52">
    <cfRule type="expression" dxfId="9257" priority="518">
      <formula>AW52="X"</formula>
    </cfRule>
    <cfRule type="expression" dxfId="9256" priority="519">
      <formula>AW52="후보"</formula>
    </cfRule>
  </conditionalFormatting>
  <conditionalFormatting sqref="AA52">
    <cfRule type="colorScale" priority="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9255" priority="515" operator="greaterThan">
      <formula>0.9</formula>
    </cfRule>
    <cfRule type="cellIs" dxfId="9254" priority="516" operator="greaterThan">
      <formula>0.85</formula>
    </cfRule>
  </conditionalFormatting>
  <conditionalFormatting sqref="N52">
    <cfRule type="cellIs" dxfId="9253" priority="513" operator="greaterThan">
      <formula>0.9</formula>
    </cfRule>
    <cfRule type="cellIs" dxfId="9252" priority="514" operator="greaterThan">
      <formula>0.85</formula>
    </cfRule>
  </conditionalFormatting>
  <conditionalFormatting sqref="E52">
    <cfRule type="expression" dxfId="9251" priority="509">
      <formula>AND(IF(OR($Q52=1,$Q52=2),1,0),IF($E52&lt;=20,1,0))</formula>
    </cfRule>
    <cfRule type="expression" dxfId="9250" priority="510">
      <formula>AND(IF($Q52=2,1,0),IF($E52&lt;30,1,0))</formula>
    </cfRule>
    <cfRule type="expression" dxfId="9249" priority="511">
      <formula>AND(IF($Q52=3,1,0),IF($E52&lt;30,1,0))</formula>
    </cfRule>
    <cfRule type="expression" dxfId="9248" priority="512">
      <formula>AND(IF($Q52=3,1,IF($Q52=4,1,0)),IF($F52&lt;=85,1,0))</formula>
    </cfRule>
  </conditionalFormatting>
  <conditionalFormatting sqref="Y52">
    <cfRule type="expression" dxfId="9247" priority="505">
      <formula>AND(IF(OR($Q52=1,$Q52=2),1,0),IF($Y52&lt;=20,1,0))</formula>
    </cfRule>
    <cfRule type="expression" dxfId="9246" priority="506">
      <formula>AND(IF($Q52=2,1,0),IF($Y52&lt;30,1,0))</formula>
    </cfRule>
    <cfRule type="expression" dxfId="9245" priority="507">
      <formula>AND(IF($Q52=3,1,0),IF($Y52&lt;30,1,0))</formula>
    </cfRule>
    <cfRule type="expression" dxfId="9244" priority="508">
      <formula>AND(IF($Q52=3,1,IF($Q52=4,1,0)),IF($F52&lt;=85,1,0))</formula>
    </cfRule>
  </conditionalFormatting>
  <conditionalFormatting sqref="AJ52">
    <cfRule type="expression" dxfId="9243" priority="501">
      <formula>AND(IF(OR($Q52=1,$Q52=2),1,0),IF($Y52&lt;=20,1,0))</formula>
    </cfRule>
    <cfRule type="expression" dxfId="9242" priority="502">
      <formula>AND(IF($Q52=2,1,0),IF($Y52&lt;30,1,0))</formula>
    </cfRule>
    <cfRule type="expression" dxfId="9241" priority="503">
      <formula>AND(IF($Q52=3,1,0),IF($Y52&lt;30,1,0))</formula>
    </cfRule>
    <cfRule type="expression" dxfId="9240" priority="504">
      <formula>AND(IF($Q52=3,1,IF($Q52=4,1,0)),IF($F52&lt;=85,1,0))</formula>
    </cfRule>
  </conditionalFormatting>
  <conditionalFormatting sqref="AW53">
    <cfRule type="expression" dxfId="9239" priority="499">
      <formula>AW53="X"</formula>
    </cfRule>
    <cfRule type="expression" dxfId="9238" priority="500">
      <formula>AW53="후보"</formula>
    </cfRule>
  </conditionalFormatting>
  <conditionalFormatting sqref="AA53">
    <cfRule type="colorScale" priority="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9237" priority="496" operator="greaterThan">
      <formula>0.9</formula>
    </cfRule>
    <cfRule type="cellIs" dxfId="9236" priority="497" operator="greaterThan">
      <formula>0.85</formula>
    </cfRule>
  </conditionalFormatting>
  <conditionalFormatting sqref="N53">
    <cfRule type="cellIs" dxfId="9235" priority="494" operator="greaterThan">
      <formula>0.9</formula>
    </cfRule>
    <cfRule type="cellIs" dxfId="9234" priority="495" operator="greaterThan">
      <formula>0.85</formula>
    </cfRule>
  </conditionalFormatting>
  <conditionalFormatting sqref="E53">
    <cfRule type="expression" dxfId="9233" priority="490">
      <formula>AND(IF(OR($Q53=1,$Q53=2),1,0),IF($E53&lt;=20,1,0))</formula>
    </cfRule>
    <cfRule type="expression" dxfId="9232" priority="491">
      <formula>AND(IF($Q53=2,1,0),IF($E53&lt;30,1,0))</formula>
    </cfRule>
    <cfRule type="expression" dxfId="9231" priority="492">
      <formula>AND(IF($Q53=3,1,0),IF($E53&lt;30,1,0))</formula>
    </cfRule>
    <cfRule type="expression" dxfId="9230" priority="493">
      <formula>AND(IF($Q53=3,1,IF($Q53=4,1,0)),IF($F53&lt;=85,1,0))</formula>
    </cfRule>
  </conditionalFormatting>
  <conditionalFormatting sqref="Y53">
    <cfRule type="expression" dxfId="9229" priority="486">
      <formula>AND(IF(OR($Q53=1,$Q53=2),1,0),IF($Y53&lt;=20,1,0))</formula>
    </cfRule>
    <cfRule type="expression" dxfId="9228" priority="487">
      <formula>AND(IF($Q53=2,1,0),IF($Y53&lt;30,1,0))</formula>
    </cfRule>
    <cfRule type="expression" dxfId="9227" priority="488">
      <formula>AND(IF($Q53=3,1,0),IF($Y53&lt;30,1,0))</formula>
    </cfRule>
    <cfRule type="expression" dxfId="9226" priority="489">
      <formula>AND(IF($Q53=3,1,IF($Q53=4,1,0)),IF($F53&lt;=85,1,0))</formula>
    </cfRule>
  </conditionalFormatting>
  <conditionalFormatting sqref="AJ53">
    <cfRule type="expression" dxfId="9225" priority="482">
      <formula>AND(IF(OR($Q53=1,$Q53=2),1,0),IF($Y53&lt;=20,1,0))</formula>
    </cfRule>
    <cfRule type="expression" dxfId="9224" priority="483">
      <formula>AND(IF($Q53=2,1,0),IF($Y53&lt;30,1,0))</formula>
    </cfRule>
    <cfRule type="expression" dxfId="9223" priority="484">
      <formula>AND(IF($Q53=3,1,0),IF($Y53&lt;30,1,0))</formula>
    </cfRule>
    <cfRule type="expression" dxfId="9222" priority="485">
      <formula>AND(IF($Q53=3,1,IF($Q53=4,1,0)),IF($F53&lt;=85,1,0))</formula>
    </cfRule>
  </conditionalFormatting>
  <conditionalFormatting sqref="AW54">
    <cfRule type="expression" dxfId="9221" priority="480">
      <formula>AW54="X"</formula>
    </cfRule>
    <cfRule type="expression" dxfId="9220" priority="481">
      <formula>AW54="후보"</formula>
    </cfRule>
  </conditionalFormatting>
  <conditionalFormatting sqref="AA54">
    <cfRule type="colorScale" priority="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 N54">
    <cfRule type="cellIs" dxfId="9219" priority="477" operator="greaterThan">
      <formula>0.9</formula>
    </cfRule>
    <cfRule type="cellIs" dxfId="9218" priority="478" operator="greaterThan">
      <formula>0.85</formula>
    </cfRule>
  </conditionalFormatting>
  <conditionalFormatting sqref="AW55">
    <cfRule type="expression" dxfId="9217" priority="475">
      <formula>AW55="X"</formula>
    </cfRule>
    <cfRule type="expression" dxfId="9216" priority="476">
      <formula>AW55="후보"</formula>
    </cfRule>
  </conditionalFormatting>
  <conditionalFormatting sqref="AA55">
    <cfRule type="colorScale" priority="4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">
    <cfRule type="cellIs" dxfId="9215" priority="472" operator="greaterThan">
      <formula>0.9</formula>
    </cfRule>
    <cfRule type="cellIs" dxfId="9214" priority="473" operator="greaterThan">
      <formula>0.85</formula>
    </cfRule>
  </conditionalFormatting>
  <conditionalFormatting sqref="N55">
    <cfRule type="cellIs" dxfId="9213" priority="470" operator="greaterThan">
      <formula>0.9</formula>
    </cfRule>
    <cfRule type="cellIs" dxfId="9212" priority="471" operator="greaterThan">
      <formula>0.85</formula>
    </cfRule>
  </conditionalFormatting>
  <conditionalFormatting sqref="E55">
    <cfRule type="expression" dxfId="9211" priority="466">
      <formula>AND(IF(OR($Q55=1,$Q55=2),1,0),IF($E55&lt;=20,1,0))</formula>
    </cfRule>
    <cfRule type="expression" dxfId="9210" priority="467">
      <formula>AND(IF($Q55=2,1,0),IF($E55&lt;30,1,0))</formula>
    </cfRule>
    <cfRule type="expression" dxfId="9209" priority="468">
      <formula>AND(IF($Q55=3,1,0),IF($E55&lt;30,1,0))</formula>
    </cfRule>
    <cfRule type="expression" dxfId="9208" priority="469">
      <formula>AND(IF($Q55=3,1,IF($Q55=4,1,0)),IF($F55&lt;=85,1,0))</formula>
    </cfRule>
  </conditionalFormatting>
  <conditionalFormatting sqref="Y55">
    <cfRule type="expression" dxfId="9207" priority="462">
      <formula>AND(IF(OR($Q55=1,$Q55=2),1,0),IF($Y55&lt;=20,1,0))</formula>
    </cfRule>
    <cfRule type="expression" dxfId="9206" priority="463">
      <formula>AND(IF($Q55=2,1,0),IF($Y55&lt;30,1,0))</formula>
    </cfRule>
    <cfRule type="expression" dxfId="9205" priority="464">
      <formula>AND(IF($Q55=3,1,0),IF($Y55&lt;30,1,0))</formula>
    </cfRule>
    <cfRule type="expression" dxfId="9204" priority="465">
      <formula>AND(IF($Q55=3,1,IF($Q55=4,1,0)),IF($F55&lt;=85,1,0))</formula>
    </cfRule>
  </conditionalFormatting>
  <conditionalFormatting sqref="AJ55">
    <cfRule type="expression" dxfId="9203" priority="458">
      <formula>AND(IF(OR($Q55=1,$Q55=2),1,0),IF($Y55&lt;=20,1,0))</formula>
    </cfRule>
    <cfRule type="expression" dxfId="9202" priority="459">
      <formula>AND(IF($Q55=2,1,0),IF($Y55&lt;30,1,0))</formula>
    </cfRule>
    <cfRule type="expression" dxfId="9201" priority="460">
      <formula>AND(IF($Q55=3,1,0),IF($Y55&lt;30,1,0))</formula>
    </cfRule>
    <cfRule type="expression" dxfId="9200" priority="461">
      <formula>AND(IF($Q55=3,1,IF($Q55=4,1,0)),IF($F55&lt;=85,1,0))</formula>
    </cfRule>
  </conditionalFormatting>
  <conditionalFormatting sqref="AW56">
    <cfRule type="expression" dxfId="9199" priority="456">
      <formula>AW56="X"</formula>
    </cfRule>
    <cfRule type="expression" dxfId="9198" priority="457">
      <formula>AW56="후보"</formula>
    </cfRule>
  </conditionalFormatting>
  <conditionalFormatting sqref="AA56">
    <cfRule type="colorScale" priority="4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9197" priority="453" operator="greaterThan">
      <formula>0.9</formula>
    </cfRule>
    <cfRule type="cellIs" dxfId="9196" priority="454" operator="greaterThan">
      <formula>0.85</formula>
    </cfRule>
  </conditionalFormatting>
  <conditionalFormatting sqref="N56">
    <cfRule type="cellIs" dxfId="9195" priority="451" operator="greaterThan">
      <formula>0.9</formula>
    </cfRule>
    <cfRule type="cellIs" dxfId="9194" priority="452" operator="greaterThan">
      <formula>0.85</formula>
    </cfRule>
  </conditionalFormatting>
  <conditionalFormatting sqref="E56">
    <cfRule type="expression" dxfId="9193" priority="447">
      <formula>AND(IF(OR($Q56=1,$Q56=2),1,0),IF($E56&lt;=20,1,0))</formula>
    </cfRule>
    <cfRule type="expression" dxfId="9192" priority="448">
      <formula>AND(IF($Q56=2,1,0),IF($E56&lt;30,1,0))</formula>
    </cfRule>
    <cfRule type="expression" dxfId="9191" priority="449">
      <formula>AND(IF($Q56=3,1,0),IF($E56&lt;30,1,0))</formula>
    </cfRule>
    <cfRule type="expression" dxfId="9190" priority="450">
      <formula>AND(IF($Q56=3,1,IF($Q56=4,1,0)),IF($F56&lt;=85,1,0))</formula>
    </cfRule>
  </conditionalFormatting>
  <conditionalFormatting sqref="Y56">
    <cfRule type="expression" dxfId="9189" priority="443">
      <formula>AND(IF(OR($Q56=1,$Q56=2),1,0),IF($Y56&lt;=20,1,0))</formula>
    </cfRule>
    <cfRule type="expression" dxfId="9188" priority="444">
      <formula>AND(IF($Q56=2,1,0),IF($Y56&lt;30,1,0))</formula>
    </cfRule>
    <cfRule type="expression" dxfId="9187" priority="445">
      <formula>AND(IF($Q56=3,1,0),IF($Y56&lt;30,1,0))</formula>
    </cfRule>
    <cfRule type="expression" dxfId="9186" priority="446">
      <formula>AND(IF($Q56=3,1,IF($Q56=4,1,0)),IF($F56&lt;=85,1,0))</formula>
    </cfRule>
  </conditionalFormatting>
  <conditionalFormatting sqref="AJ56">
    <cfRule type="expression" dxfId="9185" priority="439">
      <formula>AND(IF(OR($Q56=1,$Q56=2),1,0),IF($Y56&lt;=20,1,0))</formula>
    </cfRule>
    <cfRule type="expression" dxfId="9184" priority="440">
      <formula>AND(IF($Q56=2,1,0),IF($Y56&lt;30,1,0))</formula>
    </cfRule>
    <cfRule type="expression" dxfId="9183" priority="441">
      <formula>AND(IF($Q56=3,1,0),IF($Y56&lt;30,1,0))</formula>
    </cfRule>
    <cfRule type="expression" dxfId="9182" priority="442">
      <formula>AND(IF($Q56=3,1,IF($Q56=4,1,0)),IF($F56&lt;=85,1,0))</formula>
    </cfRule>
  </conditionalFormatting>
  <conditionalFormatting sqref="AW57">
    <cfRule type="expression" dxfId="9181" priority="437">
      <formula>AW57="X"</formula>
    </cfRule>
    <cfRule type="expression" dxfId="9180" priority="438">
      <formula>AW57="후보"</formula>
    </cfRule>
  </conditionalFormatting>
  <conditionalFormatting sqref="AA57">
    <cfRule type="colorScale" priority="4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 N57">
    <cfRule type="cellIs" dxfId="9179" priority="434" operator="greaterThan">
      <formula>0.9</formula>
    </cfRule>
    <cfRule type="cellIs" dxfId="9178" priority="435" operator="greaterThan">
      <formula>0.85</formula>
    </cfRule>
  </conditionalFormatting>
  <conditionalFormatting sqref="AW58">
    <cfRule type="expression" dxfId="9177" priority="432">
      <formula>AW58="X"</formula>
    </cfRule>
    <cfRule type="expression" dxfId="9176" priority="433">
      <formula>AW58="후보"</formula>
    </cfRule>
  </conditionalFormatting>
  <conditionalFormatting sqref="AA58">
    <cfRule type="colorScale" priority="4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">
    <cfRule type="cellIs" dxfId="9175" priority="429" operator="greaterThan">
      <formula>0.9</formula>
    </cfRule>
    <cfRule type="cellIs" dxfId="9174" priority="430" operator="greaterThan">
      <formula>0.85</formula>
    </cfRule>
  </conditionalFormatting>
  <conditionalFormatting sqref="N58">
    <cfRule type="cellIs" dxfId="9173" priority="427" operator="greaterThan">
      <formula>0.9</formula>
    </cfRule>
    <cfRule type="cellIs" dxfId="9172" priority="428" operator="greaterThan">
      <formula>0.85</formula>
    </cfRule>
  </conditionalFormatting>
  <conditionalFormatting sqref="E58">
    <cfRule type="expression" dxfId="9171" priority="423">
      <formula>AND(IF(OR($Q58=1,$Q58=2),1,0),IF($E58&lt;=20,1,0))</formula>
    </cfRule>
    <cfRule type="expression" dxfId="9170" priority="424">
      <formula>AND(IF($Q58=2,1,0),IF($E58&lt;30,1,0))</formula>
    </cfRule>
    <cfRule type="expression" dxfId="9169" priority="425">
      <formula>AND(IF($Q58=3,1,0),IF($E58&lt;30,1,0))</formula>
    </cfRule>
    <cfRule type="expression" dxfId="9168" priority="426">
      <formula>AND(IF($Q58=3,1,IF($Q58=4,1,0)),IF($F58&lt;=85,1,0))</formula>
    </cfRule>
  </conditionalFormatting>
  <conditionalFormatting sqref="Y58">
    <cfRule type="expression" dxfId="9167" priority="419">
      <formula>AND(IF(OR($Q58=1,$Q58=2),1,0),IF($Y58&lt;=20,1,0))</formula>
    </cfRule>
    <cfRule type="expression" dxfId="9166" priority="420">
      <formula>AND(IF($Q58=2,1,0),IF($Y58&lt;30,1,0))</formula>
    </cfRule>
    <cfRule type="expression" dxfId="9165" priority="421">
      <formula>AND(IF($Q58=3,1,0),IF($Y58&lt;30,1,0))</formula>
    </cfRule>
    <cfRule type="expression" dxfId="9164" priority="422">
      <formula>AND(IF($Q58=3,1,IF($Q58=4,1,0)),IF($F58&lt;=85,1,0))</formula>
    </cfRule>
  </conditionalFormatting>
  <conditionalFormatting sqref="AJ58">
    <cfRule type="expression" dxfId="9163" priority="415">
      <formula>AND(IF(OR($Q58=1,$Q58=2),1,0),IF($Y58&lt;=20,1,0))</formula>
    </cfRule>
    <cfRule type="expression" dxfId="9162" priority="416">
      <formula>AND(IF($Q58=2,1,0),IF($Y58&lt;30,1,0))</formula>
    </cfRule>
    <cfRule type="expression" dxfId="9161" priority="417">
      <formula>AND(IF($Q58=3,1,0),IF($Y58&lt;30,1,0))</formula>
    </cfRule>
    <cfRule type="expression" dxfId="9160" priority="418">
      <formula>AND(IF($Q58=3,1,IF($Q58=4,1,0)),IF($F58&lt;=85,1,0))</formula>
    </cfRule>
  </conditionalFormatting>
  <conditionalFormatting sqref="AW59">
    <cfRule type="expression" dxfId="9159" priority="413">
      <formula>AW59="X"</formula>
    </cfRule>
    <cfRule type="expression" dxfId="9158" priority="414">
      <formula>AW59="후보"</formula>
    </cfRule>
  </conditionalFormatting>
  <conditionalFormatting sqref="AA59">
    <cfRule type="colorScale" priority="4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9157" priority="410" operator="greaterThan">
      <formula>0.9</formula>
    </cfRule>
    <cfRule type="cellIs" dxfId="9156" priority="411" operator="greaterThan">
      <formula>0.85</formula>
    </cfRule>
  </conditionalFormatting>
  <conditionalFormatting sqref="N59">
    <cfRule type="cellIs" dxfId="9155" priority="408" operator="greaterThan">
      <formula>0.9</formula>
    </cfRule>
    <cfRule type="cellIs" dxfId="9154" priority="409" operator="greaterThan">
      <formula>0.85</formula>
    </cfRule>
  </conditionalFormatting>
  <conditionalFormatting sqref="E59">
    <cfRule type="expression" dxfId="9153" priority="404">
      <formula>AND(IF(OR($Q59=1,$Q59=2),1,0),IF($E59&lt;=20,1,0))</formula>
    </cfRule>
    <cfRule type="expression" dxfId="9152" priority="405">
      <formula>AND(IF($Q59=2,1,0),IF($E59&lt;30,1,0))</formula>
    </cfRule>
    <cfRule type="expression" dxfId="9151" priority="406">
      <formula>AND(IF($Q59=3,1,0),IF($E59&lt;30,1,0))</formula>
    </cfRule>
    <cfRule type="expression" dxfId="9150" priority="407">
      <formula>AND(IF($Q59=3,1,IF($Q59=4,1,0)),IF($F59&lt;=85,1,0))</formula>
    </cfRule>
  </conditionalFormatting>
  <conditionalFormatting sqref="Y59">
    <cfRule type="expression" dxfId="9149" priority="400">
      <formula>AND(IF(OR($Q59=1,$Q59=2),1,0),IF($Y59&lt;=20,1,0))</formula>
    </cfRule>
    <cfRule type="expression" dxfId="9148" priority="401">
      <formula>AND(IF($Q59=2,1,0),IF($Y59&lt;30,1,0))</formula>
    </cfRule>
    <cfRule type="expression" dxfId="9147" priority="402">
      <formula>AND(IF($Q59=3,1,0),IF($Y59&lt;30,1,0))</formula>
    </cfRule>
    <cfRule type="expression" dxfId="9146" priority="403">
      <formula>AND(IF($Q59=3,1,IF($Q59=4,1,0)),IF($F59&lt;=85,1,0))</formula>
    </cfRule>
  </conditionalFormatting>
  <conditionalFormatting sqref="AJ59">
    <cfRule type="expression" dxfId="9145" priority="396">
      <formula>AND(IF(OR($Q59=1,$Q59=2),1,0),IF($Y59&lt;=20,1,0))</formula>
    </cfRule>
    <cfRule type="expression" dxfId="9144" priority="397">
      <formula>AND(IF($Q59=2,1,0),IF($Y59&lt;30,1,0))</formula>
    </cfRule>
    <cfRule type="expression" dxfId="9143" priority="398">
      <formula>AND(IF($Q59=3,1,0),IF($Y59&lt;30,1,0))</formula>
    </cfRule>
    <cfRule type="expression" dxfId="9142" priority="399">
      <formula>AND(IF($Q59=3,1,IF($Q59=4,1,0)),IF($F59&lt;=85,1,0))</formula>
    </cfRule>
  </conditionalFormatting>
  <conditionalFormatting sqref="AW60">
    <cfRule type="expression" dxfId="9141" priority="394">
      <formula>AW60="X"</formula>
    </cfRule>
    <cfRule type="expression" dxfId="9140" priority="395">
      <formula>AW60="후보"</formula>
    </cfRule>
  </conditionalFormatting>
  <conditionalFormatting sqref="AA60">
    <cfRule type="colorScale" priority="3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9139" priority="391" operator="greaterThan">
      <formula>0.9</formula>
    </cfRule>
    <cfRule type="cellIs" dxfId="9138" priority="392" operator="greaterThan">
      <formula>0.85</formula>
    </cfRule>
  </conditionalFormatting>
  <conditionalFormatting sqref="N60">
    <cfRule type="cellIs" dxfId="9137" priority="389" operator="greaterThan">
      <formula>0.9</formula>
    </cfRule>
    <cfRule type="cellIs" dxfId="9136" priority="390" operator="greaterThan">
      <formula>0.85</formula>
    </cfRule>
  </conditionalFormatting>
  <conditionalFormatting sqref="E60">
    <cfRule type="expression" dxfId="9135" priority="385">
      <formula>AND(IF(OR($Q60=1,$Q60=2),1,0),IF($E60&lt;=20,1,0))</formula>
    </cfRule>
    <cfRule type="expression" dxfId="9134" priority="386">
      <formula>AND(IF($Q60=2,1,0),IF($E60&lt;30,1,0))</formula>
    </cfRule>
    <cfRule type="expression" dxfId="9133" priority="387">
      <formula>AND(IF($Q60=3,1,0),IF($E60&lt;30,1,0))</formula>
    </cfRule>
    <cfRule type="expression" dxfId="9132" priority="388">
      <formula>AND(IF($Q60=3,1,IF($Q60=4,1,0)),IF($F60&lt;=85,1,0))</formula>
    </cfRule>
  </conditionalFormatting>
  <conditionalFormatting sqref="Y60">
    <cfRule type="expression" dxfId="9131" priority="381">
      <formula>AND(IF(OR($Q60=1,$Q60=2),1,0),IF($Y60&lt;=20,1,0))</formula>
    </cfRule>
    <cfRule type="expression" dxfId="9130" priority="382">
      <formula>AND(IF($Q60=2,1,0),IF($Y60&lt;30,1,0))</formula>
    </cfRule>
    <cfRule type="expression" dxfId="9129" priority="383">
      <formula>AND(IF($Q60=3,1,0),IF($Y60&lt;30,1,0))</formula>
    </cfRule>
    <cfRule type="expression" dxfId="9128" priority="384">
      <formula>AND(IF($Q60=3,1,IF($Q60=4,1,0)),IF($F60&lt;=85,1,0))</formula>
    </cfRule>
  </conditionalFormatting>
  <conditionalFormatting sqref="AJ60">
    <cfRule type="expression" dxfId="9127" priority="377">
      <formula>AND(IF(OR($Q60=1,$Q60=2),1,0),IF($Y60&lt;=20,1,0))</formula>
    </cfRule>
    <cfRule type="expression" dxfId="9126" priority="378">
      <formula>AND(IF($Q60=2,1,0),IF($Y60&lt;30,1,0))</formula>
    </cfRule>
    <cfRule type="expression" dxfId="9125" priority="379">
      <formula>AND(IF($Q60=3,1,0),IF($Y60&lt;30,1,0))</formula>
    </cfRule>
    <cfRule type="expression" dxfId="9124" priority="380">
      <formula>AND(IF($Q60=3,1,IF($Q60=4,1,0)),IF($F60&lt;=85,1,0))</formula>
    </cfRule>
  </conditionalFormatting>
  <conditionalFormatting sqref="AW61">
    <cfRule type="expression" dxfId="9123" priority="375">
      <formula>AW61="X"</formula>
    </cfRule>
    <cfRule type="expression" dxfId="9122" priority="376">
      <formula>AW61="후보"</formula>
    </cfRule>
  </conditionalFormatting>
  <conditionalFormatting sqref="AA61">
    <cfRule type="colorScale" priority="3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 N61">
    <cfRule type="cellIs" dxfId="9121" priority="372" operator="greaterThan">
      <formula>0.9</formula>
    </cfRule>
    <cfRule type="cellIs" dxfId="9120" priority="373" operator="greaterThan">
      <formula>0.85</formula>
    </cfRule>
  </conditionalFormatting>
  <conditionalFormatting sqref="AW62">
    <cfRule type="expression" dxfId="9119" priority="370">
      <formula>AW62="X"</formula>
    </cfRule>
    <cfRule type="expression" dxfId="9118" priority="371">
      <formula>AW62="후보"</formula>
    </cfRule>
  </conditionalFormatting>
  <conditionalFormatting sqref="AA62">
    <cfRule type="colorScale" priority="3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9117" priority="367" operator="greaterThan">
      <formula>0.9</formula>
    </cfRule>
    <cfRule type="cellIs" dxfId="9116" priority="368" operator="greaterThan">
      <formula>0.85</formula>
    </cfRule>
  </conditionalFormatting>
  <conditionalFormatting sqref="N62">
    <cfRule type="cellIs" dxfId="9115" priority="365" operator="greaterThan">
      <formula>0.9</formula>
    </cfRule>
    <cfRule type="cellIs" dxfId="9114" priority="366" operator="greaterThan">
      <formula>0.85</formula>
    </cfRule>
  </conditionalFormatting>
  <conditionalFormatting sqref="E62">
    <cfRule type="expression" dxfId="9113" priority="361">
      <formula>AND(IF(OR($Q62=1,$Q62=2),1,0),IF($E62&lt;=20,1,0))</formula>
    </cfRule>
    <cfRule type="expression" dxfId="9112" priority="362">
      <formula>AND(IF($Q62=2,1,0),IF($E62&lt;30,1,0))</formula>
    </cfRule>
    <cfRule type="expression" dxfId="9111" priority="363">
      <formula>AND(IF($Q62=3,1,0),IF($E62&lt;30,1,0))</formula>
    </cfRule>
    <cfRule type="expression" dxfId="9110" priority="364">
      <formula>AND(IF($Q62=3,1,IF($Q62=4,1,0)),IF($F62&lt;=85,1,0))</formula>
    </cfRule>
  </conditionalFormatting>
  <conditionalFormatting sqref="Y62">
    <cfRule type="expression" dxfId="9109" priority="357">
      <formula>AND(IF(OR($Q62=1,$Q62=2),1,0),IF($Y62&lt;=20,1,0))</formula>
    </cfRule>
    <cfRule type="expression" dxfId="9108" priority="358">
      <formula>AND(IF($Q62=2,1,0),IF($Y62&lt;30,1,0))</formula>
    </cfRule>
    <cfRule type="expression" dxfId="9107" priority="359">
      <formula>AND(IF($Q62=3,1,0),IF($Y62&lt;30,1,0))</formula>
    </cfRule>
    <cfRule type="expression" dxfId="9106" priority="360">
      <formula>AND(IF($Q62=3,1,IF($Q62=4,1,0)),IF($F62&lt;=85,1,0))</formula>
    </cfRule>
  </conditionalFormatting>
  <conditionalFormatting sqref="AJ62">
    <cfRule type="expression" dxfId="9105" priority="353">
      <formula>AND(IF(OR($Q62=1,$Q62=2),1,0),IF($Y62&lt;=20,1,0))</formula>
    </cfRule>
    <cfRule type="expression" dxfId="9104" priority="354">
      <formula>AND(IF($Q62=2,1,0),IF($Y62&lt;30,1,0))</formula>
    </cfRule>
    <cfRule type="expression" dxfId="9103" priority="355">
      <formula>AND(IF($Q62=3,1,0),IF($Y62&lt;30,1,0))</formula>
    </cfRule>
    <cfRule type="expression" dxfId="9102" priority="356">
      <formula>AND(IF($Q62=3,1,IF($Q62=4,1,0)),IF($F62&lt;=85,1,0))</formula>
    </cfRule>
  </conditionalFormatting>
  <conditionalFormatting sqref="AW63">
    <cfRule type="expression" dxfId="9101" priority="351">
      <formula>AW63="X"</formula>
    </cfRule>
    <cfRule type="expression" dxfId="9100" priority="352">
      <formula>AW63="후보"</formula>
    </cfRule>
  </conditionalFormatting>
  <conditionalFormatting sqref="AA63">
    <cfRule type="colorScale" priority="3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9099" priority="348" operator="greaterThan">
      <formula>0.9</formula>
    </cfRule>
    <cfRule type="cellIs" dxfId="9098" priority="349" operator="greaterThan">
      <formula>0.85</formula>
    </cfRule>
  </conditionalFormatting>
  <conditionalFormatting sqref="N63">
    <cfRule type="cellIs" dxfId="9097" priority="346" operator="greaterThan">
      <formula>0.9</formula>
    </cfRule>
    <cfRule type="cellIs" dxfId="9096" priority="347" operator="greaterThan">
      <formula>0.85</formula>
    </cfRule>
  </conditionalFormatting>
  <conditionalFormatting sqref="E63">
    <cfRule type="expression" dxfId="9095" priority="342">
      <formula>AND(IF(OR($Q63=1,$Q63=2),1,0),IF($E63&lt;=20,1,0))</formula>
    </cfRule>
    <cfRule type="expression" dxfId="9094" priority="343">
      <formula>AND(IF($Q63=2,1,0),IF($E63&lt;30,1,0))</formula>
    </cfRule>
    <cfRule type="expression" dxfId="9093" priority="344">
      <formula>AND(IF($Q63=3,1,0),IF($E63&lt;30,1,0))</formula>
    </cfRule>
    <cfRule type="expression" dxfId="9092" priority="345">
      <formula>AND(IF($Q63=3,1,IF($Q63=4,1,0)),IF($F63&lt;=85,1,0))</formula>
    </cfRule>
  </conditionalFormatting>
  <conditionalFormatting sqref="Y63">
    <cfRule type="expression" dxfId="9091" priority="338">
      <formula>AND(IF(OR($Q63=1,$Q63=2),1,0),IF($Y63&lt;=20,1,0))</formula>
    </cfRule>
    <cfRule type="expression" dxfId="9090" priority="339">
      <formula>AND(IF($Q63=2,1,0),IF($Y63&lt;30,1,0))</formula>
    </cfRule>
    <cfRule type="expression" dxfId="9089" priority="340">
      <formula>AND(IF($Q63=3,1,0),IF($Y63&lt;30,1,0))</formula>
    </cfRule>
    <cfRule type="expression" dxfId="9088" priority="341">
      <formula>AND(IF($Q63=3,1,IF($Q63=4,1,0)),IF($F63&lt;=85,1,0))</formula>
    </cfRule>
  </conditionalFormatting>
  <conditionalFormatting sqref="AJ63">
    <cfRule type="expression" dxfId="9087" priority="334">
      <formula>AND(IF(OR($Q63=1,$Q63=2),1,0),IF($Y63&lt;=20,1,0))</formula>
    </cfRule>
    <cfRule type="expression" dxfId="9086" priority="335">
      <formula>AND(IF($Q63=2,1,0),IF($Y63&lt;30,1,0))</formula>
    </cfRule>
    <cfRule type="expression" dxfId="9085" priority="336">
      <formula>AND(IF($Q63=3,1,0),IF($Y63&lt;30,1,0))</formula>
    </cfRule>
    <cfRule type="expression" dxfId="9084" priority="337">
      <formula>AND(IF($Q63=3,1,IF($Q63=4,1,0)),IF($F63&lt;=85,1,0))</formula>
    </cfRule>
  </conditionalFormatting>
  <conditionalFormatting sqref="AW64">
    <cfRule type="expression" dxfId="9083" priority="332">
      <formula>AW64="X"</formula>
    </cfRule>
    <cfRule type="expression" dxfId="9082" priority="333">
      <formula>AW64="후보"</formula>
    </cfRule>
  </conditionalFormatting>
  <conditionalFormatting sqref="AA64">
    <cfRule type="colorScale" priority="3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9081" priority="329" operator="greaterThan">
      <formula>0.9</formula>
    </cfRule>
    <cfRule type="cellIs" dxfId="9080" priority="330" operator="greaterThan">
      <formula>0.85</formula>
    </cfRule>
  </conditionalFormatting>
  <conditionalFormatting sqref="N64">
    <cfRule type="cellIs" dxfId="9079" priority="327" operator="greaterThan">
      <formula>0.9</formula>
    </cfRule>
    <cfRule type="cellIs" dxfId="9078" priority="328" operator="greaterThan">
      <formula>0.85</formula>
    </cfRule>
  </conditionalFormatting>
  <conditionalFormatting sqref="E64">
    <cfRule type="expression" dxfId="9077" priority="323">
      <formula>AND(IF(OR($Q64=1,$Q64=2),1,0),IF($E64&lt;=20,1,0))</formula>
    </cfRule>
    <cfRule type="expression" dxfId="9076" priority="324">
      <formula>AND(IF($Q64=2,1,0),IF($E64&lt;30,1,0))</formula>
    </cfRule>
    <cfRule type="expression" dxfId="9075" priority="325">
      <formula>AND(IF($Q64=3,1,0),IF($E64&lt;30,1,0))</formula>
    </cfRule>
    <cfRule type="expression" dxfId="9074" priority="326">
      <formula>AND(IF($Q64=3,1,IF($Q64=4,1,0)),IF($F64&lt;=85,1,0))</formula>
    </cfRule>
  </conditionalFormatting>
  <conditionalFormatting sqref="Y64">
    <cfRule type="expression" dxfId="9073" priority="319">
      <formula>AND(IF(OR($Q64=1,$Q64=2),1,0),IF($Y64&lt;=20,1,0))</formula>
    </cfRule>
    <cfRule type="expression" dxfId="9072" priority="320">
      <formula>AND(IF($Q64=2,1,0),IF($Y64&lt;30,1,0))</formula>
    </cfRule>
    <cfRule type="expression" dxfId="9071" priority="321">
      <formula>AND(IF($Q64=3,1,0),IF($Y64&lt;30,1,0))</formula>
    </cfRule>
    <cfRule type="expression" dxfId="9070" priority="322">
      <formula>AND(IF($Q64=3,1,IF($Q64=4,1,0)),IF($F64&lt;=85,1,0))</formula>
    </cfRule>
  </conditionalFormatting>
  <conditionalFormatting sqref="AJ64">
    <cfRule type="expression" dxfId="9069" priority="315">
      <formula>AND(IF(OR($Q64=1,$Q64=2),1,0),IF($Y64&lt;=20,1,0))</formula>
    </cfRule>
    <cfRule type="expression" dxfId="9068" priority="316">
      <formula>AND(IF($Q64=2,1,0),IF($Y64&lt;30,1,0))</formula>
    </cfRule>
    <cfRule type="expression" dxfId="9067" priority="317">
      <formula>AND(IF($Q64=3,1,0),IF($Y64&lt;30,1,0))</formula>
    </cfRule>
    <cfRule type="expression" dxfId="9066" priority="318">
      <formula>AND(IF($Q64=3,1,IF($Q64=4,1,0)),IF($F64&lt;=85,1,0))</formula>
    </cfRule>
  </conditionalFormatting>
  <conditionalFormatting sqref="AW65">
    <cfRule type="expression" dxfId="9065" priority="313">
      <formula>AW65="X"</formula>
    </cfRule>
    <cfRule type="expression" dxfId="9064" priority="314">
      <formula>AW65="후보"</formula>
    </cfRule>
  </conditionalFormatting>
  <conditionalFormatting sqref="AA65">
    <cfRule type="colorScale" priority="3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9063" priority="310" operator="greaterThan">
      <formula>0.9</formula>
    </cfRule>
    <cfRule type="cellIs" dxfId="9062" priority="311" operator="greaterThan">
      <formula>0.85</formula>
    </cfRule>
  </conditionalFormatting>
  <conditionalFormatting sqref="N65">
    <cfRule type="cellIs" dxfId="9061" priority="308" operator="greaterThan">
      <formula>0.9</formula>
    </cfRule>
    <cfRule type="cellIs" dxfId="9060" priority="309" operator="greaterThan">
      <formula>0.85</formula>
    </cfRule>
  </conditionalFormatting>
  <conditionalFormatting sqref="E65">
    <cfRule type="expression" dxfId="9059" priority="304">
      <formula>AND(IF(OR($Q65=1,$Q65=2),1,0),IF($E65&lt;=20,1,0))</formula>
    </cfRule>
    <cfRule type="expression" dxfId="9058" priority="305">
      <formula>AND(IF($Q65=2,1,0),IF($E65&lt;30,1,0))</formula>
    </cfRule>
    <cfRule type="expression" dxfId="9057" priority="306">
      <formula>AND(IF($Q65=3,1,0),IF($E65&lt;30,1,0))</formula>
    </cfRule>
    <cfRule type="expression" dxfId="9056" priority="307">
      <formula>AND(IF($Q65=3,1,IF($Q65=4,1,0)),IF($F65&lt;=85,1,0))</formula>
    </cfRule>
  </conditionalFormatting>
  <conditionalFormatting sqref="Y65">
    <cfRule type="expression" dxfId="9055" priority="300">
      <formula>AND(IF(OR($Q65=1,$Q65=2),1,0),IF($Y65&lt;=20,1,0))</formula>
    </cfRule>
    <cfRule type="expression" dxfId="9054" priority="301">
      <formula>AND(IF($Q65=2,1,0),IF($Y65&lt;30,1,0))</formula>
    </cfRule>
    <cfRule type="expression" dxfId="9053" priority="302">
      <formula>AND(IF($Q65=3,1,0),IF($Y65&lt;30,1,0))</formula>
    </cfRule>
    <cfRule type="expression" dxfId="9052" priority="303">
      <formula>AND(IF($Q65=3,1,IF($Q65=4,1,0)),IF($F65&lt;=85,1,0))</formula>
    </cfRule>
  </conditionalFormatting>
  <conditionalFormatting sqref="AJ65">
    <cfRule type="expression" dxfId="9051" priority="296">
      <formula>AND(IF(OR($Q65=1,$Q65=2),1,0),IF($Y65&lt;=20,1,0))</formula>
    </cfRule>
    <cfRule type="expression" dxfId="9050" priority="297">
      <formula>AND(IF($Q65=2,1,0),IF($Y65&lt;30,1,0))</formula>
    </cfRule>
    <cfRule type="expression" dxfId="9049" priority="298">
      <formula>AND(IF($Q65=3,1,0),IF($Y65&lt;30,1,0))</formula>
    </cfRule>
    <cfRule type="expression" dxfId="9048" priority="299">
      <formula>AND(IF($Q65=3,1,IF($Q65=4,1,0)),IF($F65&lt;=85,1,0))</formula>
    </cfRule>
  </conditionalFormatting>
  <conditionalFormatting sqref="AW66">
    <cfRule type="expression" dxfId="9047" priority="294">
      <formula>AW66="X"</formula>
    </cfRule>
    <cfRule type="expression" dxfId="9046" priority="295">
      <formula>AW66="후보"</formula>
    </cfRule>
  </conditionalFormatting>
  <conditionalFormatting sqref="AA66">
    <cfRule type="colorScale" priority="2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9045" priority="291" operator="greaterThan">
      <formula>0.9</formula>
    </cfRule>
    <cfRule type="cellIs" dxfId="9044" priority="292" operator="greaterThan">
      <formula>0.85</formula>
    </cfRule>
  </conditionalFormatting>
  <conditionalFormatting sqref="N66">
    <cfRule type="cellIs" dxfId="9043" priority="289" operator="greaterThan">
      <formula>0.9</formula>
    </cfRule>
    <cfRule type="cellIs" dxfId="9042" priority="290" operator="greaterThan">
      <formula>0.85</formula>
    </cfRule>
  </conditionalFormatting>
  <conditionalFormatting sqref="E66">
    <cfRule type="expression" dxfId="9041" priority="285">
      <formula>AND(IF(OR($Q66=1,$Q66=2),1,0),IF($E66&lt;=20,1,0))</formula>
    </cfRule>
    <cfRule type="expression" dxfId="9040" priority="286">
      <formula>AND(IF($Q66=2,1,0),IF($E66&lt;30,1,0))</formula>
    </cfRule>
    <cfRule type="expression" dxfId="9039" priority="287">
      <formula>AND(IF($Q66=3,1,0),IF($E66&lt;30,1,0))</formula>
    </cfRule>
    <cfRule type="expression" dxfId="9038" priority="288">
      <formula>AND(IF($Q66=3,1,IF($Q66=4,1,0)),IF($F66&lt;=85,1,0))</formula>
    </cfRule>
  </conditionalFormatting>
  <conditionalFormatting sqref="Y66">
    <cfRule type="expression" dxfId="9037" priority="281">
      <formula>AND(IF(OR($Q66=1,$Q66=2),1,0),IF($Y66&lt;=20,1,0))</formula>
    </cfRule>
    <cfRule type="expression" dxfId="9036" priority="282">
      <formula>AND(IF($Q66=2,1,0),IF($Y66&lt;30,1,0))</formula>
    </cfRule>
    <cfRule type="expression" dxfId="9035" priority="283">
      <formula>AND(IF($Q66=3,1,0),IF($Y66&lt;30,1,0))</formula>
    </cfRule>
    <cfRule type="expression" dxfId="9034" priority="284">
      <formula>AND(IF($Q66=3,1,IF($Q66=4,1,0)),IF($F66&lt;=85,1,0))</formula>
    </cfRule>
  </conditionalFormatting>
  <conditionalFormatting sqref="AJ66">
    <cfRule type="expression" dxfId="9033" priority="277">
      <formula>AND(IF(OR($Q66=1,$Q66=2),1,0),IF($Y66&lt;=20,1,0))</formula>
    </cfRule>
    <cfRule type="expression" dxfId="9032" priority="278">
      <formula>AND(IF($Q66=2,1,0),IF($Y66&lt;30,1,0))</formula>
    </cfRule>
    <cfRule type="expression" dxfId="9031" priority="279">
      <formula>AND(IF($Q66=3,1,0),IF($Y66&lt;30,1,0))</formula>
    </cfRule>
    <cfRule type="expression" dxfId="9030" priority="280">
      <formula>AND(IF($Q66=3,1,IF($Q66=4,1,0)),IF($F66&lt;=85,1,0))</formula>
    </cfRule>
  </conditionalFormatting>
  <conditionalFormatting sqref="AW67">
    <cfRule type="expression" dxfId="9029" priority="275">
      <formula>AW67="X"</formula>
    </cfRule>
    <cfRule type="expression" dxfId="9028" priority="276">
      <formula>AW67="후보"</formula>
    </cfRule>
  </conditionalFormatting>
  <conditionalFormatting sqref="AA67">
    <cfRule type="colorScale" priority="2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 N67">
    <cfRule type="cellIs" dxfId="9027" priority="272" operator="greaterThan">
      <formula>0.9</formula>
    </cfRule>
    <cfRule type="cellIs" dxfId="9026" priority="273" operator="greaterThan">
      <formula>0.85</formula>
    </cfRule>
  </conditionalFormatting>
  <conditionalFormatting sqref="AW68">
    <cfRule type="expression" dxfId="9025" priority="270">
      <formula>AW68="X"</formula>
    </cfRule>
    <cfRule type="expression" dxfId="9024" priority="271">
      <formula>AW68="후보"</formula>
    </cfRule>
  </conditionalFormatting>
  <conditionalFormatting sqref="AA68">
    <cfRule type="colorScale" priority="2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">
    <cfRule type="cellIs" dxfId="9023" priority="267" operator="greaterThan">
      <formula>0.9</formula>
    </cfRule>
    <cfRule type="cellIs" dxfId="9022" priority="268" operator="greaterThan">
      <formula>0.85</formula>
    </cfRule>
  </conditionalFormatting>
  <conditionalFormatting sqref="N68">
    <cfRule type="cellIs" dxfId="9021" priority="265" operator="greaterThan">
      <formula>0.9</formula>
    </cfRule>
    <cfRule type="cellIs" dxfId="9020" priority="266" operator="greaterThan">
      <formula>0.85</formula>
    </cfRule>
  </conditionalFormatting>
  <conditionalFormatting sqref="E68">
    <cfRule type="expression" dxfId="9019" priority="261">
      <formula>AND(IF(OR($Q68=1,$Q68=2),1,0),IF($E68&lt;=20,1,0))</formula>
    </cfRule>
    <cfRule type="expression" dxfId="9018" priority="262">
      <formula>AND(IF($Q68=2,1,0),IF($E68&lt;30,1,0))</formula>
    </cfRule>
    <cfRule type="expression" dxfId="9017" priority="263">
      <formula>AND(IF($Q68=3,1,0),IF($E68&lt;30,1,0))</formula>
    </cfRule>
    <cfRule type="expression" dxfId="9016" priority="264">
      <formula>AND(IF($Q68=3,1,IF($Q68=4,1,0)),IF($F68&lt;=85,1,0))</formula>
    </cfRule>
  </conditionalFormatting>
  <conditionalFormatting sqref="Y68">
    <cfRule type="expression" dxfId="9015" priority="257">
      <formula>AND(IF(OR($Q68=1,$Q68=2),1,0),IF($Y68&lt;=20,1,0))</formula>
    </cfRule>
    <cfRule type="expression" dxfId="9014" priority="258">
      <formula>AND(IF($Q68=2,1,0),IF($Y68&lt;30,1,0))</formula>
    </cfRule>
    <cfRule type="expression" dxfId="9013" priority="259">
      <formula>AND(IF($Q68=3,1,0),IF($Y68&lt;30,1,0))</formula>
    </cfRule>
    <cfRule type="expression" dxfId="9012" priority="260">
      <formula>AND(IF($Q68=3,1,IF($Q68=4,1,0)),IF($F68&lt;=85,1,0))</formula>
    </cfRule>
  </conditionalFormatting>
  <conditionalFormatting sqref="AJ68">
    <cfRule type="expression" dxfId="9011" priority="253">
      <formula>AND(IF(OR($Q68=1,$Q68=2),1,0),IF($Y68&lt;=20,1,0))</formula>
    </cfRule>
    <cfRule type="expression" dxfId="9010" priority="254">
      <formula>AND(IF($Q68=2,1,0),IF($Y68&lt;30,1,0))</formula>
    </cfRule>
    <cfRule type="expression" dxfId="9009" priority="255">
      <formula>AND(IF($Q68=3,1,0),IF($Y68&lt;30,1,0))</formula>
    </cfRule>
    <cfRule type="expression" dxfId="9008" priority="256">
      <formula>AND(IF($Q68=3,1,IF($Q68=4,1,0)),IF($F68&lt;=85,1,0))</formula>
    </cfRule>
  </conditionalFormatting>
  <conditionalFormatting sqref="AW69">
    <cfRule type="expression" dxfId="9007" priority="251">
      <formula>AW69="X"</formula>
    </cfRule>
    <cfRule type="expression" dxfId="9006" priority="252">
      <formula>AW69="후보"</formula>
    </cfRule>
  </conditionalFormatting>
  <conditionalFormatting sqref="AA69">
    <cfRule type="colorScale" priority="2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">
    <cfRule type="cellIs" dxfId="9005" priority="248" operator="greaterThan">
      <formula>0.9</formula>
    </cfRule>
    <cfRule type="cellIs" dxfId="9004" priority="249" operator="greaterThan">
      <formula>0.85</formula>
    </cfRule>
  </conditionalFormatting>
  <conditionalFormatting sqref="N69">
    <cfRule type="cellIs" dxfId="9003" priority="246" operator="greaterThan">
      <formula>0.9</formula>
    </cfRule>
    <cfRule type="cellIs" dxfId="9002" priority="247" operator="greaterThan">
      <formula>0.85</formula>
    </cfRule>
  </conditionalFormatting>
  <conditionalFormatting sqref="E69">
    <cfRule type="expression" dxfId="9001" priority="242">
      <formula>AND(IF(OR($Q69=1,$Q69=2),1,0),IF($E69&lt;=20,1,0))</formula>
    </cfRule>
    <cfRule type="expression" dxfId="9000" priority="243">
      <formula>AND(IF($Q69=2,1,0),IF($E69&lt;30,1,0))</formula>
    </cfRule>
    <cfRule type="expression" dxfId="8999" priority="244">
      <formula>AND(IF($Q69=3,1,0),IF($E69&lt;30,1,0))</formula>
    </cfRule>
    <cfRule type="expression" dxfId="8998" priority="245">
      <formula>AND(IF($Q69=3,1,IF($Q69=4,1,0)),IF($F69&lt;=85,1,0))</formula>
    </cfRule>
  </conditionalFormatting>
  <conditionalFormatting sqref="Y69">
    <cfRule type="expression" dxfId="8997" priority="238">
      <formula>AND(IF(OR($Q69=1,$Q69=2),1,0),IF($Y69&lt;=20,1,0))</formula>
    </cfRule>
    <cfRule type="expression" dxfId="8996" priority="239">
      <formula>AND(IF($Q69=2,1,0),IF($Y69&lt;30,1,0))</formula>
    </cfRule>
    <cfRule type="expression" dxfId="8995" priority="240">
      <formula>AND(IF($Q69=3,1,0),IF($Y69&lt;30,1,0))</formula>
    </cfRule>
    <cfRule type="expression" dxfId="8994" priority="241">
      <formula>AND(IF($Q69=3,1,IF($Q69=4,1,0)),IF($F69&lt;=85,1,0))</formula>
    </cfRule>
  </conditionalFormatting>
  <conditionalFormatting sqref="AJ69">
    <cfRule type="expression" dxfId="8993" priority="234">
      <formula>AND(IF(OR($Q69=1,$Q69=2),1,0),IF($Y69&lt;=20,1,0))</formula>
    </cfRule>
    <cfRule type="expression" dxfId="8992" priority="235">
      <formula>AND(IF($Q69=2,1,0),IF($Y69&lt;30,1,0))</formula>
    </cfRule>
    <cfRule type="expression" dxfId="8991" priority="236">
      <formula>AND(IF($Q69=3,1,0),IF($Y69&lt;30,1,0))</formula>
    </cfRule>
    <cfRule type="expression" dxfId="8990" priority="237">
      <formula>AND(IF($Q69=3,1,IF($Q69=4,1,0)),IF($F69&lt;=85,1,0))</formula>
    </cfRule>
  </conditionalFormatting>
  <conditionalFormatting sqref="AW70">
    <cfRule type="expression" dxfId="8989" priority="232">
      <formula>AW70="X"</formula>
    </cfRule>
    <cfRule type="expression" dxfId="8988" priority="233">
      <formula>AW70="후보"</formula>
    </cfRule>
  </conditionalFormatting>
  <conditionalFormatting sqref="AA70">
    <cfRule type="colorScale" priority="2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 N70">
    <cfRule type="cellIs" dxfId="8987" priority="229" operator="greaterThan">
      <formula>0.9</formula>
    </cfRule>
    <cfRule type="cellIs" dxfId="8986" priority="230" operator="greaterThan">
      <formula>0.85</formula>
    </cfRule>
  </conditionalFormatting>
  <conditionalFormatting sqref="AW71">
    <cfRule type="expression" dxfId="8985" priority="227">
      <formula>AW71="X"</formula>
    </cfRule>
    <cfRule type="expression" dxfId="8984" priority="228">
      <formula>AW71="후보"</formula>
    </cfRule>
  </conditionalFormatting>
  <conditionalFormatting sqref="AA71">
    <cfRule type="colorScale" priority="2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8983" priority="224" operator="greaterThan">
      <formula>0.9</formula>
    </cfRule>
    <cfRule type="cellIs" dxfId="8982" priority="225" operator="greaterThan">
      <formula>0.85</formula>
    </cfRule>
  </conditionalFormatting>
  <conditionalFormatting sqref="N71">
    <cfRule type="cellIs" dxfId="8981" priority="222" operator="greaterThan">
      <formula>0.9</formula>
    </cfRule>
    <cfRule type="cellIs" dxfId="8980" priority="223" operator="greaterThan">
      <formula>0.85</formula>
    </cfRule>
  </conditionalFormatting>
  <conditionalFormatting sqref="E71">
    <cfRule type="expression" dxfId="8979" priority="218">
      <formula>AND(IF(OR($Q71=1,$Q71=2),1,0),IF($E71&lt;=20,1,0))</formula>
    </cfRule>
    <cfRule type="expression" dxfId="8978" priority="219">
      <formula>AND(IF($Q71=2,1,0),IF($E71&lt;30,1,0))</formula>
    </cfRule>
    <cfRule type="expression" dxfId="8977" priority="220">
      <formula>AND(IF($Q71=3,1,0),IF($E71&lt;30,1,0))</formula>
    </cfRule>
    <cfRule type="expression" dxfId="8976" priority="221">
      <formula>AND(IF($Q71=3,1,IF($Q71=4,1,0)),IF($F71&lt;=85,1,0))</formula>
    </cfRule>
  </conditionalFormatting>
  <conditionalFormatting sqref="Y71">
    <cfRule type="expression" dxfId="8975" priority="214">
      <formula>AND(IF(OR($Q71=1,$Q71=2),1,0),IF($Y71&lt;=20,1,0))</formula>
    </cfRule>
    <cfRule type="expression" dxfId="8974" priority="215">
      <formula>AND(IF($Q71=2,1,0),IF($Y71&lt;30,1,0))</formula>
    </cfRule>
    <cfRule type="expression" dxfId="8973" priority="216">
      <formula>AND(IF($Q71=3,1,0),IF($Y71&lt;30,1,0))</formula>
    </cfRule>
    <cfRule type="expression" dxfId="8972" priority="217">
      <formula>AND(IF($Q71=3,1,IF($Q71=4,1,0)),IF($F71&lt;=85,1,0))</formula>
    </cfRule>
  </conditionalFormatting>
  <conditionalFormatting sqref="AJ71">
    <cfRule type="expression" dxfId="8971" priority="210">
      <formula>AND(IF(OR($Q71=1,$Q71=2),1,0),IF($Y71&lt;=20,1,0))</formula>
    </cfRule>
    <cfRule type="expression" dxfId="8970" priority="211">
      <formula>AND(IF($Q71=2,1,0),IF($Y71&lt;30,1,0))</formula>
    </cfRule>
    <cfRule type="expression" dxfId="8969" priority="212">
      <formula>AND(IF($Q71=3,1,0),IF($Y71&lt;30,1,0))</formula>
    </cfRule>
    <cfRule type="expression" dxfId="8968" priority="213">
      <formula>AND(IF($Q71=3,1,IF($Q71=4,1,0)),IF($F71&lt;=85,1,0))</formula>
    </cfRule>
  </conditionalFormatting>
  <conditionalFormatting sqref="AW72">
    <cfRule type="expression" dxfId="8967" priority="208">
      <formula>AW72="X"</formula>
    </cfRule>
    <cfRule type="expression" dxfId="8966" priority="209">
      <formula>AW72="후보"</formula>
    </cfRule>
  </conditionalFormatting>
  <conditionalFormatting sqref="AA72">
    <cfRule type="colorScale" priority="2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8965" priority="205" operator="greaterThan">
      <formula>0.9</formula>
    </cfRule>
    <cfRule type="cellIs" dxfId="8964" priority="206" operator="greaterThan">
      <formula>0.85</formula>
    </cfRule>
  </conditionalFormatting>
  <conditionalFormatting sqref="N72">
    <cfRule type="cellIs" dxfId="8963" priority="203" operator="greaterThan">
      <formula>0.9</formula>
    </cfRule>
    <cfRule type="cellIs" dxfId="8962" priority="204" operator="greaterThan">
      <formula>0.85</formula>
    </cfRule>
  </conditionalFormatting>
  <conditionalFormatting sqref="E72">
    <cfRule type="expression" dxfId="8961" priority="199">
      <formula>AND(IF(OR($Q72=1,$Q72=2),1,0),IF($E72&lt;=20,1,0))</formula>
    </cfRule>
    <cfRule type="expression" dxfId="8960" priority="200">
      <formula>AND(IF($Q72=2,1,0),IF($E72&lt;30,1,0))</formula>
    </cfRule>
    <cfRule type="expression" dxfId="8959" priority="201">
      <formula>AND(IF($Q72=3,1,0),IF($E72&lt;30,1,0))</formula>
    </cfRule>
    <cfRule type="expression" dxfId="8958" priority="202">
      <formula>AND(IF($Q72=3,1,IF($Q72=4,1,0)),IF($F72&lt;=85,1,0))</formula>
    </cfRule>
  </conditionalFormatting>
  <conditionalFormatting sqref="Y72">
    <cfRule type="expression" dxfId="8957" priority="195">
      <formula>AND(IF(OR($Q72=1,$Q72=2),1,0),IF($Y72&lt;=20,1,0))</formula>
    </cfRule>
    <cfRule type="expression" dxfId="8956" priority="196">
      <formula>AND(IF($Q72=2,1,0),IF($Y72&lt;30,1,0))</formula>
    </cfRule>
    <cfRule type="expression" dxfId="8955" priority="197">
      <formula>AND(IF($Q72=3,1,0),IF($Y72&lt;30,1,0))</formula>
    </cfRule>
    <cfRule type="expression" dxfId="8954" priority="198">
      <formula>AND(IF($Q72=3,1,IF($Q72=4,1,0)),IF($F72&lt;=85,1,0))</formula>
    </cfRule>
  </conditionalFormatting>
  <conditionalFormatting sqref="AJ72">
    <cfRule type="expression" dxfId="8953" priority="191">
      <formula>AND(IF(OR($Q72=1,$Q72=2),1,0),IF($Y72&lt;=20,1,0))</formula>
    </cfRule>
    <cfRule type="expression" dxfId="8952" priority="192">
      <formula>AND(IF($Q72=2,1,0),IF($Y72&lt;30,1,0))</formula>
    </cfRule>
    <cfRule type="expression" dxfId="8951" priority="193">
      <formula>AND(IF($Q72=3,1,0),IF($Y72&lt;30,1,0))</formula>
    </cfRule>
    <cfRule type="expression" dxfId="8950" priority="194">
      <formula>AND(IF($Q72=3,1,IF($Q72=4,1,0)),IF($F72&lt;=85,1,0))</formula>
    </cfRule>
  </conditionalFormatting>
  <conditionalFormatting sqref="AW73">
    <cfRule type="expression" dxfId="8949" priority="189">
      <formula>AW73="X"</formula>
    </cfRule>
    <cfRule type="expression" dxfId="8948" priority="190">
      <formula>AW73="후보"</formula>
    </cfRule>
  </conditionalFormatting>
  <conditionalFormatting sqref="AA73">
    <cfRule type="colorScale" priority="1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8947" priority="186" operator="greaterThan">
      <formula>0.9</formula>
    </cfRule>
    <cfRule type="cellIs" dxfId="8946" priority="187" operator="greaterThan">
      <formula>0.85</formula>
    </cfRule>
  </conditionalFormatting>
  <conditionalFormatting sqref="N73">
    <cfRule type="cellIs" dxfId="8945" priority="184" operator="greaterThan">
      <formula>0.9</formula>
    </cfRule>
    <cfRule type="cellIs" dxfId="8944" priority="185" operator="greaterThan">
      <formula>0.85</formula>
    </cfRule>
  </conditionalFormatting>
  <conditionalFormatting sqref="E73">
    <cfRule type="expression" dxfId="8943" priority="180">
      <formula>AND(IF(OR($Q73=1,$Q73=2),1,0),IF($E73&lt;=20,1,0))</formula>
    </cfRule>
    <cfRule type="expression" dxfId="8942" priority="181">
      <formula>AND(IF($Q73=2,1,0),IF($E73&lt;30,1,0))</formula>
    </cfRule>
    <cfRule type="expression" dxfId="8941" priority="182">
      <formula>AND(IF($Q73=3,1,0),IF($E73&lt;30,1,0))</formula>
    </cfRule>
    <cfRule type="expression" dxfId="8940" priority="183">
      <formula>AND(IF($Q73=3,1,IF($Q73=4,1,0)),IF($F73&lt;=85,1,0))</formula>
    </cfRule>
  </conditionalFormatting>
  <conditionalFormatting sqref="Y73">
    <cfRule type="expression" dxfId="8939" priority="176">
      <formula>AND(IF(OR($Q73=1,$Q73=2),1,0),IF($Y73&lt;=20,1,0))</formula>
    </cfRule>
    <cfRule type="expression" dxfId="8938" priority="177">
      <formula>AND(IF($Q73=2,1,0),IF($Y73&lt;30,1,0))</formula>
    </cfRule>
    <cfRule type="expression" dxfId="8937" priority="178">
      <formula>AND(IF($Q73=3,1,0),IF($Y73&lt;30,1,0))</formula>
    </cfRule>
    <cfRule type="expression" dxfId="8936" priority="179">
      <formula>AND(IF($Q73=3,1,IF($Q73=4,1,0)),IF($F73&lt;=85,1,0))</formula>
    </cfRule>
  </conditionalFormatting>
  <conditionalFormatting sqref="AJ73">
    <cfRule type="expression" dxfId="8935" priority="172">
      <formula>AND(IF(OR($Q73=1,$Q73=2),1,0),IF($Y73&lt;=20,1,0))</formula>
    </cfRule>
    <cfRule type="expression" dxfId="8934" priority="173">
      <formula>AND(IF($Q73=2,1,0),IF($Y73&lt;30,1,0))</formula>
    </cfRule>
    <cfRule type="expression" dxfId="8933" priority="174">
      <formula>AND(IF($Q73=3,1,0),IF($Y73&lt;30,1,0))</formula>
    </cfRule>
    <cfRule type="expression" dxfId="8932" priority="175">
      <formula>AND(IF($Q73=3,1,IF($Q73=4,1,0)),IF($F73&lt;=85,1,0))</formula>
    </cfRule>
  </conditionalFormatting>
  <conditionalFormatting sqref="AW74">
    <cfRule type="expression" dxfId="8931" priority="170">
      <formula>AW74="X"</formula>
    </cfRule>
    <cfRule type="expression" dxfId="8930" priority="171">
      <formula>AW74="후보"</formula>
    </cfRule>
  </conditionalFormatting>
  <conditionalFormatting sqref="AA74">
    <cfRule type="colorScale" priority="1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8929" priority="167" operator="greaterThan">
      <formula>0.9</formula>
    </cfRule>
    <cfRule type="cellIs" dxfId="8928" priority="168" operator="greaterThan">
      <formula>0.85</formula>
    </cfRule>
  </conditionalFormatting>
  <conditionalFormatting sqref="N74">
    <cfRule type="cellIs" dxfId="8927" priority="165" operator="greaterThan">
      <formula>0.9</formula>
    </cfRule>
    <cfRule type="cellIs" dxfId="8926" priority="166" operator="greaterThan">
      <formula>0.85</formula>
    </cfRule>
  </conditionalFormatting>
  <conditionalFormatting sqref="E74">
    <cfRule type="expression" dxfId="8925" priority="161">
      <formula>AND(IF(OR($Q74=1,$Q74=2),1,0),IF($E74&lt;=20,1,0))</formula>
    </cfRule>
    <cfRule type="expression" dxfId="8924" priority="162">
      <formula>AND(IF($Q74=2,1,0),IF($E74&lt;30,1,0))</formula>
    </cfRule>
    <cfRule type="expression" dxfId="8923" priority="163">
      <formula>AND(IF($Q74=3,1,0),IF($E74&lt;30,1,0))</formula>
    </cfRule>
    <cfRule type="expression" dxfId="8922" priority="164">
      <formula>AND(IF($Q74=3,1,IF($Q74=4,1,0)),IF($F74&lt;=85,1,0))</formula>
    </cfRule>
  </conditionalFormatting>
  <conditionalFormatting sqref="Y74">
    <cfRule type="expression" dxfId="8921" priority="157">
      <formula>AND(IF(OR($Q74=1,$Q74=2),1,0),IF($Y74&lt;=20,1,0))</formula>
    </cfRule>
    <cfRule type="expression" dxfId="8920" priority="158">
      <formula>AND(IF($Q74=2,1,0),IF($Y74&lt;30,1,0))</formula>
    </cfRule>
    <cfRule type="expression" dxfId="8919" priority="159">
      <formula>AND(IF($Q74=3,1,0),IF($Y74&lt;30,1,0))</formula>
    </cfRule>
    <cfRule type="expression" dxfId="8918" priority="160">
      <formula>AND(IF($Q74=3,1,IF($Q74=4,1,0)),IF($F74&lt;=85,1,0))</formula>
    </cfRule>
  </conditionalFormatting>
  <conditionalFormatting sqref="AJ74">
    <cfRule type="expression" dxfId="8917" priority="153">
      <formula>AND(IF(OR($Q74=1,$Q74=2),1,0),IF($Y74&lt;=20,1,0))</formula>
    </cfRule>
    <cfRule type="expression" dxfId="8916" priority="154">
      <formula>AND(IF($Q74=2,1,0),IF($Y74&lt;30,1,0))</formula>
    </cfRule>
    <cfRule type="expression" dxfId="8915" priority="155">
      <formula>AND(IF($Q74=3,1,0),IF($Y74&lt;30,1,0))</formula>
    </cfRule>
    <cfRule type="expression" dxfId="8914" priority="156">
      <formula>AND(IF($Q74=3,1,IF($Q74=4,1,0)),IF($F74&lt;=85,1,0))</formula>
    </cfRule>
  </conditionalFormatting>
  <conditionalFormatting sqref="AW75">
    <cfRule type="expression" dxfId="8913" priority="151">
      <formula>AW75="X"</formula>
    </cfRule>
    <cfRule type="expression" dxfId="8912" priority="152">
      <formula>AW75="후보"</formula>
    </cfRule>
  </conditionalFormatting>
  <conditionalFormatting sqref="AA75">
    <cfRule type="colorScale" priority="1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">
    <cfRule type="cellIs" dxfId="8911" priority="148" operator="greaterThan">
      <formula>0.9</formula>
    </cfRule>
    <cfRule type="cellIs" dxfId="8910" priority="149" operator="greaterThan">
      <formula>0.85</formula>
    </cfRule>
  </conditionalFormatting>
  <conditionalFormatting sqref="N75">
    <cfRule type="cellIs" dxfId="8909" priority="146" operator="greaterThan">
      <formula>0.9</formula>
    </cfRule>
    <cfRule type="cellIs" dxfId="8908" priority="147" operator="greaterThan">
      <formula>0.85</formula>
    </cfRule>
  </conditionalFormatting>
  <conditionalFormatting sqref="E75">
    <cfRule type="expression" dxfId="8907" priority="142">
      <formula>AND(IF(OR($Q75=1,$Q75=2),1,0),IF($E75&lt;=20,1,0))</formula>
    </cfRule>
    <cfRule type="expression" dxfId="8906" priority="143">
      <formula>AND(IF($Q75=2,1,0),IF($E75&lt;30,1,0))</formula>
    </cfRule>
    <cfRule type="expression" dxfId="8905" priority="144">
      <formula>AND(IF($Q75=3,1,0),IF($E75&lt;30,1,0))</formula>
    </cfRule>
    <cfRule type="expression" dxfId="8904" priority="145">
      <formula>AND(IF($Q75=3,1,IF($Q75=4,1,0)),IF($F75&lt;=85,1,0))</formula>
    </cfRule>
  </conditionalFormatting>
  <conditionalFormatting sqref="Y75">
    <cfRule type="expression" dxfId="8903" priority="138">
      <formula>AND(IF(OR($Q75=1,$Q75=2),1,0),IF($Y75&lt;=20,1,0))</formula>
    </cfRule>
    <cfRule type="expression" dxfId="8902" priority="139">
      <formula>AND(IF($Q75=2,1,0),IF($Y75&lt;30,1,0))</formula>
    </cfRule>
    <cfRule type="expression" dxfId="8901" priority="140">
      <formula>AND(IF($Q75=3,1,0),IF($Y75&lt;30,1,0))</formula>
    </cfRule>
    <cfRule type="expression" dxfId="8900" priority="141">
      <formula>AND(IF($Q75=3,1,IF($Q75=4,1,0)),IF($F75&lt;=85,1,0))</formula>
    </cfRule>
  </conditionalFormatting>
  <conditionalFormatting sqref="AJ75">
    <cfRule type="expression" dxfId="8899" priority="134">
      <formula>AND(IF(OR($Q75=1,$Q75=2),1,0),IF($Y75&lt;=20,1,0))</formula>
    </cfRule>
    <cfRule type="expression" dxfId="8898" priority="135">
      <formula>AND(IF($Q75=2,1,0),IF($Y75&lt;30,1,0))</formula>
    </cfRule>
    <cfRule type="expression" dxfId="8897" priority="136">
      <formula>AND(IF($Q75=3,1,0),IF($Y75&lt;30,1,0))</formula>
    </cfRule>
    <cfRule type="expression" dxfId="8896" priority="137">
      <formula>AND(IF($Q75=3,1,IF($Q75=4,1,0)),IF($F75&lt;=85,1,0))</formula>
    </cfRule>
  </conditionalFormatting>
  <conditionalFormatting sqref="AW76">
    <cfRule type="expression" dxfId="8895" priority="132">
      <formula>AW76="X"</formula>
    </cfRule>
    <cfRule type="expression" dxfId="8894" priority="133">
      <formula>AW76="후보"</formula>
    </cfRule>
  </conditionalFormatting>
  <conditionalFormatting sqref="AA76">
    <cfRule type="colorScale" priority="1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8893" priority="129" operator="greaterThan">
      <formula>0.9</formula>
    </cfRule>
    <cfRule type="cellIs" dxfId="8892" priority="130" operator="greaterThan">
      <formula>0.85</formula>
    </cfRule>
  </conditionalFormatting>
  <conditionalFormatting sqref="N76">
    <cfRule type="cellIs" dxfId="8891" priority="127" operator="greaterThan">
      <formula>0.9</formula>
    </cfRule>
    <cfRule type="cellIs" dxfId="8890" priority="128" operator="greaterThan">
      <formula>0.85</formula>
    </cfRule>
  </conditionalFormatting>
  <conditionalFormatting sqref="E76">
    <cfRule type="expression" dxfId="8889" priority="123">
      <formula>AND(IF(OR($Q76=1,$Q76=2),1,0),IF($E76&lt;=20,1,0))</formula>
    </cfRule>
    <cfRule type="expression" dxfId="8888" priority="124">
      <formula>AND(IF($Q76=2,1,0),IF($E76&lt;30,1,0))</formula>
    </cfRule>
    <cfRule type="expression" dxfId="8887" priority="125">
      <formula>AND(IF($Q76=3,1,0),IF($E76&lt;30,1,0))</formula>
    </cfRule>
    <cfRule type="expression" dxfId="8886" priority="126">
      <formula>AND(IF($Q76=3,1,IF($Q76=4,1,0)),IF($F76&lt;=85,1,0))</formula>
    </cfRule>
  </conditionalFormatting>
  <conditionalFormatting sqref="Y76">
    <cfRule type="expression" dxfId="8885" priority="119">
      <formula>AND(IF(OR($Q76=1,$Q76=2),1,0),IF($Y76&lt;=20,1,0))</formula>
    </cfRule>
    <cfRule type="expression" dxfId="8884" priority="120">
      <formula>AND(IF($Q76=2,1,0),IF($Y76&lt;30,1,0))</formula>
    </cfRule>
    <cfRule type="expression" dxfId="8883" priority="121">
      <formula>AND(IF($Q76=3,1,0),IF($Y76&lt;30,1,0))</formula>
    </cfRule>
    <cfRule type="expression" dxfId="8882" priority="122">
      <formula>AND(IF($Q76=3,1,IF($Q76=4,1,0)),IF($F76&lt;=85,1,0))</formula>
    </cfRule>
  </conditionalFormatting>
  <conditionalFormatting sqref="AJ76">
    <cfRule type="expression" dxfId="8881" priority="115">
      <formula>AND(IF(OR($Q76=1,$Q76=2),1,0),IF($Y76&lt;=20,1,0))</formula>
    </cfRule>
    <cfRule type="expression" dxfId="8880" priority="116">
      <formula>AND(IF($Q76=2,1,0),IF($Y76&lt;30,1,0))</formula>
    </cfRule>
    <cfRule type="expression" dxfId="8879" priority="117">
      <formula>AND(IF($Q76=3,1,0),IF($Y76&lt;30,1,0))</formula>
    </cfRule>
    <cfRule type="expression" dxfId="8878" priority="118">
      <formula>AND(IF($Q76=3,1,IF($Q76=4,1,0)),IF($F76&lt;=85,1,0))</formula>
    </cfRule>
  </conditionalFormatting>
  <conditionalFormatting sqref="AW77">
    <cfRule type="expression" dxfId="8877" priority="113">
      <formula>AW77="X"</formula>
    </cfRule>
    <cfRule type="expression" dxfId="8876" priority="114">
      <formula>AW77="후보"</formula>
    </cfRule>
  </conditionalFormatting>
  <conditionalFormatting sqref="AA77">
    <cfRule type="colorScale" priority="1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8875" priority="110" operator="greaterThan">
      <formula>0.9</formula>
    </cfRule>
    <cfRule type="cellIs" dxfId="8874" priority="111" operator="greaterThan">
      <formula>0.85</formula>
    </cfRule>
  </conditionalFormatting>
  <conditionalFormatting sqref="N77">
    <cfRule type="cellIs" dxfId="8873" priority="108" operator="greaterThan">
      <formula>0.9</formula>
    </cfRule>
    <cfRule type="cellIs" dxfId="8872" priority="109" operator="greaterThan">
      <formula>0.85</formula>
    </cfRule>
  </conditionalFormatting>
  <conditionalFormatting sqref="E77">
    <cfRule type="expression" dxfId="8871" priority="104">
      <formula>AND(IF(OR($Q77=1,$Q77=2),1,0),IF($E77&lt;=20,1,0))</formula>
    </cfRule>
    <cfRule type="expression" dxfId="8870" priority="105">
      <formula>AND(IF($Q77=2,1,0),IF($E77&lt;30,1,0))</formula>
    </cfRule>
    <cfRule type="expression" dxfId="8869" priority="106">
      <formula>AND(IF($Q77=3,1,0),IF($E77&lt;30,1,0))</formula>
    </cfRule>
    <cfRule type="expression" dxfId="8868" priority="107">
      <formula>AND(IF($Q77=3,1,IF($Q77=4,1,0)),IF($F77&lt;=85,1,0))</formula>
    </cfRule>
  </conditionalFormatting>
  <conditionalFormatting sqref="Y77">
    <cfRule type="expression" dxfId="8867" priority="100">
      <formula>AND(IF(OR($Q77=1,$Q77=2),1,0),IF($Y77&lt;=20,1,0))</formula>
    </cfRule>
    <cfRule type="expression" dxfId="8866" priority="101">
      <formula>AND(IF($Q77=2,1,0),IF($Y77&lt;30,1,0))</formula>
    </cfRule>
    <cfRule type="expression" dxfId="8865" priority="102">
      <formula>AND(IF($Q77=3,1,0),IF($Y77&lt;30,1,0))</formula>
    </cfRule>
    <cfRule type="expression" dxfId="8864" priority="103">
      <formula>AND(IF($Q77=3,1,IF($Q77=4,1,0)),IF($F77&lt;=85,1,0))</formula>
    </cfRule>
  </conditionalFormatting>
  <conditionalFormatting sqref="AJ77">
    <cfRule type="expression" dxfId="8863" priority="96">
      <formula>AND(IF(OR($Q77=1,$Q77=2),1,0),IF($Y77&lt;=20,1,0))</formula>
    </cfRule>
    <cfRule type="expression" dxfId="8862" priority="97">
      <formula>AND(IF($Q77=2,1,0),IF($Y77&lt;30,1,0))</formula>
    </cfRule>
    <cfRule type="expression" dxfId="8861" priority="98">
      <formula>AND(IF($Q77=3,1,0),IF($Y77&lt;30,1,0))</formula>
    </cfRule>
    <cfRule type="expression" dxfId="8860" priority="99">
      <formula>AND(IF($Q77=3,1,IF($Q77=4,1,0)),IF($F77&lt;=85,1,0))</formula>
    </cfRule>
  </conditionalFormatting>
  <conditionalFormatting sqref="AW78">
    <cfRule type="expression" dxfId="8859" priority="94">
      <formula>AW78="X"</formula>
    </cfRule>
    <cfRule type="expression" dxfId="8858" priority="95">
      <formula>AW78="후보"</formula>
    </cfRule>
  </conditionalFormatting>
  <conditionalFormatting sqref="AA78">
    <cfRule type="colorScale" priority="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8857" priority="91" operator="greaterThan">
      <formula>0.9</formula>
    </cfRule>
    <cfRule type="cellIs" dxfId="8856" priority="92" operator="greaterThan">
      <formula>0.85</formula>
    </cfRule>
  </conditionalFormatting>
  <conditionalFormatting sqref="N78">
    <cfRule type="cellIs" dxfId="8855" priority="89" operator="greaterThan">
      <formula>0.9</formula>
    </cfRule>
    <cfRule type="cellIs" dxfId="8854" priority="90" operator="greaterThan">
      <formula>0.85</formula>
    </cfRule>
  </conditionalFormatting>
  <conditionalFormatting sqref="E78">
    <cfRule type="expression" dxfId="8853" priority="85">
      <formula>AND(IF(OR($Q78=1,$Q78=2),1,0),IF($E78&lt;=20,1,0))</formula>
    </cfRule>
    <cfRule type="expression" dxfId="8852" priority="86">
      <formula>AND(IF($Q78=2,1,0),IF($E78&lt;30,1,0))</formula>
    </cfRule>
    <cfRule type="expression" dxfId="8851" priority="87">
      <formula>AND(IF($Q78=3,1,0),IF($E78&lt;30,1,0))</formula>
    </cfRule>
    <cfRule type="expression" dxfId="8850" priority="88">
      <formula>AND(IF($Q78=3,1,IF($Q78=4,1,0)),IF($F78&lt;=85,1,0))</formula>
    </cfRule>
  </conditionalFormatting>
  <conditionalFormatting sqref="Y78">
    <cfRule type="expression" dxfId="8849" priority="81">
      <formula>AND(IF(OR($Q78=1,$Q78=2),1,0),IF($Y78&lt;=20,1,0))</formula>
    </cfRule>
    <cfRule type="expression" dxfId="8848" priority="82">
      <formula>AND(IF($Q78=2,1,0),IF($Y78&lt;30,1,0))</formula>
    </cfRule>
    <cfRule type="expression" dxfId="8847" priority="83">
      <formula>AND(IF($Q78=3,1,0),IF($Y78&lt;30,1,0))</formula>
    </cfRule>
    <cfRule type="expression" dxfId="8846" priority="84">
      <formula>AND(IF($Q78=3,1,IF($Q78=4,1,0)),IF($F78&lt;=85,1,0))</formula>
    </cfRule>
  </conditionalFormatting>
  <conditionalFormatting sqref="AJ78">
    <cfRule type="expression" dxfId="8845" priority="77">
      <formula>AND(IF(OR($Q78=1,$Q78=2),1,0),IF($Y78&lt;=20,1,0))</formula>
    </cfRule>
    <cfRule type="expression" dxfId="8844" priority="78">
      <formula>AND(IF($Q78=2,1,0),IF($Y78&lt;30,1,0))</formula>
    </cfRule>
    <cfRule type="expression" dxfId="8843" priority="79">
      <formula>AND(IF($Q78=3,1,0),IF($Y78&lt;30,1,0))</formula>
    </cfRule>
    <cfRule type="expression" dxfId="8842" priority="80">
      <formula>AND(IF($Q78=3,1,IF($Q78=4,1,0)),IF($F78&lt;=85,1,0))</formula>
    </cfRule>
  </conditionalFormatting>
  <conditionalFormatting sqref="AW79">
    <cfRule type="expression" dxfId="8841" priority="75">
      <formula>AW79="X"</formula>
    </cfRule>
    <cfRule type="expression" dxfId="8840" priority="76">
      <formula>AW79="후보"</formula>
    </cfRule>
  </conditionalFormatting>
  <conditionalFormatting sqref="AA79">
    <cfRule type="colorScale" priority="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8839" priority="72" operator="greaterThan">
      <formula>0.9</formula>
    </cfRule>
    <cfRule type="cellIs" dxfId="8838" priority="73" operator="greaterThan">
      <formula>0.85</formula>
    </cfRule>
  </conditionalFormatting>
  <conditionalFormatting sqref="N79">
    <cfRule type="cellIs" dxfId="8837" priority="70" operator="greaterThan">
      <formula>0.9</formula>
    </cfRule>
    <cfRule type="cellIs" dxfId="8836" priority="71" operator="greaterThan">
      <formula>0.85</formula>
    </cfRule>
  </conditionalFormatting>
  <conditionalFormatting sqref="E79">
    <cfRule type="expression" dxfId="8835" priority="66">
      <formula>AND(IF(OR($Q79=1,$Q79=2),1,0),IF($E79&lt;=20,1,0))</formula>
    </cfRule>
    <cfRule type="expression" dxfId="8834" priority="67">
      <formula>AND(IF($Q79=2,1,0),IF($E79&lt;30,1,0))</formula>
    </cfRule>
    <cfRule type="expression" dxfId="8833" priority="68">
      <formula>AND(IF($Q79=3,1,0),IF($E79&lt;30,1,0))</formula>
    </cfRule>
    <cfRule type="expression" dxfId="8832" priority="69">
      <formula>AND(IF($Q79=3,1,IF($Q79=4,1,0)),IF($F79&lt;=85,1,0))</formula>
    </cfRule>
  </conditionalFormatting>
  <conditionalFormatting sqref="Y79">
    <cfRule type="expression" dxfId="8831" priority="62">
      <formula>AND(IF(OR($Q79=1,$Q79=2),1,0),IF($Y79&lt;=20,1,0))</formula>
    </cfRule>
    <cfRule type="expression" dxfId="8830" priority="63">
      <formula>AND(IF($Q79=2,1,0),IF($Y79&lt;30,1,0))</formula>
    </cfRule>
    <cfRule type="expression" dxfId="8829" priority="64">
      <formula>AND(IF($Q79=3,1,0),IF($Y79&lt;30,1,0))</formula>
    </cfRule>
    <cfRule type="expression" dxfId="8828" priority="65">
      <formula>AND(IF($Q79=3,1,IF($Q79=4,1,0)),IF($F79&lt;=85,1,0))</formula>
    </cfRule>
  </conditionalFormatting>
  <conditionalFormatting sqref="AJ79">
    <cfRule type="expression" dxfId="8827" priority="58">
      <formula>AND(IF(OR($Q79=1,$Q79=2),1,0),IF($Y79&lt;=20,1,0))</formula>
    </cfRule>
    <cfRule type="expression" dxfId="8826" priority="59">
      <formula>AND(IF($Q79=2,1,0),IF($Y79&lt;30,1,0))</formula>
    </cfRule>
    <cfRule type="expression" dxfId="8825" priority="60">
      <formula>AND(IF($Q79=3,1,0),IF($Y79&lt;30,1,0))</formula>
    </cfRule>
    <cfRule type="expression" dxfId="8824" priority="61">
      <formula>AND(IF($Q79=3,1,IF($Q79=4,1,0)),IF($F79&lt;=85,1,0))</formula>
    </cfRule>
  </conditionalFormatting>
  <conditionalFormatting sqref="AW80">
    <cfRule type="expression" dxfId="8823" priority="56">
      <formula>AW80="X"</formula>
    </cfRule>
    <cfRule type="expression" dxfId="8822" priority="57">
      <formula>AW80="후보"</formula>
    </cfRule>
  </conditionalFormatting>
  <conditionalFormatting sqref="AA80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">
    <cfRule type="cellIs" dxfId="8821" priority="53" operator="greaterThan">
      <formula>0.9</formula>
    </cfRule>
    <cfRule type="cellIs" dxfId="8820" priority="54" operator="greaterThan">
      <formula>0.85</formula>
    </cfRule>
  </conditionalFormatting>
  <conditionalFormatting sqref="N80">
    <cfRule type="cellIs" dxfId="8819" priority="51" operator="greaterThan">
      <formula>0.9</formula>
    </cfRule>
    <cfRule type="cellIs" dxfId="8818" priority="52" operator="greaterThan">
      <formula>0.85</formula>
    </cfRule>
  </conditionalFormatting>
  <conditionalFormatting sqref="E80">
    <cfRule type="expression" dxfId="8817" priority="47">
      <formula>AND(IF(OR($Q80=1,$Q80=2),1,0),IF($E80&lt;=20,1,0))</formula>
    </cfRule>
    <cfRule type="expression" dxfId="8816" priority="48">
      <formula>AND(IF($Q80=2,1,0),IF($E80&lt;30,1,0))</formula>
    </cfRule>
    <cfRule type="expression" dxfId="8815" priority="49">
      <formula>AND(IF($Q80=3,1,0),IF($E80&lt;30,1,0))</formula>
    </cfRule>
    <cfRule type="expression" dxfId="8814" priority="50">
      <formula>AND(IF($Q80=3,1,IF($Q80=4,1,0)),IF($F80&lt;=85,1,0))</formula>
    </cfRule>
  </conditionalFormatting>
  <conditionalFormatting sqref="Y80">
    <cfRule type="expression" dxfId="8813" priority="43">
      <formula>AND(IF(OR($Q80=1,$Q80=2),1,0),IF($Y80&lt;=20,1,0))</formula>
    </cfRule>
    <cfRule type="expression" dxfId="8812" priority="44">
      <formula>AND(IF($Q80=2,1,0),IF($Y80&lt;30,1,0))</formula>
    </cfRule>
    <cfRule type="expression" dxfId="8811" priority="45">
      <formula>AND(IF($Q80=3,1,0),IF($Y80&lt;30,1,0))</formula>
    </cfRule>
    <cfRule type="expression" dxfId="8810" priority="46">
      <formula>AND(IF($Q80=3,1,IF($Q80=4,1,0)),IF($F80&lt;=85,1,0))</formula>
    </cfRule>
  </conditionalFormatting>
  <conditionalFormatting sqref="AJ80">
    <cfRule type="expression" dxfId="8809" priority="39">
      <formula>AND(IF(OR($Q80=1,$Q80=2),1,0),IF($Y80&lt;=20,1,0))</formula>
    </cfRule>
    <cfRule type="expression" dxfId="8808" priority="40">
      <formula>AND(IF($Q80=2,1,0),IF($Y80&lt;30,1,0))</formula>
    </cfRule>
    <cfRule type="expression" dxfId="8807" priority="41">
      <formula>AND(IF($Q80=3,1,0),IF($Y80&lt;30,1,0))</formula>
    </cfRule>
    <cfRule type="expression" dxfId="8806" priority="42">
      <formula>AND(IF($Q80=3,1,IF($Q80=4,1,0)),IF($F80&lt;=85,1,0))</formula>
    </cfRule>
  </conditionalFormatting>
  <conditionalFormatting sqref="AW81">
    <cfRule type="expression" dxfId="8805" priority="37">
      <formula>AW81="X"</formula>
    </cfRule>
    <cfRule type="expression" dxfId="8804" priority="38">
      <formula>AW81="후보"</formula>
    </cfRule>
  </conditionalFormatting>
  <conditionalFormatting sqref="AA81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8803" priority="34" operator="greaterThan">
      <formula>0.9</formula>
    </cfRule>
    <cfRule type="cellIs" dxfId="8802" priority="35" operator="greaterThan">
      <formula>0.85</formula>
    </cfRule>
  </conditionalFormatting>
  <conditionalFormatting sqref="N81">
    <cfRule type="cellIs" dxfId="8801" priority="32" operator="greaterThan">
      <formula>0.9</formula>
    </cfRule>
    <cfRule type="cellIs" dxfId="8800" priority="33" operator="greaterThan">
      <formula>0.85</formula>
    </cfRule>
  </conditionalFormatting>
  <conditionalFormatting sqref="E81">
    <cfRule type="expression" dxfId="8799" priority="28">
      <formula>AND(IF(OR($Q81=1,$Q81=2),1,0),IF($E81&lt;=20,1,0))</formula>
    </cfRule>
    <cfRule type="expression" dxfId="8798" priority="29">
      <formula>AND(IF($Q81=2,1,0),IF($E81&lt;30,1,0))</formula>
    </cfRule>
    <cfRule type="expression" dxfId="8797" priority="30">
      <formula>AND(IF($Q81=3,1,0),IF($E81&lt;30,1,0))</formula>
    </cfRule>
    <cfRule type="expression" dxfId="8796" priority="31">
      <formula>AND(IF($Q81=3,1,IF($Q81=4,1,0)),IF($F81&lt;=85,1,0))</formula>
    </cfRule>
  </conditionalFormatting>
  <conditionalFormatting sqref="Y81">
    <cfRule type="expression" dxfId="8795" priority="24">
      <formula>AND(IF(OR($Q81=1,$Q81=2),1,0),IF($Y81&lt;=20,1,0))</formula>
    </cfRule>
    <cfRule type="expression" dxfId="8794" priority="25">
      <formula>AND(IF($Q81=2,1,0),IF($Y81&lt;30,1,0))</formula>
    </cfRule>
    <cfRule type="expression" dxfId="8793" priority="26">
      <formula>AND(IF($Q81=3,1,0),IF($Y81&lt;30,1,0))</formula>
    </cfRule>
    <cfRule type="expression" dxfId="8792" priority="27">
      <formula>AND(IF($Q81=3,1,IF($Q81=4,1,0)),IF($F81&lt;=85,1,0))</formula>
    </cfRule>
  </conditionalFormatting>
  <conditionalFormatting sqref="AJ81">
    <cfRule type="expression" dxfId="8791" priority="20">
      <formula>AND(IF(OR($Q81=1,$Q81=2),1,0),IF($Y81&lt;=20,1,0))</formula>
    </cfRule>
    <cfRule type="expression" dxfId="8790" priority="21">
      <formula>AND(IF($Q81=2,1,0),IF($Y81&lt;30,1,0))</formula>
    </cfRule>
    <cfRule type="expression" dxfId="8789" priority="22">
      <formula>AND(IF($Q81=3,1,0),IF($Y81&lt;30,1,0))</formula>
    </cfRule>
    <cfRule type="expression" dxfId="8788" priority="23">
      <formula>AND(IF($Q81=3,1,IF($Q81=4,1,0)),IF($F81&lt;=85,1,0))</formula>
    </cfRule>
  </conditionalFormatting>
  <conditionalFormatting sqref="AW82">
    <cfRule type="expression" dxfId="8787" priority="18">
      <formula>AW82="X"</formula>
    </cfRule>
    <cfRule type="expression" dxfId="8786" priority="19">
      <formula>AW82="후보"</formula>
    </cfRule>
  </conditionalFormatting>
  <conditionalFormatting sqref="AA82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8785" priority="15" operator="greaterThan">
      <formula>0.9</formula>
    </cfRule>
    <cfRule type="cellIs" dxfId="8784" priority="16" operator="greaterThan">
      <formula>0.85</formula>
    </cfRule>
  </conditionalFormatting>
  <conditionalFormatting sqref="N82">
    <cfRule type="cellIs" dxfId="8783" priority="13" operator="greaterThan">
      <formula>0.9</formula>
    </cfRule>
    <cfRule type="cellIs" dxfId="8782" priority="14" operator="greaterThan">
      <formula>0.85</formula>
    </cfRule>
  </conditionalFormatting>
  <conditionalFormatting sqref="E82">
    <cfRule type="expression" dxfId="8781" priority="9">
      <formula>AND(IF(OR($Q82=1,$Q82=2),1,0),IF($E82&lt;=20,1,0))</formula>
    </cfRule>
    <cfRule type="expression" dxfId="8780" priority="10">
      <formula>AND(IF($Q82=2,1,0),IF($E82&lt;30,1,0))</formula>
    </cfRule>
    <cfRule type="expression" dxfId="8779" priority="11">
      <formula>AND(IF($Q82=3,1,0),IF($E82&lt;30,1,0))</formula>
    </cfRule>
    <cfRule type="expression" dxfId="8778" priority="12">
      <formula>AND(IF($Q82=3,1,IF($Q82=4,1,0)),IF($F82&lt;=85,1,0))</formula>
    </cfRule>
  </conditionalFormatting>
  <conditionalFormatting sqref="Y82">
    <cfRule type="expression" dxfId="8777" priority="5">
      <formula>AND(IF(OR($Q82=1,$Q82=2),1,0),IF($Y82&lt;=20,1,0))</formula>
    </cfRule>
    <cfRule type="expression" dxfId="8776" priority="6">
      <formula>AND(IF($Q82=2,1,0),IF($Y82&lt;30,1,0))</formula>
    </cfRule>
    <cfRule type="expression" dxfId="8775" priority="7">
      <formula>AND(IF($Q82=3,1,0),IF($Y82&lt;30,1,0))</formula>
    </cfRule>
    <cfRule type="expression" dxfId="8774" priority="8">
      <formula>AND(IF($Q82=3,1,IF($Q82=4,1,0)),IF($F82&lt;=85,1,0))</formula>
    </cfRule>
  </conditionalFormatting>
  <conditionalFormatting sqref="AJ82">
    <cfRule type="expression" dxfId="8773" priority="1">
      <formula>AND(IF(OR($Q82=1,$Q82=2),1,0),IF($Y82&lt;=20,1,0))</formula>
    </cfRule>
    <cfRule type="expression" dxfId="8772" priority="2">
      <formula>AND(IF($Q82=2,1,0),IF($Y82&lt;30,1,0))</formula>
    </cfRule>
    <cfRule type="expression" dxfId="8771" priority="3">
      <formula>AND(IF($Q82=3,1,0),IF($Y82&lt;30,1,0))</formula>
    </cfRule>
    <cfRule type="expression" dxfId="8770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ADB09-DDD6-46BA-A892-4F0250455607}">
  <sheetPr codeName="Sheet8">
    <pageSetUpPr fitToPage="1"/>
  </sheetPr>
  <dimension ref="A1:AW242"/>
  <sheetViews>
    <sheetView tabSelected="1" zoomScaleNormal="100" zoomScaleSheetLayoutView="85" workbookViewId="0">
      <pane xSplit="1" ySplit="3" topLeftCell="B202" activePane="bottomRight" state="frozen"/>
      <selection activeCell="AO10" sqref="AO10"/>
      <selection pane="topRight" activeCell="AO10" sqref="AO10"/>
      <selection pane="bottomLeft" activeCell="AO10" sqref="AO10"/>
      <selection pane="bottomRight" activeCell="J211" sqref="J21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5.625" style="4" bestFit="1" customWidth="1"/>
    <col min="11" max="11" width="6.875" style="1" bestFit="1" customWidth="1"/>
    <col min="12" max="12" width="5.125" style="4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5" t="str">
        <f>A1&amp;" 전체 등급"</f>
        <v>OO시 OO구 전체 등급</v>
      </c>
      <c r="AL1" s="116"/>
      <c r="AM1" s="116"/>
      <c r="AN1" s="116"/>
      <c r="AO1" s="117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비산동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7" t="s">
        <v>22</v>
      </c>
      <c r="K3" s="19" t="s">
        <v>15</v>
      </c>
      <c r="L3" s="17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 t="shared" ref="AJ3:AJ67" si="0"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1441</v>
      </c>
      <c r="B4" s="13"/>
      <c r="C4" s="9"/>
      <c r="D4" s="5"/>
      <c r="E4" s="5"/>
      <c r="F4" s="5"/>
      <c r="G4" s="5"/>
      <c r="H4" s="9"/>
      <c r="I4" s="5"/>
      <c r="J4" s="8"/>
      <c r="K4" s="5"/>
      <c r="L4" s="8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 t="shared" si="0"/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8"/>
      <c r="K5" s="5"/>
      <c r="L5" s="8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비산동 은하수(청구)('92.06,502^)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 t="shared" ref="AI5:AI69" si="1">IF(A5="","",A5)</f>
        <v/>
      </c>
      <c r="AJ5" s="33" t="str">
        <f t="shared" si="0"/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1442</v>
      </c>
      <c r="B6" s="14" t="s">
        <v>1443</v>
      </c>
      <c r="C6" s="25">
        <v>502</v>
      </c>
      <c r="D6" s="23">
        <v>76.900000000000006</v>
      </c>
      <c r="E6" s="21">
        <v>23</v>
      </c>
      <c r="F6" s="23">
        <v>55.4</v>
      </c>
      <c r="G6" s="24">
        <v>17</v>
      </c>
      <c r="H6" s="25">
        <v>92</v>
      </c>
      <c r="I6" s="29">
        <v>62000</v>
      </c>
      <c r="J6" s="106" t="s">
        <v>2135</v>
      </c>
      <c r="K6" s="29">
        <v>33000</v>
      </c>
      <c r="L6" s="106" t="s">
        <v>2140</v>
      </c>
      <c r="M6" s="6">
        <f>I6-K6</f>
        <v>29000</v>
      </c>
      <c r="N6" s="7">
        <f>IF(ISERROR(K6/I6),"",K6/I6)</f>
        <v>0.532258064516129</v>
      </c>
      <c r="O6" s="12">
        <f>I6/E6</f>
        <v>2695.6521739130435</v>
      </c>
      <c r="P6" s="12">
        <f>K6/E6</f>
        <v>1434.7826086956522</v>
      </c>
      <c r="Q6" s="13">
        <v>2</v>
      </c>
      <c r="R6" s="13">
        <v>1</v>
      </c>
      <c r="S6" s="13" t="s">
        <v>1356</v>
      </c>
      <c r="T6" s="8">
        <v>76</v>
      </c>
      <c r="U6" s="5"/>
      <c r="V6" s="5" t="s">
        <v>1444</v>
      </c>
      <c r="X6" s="23">
        <f t="shared" ref="X6:Y9" si="2">D6</f>
        <v>76.900000000000006</v>
      </c>
      <c r="Y6" s="21">
        <f t="shared" si="2"/>
        <v>23</v>
      </c>
      <c r="Z6" s="28">
        <f t="shared" ref="Z6:AA9" si="3">H6</f>
        <v>92</v>
      </c>
      <c r="AA6" s="6">
        <f t="shared" si="3"/>
        <v>62000</v>
      </c>
      <c r="AB6" s="6">
        <f>K6</f>
        <v>33000</v>
      </c>
      <c r="AC6" s="6">
        <f t="shared" ref="AC6:AE9" si="4">M6</f>
        <v>29000</v>
      </c>
      <c r="AD6" s="7">
        <f t="shared" si="4"/>
        <v>0.532258064516129</v>
      </c>
      <c r="AE6" s="12">
        <f t="shared" si="4"/>
        <v>2695.6521739130435</v>
      </c>
      <c r="AF6" s="13" t="str">
        <f>S6</f>
        <v>복</v>
      </c>
      <c r="AG6" s="13" t="str">
        <f>Q6&amp;"/"&amp;R6</f>
        <v>2/1</v>
      </c>
      <c r="AI6" s="32" t="str">
        <f t="shared" si="1"/>
        <v>은하수(청구)</v>
      </c>
      <c r="AJ6" s="21">
        <f t="shared" si="0"/>
        <v>23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>X</v>
      </c>
      <c r="AQ6" s="13" t="str">
        <f>IF(I6="","",IF(I6&lt;=$AQ$1,"O","X"))</f>
        <v>X</v>
      </c>
      <c r="AR6" s="13" t="str">
        <f>IF(O6="","",IF(O6&lt;=$AR$1,"O","X"))</f>
        <v>X</v>
      </c>
      <c r="AS6" s="13" t="str">
        <f>IF(M6="","",IF(M6&lt;=$AS$1,"O","X"))</f>
        <v>X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>X</v>
      </c>
    </row>
    <row r="7" spans="1:49" x14ac:dyDescent="0.3">
      <c r="A7" s="5" t="s">
        <v>1442</v>
      </c>
      <c r="B7" s="14" t="s">
        <v>1443</v>
      </c>
      <c r="C7" s="25">
        <v>502</v>
      </c>
      <c r="D7" s="23">
        <v>89.7</v>
      </c>
      <c r="E7" s="21">
        <v>27</v>
      </c>
      <c r="F7" s="23">
        <v>64.7</v>
      </c>
      <c r="G7" s="24">
        <v>20</v>
      </c>
      <c r="H7" s="25">
        <v>46</v>
      </c>
      <c r="I7" s="29">
        <v>75000</v>
      </c>
      <c r="J7" s="106" t="s">
        <v>2136</v>
      </c>
      <c r="K7" s="29">
        <v>35000</v>
      </c>
      <c r="L7" s="106" t="s">
        <v>2141</v>
      </c>
      <c r="M7" s="6">
        <f>I7-K7</f>
        <v>40000</v>
      </c>
      <c r="N7" s="7">
        <f>IF(ISERROR(K7/I7),"",K7/I7)</f>
        <v>0.46666666666666667</v>
      </c>
      <c r="O7" s="12">
        <f>I7/E7</f>
        <v>2777.7777777777778</v>
      </c>
      <c r="P7" s="12">
        <f>K7/E7</f>
        <v>1296.2962962962963</v>
      </c>
      <c r="Q7" s="13">
        <v>3</v>
      </c>
      <c r="R7" s="13">
        <v>1</v>
      </c>
      <c r="S7" s="13" t="s">
        <v>1356</v>
      </c>
      <c r="T7" s="8">
        <v>89</v>
      </c>
      <c r="U7" s="5"/>
      <c r="V7" s="5" t="s">
        <v>1445</v>
      </c>
      <c r="X7" s="23">
        <f t="shared" si="2"/>
        <v>89.7</v>
      </c>
      <c r="Y7" s="21">
        <f t="shared" si="2"/>
        <v>27</v>
      </c>
      <c r="Z7" s="28">
        <f t="shared" si="3"/>
        <v>46</v>
      </c>
      <c r="AA7" s="6">
        <f t="shared" si="3"/>
        <v>75000</v>
      </c>
      <c r="AB7" s="6">
        <f>K7</f>
        <v>35000</v>
      </c>
      <c r="AC7" s="6">
        <f t="shared" si="4"/>
        <v>40000</v>
      </c>
      <c r="AD7" s="7">
        <f t="shared" si="4"/>
        <v>0.46666666666666667</v>
      </c>
      <c r="AE7" s="12">
        <f t="shared" si="4"/>
        <v>2777.7777777777778</v>
      </c>
      <c r="AF7" s="13" t="str">
        <f>S7</f>
        <v>복</v>
      </c>
      <c r="AG7" s="13" t="str">
        <f>Q7&amp;"/"&amp;R7</f>
        <v>3/1</v>
      </c>
      <c r="AI7" s="32" t="str">
        <f t="shared" si="1"/>
        <v>은하수(청구)</v>
      </c>
      <c r="AJ7" s="21">
        <f t="shared" si="0"/>
        <v>27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>X</v>
      </c>
      <c r="AQ7" s="13" t="str">
        <f>IF(I7="","",IF(I7&lt;=$AQ$1,"O","X"))</f>
        <v>X</v>
      </c>
      <c r="AR7" s="13" t="str">
        <f>IF(O7="","",IF(O7&lt;=$AR$1,"O","X"))</f>
        <v>X</v>
      </c>
      <c r="AS7" s="13" t="str">
        <f>IF(M7="","",IF(M7&lt;=$AS$1,"O","X"))</f>
        <v>X</v>
      </c>
      <c r="AT7" s="13" t="s">
        <v>32</v>
      </c>
      <c r="AU7" s="13" t="str">
        <f>IF(OR(F7="",AJ7=""),"",IF(AND((F7&lt;=85),(AJ7&gt;=15)),"O","X"))</f>
        <v>O</v>
      </c>
      <c r="AV7" s="13" t="str">
        <f>IF(C7="","",IF(C7&gt;=$AV$1,"O","X"))</f>
        <v>O</v>
      </c>
      <c r="AW7" s="13" t="str">
        <f>IF(AP7="","",IF(AND(AP7="O",AQ7="O",AS7="O",AU7="O",AV7="O"),"후보","X"))</f>
        <v>X</v>
      </c>
    </row>
    <row r="8" spans="1:49" x14ac:dyDescent="0.3">
      <c r="A8" s="5" t="s">
        <v>1442</v>
      </c>
      <c r="B8" s="14" t="s">
        <v>1443</v>
      </c>
      <c r="C8" s="25">
        <v>502</v>
      </c>
      <c r="D8" s="23">
        <v>107.6</v>
      </c>
      <c r="E8" s="21">
        <v>33</v>
      </c>
      <c r="F8" s="23">
        <v>84.6</v>
      </c>
      <c r="G8" s="24">
        <v>26</v>
      </c>
      <c r="H8" s="25">
        <v>304</v>
      </c>
      <c r="I8" s="29">
        <v>85000</v>
      </c>
      <c r="J8" s="106" t="s">
        <v>2137</v>
      </c>
      <c r="K8" s="29">
        <v>50000</v>
      </c>
      <c r="L8" s="106" t="s">
        <v>2142</v>
      </c>
      <c r="M8" s="6">
        <f>I8-K8</f>
        <v>35000</v>
      </c>
      <c r="N8" s="7">
        <f>IF(ISERROR(K8/I8),"",K8/I8)</f>
        <v>0.58823529411764708</v>
      </c>
      <c r="O8" s="12">
        <f>I8/E8</f>
        <v>2575.757575757576</v>
      </c>
      <c r="P8" s="12">
        <f>K8/E8</f>
        <v>1515.1515151515152</v>
      </c>
      <c r="Q8" s="13">
        <v>3</v>
      </c>
      <c r="R8" s="13">
        <v>2</v>
      </c>
      <c r="S8" s="13" t="s">
        <v>51</v>
      </c>
      <c r="T8" s="8" t="s">
        <v>427</v>
      </c>
      <c r="U8" s="5"/>
      <c r="V8" s="5" t="s">
        <v>1446</v>
      </c>
      <c r="X8" s="23">
        <f t="shared" si="2"/>
        <v>107.6</v>
      </c>
      <c r="Y8" s="21">
        <f t="shared" si="2"/>
        <v>33</v>
      </c>
      <c r="Z8" s="28">
        <f t="shared" si="3"/>
        <v>304</v>
      </c>
      <c r="AA8" s="6">
        <f t="shared" si="3"/>
        <v>85000</v>
      </c>
      <c r="AB8" s="6">
        <f>K8</f>
        <v>50000</v>
      </c>
      <c r="AC8" s="6">
        <f t="shared" si="4"/>
        <v>35000</v>
      </c>
      <c r="AD8" s="7">
        <f t="shared" si="4"/>
        <v>0.58823529411764708</v>
      </c>
      <c r="AE8" s="12">
        <f t="shared" si="4"/>
        <v>2575.757575757576</v>
      </c>
      <c r="AF8" s="13" t="str">
        <f>S8</f>
        <v>계</v>
      </c>
      <c r="AG8" s="13" t="str">
        <f>Q8&amp;"/"&amp;R8</f>
        <v>3/2</v>
      </c>
      <c r="AI8" s="32" t="str">
        <f t="shared" si="1"/>
        <v>은하수(청구)</v>
      </c>
      <c r="AJ8" s="21">
        <f t="shared" si="0"/>
        <v>33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>X</v>
      </c>
      <c r="AQ8" s="13" t="str">
        <f>IF(I8="","",IF(I8&lt;=$AQ$1,"O","X"))</f>
        <v>X</v>
      </c>
      <c r="AR8" s="13" t="str">
        <f>IF(O8="","",IF(O8&lt;=$AR$1,"O","X"))</f>
        <v>X</v>
      </c>
      <c r="AS8" s="13" t="str">
        <f>IF(M8="","",IF(M8&lt;=$AS$1,"O","X"))</f>
        <v>X</v>
      </c>
      <c r="AT8" s="13" t="s">
        <v>32</v>
      </c>
      <c r="AU8" s="13" t="str">
        <f>IF(OR(F8="",AJ8=""),"",IF(AND((F8&lt;=85),(AJ8&gt;=15)),"O","X"))</f>
        <v>O</v>
      </c>
      <c r="AV8" s="13" t="str">
        <f>IF(C8="","",IF(C8&gt;=$AV$1,"O","X"))</f>
        <v>O</v>
      </c>
      <c r="AW8" s="13" t="str">
        <f>IF(AP8="","",IF(AND(AP8="O",AQ8="O",AS8="O",AU8="O",AV8="O"),"후보","X"))</f>
        <v>X</v>
      </c>
    </row>
    <row r="9" spans="1:49" x14ac:dyDescent="0.3">
      <c r="A9" s="5" t="s">
        <v>1442</v>
      </c>
      <c r="B9" s="14" t="s">
        <v>1443</v>
      </c>
      <c r="C9" s="25">
        <v>502</v>
      </c>
      <c r="D9" s="23">
        <v>107.1</v>
      </c>
      <c r="E9" s="21">
        <v>32</v>
      </c>
      <c r="F9" s="23">
        <v>84.9</v>
      </c>
      <c r="G9" s="24">
        <v>26</v>
      </c>
      <c r="H9" s="25">
        <v>60</v>
      </c>
      <c r="I9" s="29">
        <v>75500</v>
      </c>
      <c r="J9" s="106" t="s">
        <v>2139</v>
      </c>
      <c r="K9" s="29">
        <v>52000</v>
      </c>
      <c r="L9" s="106" t="s">
        <v>2143</v>
      </c>
      <c r="M9" s="6">
        <f>I9-K9</f>
        <v>23500</v>
      </c>
      <c r="N9" s="7">
        <f>IF(ISERROR(K9/I9),"",K9/I9)</f>
        <v>0.6887417218543046</v>
      </c>
      <c r="O9" s="12">
        <f>I9/E9</f>
        <v>2359.375</v>
      </c>
      <c r="P9" s="12">
        <f>K9/E9</f>
        <v>1625</v>
      </c>
      <c r="Q9" s="13">
        <v>3</v>
      </c>
      <c r="R9" s="13">
        <v>2</v>
      </c>
      <c r="S9" s="13" t="s">
        <v>51</v>
      </c>
      <c r="T9" s="8" t="s">
        <v>428</v>
      </c>
      <c r="U9" s="5" t="s">
        <v>2138</v>
      </c>
      <c r="V9" s="5" t="s">
        <v>1447</v>
      </c>
      <c r="X9" s="23">
        <f t="shared" si="2"/>
        <v>107.1</v>
      </c>
      <c r="Y9" s="21">
        <f t="shared" si="2"/>
        <v>32</v>
      </c>
      <c r="Z9" s="28">
        <f t="shared" si="3"/>
        <v>60</v>
      </c>
      <c r="AA9" s="6">
        <f t="shared" si="3"/>
        <v>75500</v>
      </c>
      <c r="AB9" s="6">
        <f>K9</f>
        <v>52000</v>
      </c>
      <c r="AC9" s="6">
        <f t="shared" si="4"/>
        <v>23500</v>
      </c>
      <c r="AD9" s="7">
        <f t="shared" si="4"/>
        <v>0.6887417218543046</v>
      </c>
      <c r="AE9" s="12">
        <f t="shared" si="4"/>
        <v>2359.375</v>
      </c>
      <c r="AF9" s="13" t="str">
        <f>S9</f>
        <v>계</v>
      </c>
      <c r="AG9" s="13" t="str">
        <f>Q9&amp;"/"&amp;R9</f>
        <v>3/2</v>
      </c>
      <c r="AI9" s="32" t="str">
        <f t="shared" si="1"/>
        <v>은하수(청구)</v>
      </c>
      <c r="AJ9" s="21">
        <f t="shared" si="0"/>
        <v>32</v>
      </c>
      <c r="AK9" s="13" t="str">
        <f>IF(AJ9="","",$AK$2)</f>
        <v>A-</v>
      </c>
      <c r="AL9" s="13"/>
      <c r="AM9" s="13"/>
      <c r="AN9" s="13"/>
      <c r="AO9" s="13" t="str">
        <f>IF(AJ9="","",$AO$2)</f>
        <v>C</v>
      </c>
      <c r="AP9" s="13" t="str">
        <f>IF(N9="","",IF(N9&gt;=$AP$1/100,"O","X"))</f>
        <v>X</v>
      </c>
      <c r="AQ9" s="13" t="str">
        <f>IF(I9="","",IF(I9&lt;=$AQ$1,"O","X"))</f>
        <v>X</v>
      </c>
      <c r="AR9" s="13" t="str">
        <f>IF(O9="","",IF(O9&lt;=$AR$1,"O","X"))</f>
        <v>X</v>
      </c>
      <c r="AS9" s="13" t="str">
        <f>IF(M9="","",IF(M9&lt;=$AS$1,"O","X"))</f>
        <v>X</v>
      </c>
      <c r="AT9" s="13" t="s">
        <v>32</v>
      </c>
      <c r="AU9" s="13" t="str">
        <f>IF(OR(F9="",AJ9=""),"",IF(AND((F9&lt;=85),(AJ9&gt;=15)),"O","X"))</f>
        <v>O</v>
      </c>
      <c r="AV9" s="13" t="str">
        <f>IF(C9="","",IF(C9&gt;=$AV$1,"O","X"))</f>
        <v>O</v>
      </c>
      <c r="AW9" s="13" t="str">
        <f>IF(AP9="","",IF(AND(AP9="O",AQ9="O",AS9="O",AU9="O",AV9="O"),"후보","X"))</f>
        <v>X</v>
      </c>
    </row>
    <row r="10" spans="1:49" x14ac:dyDescent="0.3">
      <c r="A10" s="5"/>
      <c r="B10" s="13"/>
      <c r="C10" s="9"/>
      <c r="D10" s="5"/>
      <c r="E10" s="18"/>
      <c r="F10" s="23"/>
      <c r="G10" s="5"/>
      <c r="H10" s="5"/>
      <c r="I10" s="5"/>
      <c r="J10" s="8"/>
      <c r="K10" s="5"/>
      <c r="L10" s="8"/>
      <c r="M10" s="5"/>
      <c r="N10" s="5"/>
      <c r="O10" s="12"/>
      <c r="P10" s="12"/>
      <c r="Q10" s="21"/>
      <c r="R10" s="21"/>
      <c r="S10" s="5"/>
      <c r="T10" s="59"/>
      <c r="U10" s="5"/>
      <c r="V10" s="5"/>
      <c r="X10" s="90" t="str">
        <f>$A$4&amp;" "&amp;A11&amp;"("&amp;B11&amp;","&amp;C11&amp;"^)"</f>
        <v>비산동 관악(성원)('93.07,790^)</v>
      </c>
      <c r="Y10" s="91"/>
      <c r="Z10" s="91"/>
      <c r="AA10" s="91"/>
      <c r="AB10" s="91"/>
      <c r="AC10" s="91"/>
      <c r="AD10" s="91"/>
      <c r="AE10" s="91"/>
      <c r="AF10" s="91"/>
      <c r="AG10" s="92"/>
      <c r="AI10" s="32" t="str">
        <f t="shared" si="1"/>
        <v/>
      </c>
      <c r="AJ10" s="33" t="str">
        <f t="shared" si="0"/>
        <v/>
      </c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</row>
    <row r="11" spans="1:49" x14ac:dyDescent="0.3">
      <c r="A11" s="5" t="s">
        <v>1448</v>
      </c>
      <c r="B11" s="14" t="s">
        <v>1449</v>
      </c>
      <c r="C11" s="25">
        <v>790</v>
      </c>
      <c r="D11" s="23">
        <v>51</v>
      </c>
      <c r="E11" s="21">
        <v>15</v>
      </c>
      <c r="F11" s="23">
        <v>33.700000000000003</v>
      </c>
      <c r="G11" s="24">
        <v>10</v>
      </c>
      <c r="H11" s="25">
        <v>200</v>
      </c>
      <c r="I11" s="29">
        <v>32000</v>
      </c>
      <c r="J11" s="106" t="s">
        <v>2144</v>
      </c>
      <c r="K11" s="29">
        <v>18000</v>
      </c>
      <c r="L11" s="106" t="s">
        <v>2144</v>
      </c>
      <c r="M11" s="6">
        <f>I11-K11</f>
        <v>14000</v>
      </c>
      <c r="N11" s="7">
        <f>IF(ISERROR(K11/I11),"",K11/I11)</f>
        <v>0.5625</v>
      </c>
      <c r="O11" s="12">
        <f>I11/E11</f>
        <v>2133.3333333333335</v>
      </c>
      <c r="P11" s="12">
        <f>K11/E11</f>
        <v>1200</v>
      </c>
      <c r="Q11" s="13">
        <v>2</v>
      </c>
      <c r="R11" s="13">
        <v>1</v>
      </c>
      <c r="S11" s="13" t="s">
        <v>1356</v>
      </c>
      <c r="T11" s="8" t="s">
        <v>430</v>
      </c>
      <c r="U11" s="5"/>
      <c r="V11" s="5" t="s">
        <v>1450</v>
      </c>
      <c r="X11" s="23">
        <f t="shared" ref="X11:Y14" si="5">D11</f>
        <v>51</v>
      </c>
      <c r="Y11" s="21">
        <f t="shared" si="5"/>
        <v>15</v>
      </c>
      <c r="Z11" s="28">
        <f t="shared" ref="Z11:AA14" si="6">H11</f>
        <v>200</v>
      </c>
      <c r="AA11" s="6">
        <f t="shared" si="6"/>
        <v>32000</v>
      </c>
      <c r="AB11" s="6">
        <f>K11</f>
        <v>18000</v>
      </c>
      <c r="AC11" s="6">
        <f t="shared" ref="AC11:AE14" si="7">M11</f>
        <v>14000</v>
      </c>
      <c r="AD11" s="7">
        <f t="shared" si="7"/>
        <v>0.5625</v>
      </c>
      <c r="AE11" s="12">
        <f t="shared" si="7"/>
        <v>2133.3333333333335</v>
      </c>
      <c r="AF11" s="13" t="str">
        <f>S11</f>
        <v>복</v>
      </c>
      <c r="AG11" s="13" t="str">
        <f>Q11&amp;"/"&amp;R11</f>
        <v>2/1</v>
      </c>
      <c r="AI11" s="32" t="str">
        <f t="shared" si="1"/>
        <v>관악(성원)</v>
      </c>
      <c r="AJ11" s="21">
        <f t="shared" si="0"/>
        <v>15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>X</v>
      </c>
      <c r="AQ11" s="13" t="str">
        <f>IF(I11="","",IF(I11&lt;=$AQ$1,"O","X"))</f>
        <v>O</v>
      </c>
      <c r="AR11" s="13" t="str">
        <f>IF(O11="","",IF(O11&lt;=$AR$1,"O","X"))</f>
        <v>X</v>
      </c>
      <c r="AS11" s="13" t="str">
        <f>IF(M11="","",IF(M11&lt;=$AS$1,"O","X"))</f>
        <v>X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O</v>
      </c>
      <c r="AW11" s="13" t="str">
        <f>IF(AP11="","",IF(AND(AP11="O",AQ11="O",AS11="O",AU11="O",AV11="O"),"후보","X"))</f>
        <v>X</v>
      </c>
    </row>
    <row r="12" spans="1:49" x14ac:dyDescent="0.3">
      <c r="A12" s="5" t="s">
        <v>1448</v>
      </c>
      <c r="B12" s="14" t="s">
        <v>1449</v>
      </c>
      <c r="C12" s="25">
        <v>790</v>
      </c>
      <c r="D12" s="23">
        <v>51</v>
      </c>
      <c r="E12" s="21">
        <v>15</v>
      </c>
      <c r="F12" s="23">
        <v>33.700000000000003</v>
      </c>
      <c r="G12" s="24">
        <v>10</v>
      </c>
      <c r="H12" s="25">
        <v>50</v>
      </c>
      <c r="I12" s="29">
        <v>35000</v>
      </c>
      <c r="J12" s="106" t="s">
        <v>2145</v>
      </c>
      <c r="K12" s="29">
        <v>19000</v>
      </c>
      <c r="L12" s="106" t="s">
        <v>2148</v>
      </c>
      <c r="M12" s="6">
        <f>I12-K12</f>
        <v>16000</v>
      </c>
      <c r="N12" s="7">
        <f>IF(ISERROR(K12/I12),"",K12/I12)</f>
        <v>0.54285714285714282</v>
      </c>
      <c r="O12" s="12">
        <f>I12/E12</f>
        <v>2333.3333333333335</v>
      </c>
      <c r="P12" s="12">
        <f>K12/E12</f>
        <v>1266.6666666666667</v>
      </c>
      <c r="Q12" s="13">
        <v>2</v>
      </c>
      <c r="R12" s="13">
        <v>1</v>
      </c>
      <c r="S12" s="13" t="s">
        <v>51</v>
      </c>
      <c r="T12" s="8" t="s">
        <v>434</v>
      </c>
      <c r="U12" s="5"/>
      <c r="V12" s="5" t="s">
        <v>1450</v>
      </c>
      <c r="X12" s="23">
        <f t="shared" si="5"/>
        <v>51</v>
      </c>
      <c r="Y12" s="21">
        <f t="shared" si="5"/>
        <v>15</v>
      </c>
      <c r="Z12" s="28">
        <f t="shared" si="6"/>
        <v>50</v>
      </c>
      <c r="AA12" s="6">
        <f t="shared" si="6"/>
        <v>35000</v>
      </c>
      <c r="AB12" s="6">
        <f>K12</f>
        <v>19000</v>
      </c>
      <c r="AC12" s="6">
        <f t="shared" si="7"/>
        <v>16000</v>
      </c>
      <c r="AD12" s="7">
        <f t="shared" si="7"/>
        <v>0.54285714285714282</v>
      </c>
      <c r="AE12" s="12">
        <f t="shared" si="7"/>
        <v>2333.3333333333335</v>
      </c>
      <c r="AF12" s="13" t="str">
        <f>S12</f>
        <v>계</v>
      </c>
      <c r="AG12" s="13" t="str">
        <f>Q12&amp;"/"&amp;R12</f>
        <v>2/1</v>
      </c>
      <c r="AI12" s="32" t="str">
        <f t="shared" si="1"/>
        <v>관악(성원)</v>
      </c>
      <c r="AJ12" s="21">
        <f t="shared" si="0"/>
        <v>15</v>
      </c>
      <c r="AK12" s="13" t="str">
        <f>IF(AJ12="","",$AK$2)</f>
        <v>A-</v>
      </c>
      <c r="AL12" s="13"/>
      <c r="AM12" s="13"/>
      <c r="AN12" s="13"/>
      <c r="AO12" s="13" t="str">
        <f>IF(AJ12="","",$AO$2)</f>
        <v>C</v>
      </c>
      <c r="AP12" s="13" t="str">
        <f>IF(N12="","",IF(N12&gt;=$AP$1/100,"O","X"))</f>
        <v>X</v>
      </c>
      <c r="AQ12" s="13" t="str">
        <f>IF(I12="","",IF(I12&lt;=$AQ$1,"O","X"))</f>
        <v>O</v>
      </c>
      <c r="AR12" s="13" t="str">
        <f>IF(O12="","",IF(O12&lt;=$AR$1,"O","X"))</f>
        <v>X</v>
      </c>
      <c r="AS12" s="13" t="str">
        <f>IF(M12="","",IF(M12&lt;=$AS$1,"O","X"))</f>
        <v>X</v>
      </c>
      <c r="AT12" s="13" t="s">
        <v>32</v>
      </c>
      <c r="AU12" s="13" t="str">
        <f>IF(OR(F12="",AJ12=""),"",IF(AND((F12&lt;=85),(AJ12&gt;=15)),"O","X"))</f>
        <v>O</v>
      </c>
      <c r="AV12" s="13" t="str">
        <f>IF(C12="","",IF(C12&gt;=$AV$1,"O","X"))</f>
        <v>O</v>
      </c>
      <c r="AW12" s="13" t="str">
        <f>IF(AP12="","",IF(AND(AP12="O",AQ12="O",AS12="O",AU12="O",AV12="O"),"후보","X"))</f>
        <v>X</v>
      </c>
    </row>
    <row r="13" spans="1:49" x14ac:dyDescent="0.3">
      <c r="A13" s="5" t="s">
        <v>1448</v>
      </c>
      <c r="B13" s="14" t="s">
        <v>1449</v>
      </c>
      <c r="C13" s="25">
        <v>790</v>
      </c>
      <c r="D13" s="23">
        <v>59.2</v>
      </c>
      <c r="E13" s="21">
        <v>18</v>
      </c>
      <c r="F13" s="23">
        <v>40.9</v>
      </c>
      <c r="G13" s="24">
        <v>12</v>
      </c>
      <c r="H13" s="25">
        <v>180</v>
      </c>
      <c r="I13" s="29">
        <v>36000</v>
      </c>
      <c r="J13" s="106" t="s">
        <v>2146</v>
      </c>
      <c r="K13" s="29">
        <v>20000</v>
      </c>
      <c r="L13" s="106" t="s">
        <v>2149</v>
      </c>
      <c r="M13" s="6">
        <f>I13-K13</f>
        <v>16000</v>
      </c>
      <c r="N13" s="7">
        <f>IF(ISERROR(K13/I13),"",K13/I13)</f>
        <v>0.55555555555555558</v>
      </c>
      <c r="O13" s="12">
        <f>I13/E13</f>
        <v>2000</v>
      </c>
      <c r="P13" s="12">
        <f>K13/E13</f>
        <v>1111.1111111111111</v>
      </c>
      <c r="Q13" s="13">
        <v>2</v>
      </c>
      <c r="R13" s="13">
        <v>1</v>
      </c>
      <c r="S13" s="13" t="s">
        <v>1356</v>
      </c>
      <c r="T13" s="8">
        <v>59</v>
      </c>
      <c r="U13" s="5"/>
      <c r="V13" s="5" t="s">
        <v>1451</v>
      </c>
      <c r="X13" s="23">
        <f t="shared" si="5"/>
        <v>59.2</v>
      </c>
      <c r="Y13" s="21">
        <f t="shared" si="5"/>
        <v>18</v>
      </c>
      <c r="Z13" s="28">
        <f t="shared" si="6"/>
        <v>180</v>
      </c>
      <c r="AA13" s="6">
        <f t="shared" si="6"/>
        <v>36000</v>
      </c>
      <c r="AB13" s="6">
        <f>K13</f>
        <v>20000</v>
      </c>
      <c r="AC13" s="6">
        <f t="shared" si="7"/>
        <v>16000</v>
      </c>
      <c r="AD13" s="7">
        <f t="shared" si="7"/>
        <v>0.55555555555555558</v>
      </c>
      <c r="AE13" s="12">
        <f t="shared" si="7"/>
        <v>2000</v>
      </c>
      <c r="AF13" s="13" t="str">
        <f>S13</f>
        <v>복</v>
      </c>
      <c r="AG13" s="13" t="str">
        <f>Q13&amp;"/"&amp;R13</f>
        <v>2/1</v>
      </c>
      <c r="AI13" s="32" t="str">
        <f t="shared" si="1"/>
        <v>관악(성원)</v>
      </c>
      <c r="AJ13" s="21">
        <f t="shared" si="0"/>
        <v>18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>X</v>
      </c>
      <c r="AQ13" s="13" t="str">
        <f>IF(I13="","",IF(I13&lt;=$AQ$1,"O","X"))</f>
        <v>O</v>
      </c>
      <c r="AR13" s="13" t="str">
        <f>IF(O13="","",IF(O13&lt;=$AR$1,"O","X"))</f>
        <v>X</v>
      </c>
      <c r="AS13" s="13" t="str">
        <f>IF(M13="","",IF(M13&lt;=$AS$1,"O","X"))</f>
        <v>X</v>
      </c>
      <c r="AT13" s="13" t="s">
        <v>32</v>
      </c>
      <c r="AU13" s="13" t="str">
        <f>IF(OR(F13="",AJ13=""),"",IF(AND((F13&lt;=85),(AJ13&gt;=15)),"O","X"))</f>
        <v>O</v>
      </c>
      <c r="AV13" s="13" t="str">
        <f>IF(C13="","",IF(C13&gt;=$AV$1,"O","X"))</f>
        <v>O</v>
      </c>
      <c r="AW13" s="13" t="str">
        <f>IF(AP13="","",IF(AND(AP13="O",AQ13="O",AS13="O",AU13="O",AV13="O"),"후보","X"))</f>
        <v>X</v>
      </c>
    </row>
    <row r="14" spans="1:49" x14ac:dyDescent="0.3">
      <c r="A14" s="5" t="s">
        <v>1448</v>
      </c>
      <c r="B14" s="14" t="s">
        <v>1449</v>
      </c>
      <c r="C14" s="25">
        <v>790</v>
      </c>
      <c r="D14" s="23">
        <v>69.900000000000006</v>
      </c>
      <c r="E14" s="21">
        <v>21</v>
      </c>
      <c r="F14" s="23">
        <v>49.7</v>
      </c>
      <c r="G14" s="24">
        <v>15</v>
      </c>
      <c r="H14" s="25">
        <v>360</v>
      </c>
      <c r="I14" s="29">
        <v>41000</v>
      </c>
      <c r="J14" s="106" t="s">
        <v>2147</v>
      </c>
      <c r="K14" s="29">
        <v>35000</v>
      </c>
      <c r="L14" s="106" t="s">
        <v>2150</v>
      </c>
      <c r="M14" s="6">
        <f>I14-K14</f>
        <v>6000</v>
      </c>
      <c r="N14" s="7">
        <f>IF(ISERROR(K14/I14),"",K14/I14)</f>
        <v>0.85365853658536583</v>
      </c>
      <c r="O14" s="12">
        <f>I14/E14</f>
        <v>1952.3809523809523</v>
      </c>
      <c r="P14" s="12">
        <f>K14/E14</f>
        <v>1666.6666666666667</v>
      </c>
      <c r="Q14" s="13">
        <v>3</v>
      </c>
      <c r="R14" s="13">
        <v>1</v>
      </c>
      <c r="S14" s="13" t="s">
        <v>1356</v>
      </c>
      <c r="T14" s="8">
        <v>69</v>
      </c>
      <c r="U14" s="5"/>
      <c r="V14" s="5" t="s">
        <v>1452</v>
      </c>
      <c r="X14" s="23">
        <f t="shared" si="5"/>
        <v>69.900000000000006</v>
      </c>
      <c r="Y14" s="21">
        <f t="shared" si="5"/>
        <v>21</v>
      </c>
      <c r="Z14" s="28">
        <f t="shared" si="6"/>
        <v>360</v>
      </c>
      <c r="AA14" s="6">
        <f t="shared" si="6"/>
        <v>41000</v>
      </c>
      <c r="AB14" s="6">
        <f>K14</f>
        <v>35000</v>
      </c>
      <c r="AC14" s="6">
        <f t="shared" si="7"/>
        <v>6000</v>
      </c>
      <c r="AD14" s="7">
        <f t="shared" si="7"/>
        <v>0.85365853658536583</v>
      </c>
      <c r="AE14" s="12">
        <f t="shared" si="7"/>
        <v>1952.3809523809523</v>
      </c>
      <c r="AF14" s="13" t="str">
        <f>S14</f>
        <v>복</v>
      </c>
      <c r="AG14" s="13" t="str">
        <f>Q14&amp;"/"&amp;R14</f>
        <v>3/1</v>
      </c>
      <c r="AI14" s="32" t="str">
        <f t="shared" si="1"/>
        <v>관악(성원)</v>
      </c>
      <c r="AJ14" s="21">
        <f t="shared" si="0"/>
        <v>21</v>
      </c>
      <c r="AK14" s="13" t="str">
        <f>IF(AJ14="","",$AK$2)</f>
        <v>A-</v>
      </c>
      <c r="AL14" s="13"/>
      <c r="AM14" s="13"/>
      <c r="AN14" s="13"/>
      <c r="AO14" s="13" t="str">
        <f>IF(AJ14="","",$AO$2)</f>
        <v>C</v>
      </c>
      <c r="AP14" s="13" t="str">
        <f>IF(N14="","",IF(N14&gt;=$AP$1/100,"O","X"))</f>
        <v>O</v>
      </c>
      <c r="AQ14" s="13" t="str">
        <f>IF(I14="","",IF(I14&lt;=$AQ$1,"O","X"))</f>
        <v>O</v>
      </c>
      <c r="AR14" s="13" t="str">
        <f>IF(O14="","",IF(O14&lt;=$AR$1,"O","X"))</f>
        <v>X</v>
      </c>
      <c r="AS14" s="13" t="str">
        <f>IF(M14="","",IF(M14&lt;=$AS$1,"O","X"))</f>
        <v>O</v>
      </c>
      <c r="AT14" s="13" t="s">
        <v>32</v>
      </c>
      <c r="AU14" s="13" t="str">
        <f>IF(OR(F14="",AJ14=""),"",IF(AND((F14&lt;=85),(AJ14&gt;=15)),"O","X"))</f>
        <v>O</v>
      </c>
      <c r="AV14" s="13" t="str">
        <f>IF(C14="","",IF(C14&gt;=$AV$1,"O","X"))</f>
        <v>O</v>
      </c>
      <c r="AW14" s="13" t="str">
        <f>IF(AP14="","",IF(AND(AP14="O",AQ14="O",AS14="O",AU14="O",AV14="O"),"후보","X"))</f>
        <v>후보</v>
      </c>
    </row>
    <row r="15" spans="1:49" x14ac:dyDescent="0.3">
      <c r="A15" s="5"/>
      <c r="B15" s="13"/>
      <c r="C15" s="9"/>
      <c r="D15" s="5"/>
      <c r="E15" s="18"/>
      <c r="F15" s="23"/>
      <c r="G15" s="5"/>
      <c r="H15" s="5"/>
      <c r="I15" s="5"/>
      <c r="J15" s="8"/>
      <c r="K15" s="5"/>
      <c r="L15" s="8"/>
      <c r="M15" s="5"/>
      <c r="N15" s="5"/>
      <c r="O15" s="12"/>
      <c r="P15" s="12"/>
      <c r="Q15" s="21"/>
      <c r="R15" s="21"/>
      <c r="S15" s="5"/>
      <c r="T15" s="59"/>
      <c r="U15" s="5"/>
      <c r="V15" s="5"/>
      <c r="X15" s="90" t="str">
        <f>$A$4&amp;" "&amp;A16&amp;"("&amp;B16&amp;","&amp;C16&amp;"^)"</f>
        <v>비산동 비산한신더휴('23.05,230^)</v>
      </c>
      <c r="Y15" s="91"/>
      <c r="Z15" s="91"/>
      <c r="AA15" s="91"/>
      <c r="AB15" s="91"/>
      <c r="AC15" s="91"/>
      <c r="AD15" s="91"/>
      <c r="AE15" s="91"/>
      <c r="AF15" s="91"/>
      <c r="AG15" s="92"/>
      <c r="AI15" s="32" t="str">
        <f t="shared" si="1"/>
        <v/>
      </c>
      <c r="AJ15" s="33" t="str">
        <f t="shared" si="0"/>
        <v/>
      </c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</row>
    <row r="16" spans="1:49" x14ac:dyDescent="0.3">
      <c r="A16" s="5" t="s">
        <v>1453</v>
      </c>
      <c r="B16" s="14" t="s">
        <v>1454</v>
      </c>
      <c r="C16" s="25">
        <v>230</v>
      </c>
      <c r="D16" s="23">
        <v>67.099999999999994</v>
      </c>
      <c r="E16" s="21">
        <v>20</v>
      </c>
      <c r="F16" s="23">
        <v>48.7</v>
      </c>
      <c r="G16" s="24">
        <v>15</v>
      </c>
      <c r="H16" s="25">
        <v>77</v>
      </c>
      <c r="I16" s="29">
        <v>46000</v>
      </c>
      <c r="J16" s="106" t="s">
        <v>2151</v>
      </c>
      <c r="K16" s="29">
        <v>37000</v>
      </c>
      <c r="L16" s="106" t="s">
        <v>2153</v>
      </c>
      <c r="M16" s="6">
        <f>I16-K16</f>
        <v>9000</v>
      </c>
      <c r="N16" s="7">
        <f>IF(ISERROR(K16/I16),"",K16/I16)</f>
        <v>0.80434782608695654</v>
      </c>
      <c r="O16" s="12">
        <f>I16/E16</f>
        <v>2300</v>
      </c>
      <c r="P16" s="12">
        <f>K16/E16</f>
        <v>1850</v>
      </c>
      <c r="Q16" s="13">
        <v>2</v>
      </c>
      <c r="R16" s="13">
        <v>1</v>
      </c>
      <c r="S16" s="13" t="s">
        <v>51</v>
      </c>
      <c r="T16" s="8">
        <v>67</v>
      </c>
      <c r="U16" s="5"/>
      <c r="V16" s="5" t="s">
        <v>1455</v>
      </c>
      <c r="X16" s="23">
        <f t="shared" ref="X16:Y19" si="8">D16</f>
        <v>67.099999999999994</v>
      </c>
      <c r="Y16" s="21">
        <f t="shared" si="8"/>
        <v>20</v>
      </c>
      <c r="Z16" s="28">
        <f t="shared" ref="Z16:AA19" si="9">H16</f>
        <v>77</v>
      </c>
      <c r="AA16" s="6">
        <f t="shared" si="9"/>
        <v>46000</v>
      </c>
      <c r="AB16" s="6">
        <f>K16</f>
        <v>37000</v>
      </c>
      <c r="AC16" s="6">
        <f t="shared" ref="AC16:AE19" si="10">M16</f>
        <v>9000</v>
      </c>
      <c r="AD16" s="7">
        <f t="shared" si="10"/>
        <v>0.80434782608695654</v>
      </c>
      <c r="AE16" s="12">
        <f t="shared" si="10"/>
        <v>2300</v>
      </c>
      <c r="AF16" s="13" t="str">
        <f>S16</f>
        <v>계</v>
      </c>
      <c r="AG16" s="13" t="str">
        <f>Q16&amp;"/"&amp;R16</f>
        <v>2/1</v>
      </c>
      <c r="AI16" s="32" t="str">
        <f t="shared" si="1"/>
        <v>비산한신더휴</v>
      </c>
      <c r="AJ16" s="21">
        <f t="shared" si="0"/>
        <v>20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>O</v>
      </c>
      <c r="AQ16" s="13" t="str">
        <f>IF(I16="","",IF(I16&lt;=$AQ$1,"O","X"))</f>
        <v>X</v>
      </c>
      <c r="AR16" s="13" t="str">
        <f>IF(O16="","",IF(O16&lt;=$AR$1,"O","X"))</f>
        <v>X</v>
      </c>
      <c r="AS16" s="13" t="str">
        <f>IF(M16="","",IF(M16&lt;=$AS$1,"O","X"))</f>
        <v>X</v>
      </c>
      <c r="AT16" s="13" t="s">
        <v>32</v>
      </c>
      <c r="AU16" s="13" t="str">
        <f>IF(OR(F16="",AJ16=""),"",IF(AND((F16&lt;=85),(AJ16&gt;=15)),"O","X"))</f>
        <v>O</v>
      </c>
      <c r="AV16" s="13" t="str">
        <f>IF(C16="","",IF(C16&gt;=$AV$1,"O","X"))</f>
        <v>X</v>
      </c>
      <c r="AW16" s="13" t="str">
        <f>IF(AP16="","",IF(AND(AP16="O",AQ16="O",AS16="O",AU16="O",AV16="O"),"후보","X"))</f>
        <v>X</v>
      </c>
    </row>
    <row r="17" spans="1:49" x14ac:dyDescent="0.3">
      <c r="A17" s="5" t="s">
        <v>1453</v>
      </c>
      <c r="B17" s="14" t="s">
        <v>1454</v>
      </c>
      <c r="C17" s="25">
        <v>230</v>
      </c>
      <c r="D17" s="23">
        <v>80.5</v>
      </c>
      <c r="E17" s="21">
        <v>24</v>
      </c>
      <c r="F17" s="23">
        <v>62</v>
      </c>
      <c r="G17" s="24">
        <v>19</v>
      </c>
      <c r="H17" s="25">
        <v>18</v>
      </c>
      <c r="I17" s="29">
        <v>58000</v>
      </c>
      <c r="J17" s="106" t="s">
        <v>2152</v>
      </c>
      <c r="K17" s="29">
        <v>45000</v>
      </c>
      <c r="L17" s="106" t="s">
        <v>2151</v>
      </c>
      <c r="M17" s="6">
        <f>I17-K17</f>
        <v>13000</v>
      </c>
      <c r="N17" s="7">
        <f>IF(ISERROR(K17/I17),"",K17/I17)</f>
        <v>0.77586206896551724</v>
      </c>
      <c r="O17" s="12">
        <f>I17/E17</f>
        <v>2416.6666666666665</v>
      </c>
      <c r="P17" s="12">
        <f>K17/E17</f>
        <v>1875</v>
      </c>
      <c r="Q17" s="13">
        <v>3</v>
      </c>
      <c r="R17" s="13">
        <v>2</v>
      </c>
      <c r="S17" s="13" t="s">
        <v>51</v>
      </c>
      <c r="T17" s="8" t="s">
        <v>397</v>
      </c>
      <c r="U17" s="5"/>
      <c r="V17" s="5" t="s">
        <v>1456</v>
      </c>
      <c r="X17" s="23">
        <f t="shared" si="8"/>
        <v>80.5</v>
      </c>
      <c r="Y17" s="21">
        <f t="shared" si="8"/>
        <v>24</v>
      </c>
      <c r="Z17" s="28">
        <f t="shared" si="9"/>
        <v>18</v>
      </c>
      <c r="AA17" s="6">
        <f t="shared" si="9"/>
        <v>58000</v>
      </c>
      <c r="AB17" s="6">
        <f>K17</f>
        <v>45000</v>
      </c>
      <c r="AC17" s="6">
        <f t="shared" si="10"/>
        <v>13000</v>
      </c>
      <c r="AD17" s="7">
        <f t="shared" si="10"/>
        <v>0.77586206896551724</v>
      </c>
      <c r="AE17" s="12">
        <f t="shared" si="10"/>
        <v>2416.6666666666665</v>
      </c>
      <c r="AF17" s="13" t="str">
        <f>S17</f>
        <v>계</v>
      </c>
      <c r="AG17" s="13" t="str">
        <f>Q17&amp;"/"&amp;R17</f>
        <v>3/2</v>
      </c>
      <c r="AI17" s="32" t="str">
        <f t="shared" si="1"/>
        <v>비산한신더휴</v>
      </c>
      <c r="AJ17" s="21">
        <f t="shared" si="0"/>
        <v>24</v>
      </c>
      <c r="AK17" s="13" t="str">
        <f>IF(AJ17="","",$AK$2)</f>
        <v>A-</v>
      </c>
      <c r="AL17" s="13"/>
      <c r="AM17" s="13"/>
      <c r="AN17" s="13"/>
      <c r="AO17" s="13" t="str">
        <f>IF(AJ17="","",$AO$2)</f>
        <v>C</v>
      </c>
      <c r="AP17" s="13" t="str">
        <f>IF(N17="","",IF(N17&gt;=$AP$1/100,"O","X"))</f>
        <v>X</v>
      </c>
      <c r="AQ17" s="13" t="str">
        <f>IF(I17="","",IF(I17&lt;=$AQ$1,"O","X"))</f>
        <v>X</v>
      </c>
      <c r="AR17" s="13" t="str">
        <f>IF(O17="","",IF(O17&lt;=$AR$1,"O","X"))</f>
        <v>X</v>
      </c>
      <c r="AS17" s="13" t="str">
        <f>IF(M17="","",IF(M17&lt;=$AS$1,"O","X"))</f>
        <v>X</v>
      </c>
      <c r="AT17" s="13" t="s">
        <v>32</v>
      </c>
      <c r="AU17" s="13" t="str">
        <f>IF(OR(F17="",AJ17=""),"",IF(AND((F17&lt;=85),(AJ17&gt;=15)),"O","X"))</f>
        <v>O</v>
      </c>
      <c r="AV17" s="13" t="str">
        <f>IF(C17="","",IF(C17&gt;=$AV$1,"O","X"))</f>
        <v>X</v>
      </c>
      <c r="AW17" s="13" t="str">
        <f>IF(AP17="","",IF(AND(AP17="O",AQ17="O",AS17="O",AU17="O",AV17="O"),"후보","X"))</f>
        <v>X</v>
      </c>
    </row>
    <row r="18" spans="1:49" x14ac:dyDescent="0.3">
      <c r="A18" s="5" t="s">
        <v>1453</v>
      </c>
      <c r="B18" s="14" t="s">
        <v>1454</v>
      </c>
      <c r="C18" s="25">
        <v>230</v>
      </c>
      <c r="D18" s="23">
        <v>80.8</v>
      </c>
      <c r="E18" s="21">
        <v>24</v>
      </c>
      <c r="F18" s="23">
        <v>62.7</v>
      </c>
      <c r="G18" s="24">
        <v>19</v>
      </c>
      <c r="H18" s="25">
        <v>15</v>
      </c>
      <c r="I18" s="29">
        <v>59000</v>
      </c>
      <c r="J18" s="106" t="s">
        <v>2152</v>
      </c>
      <c r="K18" s="29">
        <v>45000</v>
      </c>
      <c r="L18" s="106" t="s">
        <v>2154</v>
      </c>
      <c r="M18" s="6">
        <f>I18-K18</f>
        <v>14000</v>
      </c>
      <c r="N18" s="7">
        <f>IF(ISERROR(K18/I18),"",K18/I18)</f>
        <v>0.76271186440677963</v>
      </c>
      <c r="O18" s="12">
        <f>I18/E18</f>
        <v>2458.3333333333335</v>
      </c>
      <c r="P18" s="12">
        <f>K18/E18</f>
        <v>1875</v>
      </c>
      <c r="Q18" s="13">
        <v>3</v>
      </c>
      <c r="R18" s="13">
        <v>2</v>
      </c>
      <c r="S18" s="13" t="s">
        <v>51</v>
      </c>
      <c r="T18" s="8" t="s">
        <v>256</v>
      </c>
      <c r="U18" s="5"/>
      <c r="V18" s="5" t="s">
        <v>1456</v>
      </c>
      <c r="X18" s="23">
        <f t="shared" ref="X18" si="11">D18</f>
        <v>80.8</v>
      </c>
      <c r="Y18" s="21">
        <f t="shared" ref="Y18" si="12">E18</f>
        <v>24</v>
      </c>
      <c r="Z18" s="28">
        <f t="shared" ref="Z18" si="13">H18</f>
        <v>15</v>
      </c>
      <c r="AA18" s="6">
        <f t="shared" ref="AA18" si="14">I18</f>
        <v>59000</v>
      </c>
      <c r="AB18" s="6">
        <f>K18</f>
        <v>45000</v>
      </c>
      <c r="AC18" s="6">
        <f t="shared" ref="AC18" si="15">M18</f>
        <v>14000</v>
      </c>
      <c r="AD18" s="7">
        <f t="shared" ref="AD18" si="16">N18</f>
        <v>0.76271186440677963</v>
      </c>
      <c r="AE18" s="12">
        <f t="shared" ref="AE18" si="17">O18</f>
        <v>2458.3333333333335</v>
      </c>
      <c r="AF18" s="13" t="str">
        <f>S18</f>
        <v>계</v>
      </c>
      <c r="AG18" s="13" t="str">
        <f>Q18&amp;"/"&amp;R18</f>
        <v>3/2</v>
      </c>
      <c r="AI18" s="32" t="str">
        <f t="shared" ref="AI18" si="18">IF(A18="","",A18)</f>
        <v>비산한신더휴</v>
      </c>
      <c r="AJ18" s="21">
        <f t="shared" ref="AJ18" si="19">IF(E18="","",E18)</f>
        <v>24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>X</v>
      </c>
      <c r="AQ18" s="13" t="str">
        <f>IF(I18="","",IF(I18&lt;=$AQ$1,"O","X"))</f>
        <v>X</v>
      </c>
      <c r="AR18" s="13" t="str">
        <f>IF(O18="","",IF(O18&lt;=$AR$1,"O","X"))</f>
        <v>X</v>
      </c>
      <c r="AS18" s="13" t="str">
        <f>IF(M18="","",IF(M18&lt;=$AS$1,"O","X"))</f>
        <v>X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X</v>
      </c>
      <c r="AW18" s="13" t="str">
        <f>IF(AP18="","",IF(AND(AP18="O",AQ18="O",AS18="O",AU18="O",AV18="O"),"후보","X"))</f>
        <v>X</v>
      </c>
    </row>
    <row r="19" spans="1:49" x14ac:dyDescent="0.3">
      <c r="A19" s="5" t="s">
        <v>1453</v>
      </c>
      <c r="B19" s="14" t="s">
        <v>1454</v>
      </c>
      <c r="C19" s="25">
        <v>230</v>
      </c>
      <c r="D19" s="23">
        <v>92.08</v>
      </c>
      <c r="E19" s="21">
        <v>27</v>
      </c>
      <c r="F19" s="23">
        <v>71.39</v>
      </c>
      <c r="G19" s="24">
        <v>21</v>
      </c>
      <c r="H19" s="25">
        <v>46</v>
      </c>
      <c r="I19" s="29">
        <v>59000</v>
      </c>
      <c r="J19" s="106" t="s">
        <v>2152</v>
      </c>
      <c r="K19" s="29">
        <v>45000</v>
      </c>
      <c r="L19" s="106" t="s">
        <v>2154</v>
      </c>
      <c r="M19" s="6">
        <f>I19-K19</f>
        <v>14000</v>
      </c>
      <c r="N19" s="7">
        <f>IF(ISERROR(K19/I19),"",K19/I19)</f>
        <v>0.76271186440677963</v>
      </c>
      <c r="O19" s="12">
        <f>I19/E19</f>
        <v>2185.1851851851852</v>
      </c>
      <c r="P19" s="12">
        <f>K19/E19</f>
        <v>1666.6666666666667</v>
      </c>
      <c r="Q19" s="13">
        <v>3</v>
      </c>
      <c r="R19" s="13">
        <v>2</v>
      </c>
      <c r="S19" s="13" t="s">
        <v>51</v>
      </c>
      <c r="T19" s="8" t="s">
        <v>256</v>
      </c>
      <c r="U19" s="5"/>
      <c r="V19" s="5" t="s">
        <v>1456</v>
      </c>
      <c r="X19" s="23">
        <f t="shared" si="8"/>
        <v>92.08</v>
      </c>
      <c r="Y19" s="21">
        <f t="shared" si="8"/>
        <v>27</v>
      </c>
      <c r="Z19" s="28">
        <f t="shared" si="9"/>
        <v>46</v>
      </c>
      <c r="AA19" s="6">
        <f t="shared" si="9"/>
        <v>59000</v>
      </c>
      <c r="AB19" s="6">
        <f>K19</f>
        <v>45000</v>
      </c>
      <c r="AC19" s="6">
        <f t="shared" si="10"/>
        <v>14000</v>
      </c>
      <c r="AD19" s="7">
        <f t="shared" si="10"/>
        <v>0.76271186440677963</v>
      </c>
      <c r="AE19" s="12">
        <f t="shared" si="10"/>
        <v>2185.1851851851852</v>
      </c>
      <c r="AF19" s="13" t="str">
        <f>S19</f>
        <v>계</v>
      </c>
      <c r="AG19" s="13" t="str">
        <f>Q19&amp;"/"&amp;R19</f>
        <v>3/2</v>
      </c>
      <c r="AI19" s="32" t="str">
        <f t="shared" si="1"/>
        <v>비산한신더휴</v>
      </c>
      <c r="AJ19" s="21">
        <f t="shared" si="0"/>
        <v>27</v>
      </c>
      <c r="AK19" s="13" t="str">
        <f>IF(AJ19="","",$AK$2)</f>
        <v>A-</v>
      </c>
      <c r="AL19" s="13"/>
      <c r="AM19" s="13"/>
      <c r="AN19" s="13"/>
      <c r="AO19" s="13" t="str">
        <f>IF(AJ19="","",$AO$2)</f>
        <v>C</v>
      </c>
      <c r="AP19" s="13" t="str">
        <f>IF(N19="","",IF(N19&gt;=$AP$1/100,"O","X"))</f>
        <v>X</v>
      </c>
      <c r="AQ19" s="13" t="str">
        <f>IF(I19="","",IF(I19&lt;=$AQ$1,"O","X"))</f>
        <v>X</v>
      </c>
      <c r="AR19" s="13" t="str">
        <f>IF(O19="","",IF(O19&lt;=$AR$1,"O","X"))</f>
        <v>X</v>
      </c>
      <c r="AS19" s="13" t="str">
        <f>IF(M19="","",IF(M19&lt;=$AS$1,"O","X"))</f>
        <v>X</v>
      </c>
      <c r="AT19" s="13" t="s">
        <v>32</v>
      </c>
      <c r="AU19" s="13" t="str">
        <f>IF(OR(F19="",AJ19=""),"",IF(AND((F19&lt;=85),(AJ19&gt;=15)),"O","X"))</f>
        <v>O</v>
      </c>
      <c r="AV19" s="13" t="str">
        <f>IF(C19="","",IF(C19&gt;=$AV$1,"O","X"))</f>
        <v>X</v>
      </c>
      <c r="AW19" s="13" t="str">
        <f>IF(AP19="","",IF(AND(AP19="O",AQ19="O",AS19="O",AU19="O",AV19="O"),"후보","X"))</f>
        <v>X</v>
      </c>
    </row>
    <row r="20" spans="1:49" x14ac:dyDescent="0.3">
      <c r="A20" s="5"/>
      <c r="B20" s="13"/>
      <c r="C20" s="9"/>
      <c r="D20" s="5"/>
      <c r="E20" s="18"/>
      <c r="F20" s="23"/>
      <c r="G20" s="5"/>
      <c r="H20" s="5"/>
      <c r="I20" s="5"/>
      <c r="J20" s="8"/>
      <c r="K20" s="5"/>
      <c r="L20" s="8"/>
      <c r="M20" s="5"/>
      <c r="N20" s="5"/>
      <c r="O20" s="12"/>
      <c r="P20" s="12"/>
      <c r="Q20" s="21"/>
      <c r="R20" s="21"/>
      <c r="S20" s="5"/>
      <c r="T20" s="59"/>
      <c r="U20" s="5"/>
      <c r="V20" s="5"/>
      <c r="X20" s="90" t="str">
        <f>$A$4&amp;" "&amp;A21&amp;"("&amp;B21&amp;","&amp;C21&amp;"^)"</f>
        <v>비산동 힐스테이트비산파크뷰('22.04,303^)</v>
      </c>
      <c r="Y20" s="91"/>
      <c r="Z20" s="91"/>
      <c r="AA20" s="91"/>
      <c r="AB20" s="91"/>
      <c r="AC20" s="91"/>
      <c r="AD20" s="91"/>
      <c r="AE20" s="91"/>
      <c r="AF20" s="91"/>
      <c r="AG20" s="92"/>
      <c r="AI20" s="32" t="str">
        <f t="shared" si="1"/>
        <v/>
      </c>
      <c r="AJ20" s="33" t="str">
        <f t="shared" si="0"/>
        <v/>
      </c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</row>
    <row r="21" spans="1:49" x14ac:dyDescent="0.3">
      <c r="A21" s="5" t="s">
        <v>1457</v>
      </c>
      <c r="B21" s="14" t="s">
        <v>1458</v>
      </c>
      <c r="C21" s="25">
        <v>303</v>
      </c>
      <c r="D21" s="23">
        <v>84.2</v>
      </c>
      <c r="E21" s="21">
        <v>25</v>
      </c>
      <c r="F21" s="23">
        <v>59.9</v>
      </c>
      <c r="G21" s="24">
        <v>18</v>
      </c>
      <c r="H21" s="25">
        <v>153</v>
      </c>
      <c r="I21" s="29">
        <v>61000</v>
      </c>
      <c r="J21" s="106" t="s">
        <v>2155</v>
      </c>
      <c r="K21" s="29">
        <v>45000</v>
      </c>
      <c r="L21" s="106" t="s">
        <v>2155</v>
      </c>
      <c r="M21" s="6">
        <f>I21-K21</f>
        <v>16000</v>
      </c>
      <c r="N21" s="7">
        <f>IF(ISERROR(K21/I21),"",K21/I21)</f>
        <v>0.73770491803278693</v>
      </c>
      <c r="O21" s="12">
        <f>I21/E21</f>
        <v>2440</v>
      </c>
      <c r="P21" s="12">
        <f>K21/E21</f>
        <v>1800</v>
      </c>
      <c r="Q21" s="13">
        <v>3</v>
      </c>
      <c r="R21" s="13">
        <v>2</v>
      </c>
      <c r="S21" s="13" t="s">
        <v>51</v>
      </c>
      <c r="T21" s="8" t="s">
        <v>445</v>
      </c>
      <c r="U21" s="5"/>
      <c r="V21" s="5" t="s">
        <v>1459</v>
      </c>
      <c r="X21" s="23">
        <f>D21</f>
        <v>84.2</v>
      </c>
      <c r="Y21" s="21">
        <f>E21</f>
        <v>25</v>
      </c>
      <c r="Z21" s="28">
        <f>H21</f>
        <v>153</v>
      </c>
      <c r="AA21" s="6">
        <f>I21</f>
        <v>61000</v>
      </c>
      <c r="AB21" s="6">
        <f>K21</f>
        <v>45000</v>
      </c>
      <c r="AC21" s="6">
        <f t="shared" ref="AC21:AE22" si="20">M21</f>
        <v>16000</v>
      </c>
      <c r="AD21" s="7">
        <f t="shared" si="20"/>
        <v>0.73770491803278693</v>
      </c>
      <c r="AE21" s="12">
        <f t="shared" si="20"/>
        <v>2440</v>
      </c>
      <c r="AF21" s="13" t="str">
        <f>S21</f>
        <v>계</v>
      </c>
      <c r="AG21" s="13" t="str">
        <f>Q21&amp;"/"&amp;R21</f>
        <v>3/2</v>
      </c>
      <c r="AI21" s="32" t="str">
        <f t="shared" si="1"/>
        <v>힐스테이트비산파크뷰</v>
      </c>
      <c r="AJ21" s="21">
        <f t="shared" si="0"/>
        <v>25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>X</v>
      </c>
      <c r="AQ21" s="13" t="str">
        <f>IF(I21="","",IF(I21&lt;=$AQ$1,"O","X"))</f>
        <v>X</v>
      </c>
      <c r="AR21" s="13" t="str">
        <f>IF(O21="","",IF(O21&lt;=$AR$1,"O","X"))</f>
        <v>X</v>
      </c>
      <c r="AS21" s="13" t="str">
        <f>IF(M21="","",IF(M21&lt;=$AS$1,"O","X"))</f>
        <v>X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O</v>
      </c>
      <c r="AW21" s="13" t="str">
        <f>IF(AP21="","",IF(AND(AP21="O",AQ21="O",AS21="O",AU21="O",AV21="O"),"후보","X"))</f>
        <v>X</v>
      </c>
    </row>
    <row r="22" spans="1:49" x14ac:dyDescent="0.3">
      <c r="A22" s="5" t="s">
        <v>1457</v>
      </c>
      <c r="B22" s="14" t="s">
        <v>1458</v>
      </c>
      <c r="C22" s="25">
        <v>303</v>
      </c>
      <c r="D22" s="23">
        <v>107.2</v>
      </c>
      <c r="E22" s="21">
        <v>32</v>
      </c>
      <c r="F22" s="23">
        <v>76.8</v>
      </c>
      <c r="G22" s="24">
        <v>23</v>
      </c>
      <c r="H22" s="25">
        <v>150</v>
      </c>
      <c r="I22" s="29">
        <v>80000</v>
      </c>
      <c r="J22" s="106" t="s">
        <v>2156</v>
      </c>
      <c r="K22" s="29">
        <v>51000</v>
      </c>
      <c r="L22" s="106" t="s">
        <v>2157</v>
      </c>
      <c r="M22" s="6">
        <f>I22-K22</f>
        <v>29000</v>
      </c>
      <c r="N22" s="7">
        <f>IF(ISERROR(K22/I22),"",K22/I22)</f>
        <v>0.63749999999999996</v>
      </c>
      <c r="O22" s="12">
        <f>I22/E22</f>
        <v>2500</v>
      </c>
      <c r="P22" s="12">
        <f>K22/E22</f>
        <v>1593.75</v>
      </c>
      <c r="Q22" s="13">
        <v>3</v>
      </c>
      <c r="R22" s="13">
        <v>2</v>
      </c>
      <c r="S22" s="13" t="s">
        <v>51</v>
      </c>
      <c r="T22" s="8" t="s">
        <v>428</v>
      </c>
      <c r="U22" s="5"/>
      <c r="V22" s="5" t="s">
        <v>1460</v>
      </c>
      <c r="X22" s="23">
        <f>D22</f>
        <v>107.2</v>
      </c>
      <c r="Y22" s="21">
        <f>E22</f>
        <v>32</v>
      </c>
      <c r="Z22" s="28">
        <f>H22</f>
        <v>150</v>
      </c>
      <c r="AA22" s="6">
        <f>I22</f>
        <v>80000</v>
      </c>
      <c r="AB22" s="6">
        <f>K22</f>
        <v>51000</v>
      </c>
      <c r="AC22" s="6">
        <f t="shared" si="20"/>
        <v>29000</v>
      </c>
      <c r="AD22" s="7">
        <f t="shared" si="20"/>
        <v>0.63749999999999996</v>
      </c>
      <c r="AE22" s="12">
        <f t="shared" si="20"/>
        <v>2500</v>
      </c>
      <c r="AF22" s="13" t="str">
        <f>S22</f>
        <v>계</v>
      </c>
      <c r="AG22" s="13" t="str">
        <f>Q22&amp;"/"&amp;R22</f>
        <v>3/2</v>
      </c>
      <c r="AI22" s="32" t="str">
        <f t="shared" si="1"/>
        <v>힐스테이트비산파크뷰</v>
      </c>
      <c r="AJ22" s="21">
        <f t="shared" si="0"/>
        <v>32</v>
      </c>
      <c r="AK22" s="13" t="str">
        <f>IF(AJ22="","",$AK$2)</f>
        <v>A-</v>
      </c>
      <c r="AL22" s="13"/>
      <c r="AM22" s="13"/>
      <c r="AN22" s="13"/>
      <c r="AO22" s="13" t="str">
        <f>IF(AJ22="","",$AO$2)</f>
        <v>C</v>
      </c>
      <c r="AP22" s="13" t="str">
        <f>IF(N22="","",IF(N22&gt;=$AP$1/100,"O","X"))</f>
        <v>X</v>
      </c>
      <c r="AQ22" s="13" t="str">
        <f>IF(I22="","",IF(I22&lt;=$AQ$1,"O","X"))</f>
        <v>X</v>
      </c>
      <c r="AR22" s="13" t="str">
        <f>IF(O22="","",IF(O22&lt;=$AR$1,"O","X"))</f>
        <v>X</v>
      </c>
      <c r="AS22" s="13" t="str">
        <f>IF(M22="","",IF(M22&lt;=$AS$1,"O","X"))</f>
        <v>X</v>
      </c>
      <c r="AT22" s="13" t="s">
        <v>32</v>
      </c>
      <c r="AU22" s="13" t="str">
        <f>IF(OR(F22="",AJ22=""),"",IF(AND((F22&lt;=85),(AJ22&gt;=15)),"O","X"))</f>
        <v>O</v>
      </c>
      <c r="AV22" s="13" t="str">
        <f>IF(C22="","",IF(C22&gt;=$AV$1,"O","X"))</f>
        <v>O</v>
      </c>
      <c r="AW22" s="13" t="str">
        <f>IF(AP22="","",IF(AND(AP22="O",AQ22="O",AS22="O",AU22="O",AV22="O"),"후보","X"))</f>
        <v>X</v>
      </c>
    </row>
    <row r="23" spans="1:49" x14ac:dyDescent="0.3">
      <c r="A23" s="5"/>
      <c r="B23" s="13"/>
      <c r="C23" s="9"/>
      <c r="D23" s="5"/>
      <c r="E23" s="18"/>
      <c r="F23" s="23"/>
      <c r="G23" s="5"/>
      <c r="H23" s="5"/>
      <c r="I23" s="5"/>
      <c r="J23" s="8"/>
      <c r="K23" s="5"/>
      <c r="L23" s="8"/>
      <c r="M23" s="5"/>
      <c r="N23" s="5"/>
      <c r="O23" s="12"/>
      <c r="P23" s="12"/>
      <c r="Q23" s="21"/>
      <c r="R23" s="21"/>
      <c r="S23" s="5"/>
      <c r="T23" s="59"/>
      <c r="U23" s="5"/>
      <c r="V23" s="5"/>
      <c r="X23" s="90" t="str">
        <f>$A$4&amp;" "&amp;A24&amp;"("&amp;B24&amp;","&amp;C24&amp;"^)"</f>
        <v>비산동 비산롯데캐슬('03.09,955^)</v>
      </c>
      <c r="Y23" s="91"/>
      <c r="Z23" s="91"/>
      <c r="AA23" s="91"/>
      <c r="AB23" s="91"/>
      <c r="AC23" s="91"/>
      <c r="AD23" s="91"/>
      <c r="AE23" s="91"/>
      <c r="AF23" s="91"/>
      <c r="AG23" s="92"/>
      <c r="AI23" s="32" t="str">
        <f t="shared" si="1"/>
        <v/>
      </c>
      <c r="AJ23" s="33" t="str">
        <f t="shared" si="0"/>
        <v/>
      </c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</row>
    <row r="24" spans="1:49" x14ac:dyDescent="0.3">
      <c r="A24" s="5" t="s">
        <v>1461</v>
      </c>
      <c r="B24" s="14" t="s">
        <v>1462</v>
      </c>
      <c r="C24" s="25">
        <v>955</v>
      </c>
      <c r="D24" s="23">
        <v>72.8</v>
      </c>
      <c r="E24" s="21">
        <v>22</v>
      </c>
      <c r="F24" s="23">
        <v>56.8</v>
      </c>
      <c r="G24" s="24">
        <v>17</v>
      </c>
      <c r="H24" s="25">
        <v>144</v>
      </c>
      <c r="I24" s="29">
        <v>55000</v>
      </c>
      <c r="J24" s="106" t="s">
        <v>2158</v>
      </c>
      <c r="K24" s="29">
        <v>34000</v>
      </c>
      <c r="L24" s="106" t="s">
        <v>2162</v>
      </c>
      <c r="M24" s="6">
        <f>I24-K24</f>
        <v>21000</v>
      </c>
      <c r="N24" s="7">
        <f>IF(ISERROR(K24/I24),"",K24/I24)</f>
        <v>0.61818181818181817</v>
      </c>
      <c r="O24" s="12">
        <f>I24/E24</f>
        <v>2500</v>
      </c>
      <c r="P24" s="12">
        <f>K24/E24</f>
        <v>1545.4545454545455</v>
      </c>
      <c r="Q24" s="13">
        <v>3</v>
      </c>
      <c r="R24" s="13">
        <v>1</v>
      </c>
      <c r="S24" s="13" t="s">
        <v>51</v>
      </c>
      <c r="T24" s="8">
        <v>72</v>
      </c>
      <c r="U24" s="5"/>
      <c r="V24" s="5" t="s">
        <v>1463</v>
      </c>
      <c r="X24" s="23">
        <f t="shared" ref="X24:Y27" si="21">D24</f>
        <v>72.8</v>
      </c>
      <c r="Y24" s="21">
        <f t="shared" si="21"/>
        <v>22</v>
      </c>
      <c r="Z24" s="28">
        <f t="shared" ref="Z24:AA27" si="22">H24</f>
        <v>144</v>
      </c>
      <c r="AA24" s="6">
        <f t="shared" si="22"/>
        <v>55000</v>
      </c>
      <c r="AB24" s="6">
        <f>K24</f>
        <v>34000</v>
      </c>
      <c r="AC24" s="6">
        <f t="shared" ref="AC24:AE27" si="23">M24</f>
        <v>21000</v>
      </c>
      <c r="AD24" s="7">
        <f t="shared" si="23"/>
        <v>0.61818181818181817</v>
      </c>
      <c r="AE24" s="12">
        <f t="shared" si="23"/>
        <v>2500</v>
      </c>
      <c r="AF24" s="13" t="str">
        <f>S24</f>
        <v>계</v>
      </c>
      <c r="AG24" s="13" t="str">
        <f>Q24&amp;"/"&amp;R24</f>
        <v>3/1</v>
      </c>
      <c r="AI24" s="32" t="str">
        <f t="shared" si="1"/>
        <v>비산롯데캐슬</v>
      </c>
      <c r="AJ24" s="21">
        <f t="shared" si="0"/>
        <v>22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>X</v>
      </c>
      <c r="AQ24" s="13" t="str">
        <f>IF(I24="","",IF(I24&lt;=$AQ$1,"O","X"))</f>
        <v>X</v>
      </c>
      <c r="AR24" s="13" t="str">
        <f>IF(O24="","",IF(O24&lt;=$AR$1,"O","X"))</f>
        <v>X</v>
      </c>
      <c r="AS24" s="13" t="str">
        <f>IF(M24="","",IF(M24&lt;=$AS$1,"O","X"))</f>
        <v>X</v>
      </c>
      <c r="AT24" s="13" t="s">
        <v>32</v>
      </c>
      <c r="AU24" s="13" t="str">
        <f>IF(OR(F24="",AJ24=""),"",IF(AND((F24&lt;=85),(AJ24&gt;=15)),"O","X"))</f>
        <v>O</v>
      </c>
      <c r="AV24" s="13" t="str">
        <f>IF(C24="","",IF(C24&gt;=$AV$1,"O","X"))</f>
        <v>O</v>
      </c>
      <c r="AW24" s="13" t="str">
        <f>IF(AP24="","",IF(AND(AP24="O",AQ24="O",AS24="O",AU24="O",AV24="O"),"후보","X"))</f>
        <v>X</v>
      </c>
    </row>
    <row r="25" spans="1:49" x14ac:dyDescent="0.3">
      <c r="A25" s="5" t="s">
        <v>1461</v>
      </c>
      <c r="B25" s="14" t="s">
        <v>1462</v>
      </c>
      <c r="C25" s="25">
        <v>955</v>
      </c>
      <c r="D25" s="23">
        <v>104.7</v>
      </c>
      <c r="E25" s="21">
        <v>32</v>
      </c>
      <c r="F25" s="23">
        <v>82.2</v>
      </c>
      <c r="G25" s="24">
        <v>25</v>
      </c>
      <c r="H25" s="25">
        <v>648</v>
      </c>
      <c r="I25" s="29">
        <v>60000</v>
      </c>
      <c r="J25" s="106" t="s">
        <v>2159</v>
      </c>
      <c r="K25" s="29">
        <v>42000</v>
      </c>
      <c r="L25" s="106" t="s">
        <v>2151</v>
      </c>
      <c r="M25" s="6">
        <f>I25-K25</f>
        <v>18000</v>
      </c>
      <c r="N25" s="7">
        <f>IF(ISERROR(K25/I25),"",K25/I25)</f>
        <v>0.7</v>
      </c>
      <c r="O25" s="12">
        <f>I25/E25</f>
        <v>1875</v>
      </c>
      <c r="P25" s="12">
        <f>K25/E25</f>
        <v>1312.5</v>
      </c>
      <c r="Q25" s="13">
        <v>3</v>
      </c>
      <c r="R25" s="13">
        <v>2</v>
      </c>
      <c r="S25" s="13" t="s">
        <v>51</v>
      </c>
      <c r="T25" s="8">
        <v>104</v>
      </c>
      <c r="U25" s="5"/>
      <c r="V25" s="5" t="s">
        <v>1464</v>
      </c>
      <c r="X25" s="23">
        <f t="shared" si="21"/>
        <v>104.7</v>
      </c>
      <c r="Y25" s="21">
        <f t="shared" si="21"/>
        <v>32</v>
      </c>
      <c r="Z25" s="28">
        <f t="shared" si="22"/>
        <v>648</v>
      </c>
      <c r="AA25" s="6">
        <f t="shared" si="22"/>
        <v>60000</v>
      </c>
      <c r="AB25" s="6">
        <f>K25</f>
        <v>42000</v>
      </c>
      <c r="AC25" s="6">
        <f t="shared" si="23"/>
        <v>18000</v>
      </c>
      <c r="AD25" s="7">
        <f t="shared" si="23"/>
        <v>0.7</v>
      </c>
      <c r="AE25" s="12">
        <f t="shared" si="23"/>
        <v>1875</v>
      </c>
      <c r="AF25" s="13" t="str">
        <f>S25</f>
        <v>계</v>
      </c>
      <c r="AG25" s="13" t="str">
        <f>Q25&amp;"/"&amp;R25</f>
        <v>3/2</v>
      </c>
      <c r="AI25" s="32" t="str">
        <f t="shared" si="1"/>
        <v>비산롯데캐슬</v>
      </c>
      <c r="AJ25" s="21">
        <f t="shared" si="0"/>
        <v>32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>X</v>
      </c>
      <c r="AQ25" s="13" t="str">
        <f>IF(I25="","",IF(I25&lt;=$AQ$1,"O","X"))</f>
        <v>X</v>
      </c>
      <c r="AR25" s="13" t="str">
        <f>IF(O25="","",IF(O25&lt;=$AR$1,"O","X"))</f>
        <v>X</v>
      </c>
      <c r="AS25" s="13" t="str">
        <f>IF(M25="","",IF(M25&lt;=$AS$1,"O","X"))</f>
        <v>X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>X</v>
      </c>
    </row>
    <row r="26" spans="1:49" x14ac:dyDescent="0.3">
      <c r="A26" s="5" t="s">
        <v>1461</v>
      </c>
      <c r="B26" s="14" t="s">
        <v>1462</v>
      </c>
      <c r="C26" s="25">
        <v>955</v>
      </c>
      <c r="D26" s="23">
        <v>107.7</v>
      </c>
      <c r="E26" s="21">
        <v>33</v>
      </c>
      <c r="F26" s="23">
        <v>84.7</v>
      </c>
      <c r="G26" s="24">
        <v>26</v>
      </c>
      <c r="H26" s="25">
        <v>17</v>
      </c>
      <c r="I26" s="29">
        <v>63500</v>
      </c>
      <c r="J26" s="106"/>
      <c r="K26" s="29">
        <v>42000</v>
      </c>
      <c r="L26" s="106" t="s">
        <v>2163</v>
      </c>
      <c r="M26" s="6">
        <f>I26-K26</f>
        <v>21500</v>
      </c>
      <c r="N26" s="7">
        <f>IF(ISERROR(K26/I26),"",K26/I26)</f>
        <v>0.66141732283464572</v>
      </c>
      <c r="O26" s="12">
        <f>I26/E26</f>
        <v>1924.2424242424242</v>
      </c>
      <c r="P26" s="12">
        <f>K26/E26</f>
        <v>1272.7272727272727</v>
      </c>
      <c r="Q26" s="13">
        <v>3</v>
      </c>
      <c r="R26" s="13">
        <v>2</v>
      </c>
      <c r="S26" s="13" t="s">
        <v>51</v>
      </c>
      <c r="T26" s="8">
        <v>107</v>
      </c>
      <c r="U26" s="5" t="s">
        <v>2160</v>
      </c>
      <c r="V26" s="5" t="s">
        <v>1465</v>
      </c>
      <c r="X26" s="23">
        <f t="shared" si="21"/>
        <v>107.7</v>
      </c>
      <c r="Y26" s="21">
        <f t="shared" si="21"/>
        <v>33</v>
      </c>
      <c r="Z26" s="28">
        <f t="shared" si="22"/>
        <v>17</v>
      </c>
      <c r="AA26" s="6">
        <f t="shared" si="22"/>
        <v>63500</v>
      </c>
      <c r="AB26" s="6">
        <f>K26</f>
        <v>42000</v>
      </c>
      <c r="AC26" s="6">
        <f t="shared" si="23"/>
        <v>21500</v>
      </c>
      <c r="AD26" s="7">
        <f t="shared" si="23"/>
        <v>0.66141732283464572</v>
      </c>
      <c r="AE26" s="12">
        <f t="shared" si="23"/>
        <v>1924.2424242424242</v>
      </c>
      <c r="AF26" s="13" t="str">
        <f>S26</f>
        <v>계</v>
      </c>
      <c r="AG26" s="13" t="str">
        <f>Q26&amp;"/"&amp;R26</f>
        <v>3/2</v>
      </c>
      <c r="AI26" s="32" t="str">
        <f t="shared" si="1"/>
        <v>비산롯데캐슬</v>
      </c>
      <c r="AJ26" s="21">
        <f t="shared" si="0"/>
        <v>33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>X</v>
      </c>
      <c r="AQ26" s="13" t="str">
        <f>IF(I26="","",IF(I26&lt;=$AQ$1,"O","X"))</f>
        <v>X</v>
      </c>
      <c r="AR26" s="13" t="str">
        <f>IF(O26="","",IF(O26&lt;=$AR$1,"O","X"))</f>
        <v>X</v>
      </c>
      <c r="AS26" s="13" t="str">
        <f>IF(M26="","",IF(M26&lt;=$AS$1,"O","X"))</f>
        <v>X</v>
      </c>
      <c r="AT26" s="13" t="s">
        <v>32</v>
      </c>
      <c r="AU26" s="13" t="str">
        <f>IF(OR(F26="",AJ26=""),"",IF(AND((F26&lt;=85),(AJ26&gt;=15)),"O","X"))</f>
        <v>O</v>
      </c>
      <c r="AV26" s="13" t="str">
        <f>IF(C26="","",IF(C26&gt;=$AV$1,"O","X"))</f>
        <v>O</v>
      </c>
      <c r="AW26" s="13" t="str">
        <f>IF(AP26="","",IF(AND(AP26="O",AQ26="O",AS26="O",AU26="O",AV26="O"),"후보","X"))</f>
        <v>X</v>
      </c>
    </row>
    <row r="27" spans="1:49" x14ac:dyDescent="0.3">
      <c r="A27" s="5" t="s">
        <v>1461</v>
      </c>
      <c r="B27" s="14" t="s">
        <v>1462</v>
      </c>
      <c r="C27" s="25">
        <v>955</v>
      </c>
      <c r="D27" s="23">
        <v>136.9</v>
      </c>
      <c r="E27" s="21">
        <v>41</v>
      </c>
      <c r="F27" s="23">
        <v>108.2</v>
      </c>
      <c r="G27" s="24">
        <v>33</v>
      </c>
      <c r="H27" s="25">
        <v>146</v>
      </c>
      <c r="I27" s="29">
        <v>78000</v>
      </c>
      <c r="J27" s="106" t="s">
        <v>2161</v>
      </c>
      <c r="K27" s="29">
        <v>50000</v>
      </c>
      <c r="L27" s="106" t="s">
        <v>2164</v>
      </c>
      <c r="M27" s="6">
        <f>I27-K27</f>
        <v>28000</v>
      </c>
      <c r="N27" s="7">
        <f>IF(ISERROR(K27/I27),"",K27/I27)</f>
        <v>0.64102564102564108</v>
      </c>
      <c r="O27" s="12">
        <f>I27/E27</f>
        <v>1902.439024390244</v>
      </c>
      <c r="P27" s="12">
        <f>K27/E27</f>
        <v>1219.5121951219512</v>
      </c>
      <c r="Q27" s="13">
        <v>4</v>
      </c>
      <c r="R27" s="13">
        <v>2</v>
      </c>
      <c r="S27" s="13" t="s">
        <v>51</v>
      </c>
      <c r="T27" s="8">
        <v>136</v>
      </c>
      <c r="U27" s="5"/>
      <c r="V27" s="5" t="s">
        <v>1466</v>
      </c>
      <c r="X27" s="23">
        <f t="shared" si="21"/>
        <v>136.9</v>
      </c>
      <c r="Y27" s="21">
        <f t="shared" si="21"/>
        <v>41</v>
      </c>
      <c r="Z27" s="28">
        <f t="shared" si="22"/>
        <v>146</v>
      </c>
      <c r="AA27" s="6">
        <f t="shared" si="22"/>
        <v>78000</v>
      </c>
      <c r="AB27" s="6">
        <f>K27</f>
        <v>50000</v>
      </c>
      <c r="AC27" s="6">
        <f t="shared" si="23"/>
        <v>28000</v>
      </c>
      <c r="AD27" s="7">
        <f t="shared" si="23"/>
        <v>0.64102564102564108</v>
      </c>
      <c r="AE27" s="12">
        <f t="shared" si="23"/>
        <v>1902.439024390244</v>
      </c>
      <c r="AF27" s="13" t="str">
        <f>S27</f>
        <v>계</v>
      </c>
      <c r="AG27" s="13" t="str">
        <f>Q27&amp;"/"&amp;R27</f>
        <v>4/2</v>
      </c>
      <c r="AI27" s="32" t="str">
        <f t="shared" si="1"/>
        <v>비산롯데캐슬</v>
      </c>
      <c r="AJ27" s="21">
        <f t="shared" si="0"/>
        <v>41</v>
      </c>
      <c r="AK27" s="13" t="str">
        <f>IF(AJ27="","",$AK$2)</f>
        <v>A-</v>
      </c>
      <c r="AL27" s="13"/>
      <c r="AM27" s="13"/>
      <c r="AN27" s="13"/>
      <c r="AO27" s="13" t="str">
        <f>IF(AJ27="","",$AO$2)</f>
        <v>C</v>
      </c>
      <c r="AP27" s="13" t="str">
        <f>IF(N27="","",IF(N27&gt;=$AP$1/100,"O","X"))</f>
        <v>X</v>
      </c>
      <c r="AQ27" s="13" t="str">
        <f>IF(I27="","",IF(I27&lt;=$AQ$1,"O","X"))</f>
        <v>X</v>
      </c>
      <c r="AR27" s="13" t="str">
        <f>IF(O27="","",IF(O27&lt;=$AR$1,"O","X"))</f>
        <v>X</v>
      </c>
      <c r="AS27" s="13" t="str">
        <f>IF(M27="","",IF(M27&lt;=$AS$1,"O","X"))</f>
        <v>X</v>
      </c>
      <c r="AT27" s="13" t="s">
        <v>32</v>
      </c>
      <c r="AU27" s="13" t="str">
        <f>IF(OR(F27="",AJ27=""),"",IF(AND((F27&lt;=85),(AJ27&gt;=15)),"O","X"))</f>
        <v>X</v>
      </c>
      <c r="AV27" s="13" t="str">
        <f>IF(C27="","",IF(C27&gt;=$AV$1,"O","X"))</f>
        <v>O</v>
      </c>
      <c r="AW27" s="13" t="str">
        <f>IF(AP27="","",IF(AND(AP27="O",AQ27="O",AS27="O",AU27="O",AV27="O"),"후보","X"))</f>
        <v>X</v>
      </c>
    </row>
    <row r="28" spans="1:49" x14ac:dyDescent="0.3">
      <c r="A28" s="5"/>
      <c r="B28" s="13"/>
      <c r="C28" s="9"/>
      <c r="D28" s="5"/>
      <c r="E28" s="18"/>
      <c r="F28" s="23"/>
      <c r="G28" s="5"/>
      <c r="H28" s="5"/>
      <c r="I28" s="5"/>
      <c r="J28" s="8"/>
      <c r="K28" s="5"/>
      <c r="L28" s="8"/>
      <c r="M28" s="5"/>
      <c r="N28" s="5"/>
      <c r="O28" s="12"/>
      <c r="P28" s="12"/>
      <c r="Q28" s="21"/>
      <c r="R28" s="21"/>
      <c r="S28" s="5"/>
      <c r="T28" s="59"/>
      <c r="U28" s="5"/>
      <c r="V28" s="5"/>
      <c r="X28" s="90" t="str">
        <f>$A$4&amp;" "&amp;A29&amp;"("&amp;B29&amp;","&amp;C29&amp;"^)"</f>
        <v>비산동 비산삼성래미안('03.12,3806^)</v>
      </c>
      <c r="Y28" s="91"/>
      <c r="Z28" s="91"/>
      <c r="AA28" s="91"/>
      <c r="AB28" s="91"/>
      <c r="AC28" s="91"/>
      <c r="AD28" s="91"/>
      <c r="AE28" s="91"/>
      <c r="AF28" s="91"/>
      <c r="AG28" s="92"/>
      <c r="AI28" s="32" t="str">
        <f t="shared" si="1"/>
        <v/>
      </c>
      <c r="AJ28" s="33" t="str">
        <f t="shared" si="0"/>
        <v/>
      </c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</row>
    <row r="29" spans="1:49" x14ac:dyDescent="0.3">
      <c r="A29" s="5" t="s">
        <v>1467</v>
      </c>
      <c r="B29" s="14" t="s">
        <v>1468</v>
      </c>
      <c r="C29" s="25">
        <v>3806</v>
      </c>
      <c r="D29" s="23">
        <v>79.5</v>
      </c>
      <c r="E29" s="21">
        <v>24</v>
      </c>
      <c r="F29" s="23">
        <v>59.9</v>
      </c>
      <c r="G29" s="24">
        <v>18</v>
      </c>
      <c r="H29" s="25">
        <v>120</v>
      </c>
      <c r="I29" s="29">
        <v>57000</v>
      </c>
      <c r="J29" s="106" t="s">
        <v>2165</v>
      </c>
      <c r="K29" s="29">
        <v>37000</v>
      </c>
      <c r="L29" s="106" t="s">
        <v>2143</v>
      </c>
      <c r="M29" s="6">
        <f t="shared" ref="M29:M36" si="24">I29-K29</f>
        <v>20000</v>
      </c>
      <c r="N29" s="7">
        <f t="shared" ref="N29:N36" si="25">IF(ISERROR(K29/I29),"",K29/I29)</f>
        <v>0.64912280701754388</v>
      </c>
      <c r="O29" s="12">
        <f t="shared" ref="O29:O36" si="26">I29/E29</f>
        <v>2375</v>
      </c>
      <c r="P29" s="12">
        <f t="shared" ref="P29:P36" si="27">K29/E29</f>
        <v>1541.6666666666667</v>
      </c>
      <c r="Q29" s="13">
        <v>3</v>
      </c>
      <c r="R29" s="13">
        <v>2</v>
      </c>
      <c r="S29" s="13" t="s">
        <v>51</v>
      </c>
      <c r="T29" s="8" t="s">
        <v>163</v>
      </c>
      <c r="U29" s="5"/>
      <c r="V29" s="5" t="s">
        <v>1469</v>
      </c>
      <c r="X29" s="23">
        <f t="shared" ref="X29:Y36" si="28">D29</f>
        <v>79.5</v>
      </c>
      <c r="Y29" s="21">
        <f t="shared" si="28"/>
        <v>24</v>
      </c>
      <c r="Z29" s="28">
        <f t="shared" ref="Z29:AA36" si="29">H29</f>
        <v>120</v>
      </c>
      <c r="AA29" s="6">
        <f t="shared" si="29"/>
        <v>57000</v>
      </c>
      <c r="AB29" s="6">
        <f t="shared" ref="AB29:AB36" si="30">K29</f>
        <v>37000</v>
      </c>
      <c r="AC29" s="6">
        <f t="shared" ref="AC29:AE36" si="31">M29</f>
        <v>20000</v>
      </c>
      <c r="AD29" s="7">
        <f t="shared" si="31"/>
        <v>0.64912280701754388</v>
      </c>
      <c r="AE29" s="12">
        <f t="shared" si="31"/>
        <v>2375</v>
      </c>
      <c r="AF29" s="13" t="str">
        <f t="shared" ref="AF29:AF36" si="32">S29</f>
        <v>계</v>
      </c>
      <c r="AG29" s="13" t="str">
        <f t="shared" ref="AG29:AG36" si="33">Q29&amp;"/"&amp;R29</f>
        <v>3/2</v>
      </c>
      <c r="AI29" s="32" t="str">
        <f t="shared" si="1"/>
        <v>비산삼성래미안</v>
      </c>
      <c r="AJ29" s="21">
        <f t="shared" si="0"/>
        <v>24</v>
      </c>
      <c r="AK29" s="13" t="str">
        <f t="shared" ref="AK29:AK36" si="34">IF(AJ29="","",$AK$2)</f>
        <v>A-</v>
      </c>
      <c r="AL29" s="13"/>
      <c r="AM29" s="13"/>
      <c r="AN29" s="13"/>
      <c r="AO29" s="13" t="str">
        <f t="shared" ref="AO29:AO36" si="35">IF(AJ29="","",$AO$2)</f>
        <v>C</v>
      </c>
      <c r="AP29" s="13" t="str">
        <f t="shared" ref="AP29:AP36" si="36">IF(N29="","",IF(N29&gt;=$AP$1/100,"O","X"))</f>
        <v>X</v>
      </c>
      <c r="AQ29" s="13" t="str">
        <f t="shared" ref="AQ29:AQ36" si="37">IF(I29="","",IF(I29&lt;=$AQ$1,"O","X"))</f>
        <v>X</v>
      </c>
      <c r="AR29" s="13" t="str">
        <f t="shared" ref="AR29:AR36" si="38">IF(O29="","",IF(O29&lt;=$AR$1,"O","X"))</f>
        <v>X</v>
      </c>
      <c r="AS29" s="13" t="str">
        <f t="shared" ref="AS29:AS36" si="39">IF(M29="","",IF(M29&lt;=$AS$1,"O","X"))</f>
        <v>X</v>
      </c>
      <c r="AT29" s="13" t="s">
        <v>32</v>
      </c>
      <c r="AU29" s="13" t="str">
        <f t="shared" ref="AU29:AU36" si="40">IF(OR(F29="",AJ29=""),"",IF(AND((F29&lt;=85),(AJ29&gt;=15)),"O","X"))</f>
        <v>O</v>
      </c>
      <c r="AV29" s="13" t="str">
        <f t="shared" ref="AV29:AV36" si="41">IF(C29="","",IF(C29&gt;=$AV$1,"O","X"))</f>
        <v>O</v>
      </c>
      <c r="AW29" s="13" t="str">
        <f t="shared" ref="AW29:AW36" si="42">IF(AP29="","",IF(AND(AP29="O",AQ29="O",AS29="O",AU29="O",AV29="O"),"후보","X"))</f>
        <v>X</v>
      </c>
    </row>
    <row r="30" spans="1:49" x14ac:dyDescent="0.3">
      <c r="A30" s="5" t="s">
        <v>1467</v>
      </c>
      <c r="B30" s="14" t="s">
        <v>1468</v>
      </c>
      <c r="C30" s="25">
        <v>3806</v>
      </c>
      <c r="D30" s="23">
        <v>81.7</v>
      </c>
      <c r="E30" s="21">
        <v>25</v>
      </c>
      <c r="F30" s="23">
        <v>59.9</v>
      </c>
      <c r="G30" s="24">
        <v>18</v>
      </c>
      <c r="H30" s="25">
        <v>250</v>
      </c>
      <c r="I30" s="29">
        <v>60000</v>
      </c>
      <c r="J30" s="106" t="s">
        <v>2166</v>
      </c>
      <c r="K30" s="29">
        <v>40000</v>
      </c>
      <c r="L30" s="106" t="s">
        <v>2162</v>
      </c>
      <c r="M30" s="6">
        <f t="shared" si="24"/>
        <v>20000</v>
      </c>
      <c r="N30" s="7">
        <f t="shared" si="25"/>
        <v>0.66666666666666663</v>
      </c>
      <c r="O30" s="12">
        <f t="shared" si="26"/>
        <v>2400</v>
      </c>
      <c r="P30" s="12">
        <f t="shared" si="27"/>
        <v>1600</v>
      </c>
      <c r="Q30" s="13">
        <v>3</v>
      </c>
      <c r="R30" s="13">
        <v>2</v>
      </c>
      <c r="S30" s="13" t="s">
        <v>51</v>
      </c>
      <c r="T30" s="8" t="s">
        <v>464</v>
      </c>
      <c r="U30" s="5"/>
      <c r="V30" s="5" t="s">
        <v>1470</v>
      </c>
      <c r="X30" s="23">
        <f t="shared" si="28"/>
        <v>81.7</v>
      </c>
      <c r="Y30" s="21">
        <f t="shared" si="28"/>
        <v>25</v>
      </c>
      <c r="Z30" s="28">
        <f t="shared" si="29"/>
        <v>250</v>
      </c>
      <c r="AA30" s="6">
        <f t="shared" si="29"/>
        <v>60000</v>
      </c>
      <c r="AB30" s="6">
        <f t="shared" si="30"/>
        <v>40000</v>
      </c>
      <c r="AC30" s="6">
        <f t="shared" si="31"/>
        <v>20000</v>
      </c>
      <c r="AD30" s="7">
        <f t="shared" si="31"/>
        <v>0.66666666666666663</v>
      </c>
      <c r="AE30" s="12">
        <f t="shared" si="31"/>
        <v>2400</v>
      </c>
      <c r="AF30" s="13" t="str">
        <f t="shared" si="32"/>
        <v>계</v>
      </c>
      <c r="AG30" s="13" t="str">
        <f t="shared" si="33"/>
        <v>3/2</v>
      </c>
      <c r="AI30" s="32" t="str">
        <f t="shared" si="1"/>
        <v>비산삼성래미안</v>
      </c>
      <c r="AJ30" s="21">
        <f t="shared" si="0"/>
        <v>25</v>
      </c>
      <c r="AK30" s="13" t="str">
        <f t="shared" si="34"/>
        <v>A-</v>
      </c>
      <c r="AL30" s="13"/>
      <c r="AM30" s="13"/>
      <c r="AN30" s="13"/>
      <c r="AO30" s="13" t="str">
        <f t="shared" si="35"/>
        <v>C</v>
      </c>
      <c r="AP30" s="13" t="str">
        <f t="shared" si="36"/>
        <v>X</v>
      </c>
      <c r="AQ30" s="13" t="str">
        <f t="shared" si="37"/>
        <v>X</v>
      </c>
      <c r="AR30" s="13" t="str">
        <f t="shared" si="38"/>
        <v>X</v>
      </c>
      <c r="AS30" s="13" t="str">
        <f t="shared" si="39"/>
        <v>X</v>
      </c>
      <c r="AT30" s="13" t="s">
        <v>32</v>
      </c>
      <c r="AU30" s="13" t="str">
        <f t="shared" si="40"/>
        <v>O</v>
      </c>
      <c r="AV30" s="13" t="str">
        <f t="shared" si="41"/>
        <v>O</v>
      </c>
      <c r="AW30" s="13" t="str">
        <f t="shared" si="42"/>
        <v>X</v>
      </c>
    </row>
    <row r="31" spans="1:49" x14ac:dyDescent="0.3">
      <c r="A31" s="5" t="s">
        <v>1467</v>
      </c>
      <c r="B31" s="14" t="s">
        <v>1468</v>
      </c>
      <c r="C31" s="25">
        <v>3806</v>
      </c>
      <c r="D31" s="23">
        <v>81.3</v>
      </c>
      <c r="E31" s="21">
        <v>25</v>
      </c>
      <c r="F31" s="23">
        <v>59.9</v>
      </c>
      <c r="G31" s="24">
        <v>18</v>
      </c>
      <c r="H31" s="25">
        <v>204</v>
      </c>
      <c r="I31" s="29">
        <v>56000</v>
      </c>
      <c r="J31" s="106" t="s">
        <v>2167</v>
      </c>
      <c r="K31" s="29">
        <v>36000</v>
      </c>
      <c r="L31" s="106"/>
      <c r="M31" s="6">
        <f t="shared" si="24"/>
        <v>20000</v>
      </c>
      <c r="N31" s="7">
        <f t="shared" si="25"/>
        <v>0.6428571428571429</v>
      </c>
      <c r="O31" s="12">
        <f t="shared" si="26"/>
        <v>2240</v>
      </c>
      <c r="P31" s="12">
        <f t="shared" si="27"/>
        <v>1440</v>
      </c>
      <c r="Q31" s="13">
        <v>3</v>
      </c>
      <c r="R31" s="13">
        <v>2</v>
      </c>
      <c r="S31" s="13" t="s">
        <v>51</v>
      </c>
      <c r="T31" s="8" t="s">
        <v>465</v>
      </c>
      <c r="U31" s="5" t="s">
        <v>2173</v>
      </c>
      <c r="V31" s="5" t="s">
        <v>1471</v>
      </c>
      <c r="X31" s="23">
        <f t="shared" si="28"/>
        <v>81.3</v>
      </c>
      <c r="Y31" s="21">
        <f t="shared" si="28"/>
        <v>25</v>
      </c>
      <c r="Z31" s="28">
        <f t="shared" si="29"/>
        <v>204</v>
      </c>
      <c r="AA31" s="6">
        <f t="shared" si="29"/>
        <v>56000</v>
      </c>
      <c r="AB31" s="6">
        <f t="shared" si="30"/>
        <v>36000</v>
      </c>
      <c r="AC31" s="6">
        <f t="shared" si="31"/>
        <v>20000</v>
      </c>
      <c r="AD31" s="7">
        <f t="shared" si="31"/>
        <v>0.6428571428571429</v>
      </c>
      <c r="AE31" s="12">
        <f t="shared" si="31"/>
        <v>2240</v>
      </c>
      <c r="AF31" s="13" t="str">
        <f t="shared" si="32"/>
        <v>계</v>
      </c>
      <c r="AG31" s="13" t="str">
        <f t="shared" si="33"/>
        <v>3/2</v>
      </c>
      <c r="AI31" s="32" t="str">
        <f t="shared" si="1"/>
        <v>비산삼성래미안</v>
      </c>
      <c r="AJ31" s="21">
        <f t="shared" si="0"/>
        <v>25</v>
      </c>
      <c r="AK31" s="13" t="str">
        <f t="shared" si="34"/>
        <v>A-</v>
      </c>
      <c r="AL31" s="13"/>
      <c r="AM31" s="13"/>
      <c r="AN31" s="13"/>
      <c r="AO31" s="13" t="str">
        <f t="shared" si="35"/>
        <v>C</v>
      </c>
      <c r="AP31" s="13" t="str">
        <f t="shared" si="36"/>
        <v>X</v>
      </c>
      <c r="AQ31" s="13" t="str">
        <f t="shared" si="37"/>
        <v>X</v>
      </c>
      <c r="AR31" s="13" t="str">
        <f t="shared" si="38"/>
        <v>X</v>
      </c>
      <c r="AS31" s="13" t="str">
        <f t="shared" si="39"/>
        <v>X</v>
      </c>
      <c r="AT31" s="13" t="s">
        <v>32</v>
      </c>
      <c r="AU31" s="13" t="str">
        <f t="shared" si="40"/>
        <v>O</v>
      </c>
      <c r="AV31" s="13" t="str">
        <f t="shared" si="41"/>
        <v>O</v>
      </c>
      <c r="AW31" s="13" t="str">
        <f t="shared" si="42"/>
        <v>X</v>
      </c>
    </row>
    <row r="32" spans="1:49" x14ac:dyDescent="0.3">
      <c r="A32" s="5" t="s">
        <v>1467</v>
      </c>
      <c r="B32" s="14" t="s">
        <v>1468</v>
      </c>
      <c r="C32" s="25">
        <v>3806</v>
      </c>
      <c r="D32" s="23">
        <v>108.3</v>
      </c>
      <c r="E32" s="21">
        <v>33</v>
      </c>
      <c r="F32" s="23">
        <v>84.9</v>
      </c>
      <c r="G32" s="24">
        <v>26</v>
      </c>
      <c r="H32" s="25">
        <v>2000</v>
      </c>
      <c r="I32" s="29">
        <v>67000</v>
      </c>
      <c r="J32" s="106" t="s">
        <v>2168</v>
      </c>
      <c r="K32" s="29">
        <v>48000</v>
      </c>
      <c r="L32" s="106" t="s">
        <v>2174</v>
      </c>
      <c r="M32" s="6">
        <f t="shared" si="24"/>
        <v>19000</v>
      </c>
      <c r="N32" s="7">
        <f t="shared" si="25"/>
        <v>0.71641791044776115</v>
      </c>
      <c r="O32" s="12">
        <f t="shared" si="26"/>
        <v>2030.3030303030303</v>
      </c>
      <c r="P32" s="12">
        <f t="shared" si="27"/>
        <v>1454.5454545454545</v>
      </c>
      <c r="Q32" s="13">
        <v>3</v>
      </c>
      <c r="R32" s="13">
        <v>2</v>
      </c>
      <c r="S32" s="13" t="s">
        <v>51</v>
      </c>
      <c r="T32" s="8">
        <v>108</v>
      </c>
      <c r="U32" s="5"/>
      <c r="V32" s="5" t="s">
        <v>1472</v>
      </c>
      <c r="X32" s="23">
        <f t="shared" si="28"/>
        <v>108.3</v>
      </c>
      <c r="Y32" s="21">
        <f t="shared" si="28"/>
        <v>33</v>
      </c>
      <c r="Z32" s="28">
        <f t="shared" si="29"/>
        <v>2000</v>
      </c>
      <c r="AA32" s="6">
        <f t="shared" si="29"/>
        <v>67000</v>
      </c>
      <c r="AB32" s="6">
        <f t="shared" si="30"/>
        <v>48000</v>
      </c>
      <c r="AC32" s="6">
        <f t="shared" si="31"/>
        <v>19000</v>
      </c>
      <c r="AD32" s="7">
        <f t="shared" si="31"/>
        <v>0.71641791044776115</v>
      </c>
      <c r="AE32" s="12">
        <f t="shared" si="31"/>
        <v>2030.3030303030303</v>
      </c>
      <c r="AF32" s="13" t="str">
        <f t="shared" si="32"/>
        <v>계</v>
      </c>
      <c r="AG32" s="13" t="str">
        <f t="shared" si="33"/>
        <v>3/2</v>
      </c>
      <c r="AI32" s="32" t="str">
        <f t="shared" si="1"/>
        <v>비산삼성래미안</v>
      </c>
      <c r="AJ32" s="21">
        <f t="shared" si="0"/>
        <v>33</v>
      </c>
      <c r="AK32" s="13" t="str">
        <f t="shared" si="34"/>
        <v>A-</v>
      </c>
      <c r="AL32" s="13"/>
      <c r="AM32" s="13"/>
      <c r="AN32" s="13"/>
      <c r="AO32" s="13" t="str">
        <f t="shared" si="35"/>
        <v>C</v>
      </c>
      <c r="AP32" s="13" t="str">
        <f t="shared" si="36"/>
        <v>X</v>
      </c>
      <c r="AQ32" s="13" t="str">
        <f t="shared" si="37"/>
        <v>X</v>
      </c>
      <c r="AR32" s="13" t="str">
        <f t="shared" si="38"/>
        <v>X</v>
      </c>
      <c r="AS32" s="13" t="str">
        <f t="shared" si="39"/>
        <v>X</v>
      </c>
      <c r="AT32" s="13" t="s">
        <v>32</v>
      </c>
      <c r="AU32" s="13" t="str">
        <f t="shared" si="40"/>
        <v>O</v>
      </c>
      <c r="AV32" s="13" t="str">
        <f t="shared" si="41"/>
        <v>O</v>
      </c>
      <c r="AW32" s="13" t="str">
        <f t="shared" si="42"/>
        <v>X</v>
      </c>
    </row>
    <row r="33" spans="1:49" x14ac:dyDescent="0.3">
      <c r="A33" s="5" t="s">
        <v>1467</v>
      </c>
      <c r="B33" s="14" t="s">
        <v>1468</v>
      </c>
      <c r="C33" s="25">
        <v>3806</v>
      </c>
      <c r="D33" s="23">
        <v>138.4</v>
      </c>
      <c r="E33" s="21">
        <v>42</v>
      </c>
      <c r="F33" s="23">
        <v>114.6</v>
      </c>
      <c r="G33" s="24">
        <v>35</v>
      </c>
      <c r="H33" s="25">
        <v>820</v>
      </c>
      <c r="I33" s="29">
        <v>80000</v>
      </c>
      <c r="J33" s="106" t="s">
        <v>2169</v>
      </c>
      <c r="K33" s="29">
        <v>55000</v>
      </c>
      <c r="L33" s="106" t="s">
        <v>2175</v>
      </c>
      <c r="M33" s="6">
        <f t="shared" si="24"/>
        <v>25000</v>
      </c>
      <c r="N33" s="7">
        <f t="shared" si="25"/>
        <v>0.6875</v>
      </c>
      <c r="O33" s="12">
        <f t="shared" si="26"/>
        <v>1904.7619047619048</v>
      </c>
      <c r="P33" s="12">
        <f t="shared" si="27"/>
        <v>1309.5238095238096</v>
      </c>
      <c r="Q33" s="13">
        <v>4</v>
      </c>
      <c r="R33" s="13">
        <v>2</v>
      </c>
      <c r="S33" s="13" t="s">
        <v>51</v>
      </c>
      <c r="T33" s="8">
        <v>138</v>
      </c>
      <c r="U33" s="5"/>
      <c r="V33" s="5" t="s">
        <v>1473</v>
      </c>
      <c r="X33" s="23">
        <f t="shared" si="28"/>
        <v>138.4</v>
      </c>
      <c r="Y33" s="21">
        <f t="shared" si="28"/>
        <v>42</v>
      </c>
      <c r="Z33" s="28">
        <f t="shared" si="29"/>
        <v>820</v>
      </c>
      <c r="AA33" s="6">
        <f t="shared" si="29"/>
        <v>80000</v>
      </c>
      <c r="AB33" s="6">
        <f t="shared" si="30"/>
        <v>55000</v>
      </c>
      <c r="AC33" s="6">
        <f t="shared" si="31"/>
        <v>25000</v>
      </c>
      <c r="AD33" s="7">
        <f t="shared" si="31"/>
        <v>0.6875</v>
      </c>
      <c r="AE33" s="12">
        <f t="shared" si="31"/>
        <v>1904.7619047619048</v>
      </c>
      <c r="AF33" s="13" t="str">
        <f t="shared" si="32"/>
        <v>계</v>
      </c>
      <c r="AG33" s="13" t="str">
        <f t="shared" si="33"/>
        <v>4/2</v>
      </c>
      <c r="AI33" s="32" t="str">
        <f t="shared" si="1"/>
        <v>비산삼성래미안</v>
      </c>
      <c r="AJ33" s="21">
        <f t="shared" si="0"/>
        <v>42</v>
      </c>
      <c r="AK33" s="13" t="str">
        <f t="shared" si="34"/>
        <v>A-</v>
      </c>
      <c r="AL33" s="13"/>
      <c r="AM33" s="13"/>
      <c r="AN33" s="13"/>
      <c r="AO33" s="13" t="str">
        <f t="shared" si="35"/>
        <v>C</v>
      </c>
      <c r="AP33" s="13" t="str">
        <f t="shared" si="36"/>
        <v>X</v>
      </c>
      <c r="AQ33" s="13" t="str">
        <f t="shared" si="37"/>
        <v>X</v>
      </c>
      <c r="AR33" s="13" t="str">
        <f t="shared" si="38"/>
        <v>X</v>
      </c>
      <c r="AS33" s="13" t="str">
        <f t="shared" si="39"/>
        <v>X</v>
      </c>
      <c r="AT33" s="13" t="s">
        <v>32</v>
      </c>
      <c r="AU33" s="13" t="str">
        <f t="shared" si="40"/>
        <v>X</v>
      </c>
      <c r="AV33" s="13" t="str">
        <f t="shared" si="41"/>
        <v>O</v>
      </c>
      <c r="AW33" s="13" t="str">
        <f t="shared" si="42"/>
        <v>X</v>
      </c>
    </row>
    <row r="34" spans="1:49" x14ac:dyDescent="0.3">
      <c r="A34" s="5" t="s">
        <v>1467</v>
      </c>
      <c r="B34" s="14" t="s">
        <v>1468</v>
      </c>
      <c r="C34" s="25">
        <v>3806</v>
      </c>
      <c r="D34" s="23">
        <v>159.69999999999999</v>
      </c>
      <c r="E34" s="21">
        <v>48</v>
      </c>
      <c r="F34" s="23">
        <v>132.80000000000001</v>
      </c>
      <c r="G34" s="24">
        <v>40</v>
      </c>
      <c r="H34" s="25">
        <v>108</v>
      </c>
      <c r="I34" s="29">
        <v>95000</v>
      </c>
      <c r="J34" s="106" t="s">
        <v>2170</v>
      </c>
      <c r="K34" s="29">
        <v>55000</v>
      </c>
      <c r="L34" s="106" t="s">
        <v>2176</v>
      </c>
      <c r="M34" s="6">
        <f t="shared" si="24"/>
        <v>40000</v>
      </c>
      <c r="N34" s="7">
        <f t="shared" si="25"/>
        <v>0.57894736842105265</v>
      </c>
      <c r="O34" s="12">
        <f t="shared" si="26"/>
        <v>1979.1666666666667</v>
      </c>
      <c r="P34" s="12">
        <f t="shared" si="27"/>
        <v>1145.8333333333333</v>
      </c>
      <c r="Q34" s="13">
        <v>4</v>
      </c>
      <c r="R34" s="13">
        <v>2</v>
      </c>
      <c r="S34" s="13" t="s">
        <v>51</v>
      </c>
      <c r="T34" s="8">
        <v>159</v>
      </c>
      <c r="U34" s="5"/>
      <c r="V34" s="5" t="s">
        <v>1474</v>
      </c>
      <c r="X34" s="23">
        <f t="shared" si="28"/>
        <v>159.69999999999999</v>
      </c>
      <c r="Y34" s="21">
        <f t="shared" si="28"/>
        <v>48</v>
      </c>
      <c r="Z34" s="28">
        <f t="shared" si="29"/>
        <v>108</v>
      </c>
      <c r="AA34" s="6">
        <f t="shared" si="29"/>
        <v>95000</v>
      </c>
      <c r="AB34" s="6">
        <f t="shared" si="30"/>
        <v>55000</v>
      </c>
      <c r="AC34" s="6">
        <f t="shared" si="31"/>
        <v>40000</v>
      </c>
      <c r="AD34" s="7">
        <f t="shared" si="31"/>
        <v>0.57894736842105265</v>
      </c>
      <c r="AE34" s="12">
        <f t="shared" si="31"/>
        <v>1979.1666666666667</v>
      </c>
      <c r="AF34" s="13" t="str">
        <f t="shared" si="32"/>
        <v>계</v>
      </c>
      <c r="AG34" s="13" t="str">
        <f t="shared" si="33"/>
        <v>4/2</v>
      </c>
      <c r="AI34" s="32" t="str">
        <f t="shared" si="1"/>
        <v>비산삼성래미안</v>
      </c>
      <c r="AJ34" s="21">
        <f t="shared" si="0"/>
        <v>48</v>
      </c>
      <c r="AK34" s="13" t="str">
        <f t="shared" si="34"/>
        <v>A-</v>
      </c>
      <c r="AL34" s="13"/>
      <c r="AM34" s="13"/>
      <c r="AN34" s="13"/>
      <c r="AO34" s="13" t="str">
        <f t="shared" si="35"/>
        <v>C</v>
      </c>
      <c r="AP34" s="13" t="str">
        <f t="shared" si="36"/>
        <v>X</v>
      </c>
      <c r="AQ34" s="13" t="str">
        <f t="shared" si="37"/>
        <v>X</v>
      </c>
      <c r="AR34" s="13" t="str">
        <f t="shared" si="38"/>
        <v>X</v>
      </c>
      <c r="AS34" s="13" t="str">
        <f t="shared" si="39"/>
        <v>X</v>
      </c>
      <c r="AT34" s="13" t="s">
        <v>32</v>
      </c>
      <c r="AU34" s="13" t="str">
        <f t="shared" si="40"/>
        <v>X</v>
      </c>
      <c r="AV34" s="13" t="str">
        <f t="shared" si="41"/>
        <v>O</v>
      </c>
      <c r="AW34" s="13" t="str">
        <f t="shared" si="42"/>
        <v>X</v>
      </c>
    </row>
    <row r="35" spans="1:49" x14ac:dyDescent="0.3">
      <c r="A35" s="5" t="s">
        <v>1467</v>
      </c>
      <c r="B35" s="14" t="s">
        <v>1468</v>
      </c>
      <c r="C35" s="25">
        <v>3806</v>
      </c>
      <c r="D35" s="23">
        <v>194.1</v>
      </c>
      <c r="E35" s="21">
        <v>59</v>
      </c>
      <c r="F35" s="23">
        <v>164.4</v>
      </c>
      <c r="G35" s="24">
        <v>50</v>
      </c>
      <c r="H35" s="25">
        <v>142</v>
      </c>
      <c r="I35" s="29">
        <v>100000</v>
      </c>
      <c r="J35" s="106" t="s">
        <v>2171</v>
      </c>
      <c r="K35" s="29">
        <v>50000</v>
      </c>
      <c r="L35" s="106" t="s">
        <v>2171</v>
      </c>
      <c r="M35" s="6">
        <f t="shared" si="24"/>
        <v>50000</v>
      </c>
      <c r="N35" s="7">
        <f t="shared" si="25"/>
        <v>0.5</v>
      </c>
      <c r="O35" s="12">
        <f t="shared" si="26"/>
        <v>1694.9152542372881</v>
      </c>
      <c r="P35" s="12">
        <f t="shared" si="27"/>
        <v>847.45762711864404</v>
      </c>
      <c r="Q35" s="13">
        <v>5</v>
      </c>
      <c r="R35" s="13">
        <v>2</v>
      </c>
      <c r="S35" s="13" t="s">
        <v>51</v>
      </c>
      <c r="T35" s="8">
        <v>194</v>
      </c>
      <c r="U35" s="5"/>
      <c r="V35" s="5" t="s">
        <v>1475</v>
      </c>
      <c r="X35" s="23">
        <f t="shared" si="28"/>
        <v>194.1</v>
      </c>
      <c r="Y35" s="21">
        <f t="shared" si="28"/>
        <v>59</v>
      </c>
      <c r="Z35" s="28">
        <f t="shared" si="29"/>
        <v>142</v>
      </c>
      <c r="AA35" s="6">
        <f t="shared" si="29"/>
        <v>100000</v>
      </c>
      <c r="AB35" s="6">
        <f t="shared" si="30"/>
        <v>50000</v>
      </c>
      <c r="AC35" s="6">
        <f t="shared" si="31"/>
        <v>50000</v>
      </c>
      <c r="AD35" s="7">
        <f t="shared" si="31"/>
        <v>0.5</v>
      </c>
      <c r="AE35" s="12">
        <f t="shared" si="31"/>
        <v>1694.9152542372881</v>
      </c>
      <c r="AF35" s="13" t="str">
        <f t="shared" si="32"/>
        <v>계</v>
      </c>
      <c r="AG35" s="13" t="str">
        <f t="shared" si="33"/>
        <v>5/2</v>
      </c>
      <c r="AI35" s="32" t="str">
        <f t="shared" si="1"/>
        <v>비산삼성래미안</v>
      </c>
      <c r="AJ35" s="21">
        <f t="shared" si="0"/>
        <v>59</v>
      </c>
      <c r="AK35" s="13" t="str">
        <f t="shared" si="34"/>
        <v>A-</v>
      </c>
      <c r="AL35" s="13"/>
      <c r="AM35" s="13"/>
      <c r="AN35" s="13"/>
      <c r="AO35" s="13" t="str">
        <f t="shared" si="35"/>
        <v>C</v>
      </c>
      <c r="AP35" s="13" t="str">
        <f t="shared" si="36"/>
        <v>X</v>
      </c>
      <c r="AQ35" s="13" t="str">
        <f t="shared" si="37"/>
        <v>X</v>
      </c>
      <c r="AR35" s="13" t="str">
        <f t="shared" si="38"/>
        <v>X</v>
      </c>
      <c r="AS35" s="13" t="str">
        <f t="shared" si="39"/>
        <v>X</v>
      </c>
      <c r="AT35" s="13" t="s">
        <v>32</v>
      </c>
      <c r="AU35" s="13" t="str">
        <f t="shared" si="40"/>
        <v>X</v>
      </c>
      <c r="AV35" s="13" t="str">
        <f t="shared" si="41"/>
        <v>O</v>
      </c>
      <c r="AW35" s="13" t="str">
        <f t="shared" si="42"/>
        <v>X</v>
      </c>
    </row>
    <row r="36" spans="1:49" x14ac:dyDescent="0.3">
      <c r="A36" s="5" t="s">
        <v>1467</v>
      </c>
      <c r="B36" s="14" t="s">
        <v>1468</v>
      </c>
      <c r="C36" s="25">
        <v>3806</v>
      </c>
      <c r="D36" s="23">
        <v>213.8</v>
      </c>
      <c r="E36" s="21">
        <v>65</v>
      </c>
      <c r="F36" s="23">
        <v>182.5</v>
      </c>
      <c r="G36" s="24">
        <v>55</v>
      </c>
      <c r="H36" s="25">
        <v>162</v>
      </c>
      <c r="I36" s="29">
        <v>100000</v>
      </c>
      <c r="J36" s="106" t="s">
        <v>2172</v>
      </c>
      <c r="K36" s="29">
        <v>65000</v>
      </c>
      <c r="L36" s="106" t="s">
        <v>2177</v>
      </c>
      <c r="M36" s="6">
        <f t="shared" si="24"/>
        <v>35000</v>
      </c>
      <c r="N36" s="7">
        <f t="shared" si="25"/>
        <v>0.65</v>
      </c>
      <c r="O36" s="12">
        <f t="shared" si="26"/>
        <v>1538.4615384615386</v>
      </c>
      <c r="P36" s="12">
        <f t="shared" si="27"/>
        <v>1000</v>
      </c>
      <c r="Q36" s="13">
        <v>5</v>
      </c>
      <c r="R36" s="13">
        <v>3</v>
      </c>
      <c r="S36" s="13" t="s">
        <v>51</v>
      </c>
      <c r="T36" s="8">
        <v>213</v>
      </c>
      <c r="U36" s="5"/>
      <c r="V36" s="5" t="s">
        <v>1476</v>
      </c>
      <c r="X36" s="23">
        <f t="shared" si="28"/>
        <v>213.8</v>
      </c>
      <c r="Y36" s="21">
        <f t="shared" si="28"/>
        <v>65</v>
      </c>
      <c r="Z36" s="28">
        <f t="shared" si="29"/>
        <v>162</v>
      </c>
      <c r="AA36" s="6">
        <f t="shared" si="29"/>
        <v>100000</v>
      </c>
      <c r="AB36" s="6">
        <f t="shared" si="30"/>
        <v>65000</v>
      </c>
      <c r="AC36" s="6">
        <f t="shared" si="31"/>
        <v>35000</v>
      </c>
      <c r="AD36" s="7">
        <f t="shared" si="31"/>
        <v>0.65</v>
      </c>
      <c r="AE36" s="12">
        <f t="shared" si="31"/>
        <v>1538.4615384615386</v>
      </c>
      <c r="AF36" s="13" t="str">
        <f t="shared" si="32"/>
        <v>계</v>
      </c>
      <c r="AG36" s="13" t="str">
        <f t="shared" si="33"/>
        <v>5/3</v>
      </c>
      <c r="AI36" s="32" t="str">
        <f t="shared" si="1"/>
        <v>비산삼성래미안</v>
      </c>
      <c r="AJ36" s="21">
        <f t="shared" si="0"/>
        <v>65</v>
      </c>
      <c r="AK36" s="13" t="str">
        <f t="shared" si="34"/>
        <v>A-</v>
      </c>
      <c r="AL36" s="13"/>
      <c r="AM36" s="13"/>
      <c r="AN36" s="13"/>
      <c r="AO36" s="13" t="str">
        <f t="shared" si="35"/>
        <v>C</v>
      </c>
      <c r="AP36" s="13" t="str">
        <f t="shared" si="36"/>
        <v>X</v>
      </c>
      <c r="AQ36" s="13" t="str">
        <f t="shared" si="37"/>
        <v>X</v>
      </c>
      <c r="AR36" s="13" t="str">
        <f t="shared" si="38"/>
        <v>X</v>
      </c>
      <c r="AS36" s="13" t="str">
        <f t="shared" si="39"/>
        <v>X</v>
      </c>
      <c r="AT36" s="13" t="s">
        <v>32</v>
      </c>
      <c r="AU36" s="13" t="str">
        <f t="shared" si="40"/>
        <v>X</v>
      </c>
      <c r="AV36" s="13" t="str">
        <f t="shared" si="41"/>
        <v>O</v>
      </c>
      <c r="AW36" s="13" t="str">
        <f t="shared" si="42"/>
        <v>X</v>
      </c>
    </row>
    <row r="37" spans="1:49" x14ac:dyDescent="0.3">
      <c r="A37" s="5"/>
      <c r="B37" s="13"/>
      <c r="C37" s="9"/>
      <c r="D37" s="5"/>
      <c r="E37" s="18"/>
      <c r="F37" s="23"/>
      <c r="G37" s="5"/>
      <c r="H37" s="5"/>
      <c r="I37" s="5"/>
      <c r="J37" s="8"/>
      <c r="K37" s="5"/>
      <c r="L37" s="8"/>
      <c r="M37" s="5"/>
      <c r="N37" s="5"/>
      <c r="O37" s="12"/>
      <c r="P37" s="12"/>
      <c r="Q37" s="21"/>
      <c r="R37" s="21"/>
      <c r="S37" s="5"/>
      <c r="T37" s="59"/>
      <c r="U37" s="5"/>
      <c r="V37" s="5"/>
      <c r="X37" s="90" t="str">
        <f>$A$4&amp;" "&amp;A38&amp;"("&amp;B38&amp;","&amp;C38&amp;"^)"</f>
        <v>비산동 뉴타운4차('85.08,474^)</v>
      </c>
      <c r="Y37" s="91"/>
      <c r="Z37" s="91"/>
      <c r="AA37" s="91"/>
      <c r="AB37" s="91"/>
      <c r="AC37" s="91"/>
      <c r="AD37" s="91"/>
      <c r="AE37" s="91"/>
      <c r="AF37" s="91"/>
      <c r="AG37" s="92"/>
      <c r="AI37" s="32" t="str">
        <f t="shared" si="1"/>
        <v/>
      </c>
      <c r="AJ37" s="33" t="str">
        <f t="shared" si="0"/>
        <v/>
      </c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x14ac:dyDescent="0.3">
      <c r="A38" s="5" t="s">
        <v>1477</v>
      </c>
      <c r="B38" s="14" t="s">
        <v>1478</v>
      </c>
      <c r="C38" s="25">
        <v>474</v>
      </c>
      <c r="D38" s="23">
        <v>69.400000000000006</v>
      </c>
      <c r="E38" s="21">
        <v>21</v>
      </c>
      <c r="F38" s="23">
        <v>55.8</v>
      </c>
      <c r="G38" s="24">
        <v>17</v>
      </c>
      <c r="H38" s="25">
        <v>72</v>
      </c>
      <c r="I38" s="29">
        <v>100000</v>
      </c>
      <c r="J38" s="106" t="s">
        <v>2178</v>
      </c>
      <c r="K38" s="29"/>
      <c r="L38" s="106"/>
      <c r="M38" s="6">
        <f>I38-K38</f>
        <v>100000</v>
      </c>
      <c r="N38" s="7">
        <f>IF(ISERROR(K38/I38),"",K38/I38)</f>
        <v>0</v>
      </c>
      <c r="O38" s="12">
        <f>I38/E38</f>
        <v>4761.9047619047615</v>
      </c>
      <c r="P38" s="12">
        <f>K38/E38</f>
        <v>0</v>
      </c>
      <c r="Q38" s="13">
        <v>2</v>
      </c>
      <c r="R38" s="13">
        <v>1</v>
      </c>
      <c r="S38" s="13" t="s">
        <v>1356</v>
      </c>
      <c r="T38" s="8">
        <v>69</v>
      </c>
      <c r="U38" s="5" t="s">
        <v>2179</v>
      </c>
      <c r="V38" s="5" t="s">
        <v>1479</v>
      </c>
      <c r="X38" s="23">
        <f t="shared" ref="X38:Y41" si="43">D38</f>
        <v>69.400000000000006</v>
      </c>
      <c r="Y38" s="21">
        <f t="shared" si="43"/>
        <v>21</v>
      </c>
      <c r="Z38" s="28">
        <f t="shared" ref="Z38:AA41" si="44">H38</f>
        <v>72</v>
      </c>
      <c r="AA38" s="6">
        <f t="shared" si="44"/>
        <v>100000</v>
      </c>
      <c r="AB38" s="6">
        <f>K38</f>
        <v>0</v>
      </c>
      <c r="AC38" s="6">
        <f t="shared" ref="AC38:AE41" si="45">M38</f>
        <v>100000</v>
      </c>
      <c r="AD38" s="7">
        <f t="shared" si="45"/>
        <v>0</v>
      </c>
      <c r="AE38" s="12">
        <f t="shared" si="45"/>
        <v>4761.9047619047615</v>
      </c>
      <c r="AF38" s="13" t="str">
        <f>S38</f>
        <v>복</v>
      </c>
      <c r="AG38" s="13" t="str">
        <f>Q38&amp;"/"&amp;R38</f>
        <v>2/1</v>
      </c>
      <c r="AI38" s="32" t="str">
        <f t="shared" si="1"/>
        <v>뉴타운4차</v>
      </c>
      <c r="AJ38" s="21">
        <f t="shared" si="0"/>
        <v>21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>X</v>
      </c>
      <c r="AQ38" s="13" t="str">
        <f>IF(I38="","",IF(I38&lt;=$AQ$1,"O","X"))</f>
        <v>X</v>
      </c>
      <c r="AR38" s="13" t="str">
        <f>IF(O38="","",IF(O38&lt;=$AR$1,"O","X"))</f>
        <v>X</v>
      </c>
      <c r="AS38" s="13" t="str">
        <f>IF(M38="","",IF(M38&lt;=$AS$1,"O","X"))</f>
        <v>X</v>
      </c>
      <c r="AT38" s="13" t="s">
        <v>32</v>
      </c>
      <c r="AU38" s="13" t="str">
        <f>IF(OR(F38="",AJ38=""),"",IF(AND((F38&lt;=85),(AJ38&gt;=15)),"O","X"))</f>
        <v>O</v>
      </c>
      <c r="AV38" s="13" t="str">
        <f>IF(C38="","",IF(C38&gt;=$AV$1,"O","X"))</f>
        <v>O</v>
      </c>
      <c r="AW38" s="13" t="str">
        <f>IF(AP38="","",IF(AND(AP38="O",AQ38="O",AS38="O",AU38="O",AV38="O"),"후보","X"))</f>
        <v>X</v>
      </c>
    </row>
    <row r="39" spans="1:49" x14ac:dyDescent="0.3">
      <c r="A39" s="5" t="s">
        <v>1477</v>
      </c>
      <c r="B39" s="14" t="s">
        <v>1478</v>
      </c>
      <c r="C39" s="25">
        <v>474</v>
      </c>
      <c r="D39" s="23">
        <v>82.8</v>
      </c>
      <c r="E39" s="21">
        <v>25</v>
      </c>
      <c r="F39" s="23">
        <v>66.599999999999994</v>
      </c>
      <c r="G39" s="24">
        <v>20</v>
      </c>
      <c r="H39" s="25">
        <v>66</v>
      </c>
      <c r="I39" s="29">
        <v>70000</v>
      </c>
      <c r="J39" s="106" t="s">
        <v>2180</v>
      </c>
      <c r="K39" s="29"/>
      <c r="L39" s="106"/>
      <c r="M39" s="6">
        <f>I39-K39</f>
        <v>70000</v>
      </c>
      <c r="N39" s="7">
        <f>IF(ISERROR(K39/I39),"",K39/I39)</f>
        <v>0</v>
      </c>
      <c r="O39" s="12">
        <f>I39/E39</f>
        <v>2800</v>
      </c>
      <c r="P39" s="12">
        <f>K39/E39</f>
        <v>0</v>
      </c>
      <c r="Q39" s="13">
        <v>2</v>
      </c>
      <c r="R39" s="13">
        <v>1</v>
      </c>
      <c r="S39" s="13" t="s">
        <v>1356</v>
      </c>
      <c r="T39" s="8">
        <v>82</v>
      </c>
      <c r="U39" s="5" t="s">
        <v>2183</v>
      </c>
      <c r="V39" s="5" t="s">
        <v>1480</v>
      </c>
      <c r="X39" s="23">
        <f t="shared" si="43"/>
        <v>82.8</v>
      </c>
      <c r="Y39" s="21">
        <f t="shared" si="43"/>
        <v>25</v>
      </c>
      <c r="Z39" s="28">
        <f t="shared" si="44"/>
        <v>66</v>
      </c>
      <c r="AA39" s="6">
        <f t="shared" si="44"/>
        <v>70000</v>
      </c>
      <c r="AB39" s="6">
        <f>K39</f>
        <v>0</v>
      </c>
      <c r="AC39" s="6">
        <f t="shared" si="45"/>
        <v>70000</v>
      </c>
      <c r="AD39" s="7">
        <f t="shared" si="45"/>
        <v>0</v>
      </c>
      <c r="AE39" s="12">
        <f t="shared" si="45"/>
        <v>2800</v>
      </c>
      <c r="AF39" s="13" t="str">
        <f>S39</f>
        <v>복</v>
      </c>
      <c r="AG39" s="13" t="str">
        <f>Q39&amp;"/"&amp;R39</f>
        <v>2/1</v>
      </c>
      <c r="AI39" s="32" t="str">
        <f t="shared" si="1"/>
        <v>뉴타운4차</v>
      </c>
      <c r="AJ39" s="21">
        <f t="shared" si="0"/>
        <v>25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>X</v>
      </c>
      <c r="AQ39" s="13" t="str">
        <f>IF(I39="","",IF(I39&lt;=$AQ$1,"O","X"))</f>
        <v>X</v>
      </c>
      <c r="AR39" s="13" t="str">
        <f>IF(O39="","",IF(O39&lt;=$AR$1,"O","X"))</f>
        <v>X</v>
      </c>
      <c r="AS39" s="13" t="str">
        <f>IF(M39="","",IF(M39&lt;=$AS$1,"O","X"))</f>
        <v>X</v>
      </c>
      <c r="AT39" s="13" t="s">
        <v>32</v>
      </c>
      <c r="AU39" s="13" t="str">
        <f>IF(OR(F39="",AJ39=""),"",IF(AND((F39&lt;=85),(AJ39&gt;=15)),"O","X"))</f>
        <v>O</v>
      </c>
      <c r="AV39" s="13" t="str">
        <f>IF(C39="","",IF(C39&gt;=$AV$1,"O","X"))</f>
        <v>O</v>
      </c>
      <c r="AW39" s="13" t="str">
        <f>IF(AP39="","",IF(AND(AP39="O",AQ39="O",AS39="O",AU39="O",AV39="O"),"후보","X"))</f>
        <v>X</v>
      </c>
    </row>
    <row r="40" spans="1:49" x14ac:dyDescent="0.3">
      <c r="A40" s="5" t="s">
        <v>1477</v>
      </c>
      <c r="B40" s="14" t="s">
        <v>1478</v>
      </c>
      <c r="C40" s="25">
        <v>474</v>
      </c>
      <c r="D40" s="23">
        <v>103.7</v>
      </c>
      <c r="E40" s="21">
        <v>31</v>
      </c>
      <c r="F40" s="23">
        <v>84.7</v>
      </c>
      <c r="G40" s="24">
        <v>26</v>
      </c>
      <c r="H40" s="25">
        <v>240</v>
      </c>
      <c r="I40" s="29">
        <v>80000</v>
      </c>
      <c r="J40" s="106" t="s">
        <v>2181</v>
      </c>
      <c r="K40" s="29"/>
      <c r="L40" s="106"/>
      <c r="M40" s="6">
        <f>I40-K40</f>
        <v>80000</v>
      </c>
      <c r="N40" s="7">
        <f>IF(ISERROR(K40/I40),"",K40/I40)</f>
        <v>0</v>
      </c>
      <c r="O40" s="12">
        <f>I40/E40</f>
        <v>2580.6451612903224</v>
      </c>
      <c r="P40" s="12">
        <f>K40/E40</f>
        <v>0</v>
      </c>
      <c r="Q40" s="13">
        <v>3</v>
      </c>
      <c r="R40" s="13">
        <v>1</v>
      </c>
      <c r="S40" s="13" t="s">
        <v>51</v>
      </c>
      <c r="T40" s="8">
        <v>103</v>
      </c>
      <c r="U40" s="5"/>
      <c r="V40" s="5" t="s">
        <v>1481</v>
      </c>
      <c r="X40" s="23">
        <f t="shared" si="43"/>
        <v>103.7</v>
      </c>
      <c r="Y40" s="21">
        <f t="shared" si="43"/>
        <v>31</v>
      </c>
      <c r="Z40" s="28">
        <f t="shared" si="44"/>
        <v>240</v>
      </c>
      <c r="AA40" s="6">
        <f t="shared" si="44"/>
        <v>80000</v>
      </c>
      <c r="AB40" s="6">
        <f>K40</f>
        <v>0</v>
      </c>
      <c r="AC40" s="6">
        <f t="shared" si="45"/>
        <v>80000</v>
      </c>
      <c r="AD40" s="7">
        <f t="shared" si="45"/>
        <v>0</v>
      </c>
      <c r="AE40" s="12">
        <f t="shared" si="45"/>
        <v>2580.6451612903224</v>
      </c>
      <c r="AF40" s="13" t="str">
        <f>S40</f>
        <v>계</v>
      </c>
      <c r="AG40" s="13" t="str">
        <f>Q40&amp;"/"&amp;R40</f>
        <v>3/1</v>
      </c>
      <c r="AI40" s="32" t="str">
        <f t="shared" si="1"/>
        <v>뉴타운4차</v>
      </c>
      <c r="AJ40" s="21">
        <f t="shared" si="0"/>
        <v>31</v>
      </c>
      <c r="AK40" s="13" t="str">
        <f>IF(AJ40="","",$AK$2)</f>
        <v>A-</v>
      </c>
      <c r="AL40" s="13"/>
      <c r="AM40" s="13"/>
      <c r="AN40" s="13"/>
      <c r="AO40" s="13" t="str">
        <f>IF(AJ40="","",$AO$2)</f>
        <v>C</v>
      </c>
      <c r="AP40" s="13" t="str">
        <f>IF(N40="","",IF(N40&gt;=$AP$1/100,"O","X"))</f>
        <v>X</v>
      </c>
      <c r="AQ40" s="13" t="str">
        <f>IF(I40="","",IF(I40&lt;=$AQ$1,"O","X"))</f>
        <v>X</v>
      </c>
      <c r="AR40" s="13" t="str">
        <f>IF(O40="","",IF(O40&lt;=$AR$1,"O","X"))</f>
        <v>X</v>
      </c>
      <c r="AS40" s="13" t="str">
        <f>IF(M40="","",IF(M40&lt;=$AS$1,"O","X"))</f>
        <v>X</v>
      </c>
      <c r="AT40" s="13" t="s">
        <v>32</v>
      </c>
      <c r="AU40" s="13" t="str">
        <f>IF(OR(F40="",AJ40=""),"",IF(AND((F40&lt;=85),(AJ40&gt;=15)),"O","X"))</f>
        <v>O</v>
      </c>
      <c r="AV40" s="13" t="str">
        <f>IF(C40="","",IF(C40&gt;=$AV$1,"O","X"))</f>
        <v>O</v>
      </c>
      <c r="AW40" s="13" t="str">
        <f>IF(AP40="","",IF(AND(AP40="O",AQ40="O",AS40="O",AU40="O",AV40="O"),"후보","X"))</f>
        <v>X</v>
      </c>
    </row>
    <row r="41" spans="1:49" x14ac:dyDescent="0.3">
      <c r="A41" s="5" t="s">
        <v>1477</v>
      </c>
      <c r="B41" s="14" t="s">
        <v>1478</v>
      </c>
      <c r="C41" s="25">
        <v>474</v>
      </c>
      <c r="D41" s="23">
        <v>145.6</v>
      </c>
      <c r="E41" s="21">
        <v>44</v>
      </c>
      <c r="F41" s="23">
        <v>123.4</v>
      </c>
      <c r="G41" s="24">
        <v>37</v>
      </c>
      <c r="H41" s="25">
        <v>96</v>
      </c>
      <c r="I41" s="29">
        <v>95000</v>
      </c>
      <c r="J41" s="106" t="s">
        <v>2182</v>
      </c>
      <c r="K41" s="29"/>
      <c r="L41" s="106"/>
      <c r="M41" s="6">
        <f>I41-K41</f>
        <v>95000</v>
      </c>
      <c r="N41" s="7">
        <f>IF(ISERROR(K41/I41),"",K41/I41)</f>
        <v>0</v>
      </c>
      <c r="O41" s="12">
        <f>I41/E41</f>
        <v>2159.090909090909</v>
      </c>
      <c r="P41" s="12">
        <f>K41/E41</f>
        <v>0</v>
      </c>
      <c r="Q41" s="13">
        <v>4</v>
      </c>
      <c r="R41" s="13">
        <v>2</v>
      </c>
      <c r="S41" s="13" t="s">
        <v>51</v>
      </c>
      <c r="T41" s="8">
        <v>145</v>
      </c>
      <c r="U41" s="5"/>
      <c r="V41" s="5" t="s">
        <v>1482</v>
      </c>
      <c r="X41" s="23">
        <f t="shared" si="43"/>
        <v>145.6</v>
      </c>
      <c r="Y41" s="21">
        <f t="shared" si="43"/>
        <v>44</v>
      </c>
      <c r="Z41" s="28">
        <f t="shared" si="44"/>
        <v>96</v>
      </c>
      <c r="AA41" s="6">
        <f t="shared" si="44"/>
        <v>95000</v>
      </c>
      <c r="AB41" s="6">
        <f>K41</f>
        <v>0</v>
      </c>
      <c r="AC41" s="6">
        <f t="shared" si="45"/>
        <v>95000</v>
      </c>
      <c r="AD41" s="7">
        <f t="shared" si="45"/>
        <v>0</v>
      </c>
      <c r="AE41" s="12">
        <f t="shared" si="45"/>
        <v>2159.090909090909</v>
      </c>
      <c r="AF41" s="13" t="str">
        <f>S41</f>
        <v>계</v>
      </c>
      <c r="AG41" s="13" t="str">
        <f>Q41&amp;"/"&amp;R41</f>
        <v>4/2</v>
      </c>
      <c r="AI41" s="32" t="str">
        <f t="shared" si="1"/>
        <v>뉴타운4차</v>
      </c>
      <c r="AJ41" s="21">
        <f t="shared" si="0"/>
        <v>44</v>
      </c>
      <c r="AK41" s="13" t="str">
        <f>IF(AJ41="","",$AK$2)</f>
        <v>A-</v>
      </c>
      <c r="AL41" s="13"/>
      <c r="AM41" s="13"/>
      <c r="AN41" s="13"/>
      <c r="AO41" s="13" t="str">
        <f>IF(AJ41="","",$AO$2)</f>
        <v>C</v>
      </c>
      <c r="AP41" s="13" t="str">
        <f>IF(N41="","",IF(N41&gt;=$AP$1/100,"O","X"))</f>
        <v>X</v>
      </c>
      <c r="AQ41" s="13" t="str">
        <f>IF(I41="","",IF(I41&lt;=$AQ$1,"O","X"))</f>
        <v>X</v>
      </c>
      <c r="AR41" s="13" t="str">
        <f>IF(O41="","",IF(O41&lt;=$AR$1,"O","X"))</f>
        <v>X</v>
      </c>
      <c r="AS41" s="13" t="str">
        <f>IF(M41="","",IF(M41&lt;=$AS$1,"O","X"))</f>
        <v>X</v>
      </c>
      <c r="AT41" s="13" t="s">
        <v>32</v>
      </c>
      <c r="AU41" s="13" t="str">
        <f>IF(OR(F41="",AJ41=""),"",IF(AND((F41&lt;=85),(AJ41&gt;=15)),"O","X"))</f>
        <v>X</v>
      </c>
      <c r="AV41" s="13" t="str">
        <f>IF(C41="","",IF(C41&gt;=$AV$1,"O","X"))</f>
        <v>O</v>
      </c>
      <c r="AW41" s="13" t="str">
        <f>IF(AP41="","",IF(AND(AP41="O",AQ41="O",AS41="O",AU41="O",AV41="O"),"후보","X"))</f>
        <v>X</v>
      </c>
    </row>
    <row r="42" spans="1:49" x14ac:dyDescent="0.3">
      <c r="A42" s="5"/>
      <c r="B42" s="13"/>
      <c r="C42" s="9"/>
      <c r="D42" s="5"/>
      <c r="E42" s="18"/>
      <c r="F42" s="23"/>
      <c r="G42" s="5"/>
      <c r="H42" s="5"/>
      <c r="I42" s="5"/>
      <c r="J42" s="8"/>
      <c r="K42" s="5"/>
      <c r="L42" s="8"/>
      <c r="M42" s="5"/>
      <c r="N42" s="5"/>
      <c r="O42" s="12"/>
      <c r="P42" s="12"/>
      <c r="Q42" s="21"/>
      <c r="R42" s="21"/>
      <c r="S42" s="5"/>
      <c r="T42" s="59"/>
      <c r="U42" s="5"/>
      <c r="V42" s="5"/>
      <c r="X42" s="90" t="str">
        <f>$A$4&amp;" "&amp;A43&amp;"("&amp;B43&amp;","&amp;C43&amp;"^)"</f>
        <v>비산동 비산e-편한세상('08.1,486^)</v>
      </c>
      <c r="Y42" s="91"/>
      <c r="Z42" s="91"/>
      <c r="AA42" s="91"/>
      <c r="AB42" s="91"/>
      <c r="AC42" s="91"/>
      <c r="AD42" s="91"/>
      <c r="AE42" s="91"/>
      <c r="AF42" s="91"/>
      <c r="AG42" s="92"/>
      <c r="AI42" s="32" t="str">
        <f t="shared" si="1"/>
        <v/>
      </c>
      <c r="AJ42" s="33" t="str">
        <f t="shared" si="0"/>
        <v/>
      </c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</row>
    <row r="43" spans="1:49" x14ac:dyDescent="0.3">
      <c r="A43" s="5" t="s">
        <v>1483</v>
      </c>
      <c r="B43" s="14" t="s">
        <v>1484</v>
      </c>
      <c r="C43" s="25">
        <v>486</v>
      </c>
      <c r="D43" s="23">
        <v>80.099999999999994</v>
      </c>
      <c r="E43" s="21">
        <v>24</v>
      </c>
      <c r="F43" s="23">
        <v>63.6</v>
      </c>
      <c r="G43" s="24">
        <v>19</v>
      </c>
      <c r="H43" s="25">
        <v>15</v>
      </c>
      <c r="I43" s="29">
        <v>77000</v>
      </c>
      <c r="J43" s="106" t="s">
        <v>2184</v>
      </c>
      <c r="K43" s="29">
        <v>42000</v>
      </c>
      <c r="L43" s="106" t="s">
        <v>2150</v>
      </c>
      <c r="M43" s="6">
        <f t="shared" ref="M43:M48" si="46">I43-K43</f>
        <v>35000</v>
      </c>
      <c r="N43" s="7">
        <f t="shared" ref="N43:N48" si="47">IF(ISERROR(K43/I43),"",K43/I43)</f>
        <v>0.54545454545454541</v>
      </c>
      <c r="O43" s="12">
        <f t="shared" ref="O43:O48" si="48">I43/E43</f>
        <v>3208.3333333333335</v>
      </c>
      <c r="P43" s="12">
        <f t="shared" ref="P43:P48" si="49">K43/E43</f>
        <v>1750</v>
      </c>
      <c r="Q43" s="13">
        <v>3</v>
      </c>
      <c r="R43" s="13">
        <v>2</v>
      </c>
      <c r="S43" s="13" t="s">
        <v>51</v>
      </c>
      <c r="T43" s="8">
        <v>80</v>
      </c>
      <c r="U43" s="5" t="s">
        <v>2185</v>
      </c>
      <c r="V43" s="5" t="s">
        <v>1485</v>
      </c>
      <c r="X43" s="23">
        <f t="shared" ref="X43:Y48" si="50">D43</f>
        <v>80.099999999999994</v>
      </c>
      <c r="Y43" s="21">
        <f t="shared" si="50"/>
        <v>24</v>
      </c>
      <c r="Z43" s="28">
        <f t="shared" ref="Z43:AA48" si="51">H43</f>
        <v>15</v>
      </c>
      <c r="AA43" s="6">
        <f t="shared" si="51"/>
        <v>77000</v>
      </c>
      <c r="AB43" s="6">
        <f t="shared" ref="AB43:AB48" si="52">K43</f>
        <v>42000</v>
      </c>
      <c r="AC43" s="6">
        <f t="shared" ref="AC43:AE48" si="53">M43</f>
        <v>35000</v>
      </c>
      <c r="AD43" s="7">
        <f t="shared" si="53"/>
        <v>0.54545454545454541</v>
      </c>
      <c r="AE43" s="12">
        <f t="shared" si="53"/>
        <v>3208.3333333333335</v>
      </c>
      <c r="AF43" s="13" t="str">
        <f t="shared" ref="AF43:AF48" si="54">S43</f>
        <v>계</v>
      </c>
      <c r="AG43" s="13" t="str">
        <f t="shared" ref="AG43:AG48" si="55">Q43&amp;"/"&amp;R43</f>
        <v>3/2</v>
      </c>
      <c r="AI43" s="32" t="str">
        <f t="shared" si="1"/>
        <v>비산e-편한세상</v>
      </c>
      <c r="AJ43" s="21">
        <f t="shared" si="0"/>
        <v>24</v>
      </c>
      <c r="AK43" s="13" t="str">
        <f t="shared" ref="AK43:AK48" si="56">IF(AJ43="","",$AK$2)</f>
        <v>A-</v>
      </c>
      <c r="AL43" s="13"/>
      <c r="AM43" s="13"/>
      <c r="AN43" s="13"/>
      <c r="AO43" s="13" t="str">
        <f t="shared" ref="AO43:AO48" si="57">IF(AJ43="","",$AO$2)</f>
        <v>C</v>
      </c>
      <c r="AP43" s="13" t="str">
        <f t="shared" ref="AP43:AP48" si="58">IF(N43="","",IF(N43&gt;=$AP$1/100,"O","X"))</f>
        <v>X</v>
      </c>
      <c r="AQ43" s="13" t="str">
        <f t="shared" ref="AQ43:AQ48" si="59">IF(I43="","",IF(I43&lt;=$AQ$1,"O","X"))</f>
        <v>X</v>
      </c>
      <c r="AR43" s="13" t="str">
        <f t="shared" ref="AR43:AR48" si="60">IF(O43="","",IF(O43&lt;=$AR$1,"O","X"))</f>
        <v>X</v>
      </c>
      <c r="AS43" s="13" t="str">
        <f t="shared" ref="AS43:AS48" si="61">IF(M43="","",IF(M43&lt;=$AS$1,"O","X"))</f>
        <v>X</v>
      </c>
      <c r="AT43" s="13" t="s">
        <v>32</v>
      </c>
      <c r="AU43" s="13" t="str">
        <f t="shared" ref="AU43:AU48" si="62">IF(OR(F43="",AJ43=""),"",IF(AND((F43&lt;=85),(AJ43&gt;=15)),"O","X"))</f>
        <v>O</v>
      </c>
      <c r="AV43" s="13" t="str">
        <f t="shared" ref="AV43:AV48" si="63">IF(C43="","",IF(C43&gt;=$AV$1,"O","X"))</f>
        <v>O</v>
      </c>
      <c r="AW43" s="13" t="str">
        <f t="shared" ref="AW43:AW48" si="64">IF(AP43="","",IF(AND(AP43="O",AQ43="O",AS43="O",AU43="O",AV43="O"),"후보","X"))</f>
        <v>X</v>
      </c>
    </row>
    <row r="44" spans="1:49" x14ac:dyDescent="0.3">
      <c r="A44" s="5" t="s">
        <v>1483</v>
      </c>
      <c r="B44" s="14" t="s">
        <v>1484</v>
      </c>
      <c r="C44" s="25">
        <v>486</v>
      </c>
      <c r="D44" s="23">
        <v>106</v>
      </c>
      <c r="E44" s="21">
        <v>32</v>
      </c>
      <c r="F44" s="23">
        <v>85</v>
      </c>
      <c r="G44" s="24">
        <v>26</v>
      </c>
      <c r="H44" s="25">
        <v>118</v>
      </c>
      <c r="I44" s="29">
        <v>87000</v>
      </c>
      <c r="J44" s="106" t="s">
        <v>2150</v>
      </c>
      <c r="K44" s="29">
        <v>54500</v>
      </c>
      <c r="L44" s="106"/>
      <c r="M44" s="6">
        <f t="shared" si="46"/>
        <v>32500</v>
      </c>
      <c r="N44" s="7">
        <f t="shared" si="47"/>
        <v>0.62643678160919536</v>
      </c>
      <c r="O44" s="12">
        <f t="shared" si="48"/>
        <v>2718.75</v>
      </c>
      <c r="P44" s="12">
        <f t="shared" si="49"/>
        <v>1703.125</v>
      </c>
      <c r="Q44" s="13">
        <v>3</v>
      </c>
      <c r="R44" s="13">
        <v>2</v>
      </c>
      <c r="S44" s="13" t="s">
        <v>51</v>
      </c>
      <c r="T44" s="8" t="s">
        <v>487</v>
      </c>
      <c r="U44" s="5" t="s">
        <v>2189</v>
      </c>
      <c r="V44" s="5" t="s">
        <v>1486</v>
      </c>
      <c r="X44" s="23">
        <f t="shared" si="50"/>
        <v>106</v>
      </c>
      <c r="Y44" s="21">
        <f t="shared" si="50"/>
        <v>32</v>
      </c>
      <c r="Z44" s="28">
        <f t="shared" si="51"/>
        <v>118</v>
      </c>
      <c r="AA44" s="6">
        <f t="shared" si="51"/>
        <v>87000</v>
      </c>
      <c r="AB44" s="6">
        <f t="shared" si="52"/>
        <v>54500</v>
      </c>
      <c r="AC44" s="6">
        <f t="shared" si="53"/>
        <v>32500</v>
      </c>
      <c r="AD44" s="7">
        <f t="shared" si="53"/>
        <v>0.62643678160919536</v>
      </c>
      <c r="AE44" s="12">
        <f t="shared" si="53"/>
        <v>2718.75</v>
      </c>
      <c r="AF44" s="13" t="str">
        <f t="shared" si="54"/>
        <v>계</v>
      </c>
      <c r="AG44" s="13" t="str">
        <f t="shared" si="55"/>
        <v>3/2</v>
      </c>
      <c r="AI44" s="32" t="str">
        <f t="shared" si="1"/>
        <v>비산e-편한세상</v>
      </c>
      <c r="AJ44" s="21">
        <f t="shared" si="0"/>
        <v>32</v>
      </c>
      <c r="AK44" s="13" t="str">
        <f t="shared" si="56"/>
        <v>A-</v>
      </c>
      <c r="AL44" s="13"/>
      <c r="AM44" s="13"/>
      <c r="AN44" s="13"/>
      <c r="AO44" s="13" t="str">
        <f t="shared" si="57"/>
        <v>C</v>
      </c>
      <c r="AP44" s="13" t="str">
        <f t="shared" si="58"/>
        <v>X</v>
      </c>
      <c r="AQ44" s="13" t="str">
        <f t="shared" si="59"/>
        <v>X</v>
      </c>
      <c r="AR44" s="13" t="str">
        <f t="shared" si="60"/>
        <v>X</v>
      </c>
      <c r="AS44" s="13" t="str">
        <f t="shared" si="61"/>
        <v>X</v>
      </c>
      <c r="AT44" s="13" t="s">
        <v>32</v>
      </c>
      <c r="AU44" s="13" t="str">
        <f t="shared" si="62"/>
        <v>O</v>
      </c>
      <c r="AV44" s="13" t="str">
        <f t="shared" si="63"/>
        <v>O</v>
      </c>
      <c r="AW44" s="13" t="str">
        <f t="shared" si="64"/>
        <v>X</v>
      </c>
    </row>
    <row r="45" spans="1:49" x14ac:dyDescent="0.3">
      <c r="A45" s="5" t="s">
        <v>1483</v>
      </c>
      <c r="B45" s="14" t="s">
        <v>1484</v>
      </c>
      <c r="C45" s="25">
        <v>486</v>
      </c>
      <c r="D45" s="23">
        <v>106.2</v>
      </c>
      <c r="E45" s="21">
        <v>32</v>
      </c>
      <c r="F45" s="23">
        <v>85</v>
      </c>
      <c r="G45" s="24">
        <v>26</v>
      </c>
      <c r="H45" s="25">
        <v>142</v>
      </c>
      <c r="I45" s="29">
        <v>90000</v>
      </c>
      <c r="J45" s="106" t="s">
        <v>2186</v>
      </c>
      <c r="K45" s="29">
        <v>45000</v>
      </c>
      <c r="L45" s="106" t="s">
        <v>2190</v>
      </c>
      <c r="M45" s="6">
        <f t="shared" si="46"/>
        <v>45000</v>
      </c>
      <c r="N45" s="7">
        <f t="shared" si="47"/>
        <v>0.5</v>
      </c>
      <c r="O45" s="12">
        <f t="shared" si="48"/>
        <v>2812.5</v>
      </c>
      <c r="P45" s="12">
        <f t="shared" si="49"/>
        <v>1406.25</v>
      </c>
      <c r="Q45" s="13">
        <v>3</v>
      </c>
      <c r="R45" s="13">
        <v>2</v>
      </c>
      <c r="S45" s="13" t="s">
        <v>51</v>
      </c>
      <c r="T45" s="8" t="s">
        <v>488</v>
      </c>
      <c r="U45" s="5"/>
      <c r="V45" s="5" t="s">
        <v>1486</v>
      </c>
      <c r="X45" s="23">
        <f t="shared" si="50"/>
        <v>106.2</v>
      </c>
      <c r="Y45" s="21">
        <f t="shared" si="50"/>
        <v>32</v>
      </c>
      <c r="Z45" s="28">
        <f t="shared" si="51"/>
        <v>142</v>
      </c>
      <c r="AA45" s="6">
        <f t="shared" si="51"/>
        <v>90000</v>
      </c>
      <c r="AB45" s="6">
        <f t="shared" si="52"/>
        <v>45000</v>
      </c>
      <c r="AC45" s="6">
        <f t="shared" si="53"/>
        <v>45000</v>
      </c>
      <c r="AD45" s="7">
        <f t="shared" si="53"/>
        <v>0.5</v>
      </c>
      <c r="AE45" s="12">
        <f t="shared" si="53"/>
        <v>2812.5</v>
      </c>
      <c r="AF45" s="13" t="str">
        <f t="shared" si="54"/>
        <v>계</v>
      </c>
      <c r="AG45" s="13" t="str">
        <f t="shared" si="55"/>
        <v>3/2</v>
      </c>
      <c r="AI45" s="32" t="str">
        <f t="shared" si="1"/>
        <v>비산e-편한세상</v>
      </c>
      <c r="AJ45" s="21">
        <f t="shared" si="0"/>
        <v>32</v>
      </c>
      <c r="AK45" s="13" t="str">
        <f t="shared" si="56"/>
        <v>A-</v>
      </c>
      <c r="AL45" s="13"/>
      <c r="AM45" s="13"/>
      <c r="AN45" s="13"/>
      <c r="AO45" s="13" t="str">
        <f t="shared" si="57"/>
        <v>C</v>
      </c>
      <c r="AP45" s="13" t="str">
        <f t="shared" si="58"/>
        <v>X</v>
      </c>
      <c r="AQ45" s="13" t="str">
        <f t="shared" si="59"/>
        <v>X</v>
      </c>
      <c r="AR45" s="13" t="str">
        <f t="shared" si="60"/>
        <v>X</v>
      </c>
      <c r="AS45" s="13" t="str">
        <f t="shared" si="61"/>
        <v>X</v>
      </c>
      <c r="AT45" s="13" t="s">
        <v>32</v>
      </c>
      <c r="AU45" s="13" t="str">
        <f t="shared" si="62"/>
        <v>O</v>
      </c>
      <c r="AV45" s="13" t="str">
        <f t="shared" si="63"/>
        <v>O</v>
      </c>
      <c r="AW45" s="13" t="str">
        <f t="shared" si="64"/>
        <v>X</v>
      </c>
    </row>
    <row r="46" spans="1:49" x14ac:dyDescent="0.3">
      <c r="A46" s="5" t="s">
        <v>1483</v>
      </c>
      <c r="B46" s="14" t="s">
        <v>1484</v>
      </c>
      <c r="C46" s="25">
        <v>486</v>
      </c>
      <c r="D46" s="23">
        <v>106.3</v>
      </c>
      <c r="E46" s="21">
        <v>32</v>
      </c>
      <c r="F46" s="23">
        <v>85</v>
      </c>
      <c r="G46" s="24">
        <v>26</v>
      </c>
      <c r="H46" s="25">
        <v>60</v>
      </c>
      <c r="I46" s="29">
        <v>80000</v>
      </c>
      <c r="J46" s="106" t="s">
        <v>2165</v>
      </c>
      <c r="K46" s="29">
        <v>46000</v>
      </c>
      <c r="L46" s="106" t="s">
        <v>2143</v>
      </c>
      <c r="M46" s="6">
        <f t="shared" si="46"/>
        <v>34000</v>
      </c>
      <c r="N46" s="7">
        <f t="shared" si="47"/>
        <v>0.57499999999999996</v>
      </c>
      <c r="O46" s="12">
        <f t="shared" si="48"/>
        <v>2500</v>
      </c>
      <c r="P46" s="12">
        <f t="shared" si="49"/>
        <v>1437.5</v>
      </c>
      <c r="Q46" s="13">
        <v>3</v>
      </c>
      <c r="R46" s="13">
        <v>2</v>
      </c>
      <c r="S46" s="13" t="s">
        <v>51</v>
      </c>
      <c r="T46" s="8" t="s">
        <v>291</v>
      </c>
      <c r="U46" s="5"/>
      <c r="V46" s="5" t="s">
        <v>1486</v>
      </c>
      <c r="X46" s="23">
        <f t="shared" si="50"/>
        <v>106.3</v>
      </c>
      <c r="Y46" s="21">
        <f t="shared" si="50"/>
        <v>32</v>
      </c>
      <c r="Z46" s="28">
        <f t="shared" si="51"/>
        <v>60</v>
      </c>
      <c r="AA46" s="6">
        <f t="shared" si="51"/>
        <v>80000</v>
      </c>
      <c r="AB46" s="6">
        <f t="shared" si="52"/>
        <v>46000</v>
      </c>
      <c r="AC46" s="6">
        <f t="shared" si="53"/>
        <v>34000</v>
      </c>
      <c r="AD46" s="7">
        <f t="shared" si="53"/>
        <v>0.57499999999999996</v>
      </c>
      <c r="AE46" s="12">
        <f t="shared" si="53"/>
        <v>2500</v>
      </c>
      <c r="AF46" s="13" t="str">
        <f t="shared" si="54"/>
        <v>계</v>
      </c>
      <c r="AG46" s="13" t="str">
        <f t="shared" si="55"/>
        <v>3/2</v>
      </c>
      <c r="AI46" s="32" t="str">
        <f t="shared" si="1"/>
        <v>비산e-편한세상</v>
      </c>
      <c r="AJ46" s="21">
        <f t="shared" si="0"/>
        <v>32</v>
      </c>
      <c r="AK46" s="13" t="str">
        <f t="shared" si="56"/>
        <v>A-</v>
      </c>
      <c r="AL46" s="13"/>
      <c r="AM46" s="13"/>
      <c r="AN46" s="13"/>
      <c r="AO46" s="13" t="str">
        <f t="shared" si="57"/>
        <v>C</v>
      </c>
      <c r="AP46" s="13" t="str">
        <f t="shared" si="58"/>
        <v>X</v>
      </c>
      <c r="AQ46" s="13" t="str">
        <f t="shared" si="59"/>
        <v>X</v>
      </c>
      <c r="AR46" s="13" t="str">
        <f t="shared" si="60"/>
        <v>X</v>
      </c>
      <c r="AS46" s="13" t="str">
        <f t="shared" si="61"/>
        <v>X</v>
      </c>
      <c r="AT46" s="13" t="s">
        <v>32</v>
      </c>
      <c r="AU46" s="13" t="str">
        <f t="shared" si="62"/>
        <v>O</v>
      </c>
      <c r="AV46" s="13" t="str">
        <f t="shared" si="63"/>
        <v>O</v>
      </c>
      <c r="AW46" s="13" t="str">
        <f t="shared" si="64"/>
        <v>X</v>
      </c>
    </row>
    <row r="47" spans="1:49" x14ac:dyDescent="0.3">
      <c r="A47" s="5" t="s">
        <v>1483</v>
      </c>
      <c r="B47" s="14" t="s">
        <v>1484</v>
      </c>
      <c r="C47" s="25">
        <v>486</v>
      </c>
      <c r="D47" s="23">
        <v>151</v>
      </c>
      <c r="E47" s="21">
        <v>46</v>
      </c>
      <c r="F47" s="23">
        <v>125.8</v>
      </c>
      <c r="G47" s="24">
        <v>38</v>
      </c>
      <c r="H47" s="25">
        <v>88</v>
      </c>
      <c r="I47" s="29">
        <v>97000</v>
      </c>
      <c r="J47" s="106" t="s">
        <v>2187</v>
      </c>
      <c r="K47" s="29">
        <v>70000</v>
      </c>
      <c r="L47" s="106" t="s">
        <v>2191</v>
      </c>
      <c r="M47" s="6">
        <f t="shared" si="46"/>
        <v>27000</v>
      </c>
      <c r="N47" s="7">
        <f t="shared" si="47"/>
        <v>0.72164948453608246</v>
      </c>
      <c r="O47" s="12">
        <f t="shared" si="48"/>
        <v>2108.695652173913</v>
      </c>
      <c r="P47" s="12">
        <f t="shared" si="49"/>
        <v>1521.7391304347825</v>
      </c>
      <c r="Q47" s="13">
        <v>3</v>
      </c>
      <c r="R47" s="13">
        <v>2</v>
      </c>
      <c r="S47" s="13" t="s">
        <v>51</v>
      </c>
      <c r="T47" s="8" t="s">
        <v>489</v>
      </c>
      <c r="U47" s="5"/>
      <c r="V47" s="5" t="s">
        <v>1487</v>
      </c>
      <c r="X47" s="23">
        <f t="shared" si="50"/>
        <v>151</v>
      </c>
      <c r="Y47" s="21">
        <f t="shared" si="50"/>
        <v>46</v>
      </c>
      <c r="Z47" s="28">
        <f t="shared" si="51"/>
        <v>88</v>
      </c>
      <c r="AA47" s="6">
        <f t="shared" si="51"/>
        <v>97000</v>
      </c>
      <c r="AB47" s="6">
        <f t="shared" si="52"/>
        <v>70000</v>
      </c>
      <c r="AC47" s="6">
        <f t="shared" si="53"/>
        <v>27000</v>
      </c>
      <c r="AD47" s="7">
        <f t="shared" si="53"/>
        <v>0.72164948453608246</v>
      </c>
      <c r="AE47" s="12">
        <f t="shared" si="53"/>
        <v>2108.695652173913</v>
      </c>
      <c r="AF47" s="13" t="str">
        <f t="shared" si="54"/>
        <v>계</v>
      </c>
      <c r="AG47" s="13" t="str">
        <f t="shared" si="55"/>
        <v>3/2</v>
      </c>
      <c r="AI47" s="32" t="str">
        <f t="shared" si="1"/>
        <v>비산e-편한세상</v>
      </c>
      <c r="AJ47" s="21">
        <f t="shared" si="0"/>
        <v>46</v>
      </c>
      <c r="AK47" s="13" t="str">
        <f t="shared" si="56"/>
        <v>A-</v>
      </c>
      <c r="AL47" s="13"/>
      <c r="AM47" s="13"/>
      <c r="AN47" s="13"/>
      <c r="AO47" s="13" t="str">
        <f t="shared" si="57"/>
        <v>C</v>
      </c>
      <c r="AP47" s="13" t="str">
        <f t="shared" si="58"/>
        <v>X</v>
      </c>
      <c r="AQ47" s="13" t="str">
        <f t="shared" si="59"/>
        <v>X</v>
      </c>
      <c r="AR47" s="13" t="str">
        <f t="shared" si="60"/>
        <v>X</v>
      </c>
      <c r="AS47" s="13" t="str">
        <f t="shared" si="61"/>
        <v>X</v>
      </c>
      <c r="AT47" s="13" t="s">
        <v>32</v>
      </c>
      <c r="AU47" s="13" t="str">
        <f t="shared" si="62"/>
        <v>X</v>
      </c>
      <c r="AV47" s="13" t="str">
        <f t="shared" si="63"/>
        <v>O</v>
      </c>
      <c r="AW47" s="13" t="str">
        <f t="shared" si="64"/>
        <v>X</v>
      </c>
    </row>
    <row r="48" spans="1:49" x14ac:dyDescent="0.3">
      <c r="A48" s="5" t="s">
        <v>1483</v>
      </c>
      <c r="B48" s="14" t="s">
        <v>1484</v>
      </c>
      <c r="C48" s="25">
        <v>486</v>
      </c>
      <c r="D48" s="23">
        <v>151.4</v>
      </c>
      <c r="E48" s="21">
        <v>46</v>
      </c>
      <c r="F48" s="23">
        <v>126.5</v>
      </c>
      <c r="G48" s="24">
        <v>38</v>
      </c>
      <c r="H48" s="25">
        <v>63</v>
      </c>
      <c r="I48" s="29">
        <v>105000</v>
      </c>
      <c r="J48" s="106" t="s">
        <v>2188</v>
      </c>
      <c r="K48" s="29">
        <v>58000</v>
      </c>
      <c r="L48" s="106" t="s">
        <v>2192</v>
      </c>
      <c r="M48" s="6">
        <f t="shared" si="46"/>
        <v>47000</v>
      </c>
      <c r="N48" s="7">
        <f t="shared" si="47"/>
        <v>0.55238095238095242</v>
      </c>
      <c r="O48" s="12">
        <f t="shared" si="48"/>
        <v>2282.608695652174</v>
      </c>
      <c r="P48" s="12">
        <f t="shared" si="49"/>
        <v>1260.8695652173913</v>
      </c>
      <c r="Q48" s="13">
        <v>4</v>
      </c>
      <c r="R48" s="13">
        <v>2</v>
      </c>
      <c r="S48" s="13" t="s">
        <v>51</v>
      </c>
      <c r="T48" s="8" t="s">
        <v>490</v>
      </c>
      <c r="U48" s="5"/>
      <c r="V48" s="5" t="s">
        <v>1487</v>
      </c>
      <c r="X48" s="23">
        <f t="shared" si="50"/>
        <v>151.4</v>
      </c>
      <c r="Y48" s="21">
        <f t="shared" si="50"/>
        <v>46</v>
      </c>
      <c r="Z48" s="28">
        <f t="shared" si="51"/>
        <v>63</v>
      </c>
      <c r="AA48" s="6">
        <f t="shared" si="51"/>
        <v>105000</v>
      </c>
      <c r="AB48" s="6">
        <f t="shared" si="52"/>
        <v>58000</v>
      </c>
      <c r="AC48" s="6">
        <f t="shared" si="53"/>
        <v>47000</v>
      </c>
      <c r="AD48" s="7">
        <f t="shared" si="53"/>
        <v>0.55238095238095242</v>
      </c>
      <c r="AE48" s="12">
        <f t="shared" si="53"/>
        <v>2282.608695652174</v>
      </c>
      <c r="AF48" s="13" t="str">
        <f t="shared" si="54"/>
        <v>계</v>
      </c>
      <c r="AG48" s="13" t="str">
        <f t="shared" si="55"/>
        <v>4/2</v>
      </c>
      <c r="AI48" s="32" t="str">
        <f t="shared" si="1"/>
        <v>비산e-편한세상</v>
      </c>
      <c r="AJ48" s="21">
        <f t="shared" si="0"/>
        <v>46</v>
      </c>
      <c r="AK48" s="13" t="str">
        <f t="shared" si="56"/>
        <v>A-</v>
      </c>
      <c r="AL48" s="13"/>
      <c r="AM48" s="13"/>
      <c r="AN48" s="13"/>
      <c r="AO48" s="13" t="str">
        <f t="shared" si="57"/>
        <v>C</v>
      </c>
      <c r="AP48" s="13" t="str">
        <f t="shared" si="58"/>
        <v>X</v>
      </c>
      <c r="AQ48" s="13" t="str">
        <f t="shared" si="59"/>
        <v>X</v>
      </c>
      <c r="AR48" s="13" t="str">
        <f t="shared" si="60"/>
        <v>X</v>
      </c>
      <c r="AS48" s="13" t="str">
        <f t="shared" si="61"/>
        <v>X</v>
      </c>
      <c r="AT48" s="13" t="s">
        <v>32</v>
      </c>
      <c r="AU48" s="13" t="str">
        <f t="shared" si="62"/>
        <v>X</v>
      </c>
      <c r="AV48" s="13" t="str">
        <f t="shared" si="63"/>
        <v>O</v>
      </c>
      <c r="AW48" s="13" t="str">
        <f t="shared" si="64"/>
        <v>X</v>
      </c>
    </row>
    <row r="49" spans="1:49" x14ac:dyDescent="0.3">
      <c r="A49" s="5"/>
      <c r="B49" s="13"/>
      <c r="C49" s="9"/>
      <c r="D49" s="5"/>
      <c r="E49" s="18"/>
      <c r="F49" s="23"/>
      <c r="G49" s="5"/>
      <c r="H49" s="5"/>
      <c r="I49" s="5"/>
      <c r="J49" s="8"/>
      <c r="K49" s="5"/>
      <c r="L49" s="8"/>
      <c r="M49" s="5"/>
      <c r="N49" s="5"/>
      <c r="O49" s="12"/>
      <c r="P49" s="12"/>
      <c r="Q49" s="21"/>
      <c r="R49" s="21"/>
      <c r="S49" s="5"/>
      <c r="T49" s="59"/>
      <c r="U49" s="5"/>
      <c r="V49" s="5"/>
      <c r="X49" s="90" t="str">
        <f>$A$4&amp;" "&amp;A50&amp;"("&amp;B50&amp;","&amp;C50&amp;"^)"</f>
        <v>비산동 은하수,샛별5,6단지('93.11,3227^)</v>
      </c>
      <c r="Y49" s="91"/>
      <c r="Z49" s="91"/>
      <c r="AA49" s="91"/>
      <c r="AB49" s="91"/>
      <c r="AC49" s="91"/>
      <c r="AD49" s="91"/>
      <c r="AE49" s="91"/>
      <c r="AF49" s="91"/>
      <c r="AG49" s="92"/>
      <c r="AI49" s="32" t="str">
        <f t="shared" si="1"/>
        <v/>
      </c>
      <c r="AJ49" s="33" t="str">
        <f t="shared" si="0"/>
        <v/>
      </c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</row>
    <row r="50" spans="1:49" x14ac:dyDescent="0.3">
      <c r="A50" s="5" t="s">
        <v>1488</v>
      </c>
      <c r="B50" s="14" t="s">
        <v>1489</v>
      </c>
      <c r="C50" s="25">
        <v>3227</v>
      </c>
      <c r="D50" s="23">
        <v>38.799999999999997</v>
      </c>
      <c r="E50" s="21">
        <v>12</v>
      </c>
      <c r="F50" s="23">
        <v>28.2</v>
      </c>
      <c r="G50" s="24">
        <v>9</v>
      </c>
      <c r="H50" s="25">
        <v>300</v>
      </c>
      <c r="I50" s="29">
        <v>29000</v>
      </c>
      <c r="J50" s="106" t="s">
        <v>2191</v>
      </c>
      <c r="K50" s="29">
        <v>16000</v>
      </c>
      <c r="L50" s="106" t="s">
        <v>2165</v>
      </c>
      <c r="M50" s="6">
        <f>I50-K50</f>
        <v>13000</v>
      </c>
      <c r="N50" s="7">
        <f>IF(ISERROR(K50/I50),"",K50/I50)</f>
        <v>0.55172413793103448</v>
      </c>
      <c r="O50" s="12">
        <f>I50/E50</f>
        <v>2416.6666666666665</v>
      </c>
      <c r="P50" s="12">
        <f>K50/E50</f>
        <v>1333.3333333333333</v>
      </c>
      <c r="Q50" s="13">
        <v>1</v>
      </c>
      <c r="R50" s="13">
        <v>1</v>
      </c>
      <c r="S50" s="13" t="s">
        <v>1356</v>
      </c>
      <c r="T50" s="8">
        <v>38</v>
      </c>
      <c r="U50" s="5"/>
      <c r="V50" s="5" t="s">
        <v>1490</v>
      </c>
      <c r="X50" s="23">
        <f t="shared" ref="X50:Y54" si="65">D50</f>
        <v>38.799999999999997</v>
      </c>
      <c r="Y50" s="21">
        <f t="shared" si="65"/>
        <v>12</v>
      </c>
      <c r="Z50" s="28">
        <f t="shared" ref="Z50:AA54" si="66">H50</f>
        <v>300</v>
      </c>
      <c r="AA50" s="6">
        <f t="shared" si="66"/>
        <v>29000</v>
      </c>
      <c r="AB50" s="6">
        <f>K50</f>
        <v>16000</v>
      </c>
      <c r="AC50" s="6">
        <f t="shared" ref="AC50:AE54" si="67">M50</f>
        <v>13000</v>
      </c>
      <c r="AD50" s="7">
        <f t="shared" si="67"/>
        <v>0.55172413793103448</v>
      </c>
      <c r="AE50" s="12">
        <f t="shared" si="67"/>
        <v>2416.6666666666665</v>
      </c>
      <c r="AF50" s="13" t="str">
        <f>S50</f>
        <v>복</v>
      </c>
      <c r="AG50" s="13" t="str">
        <f>Q50&amp;"/"&amp;R50</f>
        <v>1/1</v>
      </c>
      <c r="AI50" s="32" t="str">
        <f t="shared" si="1"/>
        <v>은하수,샛별5,6단지</v>
      </c>
      <c r="AJ50" s="21">
        <f t="shared" si="0"/>
        <v>12</v>
      </c>
      <c r="AK50" s="13" t="str">
        <f>IF(AJ50="","",$AK$2)</f>
        <v>A-</v>
      </c>
      <c r="AL50" s="13"/>
      <c r="AM50" s="13"/>
      <c r="AN50" s="13"/>
      <c r="AO50" s="13" t="str">
        <f>IF(AJ50="","",$AO$2)</f>
        <v>C</v>
      </c>
      <c r="AP50" s="13" t="str">
        <f>IF(N50="","",IF(N50&gt;=$AP$1/100,"O","X"))</f>
        <v>X</v>
      </c>
      <c r="AQ50" s="13" t="str">
        <f>IF(I50="","",IF(I50&lt;=$AQ$1,"O","X"))</f>
        <v>O</v>
      </c>
      <c r="AR50" s="13" t="str">
        <f>IF(O50="","",IF(O50&lt;=$AR$1,"O","X"))</f>
        <v>X</v>
      </c>
      <c r="AS50" s="13" t="str">
        <f>IF(M50="","",IF(M50&lt;=$AS$1,"O","X"))</f>
        <v>X</v>
      </c>
      <c r="AT50" s="13" t="s">
        <v>32</v>
      </c>
      <c r="AU50" s="13" t="str">
        <f>IF(OR(F50="",AJ50=""),"",IF(AND((F50&lt;=85),(AJ50&gt;=15)),"O","X"))</f>
        <v>X</v>
      </c>
      <c r="AV50" s="13" t="str">
        <f>IF(C50="","",IF(C50&gt;=$AV$1,"O","X"))</f>
        <v>O</v>
      </c>
      <c r="AW50" s="13" t="str">
        <f>IF(AP50="","",IF(AND(AP50="O",AQ50="O",AS50="O",AU50="O",AV50="O"),"후보","X"))</f>
        <v>X</v>
      </c>
    </row>
    <row r="51" spans="1:49" x14ac:dyDescent="0.3">
      <c r="A51" s="5" t="s">
        <v>1488</v>
      </c>
      <c r="B51" s="14" t="s">
        <v>1489</v>
      </c>
      <c r="C51" s="25">
        <v>3227</v>
      </c>
      <c r="D51" s="23">
        <v>48.1</v>
      </c>
      <c r="E51" s="21">
        <v>15</v>
      </c>
      <c r="F51" s="23">
        <v>35.1</v>
      </c>
      <c r="G51" s="24">
        <v>11</v>
      </c>
      <c r="H51" s="25">
        <v>1787</v>
      </c>
      <c r="I51" s="29">
        <v>37000</v>
      </c>
      <c r="J51" s="106" t="s">
        <v>2193</v>
      </c>
      <c r="K51" s="29">
        <v>24000</v>
      </c>
      <c r="L51" s="106" t="s">
        <v>2197</v>
      </c>
      <c r="M51" s="6">
        <f>I51-K51</f>
        <v>13000</v>
      </c>
      <c r="N51" s="7">
        <f>IF(ISERROR(K51/I51),"",K51/I51)</f>
        <v>0.64864864864864868</v>
      </c>
      <c r="O51" s="12">
        <f>I51/E51</f>
        <v>2466.6666666666665</v>
      </c>
      <c r="P51" s="12">
        <f>K51/E51</f>
        <v>1600</v>
      </c>
      <c r="Q51" s="13">
        <v>2</v>
      </c>
      <c r="R51" s="13">
        <v>1</v>
      </c>
      <c r="S51" s="13" t="s">
        <v>1356</v>
      </c>
      <c r="T51" s="8">
        <v>48</v>
      </c>
      <c r="U51" s="5"/>
      <c r="V51" s="5" t="s">
        <v>1491</v>
      </c>
      <c r="X51" s="23">
        <f t="shared" si="65"/>
        <v>48.1</v>
      </c>
      <c r="Y51" s="21">
        <f t="shared" si="65"/>
        <v>15</v>
      </c>
      <c r="Z51" s="28">
        <f t="shared" si="66"/>
        <v>1787</v>
      </c>
      <c r="AA51" s="6">
        <f t="shared" si="66"/>
        <v>37000</v>
      </c>
      <c r="AB51" s="6">
        <f>K51</f>
        <v>24000</v>
      </c>
      <c r="AC51" s="6">
        <f t="shared" si="67"/>
        <v>13000</v>
      </c>
      <c r="AD51" s="7">
        <f t="shared" si="67"/>
        <v>0.64864864864864868</v>
      </c>
      <c r="AE51" s="12">
        <f t="shared" si="67"/>
        <v>2466.6666666666665</v>
      </c>
      <c r="AF51" s="13" t="str">
        <f>S51</f>
        <v>복</v>
      </c>
      <c r="AG51" s="13" t="str">
        <f>Q51&amp;"/"&amp;R51</f>
        <v>2/1</v>
      </c>
      <c r="AI51" s="32" t="str">
        <f t="shared" si="1"/>
        <v>은하수,샛별5,6단지</v>
      </c>
      <c r="AJ51" s="21">
        <f t="shared" si="0"/>
        <v>15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>X</v>
      </c>
      <c r="AQ51" s="13" t="str">
        <f>IF(I51="","",IF(I51&lt;=$AQ$1,"O","X"))</f>
        <v>O</v>
      </c>
      <c r="AR51" s="13" t="str">
        <f>IF(O51="","",IF(O51&lt;=$AR$1,"O","X"))</f>
        <v>X</v>
      </c>
      <c r="AS51" s="13" t="str">
        <f>IF(M51="","",IF(M51&lt;=$AS$1,"O","X"))</f>
        <v>X</v>
      </c>
      <c r="AT51" s="13" t="s">
        <v>32</v>
      </c>
      <c r="AU51" s="13" t="str">
        <f>IF(OR(F51="",AJ51=""),"",IF(AND((F51&lt;=85),(AJ51&gt;=15)),"O","X"))</f>
        <v>O</v>
      </c>
      <c r="AV51" s="13" t="str">
        <f>IF(C51="","",IF(C51&gt;=$AV$1,"O","X"))</f>
        <v>O</v>
      </c>
      <c r="AW51" s="13" t="str">
        <f>IF(AP51="","",IF(AND(AP51="O",AQ51="O",AS51="O",AU51="O",AV51="O"),"후보","X"))</f>
        <v>X</v>
      </c>
    </row>
    <row r="52" spans="1:49" x14ac:dyDescent="0.3">
      <c r="A52" s="5" t="s">
        <v>1488</v>
      </c>
      <c r="B52" s="14" t="s">
        <v>1489</v>
      </c>
      <c r="C52" s="25">
        <v>3227</v>
      </c>
      <c r="D52" s="23">
        <v>58.6</v>
      </c>
      <c r="E52" s="21">
        <v>18</v>
      </c>
      <c r="F52" s="23">
        <v>42.6</v>
      </c>
      <c r="G52" s="24">
        <v>13</v>
      </c>
      <c r="H52" s="25">
        <v>600</v>
      </c>
      <c r="I52" s="29">
        <v>45000</v>
      </c>
      <c r="J52" s="106" t="s">
        <v>2186</v>
      </c>
      <c r="K52" s="29">
        <v>23000</v>
      </c>
      <c r="L52" s="106" t="s">
        <v>2149</v>
      </c>
      <c r="M52" s="6">
        <f>I52-K52</f>
        <v>22000</v>
      </c>
      <c r="N52" s="7">
        <f>IF(ISERROR(K52/I52),"",K52/I52)</f>
        <v>0.51111111111111107</v>
      </c>
      <c r="O52" s="12">
        <f>I52/E52</f>
        <v>2500</v>
      </c>
      <c r="P52" s="12">
        <f>K52/E52</f>
        <v>1277.7777777777778</v>
      </c>
      <c r="Q52" s="13">
        <v>2</v>
      </c>
      <c r="R52" s="13">
        <v>1</v>
      </c>
      <c r="S52" s="13" t="s">
        <v>1356</v>
      </c>
      <c r="T52" s="8">
        <v>58</v>
      </c>
      <c r="U52" s="5"/>
      <c r="V52" s="5" t="s">
        <v>1492</v>
      </c>
      <c r="X52" s="23">
        <f t="shared" si="65"/>
        <v>58.6</v>
      </c>
      <c r="Y52" s="21">
        <f t="shared" si="65"/>
        <v>18</v>
      </c>
      <c r="Z52" s="28">
        <f t="shared" si="66"/>
        <v>600</v>
      </c>
      <c r="AA52" s="6">
        <f t="shared" si="66"/>
        <v>45000</v>
      </c>
      <c r="AB52" s="6">
        <f>K52</f>
        <v>23000</v>
      </c>
      <c r="AC52" s="6">
        <f t="shared" si="67"/>
        <v>22000</v>
      </c>
      <c r="AD52" s="7">
        <f t="shared" si="67"/>
        <v>0.51111111111111107</v>
      </c>
      <c r="AE52" s="12">
        <f t="shared" si="67"/>
        <v>2500</v>
      </c>
      <c r="AF52" s="13" t="str">
        <f>S52</f>
        <v>복</v>
      </c>
      <c r="AG52" s="13" t="str">
        <f>Q52&amp;"/"&amp;R52</f>
        <v>2/1</v>
      </c>
      <c r="AI52" s="32" t="str">
        <f t="shared" si="1"/>
        <v>은하수,샛별5,6단지</v>
      </c>
      <c r="AJ52" s="21">
        <f t="shared" si="0"/>
        <v>18</v>
      </c>
      <c r="AK52" s="13" t="str">
        <f>IF(AJ52="","",$AK$2)</f>
        <v>A-</v>
      </c>
      <c r="AL52" s="13"/>
      <c r="AM52" s="13"/>
      <c r="AN52" s="13"/>
      <c r="AO52" s="13" t="str">
        <f>IF(AJ52="","",$AO$2)</f>
        <v>C</v>
      </c>
      <c r="AP52" s="13" t="str">
        <f>IF(N52="","",IF(N52&gt;=$AP$1/100,"O","X"))</f>
        <v>X</v>
      </c>
      <c r="AQ52" s="13" t="str">
        <f>IF(I52="","",IF(I52&lt;=$AQ$1,"O","X"))</f>
        <v>O</v>
      </c>
      <c r="AR52" s="13" t="str">
        <f>IF(O52="","",IF(O52&lt;=$AR$1,"O","X"))</f>
        <v>X</v>
      </c>
      <c r="AS52" s="13" t="str">
        <f>IF(M52="","",IF(M52&lt;=$AS$1,"O","X"))</f>
        <v>X</v>
      </c>
      <c r="AT52" s="13" t="s">
        <v>32</v>
      </c>
      <c r="AU52" s="13" t="str">
        <f>IF(OR(F52="",AJ52=""),"",IF(AND((F52&lt;=85),(AJ52&gt;=15)),"O","X"))</f>
        <v>O</v>
      </c>
      <c r="AV52" s="13" t="str">
        <f>IF(C52="","",IF(C52&gt;=$AV$1,"O","X"))</f>
        <v>O</v>
      </c>
      <c r="AW52" s="13" t="str">
        <f>IF(AP52="","",IF(AND(AP52="O",AQ52="O",AS52="O",AU52="O",AV52="O"),"후보","X"))</f>
        <v>X</v>
      </c>
    </row>
    <row r="53" spans="1:49" x14ac:dyDescent="0.3">
      <c r="A53" s="5" t="s">
        <v>1488</v>
      </c>
      <c r="B53" s="14" t="s">
        <v>1489</v>
      </c>
      <c r="C53" s="25">
        <v>3227</v>
      </c>
      <c r="D53" s="23">
        <v>70.8</v>
      </c>
      <c r="E53" s="21">
        <v>21</v>
      </c>
      <c r="F53" s="23">
        <v>57.4</v>
      </c>
      <c r="G53" s="24">
        <v>17</v>
      </c>
      <c r="H53" s="25">
        <v>60</v>
      </c>
      <c r="I53" s="29">
        <v>50000</v>
      </c>
      <c r="J53" s="106" t="s">
        <v>2194</v>
      </c>
      <c r="K53" s="29">
        <v>25000</v>
      </c>
      <c r="L53" s="106" t="s">
        <v>2198</v>
      </c>
      <c r="M53" s="6">
        <f>I53-K53</f>
        <v>25000</v>
      </c>
      <c r="N53" s="7">
        <f>IF(ISERROR(K53/I53),"",K53/I53)</f>
        <v>0.5</v>
      </c>
      <c r="O53" s="12">
        <f>I53/E53</f>
        <v>2380.9523809523807</v>
      </c>
      <c r="P53" s="12">
        <f>K53/E53</f>
        <v>1190.4761904761904</v>
      </c>
      <c r="Q53" s="13">
        <v>3</v>
      </c>
      <c r="R53" s="13">
        <v>1</v>
      </c>
      <c r="S53" s="13" t="s">
        <v>51</v>
      </c>
      <c r="T53" s="8">
        <v>70</v>
      </c>
      <c r="U53" s="5" t="s">
        <v>2195</v>
      </c>
      <c r="V53" s="5" t="s">
        <v>1493</v>
      </c>
      <c r="X53" s="23">
        <f t="shared" si="65"/>
        <v>70.8</v>
      </c>
      <c r="Y53" s="21">
        <f t="shared" si="65"/>
        <v>21</v>
      </c>
      <c r="Z53" s="28">
        <f t="shared" si="66"/>
        <v>60</v>
      </c>
      <c r="AA53" s="6">
        <f t="shared" si="66"/>
        <v>50000</v>
      </c>
      <c r="AB53" s="6">
        <f>K53</f>
        <v>25000</v>
      </c>
      <c r="AC53" s="6">
        <f t="shared" si="67"/>
        <v>25000</v>
      </c>
      <c r="AD53" s="7">
        <f t="shared" si="67"/>
        <v>0.5</v>
      </c>
      <c r="AE53" s="12">
        <f t="shared" si="67"/>
        <v>2380.9523809523807</v>
      </c>
      <c r="AF53" s="13" t="str">
        <f>S53</f>
        <v>계</v>
      </c>
      <c r="AG53" s="13" t="str">
        <f>Q53&amp;"/"&amp;R53</f>
        <v>3/1</v>
      </c>
      <c r="AI53" s="32" t="str">
        <f t="shared" si="1"/>
        <v>은하수,샛별5,6단지</v>
      </c>
      <c r="AJ53" s="21">
        <f t="shared" si="0"/>
        <v>21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>X</v>
      </c>
      <c r="AQ53" s="13" t="str">
        <f>IF(I53="","",IF(I53&lt;=$AQ$1,"O","X"))</f>
        <v>X</v>
      </c>
      <c r="AR53" s="13" t="str">
        <f>IF(O53="","",IF(O53&lt;=$AR$1,"O","X"))</f>
        <v>X</v>
      </c>
      <c r="AS53" s="13" t="str">
        <f>IF(M53="","",IF(M53&lt;=$AS$1,"O","X"))</f>
        <v>X</v>
      </c>
      <c r="AT53" s="13" t="s">
        <v>32</v>
      </c>
      <c r="AU53" s="13" t="str">
        <f>IF(OR(F53="",AJ53=""),"",IF(AND((F53&lt;=85),(AJ53&gt;=15)),"O","X"))</f>
        <v>O</v>
      </c>
      <c r="AV53" s="13" t="str">
        <f>IF(C53="","",IF(C53&gt;=$AV$1,"O","X"))</f>
        <v>O</v>
      </c>
      <c r="AW53" s="13" t="str">
        <f>IF(AP53="","",IF(AND(AP53="O",AQ53="O",AS53="O",AU53="O",AV53="O"),"후보","X"))</f>
        <v>X</v>
      </c>
    </row>
    <row r="54" spans="1:49" x14ac:dyDescent="0.3">
      <c r="A54" s="5" t="s">
        <v>1488</v>
      </c>
      <c r="B54" s="14" t="s">
        <v>1489</v>
      </c>
      <c r="C54" s="25">
        <v>3227</v>
      </c>
      <c r="D54" s="23">
        <v>71.400000000000006</v>
      </c>
      <c r="E54" s="21">
        <v>22</v>
      </c>
      <c r="F54" s="23">
        <v>49.7</v>
      </c>
      <c r="G54" s="24">
        <v>15</v>
      </c>
      <c r="H54" s="25">
        <v>480</v>
      </c>
      <c r="I54" s="29">
        <v>54000</v>
      </c>
      <c r="J54" s="106" t="s">
        <v>2196</v>
      </c>
      <c r="K54" s="29">
        <v>35000</v>
      </c>
      <c r="L54" s="106" t="s">
        <v>2199</v>
      </c>
      <c r="M54" s="6">
        <f>I54-K54</f>
        <v>19000</v>
      </c>
      <c r="N54" s="7">
        <f>IF(ISERROR(K54/I54),"",K54/I54)</f>
        <v>0.64814814814814814</v>
      </c>
      <c r="O54" s="12">
        <f>I54/E54</f>
        <v>2454.5454545454545</v>
      </c>
      <c r="P54" s="12">
        <f>K54/E54</f>
        <v>1590.909090909091</v>
      </c>
      <c r="Q54" s="13">
        <v>3</v>
      </c>
      <c r="R54" s="13">
        <v>1</v>
      </c>
      <c r="S54" s="13" t="s">
        <v>1356</v>
      </c>
      <c r="T54" s="8">
        <v>71</v>
      </c>
      <c r="U54" s="5"/>
      <c r="V54" s="5" t="s">
        <v>1493</v>
      </c>
      <c r="X54" s="23">
        <f t="shared" si="65"/>
        <v>71.400000000000006</v>
      </c>
      <c r="Y54" s="21">
        <f t="shared" si="65"/>
        <v>22</v>
      </c>
      <c r="Z54" s="28">
        <f t="shared" si="66"/>
        <v>480</v>
      </c>
      <c r="AA54" s="6">
        <f t="shared" si="66"/>
        <v>54000</v>
      </c>
      <c r="AB54" s="6">
        <f>K54</f>
        <v>35000</v>
      </c>
      <c r="AC54" s="6">
        <f t="shared" si="67"/>
        <v>19000</v>
      </c>
      <c r="AD54" s="7">
        <f t="shared" si="67"/>
        <v>0.64814814814814814</v>
      </c>
      <c r="AE54" s="12">
        <f t="shared" si="67"/>
        <v>2454.5454545454545</v>
      </c>
      <c r="AF54" s="13" t="str">
        <f>S54</f>
        <v>복</v>
      </c>
      <c r="AG54" s="13" t="str">
        <f>Q54&amp;"/"&amp;R54</f>
        <v>3/1</v>
      </c>
      <c r="AI54" s="32" t="str">
        <f t="shared" si="1"/>
        <v>은하수,샛별5,6단지</v>
      </c>
      <c r="AJ54" s="21">
        <f t="shared" si="0"/>
        <v>22</v>
      </c>
      <c r="AK54" s="13" t="str">
        <f>IF(AJ54="","",$AK$2)</f>
        <v>A-</v>
      </c>
      <c r="AL54" s="13"/>
      <c r="AM54" s="13"/>
      <c r="AN54" s="13"/>
      <c r="AO54" s="13" t="str">
        <f>IF(AJ54="","",$AO$2)</f>
        <v>C</v>
      </c>
      <c r="AP54" s="13" t="str">
        <f>IF(N54="","",IF(N54&gt;=$AP$1/100,"O","X"))</f>
        <v>X</v>
      </c>
      <c r="AQ54" s="13" t="str">
        <f>IF(I54="","",IF(I54&lt;=$AQ$1,"O","X"))</f>
        <v>X</v>
      </c>
      <c r="AR54" s="13" t="str">
        <f>IF(O54="","",IF(O54&lt;=$AR$1,"O","X"))</f>
        <v>X</v>
      </c>
      <c r="AS54" s="13" t="str">
        <f>IF(M54="","",IF(M54&lt;=$AS$1,"O","X"))</f>
        <v>X</v>
      </c>
      <c r="AT54" s="13" t="s">
        <v>32</v>
      </c>
      <c r="AU54" s="13" t="str">
        <f>IF(OR(F54="",AJ54=""),"",IF(AND((F54&lt;=85),(AJ54&gt;=15)),"O","X"))</f>
        <v>O</v>
      </c>
      <c r="AV54" s="13" t="str">
        <f>IF(C54="","",IF(C54&gt;=$AV$1,"O","X"))</f>
        <v>O</v>
      </c>
      <c r="AW54" s="13" t="str">
        <f>IF(AP54="","",IF(AND(AP54="O",AQ54="O",AS54="O",AU54="O",AV54="O"),"후보","X"))</f>
        <v>X</v>
      </c>
    </row>
    <row r="55" spans="1:49" x14ac:dyDescent="0.3">
      <c r="A55" s="5"/>
      <c r="B55" s="13"/>
      <c r="C55" s="9"/>
      <c r="D55" s="5"/>
      <c r="E55" s="18"/>
      <c r="F55" s="23"/>
      <c r="G55" s="5"/>
      <c r="H55" s="5"/>
      <c r="I55" s="5"/>
      <c r="J55" s="8"/>
      <c r="K55" s="5"/>
      <c r="L55" s="8"/>
      <c r="M55" s="5"/>
      <c r="N55" s="5"/>
      <c r="O55" s="12"/>
      <c r="P55" s="12"/>
      <c r="Q55" s="21"/>
      <c r="R55" s="21"/>
      <c r="S55" s="5"/>
      <c r="T55" s="59"/>
      <c r="U55" s="5"/>
      <c r="V55" s="5"/>
      <c r="X55" s="90" t="str">
        <f>$A$4&amp;" "&amp;A56&amp;"("&amp;B56&amp;","&amp;C56&amp;"^)"</f>
        <v>비산동 성원('95.12,282^)</v>
      </c>
      <c r="Y55" s="91"/>
      <c r="Z55" s="91"/>
      <c r="AA55" s="91"/>
      <c r="AB55" s="91"/>
      <c r="AC55" s="91"/>
      <c r="AD55" s="91"/>
      <c r="AE55" s="91"/>
      <c r="AF55" s="91"/>
      <c r="AG55" s="92"/>
      <c r="AI55" s="32" t="str">
        <f t="shared" si="1"/>
        <v/>
      </c>
      <c r="AJ55" s="33" t="str">
        <f t="shared" si="0"/>
        <v/>
      </c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</row>
    <row r="56" spans="1:49" x14ac:dyDescent="0.3">
      <c r="A56" s="5" t="s">
        <v>1494</v>
      </c>
      <c r="B56" s="14" t="s">
        <v>1495</v>
      </c>
      <c r="C56" s="25">
        <v>282</v>
      </c>
      <c r="D56" s="23">
        <v>80.900000000000006</v>
      </c>
      <c r="E56" s="21">
        <v>24</v>
      </c>
      <c r="F56" s="23">
        <v>59.8</v>
      </c>
      <c r="G56" s="24">
        <v>18</v>
      </c>
      <c r="H56" s="25">
        <v>144</v>
      </c>
      <c r="I56" s="29">
        <v>41000</v>
      </c>
      <c r="J56" s="106" t="s">
        <v>2200</v>
      </c>
      <c r="K56" s="29">
        <v>28000</v>
      </c>
      <c r="L56" s="106" t="s">
        <v>2201</v>
      </c>
      <c r="M56" s="6">
        <f>I56-K56</f>
        <v>13000</v>
      </c>
      <c r="N56" s="7">
        <f>IF(ISERROR(K56/I56),"",K56/I56)</f>
        <v>0.68292682926829273</v>
      </c>
      <c r="O56" s="12">
        <f>I56/E56</f>
        <v>1708.3333333333333</v>
      </c>
      <c r="P56" s="12">
        <f>K56/E56</f>
        <v>1166.6666666666667</v>
      </c>
      <c r="Q56" s="13">
        <v>3</v>
      </c>
      <c r="R56" s="13">
        <v>1</v>
      </c>
      <c r="S56" s="13" t="s">
        <v>1356</v>
      </c>
      <c r="T56" s="8">
        <v>80</v>
      </c>
      <c r="U56" s="5"/>
      <c r="V56" s="5" t="s">
        <v>1496</v>
      </c>
      <c r="X56" s="23">
        <f>D56</f>
        <v>80.900000000000006</v>
      </c>
      <c r="Y56" s="21">
        <f>E56</f>
        <v>24</v>
      </c>
      <c r="Z56" s="28">
        <f>H56</f>
        <v>144</v>
      </c>
      <c r="AA56" s="6">
        <f>I56</f>
        <v>41000</v>
      </c>
      <c r="AB56" s="6">
        <f>K56</f>
        <v>28000</v>
      </c>
      <c r="AC56" s="6">
        <f t="shared" ref="AC56:AE57" si="68">M56</f>
        <v>13000</v>
      </c>
      <c r="AD56" s="7">
        <f t="shared" si="68"/>
        <v>0.68292682926829273</v>
      </c>
      <c r="AE56" s="12">
        <f t="shared" si="68"/>
        <v>1708.3333333333333</v>
      </c>
      <c r="AF56" s="13" t="str">
        <f>S56</f>
        <v>복</v>
      </c>
      <c r="AG56" s="13" t="str">
        <f>Q56&amp;"/"&amp;R56</f>
        <v>3/1</v>
      </c>
      <c r="AI56" s="32" t="str">
        <f t="shared" si="1"/>
        <v>성원</v>
      </c>
      <c r="AJ56" s="21">
        <f t="shared" si="0"/>
        <v>24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>X</v>
      </c>
      <c r="AQ56" s="13" t="str">
        <f>IF(I56="","",IF(I56&lt;=$AQ$1,"O","X"))</f>
        <v>O</v>
      </c>
      <c r="AR56" s="13" t="str">
        <f>IF(O56="","",IF(O56&lt;=$AR$1,"O","X"))</f>
        <v>X</v>
      </c>
      <c r="AS56" s="13" t="str">
        <f>IF(M56="","",IF(M56&lt;=$AS$1,"O","X"))</f>
        <v>X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X</v>
      </c>
      <c r="AW56" s="13" t="str">
        <f>IF(AP56="","",IF(AND(AP56="O",AQ56="O",AS56="O",AU56="O",AV56="O"),"후보","X"))</f>
        <v>X</v>
      </c>
    </row>
    <row r="57" spans="1:49" x14ac:dyDescent="0.3">
      <c r="A57" s="5" t="s">
        <v>1494</v>
      </c>
      <c r="B57" s="14" t="s">
        <v>1495</v>
      </c>
      <c r="C57" s="25">
        <v>282</v>
      </c>
      <c r="D57" s="23">
        <v>114.7</v>
      </c>
      <c r="E57" s="21">
        <v>35</v>
      </c>
      <c r="F57" s="23">
        <v>84.8</v>
      </c>
      <c r="G57" s="24">
        <v>26</v>
      </c>
      <c r="H57" s="25">
        <v>138</v>
      </c>
      <c r="I57" s="29">
        <v>58000</v>
      </c>
      <c r="J57" s="106" t="s">
        <v>2142</v>
      </c>
      <c r="K57" s="29">
        <v>31500</v>
      </c>
      <c r="L57" s="106" t="s">
        <v>2202</v>
      </c>
      <c r="M57" s="6">
        <f>I57-K57</f>
        <v>26500</v>
      </c>
      <c r="N57" s="7">
        <f>IF(ISERROR(K57/I57),"",K57/I57)</f>
        <v>0.5431034482758621</v>
      </c>
      <c r="O57" s="12">
        <f>I57/E57</f>
        <v>1657.1428571428571</v>
      </c>
      <c r="P57" s="12">
        <f>K57/E57</f>
        <v>900</v>
      </c>
      <c r="Q57" s="13">
        <v>3</v>
      </c>
      <c r="R57" s="13">
        <v>2</v>
      </c>
      <c r="S57" s="13" t="s">
        <v>1356</v>
      </c>
      <c r="T57" s="8">
        <v>114</v>
      </c>
      <c r="U57" s="5"/>
      <c r="V57" s="5" t="s">
        <v>1497</v>
      </c>
      <c r="X57" s="23">
        <f>D57</f>
        <v>114.7</v>
      </c>
      <c r="Y57" s="21">
        <f>E57</f>
        <v>35</v>
      </c>
      <c r="Z57" s="28">
        <f>H57</f>
        <v>138</v>
      </c>
      <c r="AA57" s="6">
        <f>I57</f>
        <v>58000</v>
      </c>
      <c r="AB57" s="6">
        <f>K57</f>
        <v>31500</v>
      </c>
      <c r="AC57" s="6">
        <f t="shared" si="68"/>
        <v>26500</v>
      </c>
      <c r="AD57" s="7">
        <f t="shared" si="68"/>
        <v>0.5431034482758621</v>
      </c>
      <c r="AE57" s="12">
        <f t="shared" si="68"/>
        <v>1657.1428571428571</v>
      </c>
      <c r="AF57" s="13" t="str">
        <f>S57</f>
        <v>복</v>
      </c>
      <c r="AG57" s="13" t="str">
        <f>Q57&amp;"/"&amp;R57</f>
        <v>3/2</v>
      </c>
      <c r="AI57" s="32" t="str">
        <f t="shared" si="1"/>
        <v>성원</v>
      </c>
      <c r="AJ57" s="21">
        <f t="shared" si="0"/>
        <v>35</v>
      </c>
      <c r="AK57" s="13" t="str">
        <f>IF(AJ57="","",$AK$2)</f>
        <v>A-</v>
      </c>
      <c r="AL57" s="13"/>
      <c r="AM57" s="13"/>
      <c r="AN57" s="13"/>
      <c r="AO57" s="13" t="str">
        <f>IF(AJ57="","",$AO$2)</f>
        <v>C</v>
      </c>
      <c r="AP57" s="13" t="str">
        <f>IF(N57="","",IF(N57&gt;=$AP$1/100,"O","X"))</f>
        <v>X</v>
      </c>
      <c r="AQ57" s="13" t="str">
        <f>IF(I57="","",IF(I57&lt;=$AQ$1,"O","X"))</f>
        <v>X</v>
      </c>
      <c r="AR57" s="13" t="str">
        <f>IF(O57="","",IF(O57&lt;=$AR$1,"O","X"))</f>
        <v>X</v>
      </c>
      <c r="AS57" s="13" t="str">
        <f>IF(M57="","",IF(M57&lt;=$AS$1,"O","X"))</f>
        <v>X</v>
      </c>
      <c r="AT57" s="13" t="s">
        <v>32</v>
      </c>
      <c r="AU57" s="13" t="str">
        <f>IF(OR(F57="",AJ57=""),"",IF(AND((F57&lt;=85),(AJ57&gt;=15)),"O","X"))</f>
        <v>O</v>
      </c>
      <c r="AV57" s="13" t="str">
        <f>IF(C57="","",IF(C57&gt;=$AV$1,"O","X"))</f>
        <v>X</v>
      </c>
      <c r="AW57" s="13" t="str">
        <f>IF(AP57="","",IF(AND(AP57="O",AQ57="O",AS57="O",AU57="O",AV57="O"),"후보","X"))</f>
        <v>X</v>
      </c>
    </row>
    <row r="58" spans="1:49" x14ac:dyDescent="0.3">
      <c r="A58" s="5"/>
      <c r="B58" s="13"/>
      <c r="C58" s="9"/>
      <c r="D58" s="5"/>
      <c r="E58" s="18"/>
      <c r="F58" s="23"/>
      <c r="G58" s="5"/>
      <c r="H58" s="5"/>
      <c r="I58" s="5"/>
      <c r="J58" s="8"/>
      <c r="K58" s="5"/>
      <c r="L58" s="8"/>
      <c r="M58" s="5"/>
      <c r="N58" s="5"/>
      <c r="O58" s="12"/>
      <c r="P58" s="12"/>
      <c r="Q58" s="21"/>
      <c r="R58" s="21"/>
      <c r="S58" s="5"/>
      <c r="T58" s="59"/>
      <c r="U58" s="5"/>
      <c r="V58" s="5"/>
      <c r="X58" s="90" t="str">
        <f>$A$4&amp;" "&amp;A59&amp;"("&amp;B59&amp;","&amp;C59&amp;"^)"</f>
        <v>비산동 평촌엘프라우드('24.06,2739^)</v>
      </c>
      <c r="Y58" s="91"/>
      <c r="Z58" s="91"/>
      <c r="AA58" s="91"/>
      <c r="AB58" s="91"/>
      <c r="AC58" s="91"/>
      <c r="AD58" s="91"/>
      <c r="AE58" s="91"/>
      <c r="AF58" s="91"/>
      <c r="AG58" s="92"/>
      <c r="AI58" s="32" t="str">
        <f t="shared" si="1"/>
        <v/>
      </c>
      <c r="AJ58" s="33" t="str">
        <f t="shared" si="0"/>
        <v/>
      </c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</row>
    <row r="59" spans="1:49" x14ac:dyDescent="0.3">
      <c r="A59" s="5" t="s">
        <v>1498</v>
      </c>
      <c r="B59" s="14" t="s">
        <v>1499</v>
      </c>
      <c r="C59" s="25">
        <v>2739</v>
      </c>
      <c r="D59" s="23">
        <v>69.7</v>
      </c>
      <c r="E59" s="21">
        <v>21</v>
      </c>
      <c r="F59" s="23">
        <v>49.6</v>
      </c>
      <c r="G59" s="24">
        <v>15</v>
      </c>
      <c r="H59" s="25">
        <v>48</v>
      </c>
      <c r="I59" s="29"/>
      <c r="J59" s="106"/>
      <c r="K59" s="29"/>
      <c r="L59" s="106"/>
      <c r="M59" s="6">
        <f t="shared" ref="M59:M68" si="69">I59-K59</f>
        <v>0</v>
      </c>
      <c r="N59" s="7" t="str">
        <f t="shared" ref="N59:N68" si="70">IF(ISERROR(K59/I59),"",K59/I59)</f>
        <v/>
      </c>
      <c r="O59" s="12">
        <f t="shared" ref="O59:O68" si="71">I59/E59</f>
        <v>0</v>
      </c>
      <c r="P59" s="12">
        <f t="shared" ref="P59:P68" si="72">K59/E59</f>
        <v>0</v>
      </c>
      <c r="Q59" s="13">
        <v>3</v>
      </c>
      <c r="R59" s="13">
        <v>1</v>
      </c>
      <c r="S59" s="13" t="s">
        <v>51</v>
      </c>
      <c r="T59" s="8" t="s">
        <v>276</v>
      </c>
      <c r="U59" s="5"/>
      <c r="V59" s="5" t="s">
        <v>1500</v>
      </c>
      <c r="X59" s="23">
        <f t="shared" ref="X59:X68" si="73">D59</f>
        <v>69.7</v>
      </c>
      <c r="Y59" s="21">
        <f t="shared" ref="Y59:Y68" si="74">E59</f>
        <v>21</v>
      </c>
      <c r="Z59" s="28">
        <f t="shared" ref="Z59:Z68" si="75">H59</f>
        <v>48</v>
      </c>
      <c r="AA59" s="6">
        <f t="shared" ref="AA59:AA68" si="76">I59</f>
        <v>0</v>
      </c>
      <c r="AB59" s="6">
        <f t="shared" ref="AB59:AB68" si="77">K59</f>
        <v>0</v>
      </c>
      <c r="AC59" s="6">
        <f t="shared" ref="AC59:AC68" si="78">M59</f>
        <v>0</v>
      </c>
      <c r="AD59" s="7" t="str">
        <f t="shared" ref="AD59:AD68" si="79">N59</f>
        <v/>
      </c>
      <c r="AE59" s="12">
        <f t="shared" ref="AE59:AE68" si="80">O59</f>
        <v>0</v>
      </c>
      <c r="AF59" s="13" t="str">
        <f t="shared" ref="AF59:AF68" si="81">S59</f>
        <v>계</v>
      </c>
      <c r="AG59" s="13" t="str">
        <f t="shared" ref="AG59:AG68" si="82">Q59&amp;"/"&amp;R59</f>
        <v>3/1</v>
      </c>
      <c r="AI59" s="32" t="str">
        <f t="shared" si="1"/>
        <v>평촌엘프라우드</v>
      </c>
      <c r="AJ59" s="21">
        <f t="shared" si="0"/>
        <v>21</v>
      </c>
      <c r="AK59" s="13" t="str">
        <f t="shared" ref="AK59:AK68" si="83">IF(AJ59="","",$AK$2)</f>
        <v>A-</v>
      </c>
      <c r="AL59" s="13"/>
      <c r="AM59" s="13"/>
      <c r="AN59" s="13"/>
      <c r="AO59" s="13" t="str">
        <f t="shared" ref="AO59:AO68" si="84">IF(AJ59="","",$AO$2)</f>
        <v>C</v>
      </c>
      <c r="AP59" s="13" t="str">
        <f t="shared" ref="AP59:AP68" si="85">IF(N59="","",IF(N59&gt;=$AP$1/100,"O","X"))</f>
        <v/>
      </c>
      <c r="AQ59" s="13" t="str">
        <f t="shared" ref="AQ59:AQ68" si="86">IF(I59="","",IF(I59&lt;=$AQ$1,"O","X"))</f>
        <v/>
      </c>
      <c r="AR59" s="13" t="str">
        <f t="shared" ref="AR59:AR68" si="87">IF(O59="","",IF(O59&lt;=$AR$1,"O","X"))</f>
        <v>O</v>
      </c>
      <c r="AS59" s="13" t="str">
        <f t="shared" ref="AS59:AS68" si="88">IF(M59="","",IF(M59&lt;=$AS$1,"O","X"))</f>
        <v>O</v>
      </c>
      <c r="AT59" s="13" t="s">
        <v>32</v>
      </c>
      <c r="AU59" s="13" t="str">
        <f t="shared" ref="AU59:AU68" si="89">IF(OR(F59="",AJ59=""),"",IF(AND((F59&lt;=85),(AJ59&gt;=15)),"O","X"))</f>
        <v>O</v>
      </c>
      <c r="AV59" s="13" t="str">
        <f t="shared" ref="AV59:AV68" si="90">IF(C59="","",IF(C59&gt;=$AV$1,"O","X"))</f>
        <v>O</v>
      </c>
      <c r="AW59" s="13" t="str">
        <f t="shared" ref="AW59:AW68" si="91">IF(AP59="","",IF(AND(AP59="O",AQ59="O",AS59="O",AU59="O",AV59="O"),"후보","X"))</f>
        <v/>
      </c>
    </row>
    <row r="60" spans="1:49" x14ac:dyDescent="0.3">
      <c r="A60" s="5" t="s">
        <v>1498</v>
      </c>
      <c r="B60" s="14" t="s">
        <v>1499</v>
      </c>
      <c r="C60" s="25">
        <v>2739</v>
      </c>
      <c r="D60" s="23">
        <v>70.5</v>
      </c>
      <c r="E60" s="21">
        <v>21</v>
      </c>
      <c r="F60" s="23">
        <v>49.6</v>
      </c>
      <c r="G60" s="24">
        <v>15</v>
      </c>
      <c r="H60" s="25">
        <v>50</v>
      </c>
      <c r="I60" s="29"/>
      <c r="J60" s="106"/>
      <c r="K60" s="29"/>
      <c r="L60" s="106"/>
      <c r="M60" s="6">
        <f t="shared" si="69"/>
        <v>0</v>
      </c>
      <c r="N60" s="7" t="str">
        <f t="shared" si="70"/>
        <v/>
      </c>
      <c r="O60" s="12">
        <f t="shared" si="71"/>
        <v>0</v>
      </c>
      <c r="P60" s="12">
        <f t="shared" si="72"/>
        <v>0</v>
      </c>
      <c r="Q60" s="13">
        <v>3</v>
      </c>
      <c r="R60" s="13">
        <v>1</v>
      </c>
      <c r="S60" s="13" t="s">
        <v>51</v>
      </c>
      <c r="T60" s="8" t="s">
        <v>173</v>
      </c>
      <c r="U60" s="5"/>
      <c r="V60" s="5" t="s">
        <v>1500</v>
      </c>
      <c r="X60" s="23">
        <f t="shared" si="73"/>
        <v>70.5</v>
      </c>
      <c r="Y60" s="21">
        <f t="shared" si="74"/>
        <v>21</v>
      </c>
      <c r="Z60" s="28">
        <f t="shared" si="75"/>
        <v>50</v>
      </c>
      <c r="AA60" s="6">
        <f t="shared" si="76"/>
        <v>0</v>
      </c>
      <c r="AB60" s="6">
        <f t="shared" si="77"/>
        <v>0</v>
      </c>
      <c r="AC60" s="6">
        <f t="shared" si="78"/>
        <v>0</v>
      </c>
      <c r="AD60" s="7" t="str">
        <f t="shared" si="79"/>
        <v/>
      </c>
      <c r="AE60" s="12">
        <f t="shared" si="80"/>
        <v>0</v>
      </c>
      <c r="AF60" s="13" t="str">
        <f t="shared" si="81"/>
        <v>계</v>
      </c>
      <c r="AG60" s="13" t="str">
        <f t="shared" si="82"/>
        <v>3/1</v>
      </c>
      <c r="AI60" s="32" t="str">
        <f t="shared" si="1"/>
        <v>평촌엘프라우드</v>
      </c>
      <c r="AJ60" s="21">
        <f t="shared" si="0"/>
        <v>21</v>
      </c>
      <c r="AK60" s="13" t="str">
        <f t="shared" si="83"/>
        <v>A-</v>
      </c>
      <c r="AL60" s="13"/>
      <c r="AM60" s="13"/>
      <c r="AN60" s="13"/>
      <c r="AO60" s="13" t="str">
        <f t="shared" si="84"/>
        <v>C</v>
      </c>
      <c r="AP60" s="13" t="str">
        <f t="shared" si="85"/>
        <v/>
      </c>
      <c r="AQ60" s="13" t="str">
        <f t="shared" si="86"/>
        <v/>
      </c>
      <c r="AR60" s="13" t="str">
        <f t="shared" si="87"/>
        <v>O</v>
      </c>
      <c r="AS60" s="13" t="str">
        <f t="shared" si="88"/>
        <v>O</v>
      </c>
      <c r="AT60" s="13" t="s">
        <v>32</v>
      </c>
      <c r="AU60" s="13" t="str">
        <f t="shared" si="89"/>
        <v>O</v>
      </c>
      <c r="AV60" s="13" t="str">
        <f t="shared" si="90"/>
        <v>O</v>
      </c>
      <c r="AW60" s="13" t="str">
        <f t="shared" si="91"/>
        <v/>
      </c>
    </row>
    <row r="61" spans="1:49" x14ac:dyDescent="0.3">
      <c r="A61" s="5" t="s">
        <v>1498</v>
      </c>
      <c r="B61" s="14" t="s">
        <v>1499</v>
      </c>
      <c r="C61" s="25">
        <v>2739</v>
      </c>
      <c r="D61" s="23">
        <v>81.5</v>
      </c>
      <c r="E61" s="21">
        <v>25</v>
      </c>
      <c r="F61" s="23">
        <v>59.8</v>
      </c>
      <c r="G61" s="24">
        <v>18</v>
      </c>
      <c r="H61" s="25">
        <v>498</v>
      </c>
      <c r="I61" s="29"/>
      <c r="J61" s="106"/>
      <c r="K61" s="29"/>
      <c r="L61" s="106"/>
      <c r="M61" s="6">
        <f t="shared" si="69"/>
        <v>0</v>
      </c>
      <c r="N61" s="7" t="str">
        <f t="shared" si="70"/>
        <v/>
      </c>
      <c r="O61" s="12">
        <f t="shared" si="71"/>
        <v>0</v>
      </c>
      <c r="P61" s="12">
        <f t="shared" si="72"/>
        <v>0</v>
      </c>
      <c r="Q61" s="13">
        <v>3</v>
      </c>
      <c r="R61" s="13">
        <v>2</v>
      </c>
      <c r="S61" s="13" t="s">
        <v>51</v>
      </c>
      <c r="T61" s="8" t="s">
        <v>260</v>
      </c>
      <c r="U61" s="5"/>
      <c r="V61" s="5" t="s">
        <v>1501</v>
      </c>
      <c r="X61" s="23">
        <f t="shared" si="73"/>
        <v>81.5</v>
      </c>
      <c r="Y61" s="21">
        <f t="shared" si="74"/>
        <v>25</v>
      </c>
      <c r="Z61" s="28">
        <f t="shared" si="75"/>
        <v>498</v>
      </c>
      <c r="AA61" s="6">
        <f t="shared" si="76"/>
        <v>0</v>
      </c>
      <c r="AB61" s="6">
        <f t="shared" si="77"/>
        <v>0</v>
      </c>
      <c r="AC61" s="6">
        <f t="shared" si="78"/>
        <v>0</v>
      </c>
      <c r="AD61" s="7" t="str">
        <f t="shared" si="79"/>
        <v/>
      </c>
      <c r="AE61" s="12">
        <f t="shared" si="80"/>
        <v>0</v>
      </c>
      <c r="AF61" s="13" t="str">
        <f t="shared" si="81"/>
        <v>계</v>
      </c>
      <c r="AG61" s="13" t="str">
        <f t="shared" si="82"/>
        <v>3/2</v>
      </c>
      <c r="AI61" s="32" t="str">
        <f t="shared" si="1"/>
        <v>평촌엘프라우드</v>
      </c>
      <c r="AJ61" s="21">
        <f t="shared" si="0"/>
        <v>25</v>
      </c>
      <c r="AK61" s="13" t="str">
        <f t="shared" si="83"/>
        <v>A-</v>
      </c>
      <c r="AL61" s="13"/>
      <c r="AM61" s="13"/>
      <c r="AN61" s="13"/>
      <c r="AO61" s="13" t="str">
        <f t="shared" si="84"/>
        <v>C</v>
      </c>
      <c r="AP61" s="13" t="str">
        <f t="shared" si="85"/>
        <v/>
      </c>
      <c r="AQ61" s="13" t="str">
        <f t="shared" si="86"/>
        <v/>
      </c>
      <c r="AR61" s="13" t="str">
        <f t="shared" si="87"/>
        <v>O</v>
      </c>
      <c r="AS61" s="13" t="str">
        <f t="shared" si="88"/>
        <v>O</v>
      </c>
      <c r="AT61" s="13" t="s">
        <v>32</v>
      </c>
      <c r="AU61" s="13" t="str">
        <f t="shared" si="89"/>
        <v>O</v>
      </c>
      <c r="AV61" s="13" t="str">
        <f t="shared" si="90"/>
        <v>O</v>
      </c>
      <c r="AW61" s="13" t="str">
        <f t="shared" si="91"/>
        <v/>
      </c>
    </row>
    <row r="62" spans="1:49" x14ac:dyDescent="0.3">
      <c r="A62" s="5" t="s">
        <v>1498</v>
      </c>
      <c r="B62" s="14" t="s">
        <v>1499</v>
      </c>
      <c r="C62" s="25">
        <v>2739</v>
      </c>
      <c r="D62" s="23">
        <v>81.5</v>
      </c>
      <c r="E62" s="21">
        <v>25</v>
      </c>
      <c r="F62" s="23">
        <v>59.8</v>
      </c>
      <c r="G62" s="24">
        <v>18</v>
      </c>
      <c r="H62" s="25">
        <v>322</v>
      </c>
      <c r="I62" s="29"/>
      <c r="J62" s="106"/>
      <c r="K62" s="29"/>
      <c r="L62" s="106"/>
      <c r="M62" s="6">
        <f t="shared" si="69"/>
        <v>0</v>
      </c>
      <c r="N62" s="7" t="str">
        <f t="shared" si="70"/>
        <v/>
      </c>
      <c r="O62" s="12">
        <f t="shared" si="71"/>
        <v>0</v>
      </c>
      <c r="P62" s="12">
        <f t="shared" si="72"/>
        <v>0</v>
      </c>
      <c r="Q62" s="13">
        <v>3</v>
      </c>
      <c r="R62" s="13">
        <v>2</v>
      </c>
      <c r="S62" s="13" t="s">
        <v>51</v>
      </c>
      <c r="T62" s="8" t="s">
        <v>518</v>
      </c>
      <c r="U62" s="5"/>
      <c r="V62" s="5" t="s">
        <v>1502</v>
      </c>
      <c r="X62" s="23">
        <f t="shared" si="73"/>
        <v>81.5</v>
      </c>
      <c r="Y62" s="21">
        <f t="shared" si="74"/>
        <v>25</v>
      </c>
      <c r="Z62" s="28">
        <f t="shared" si="75"/>
        <v>322</v>
      </c>
      <c r="AA62" s="6">
        <f t="shared" si="76"/>
        <v>0</v>
      </c>
      <c r="AB62" s="6">
        <f t="shared" si="77"/>
        <v>0</v>
      </c>
      <c r="AC62" s="6">
        <f t="shared" si="78"/>
        <v>0</v>
      </c>
      <c r="AD62" s="7" t="str">
        <f t="shared" si="79"/>
        <v/>
      </c>
      <c r="AE62" s="12">
        <f t="shared" si="80"/>
        <v>0</v>
      </c>
      <c r="AF62" s="13" t="str">
        <f t="shared" si="81"/>
        <v>계</v>
      </c>
      <c r="AG62" s="13" t="str">
        <f t="shared" si="82"/>
        <v>3/2</v>
      </c>
      <c r="AI62" s="32" t="str">
        <f t="shared" si="1"/>
        <v>평촌엘프라우드</v>
      </c>
      <c r="AJ62" s="21">
        <f t="shared" si="0"/>
        <v>25</v>
      </c>
      <c r="AK62" s="13" t="str">
        <f t="shared" si="83"/>
        <v>A-</v>
      </c>
      <c r="AL62" s="13"/>
      <c r="AM62" s="13"/>
      <c r="AN62" s="13"/>
      <c r="AO62" s="13" t="str">
        <f t="shared" si="84"/>
        <v>C</v>
      </c>
      <c r="AP62" s="13" t="str">
        <f t="shared" si="85"/>
        <v/>
      </c>
      <c r="AQ62" s="13" t="str">
        <f t="shared" si="86"/>
        <v/>
      </c>
      <c r="AR62" s="13" t="str">
        <f t="shared" si="87"/>
        <v>O</v>
      </c>
      <c r="AS62" s="13" t="str">
        <f t="shared" si="88"/>
        <v>O</v>
      </c>
      <c r="AT62" s="13" t="s">
        <v>32</v>
      </c>
      <c r="AU62" s="13" t="str">
        <f t="shared" si="89"/>
        <v>O</v>
      </c>
      <c r="AV62" s="13" t="str">
        <f t="shared" si="90"/>
        <v>O</v>
      </c>
      <c r="AW62" s="13" t="str">
        <f t="shared" si="91"/>
        <v/>
      </c>
    </row>
    <row r="63" spans="1:49" x14ac:dyDescent="0.3">
      <c r="A63" s="5" t="s">
        <v>1498</v>
      </c>
      <c r="B63" s="14" t="s">
        <v>1499</v>
      </c>
      <c r="C63" s="25">
        <v>2739</v>
      </c>
      <c r="D63" s="23">
        <v>82.7</v>
      </c>
      <c r="E63" s="21">
        <v>25</v>
      </c>
      <c r="F63" s="23">
        <v>60</v>
      </c>
      <c r="G63" s="24">
        <v>18</v>
      </c>
      <c r="H63" s="25">
        <v>306</v>
      </c>
      <c r="I63" s="29"/>
      <c r="J63" s="106"/>
      <c r="K63" s="29"/>
      <c r="L63" s="106"/>
      <c r="M63" s="6">
        <f t="shared" si="69"/>
        <v>0</v>
      </c>
      <c r="N63" s="7" t="str">
        <f t="shared" si="70"/>
        <v/>
      </c>
      <c r="O63" s="12">
        <f t="shared" si="71"/>
        <v>0</v>
      </c>
      <c r="P63" s="12">
        <f t="shared" si="72"/>
        <v>0</v>
      </c>
      <c r="Q63" s="13">
        <v>3</v>
      </c>
      <c r="R63" s="13">
        <v>2</v>
      </c>
      <c r="S63" s="13" t="s">
        <v>51</v>
      </c>
      <c r="T63" s="8" t="s">
        <v>519</v>
      </c>
      <c r="U63" s="5"/>
      <c r="V63" s="5" t="s">
        <v>1503</v>
      </c>
      <c r="X63" s="23">
        <f t="shared" si="73"/>
        <v>82.7</v>
      </c>
      <c r="Y63" s="21">
        <f t="shared" si="74"/>
        <v>25</v>
      </c>
      <c r="Z63" s="28">
        <f t="shared" si="75"/>
        <v>306</v>
      </c>
      <c r="AA63" s="6">
        <f t="shared" si="76"/>
        <v>0</v>
      </c>
      <c r="AB63" s="6">
        <f t="shared" si="77"/>
        <v>0</v>
      </c>
      <c r="AC63" s="6">
        <f t="shared" si="78"/>
        <v>0</v>
      </c>
      <c r="AD63" s="7" t="str">
        <f t="shared" si="79"/>
        <v/>
      </c>
      <c r="AE63" s="12">
        <f t="shared" si="80"/>
        <v>0</v>
      </c>
      <c r="AF63" s="13" t="str">
        <f t="shared" si="81"/>
        <v>계</v>
      </c>
      <c r="AG63" s="13" t="str">
        <f t="shared" si="82"/>
        <v>3/2</v>
      </c>
      <c r="AI63" s="32" t="str">
        <f t="shared" si="1"/>
        <v>평촌엘프라우드</v>
      </c>
      <c r="AJ63" s="21">
        <f t="shared" si="0"/>
        <v>25</v>
      </c>
      <c r="AK63" s="13" t="str">
        <f t="shared" si="83"/>
        <v>A-</v>
      </c>
      <c r="AL63" s="13"/>
      <c r="AM63" s="13"/>
      <c r="AN63" s="13"/>
      <c r="AO63" s="13" t="str">
        <f t="shared" si="84"/>
        <v>C</v>
      </c>
      <c r="AP63" s="13" t="str">
        <f t="shared" si="85"/>
        <v/>
      </c>
      <c r="AQ63" s="13" t="str">
        <f t="shared" si="86"/>
        <v/>
      </c>
      <c r="AR63" s="13" t="str">
        <f t="shared" si="87"/>
        <v>O</v>
      </c>
      <c r="AS63" s="13" t="str">
        <f t="shared" si="88"/>
        <v>O</v>
      </c>
      <c r="AT63" s="13" t="s">
        <v>32</v>
      </c>
      <c r="AU63" s="13" t="str">
        <f t="shared" si="89"/>
        <v>O</v>
      </c>
      <c r="AV63" s="13" t="str">
        <f t="shared" si="90"/>
        <v>O</v>
      </c>
      <c r="AW63" s="13" t="str">
        <f t="shared" si="91"/>
        <v/>
      </c>
    </row>
    <row r="64" spans="1:49" x14ac:dyDescent="0.3">
      <c r="A64" s="5" t="s">
        <v>1498</v>
      </c>
      <c r="B64" s="14" t="s">
        <v>1499</v>
      </c>
      <c r="C64" s="25">
        <v>2739</v>
      </c>
      <c r="D64" s="23">
        <v>82.8</v>
      </c>
      <c r="E64" s="21">
        <v>25</v>
      </c>
      <c r="F64" s="23">
        <v>60</v>
      </c>
      <c r="G64" s="24">
        <v>18</v>
      </c>
      <c r="H64" s="25">
        <v>233</v>
      </c>
      <c r="I64" s="29"/>
      <c r="J64" s="106"/>
      <c r="K64" s="29"/>
      <c r="L64" s="106"/>
      <c r="M64" s="6">
        <f t="shared" si="69"/>
        <v>0</v>
      </c>
      <c r="N64" s="7" t="str">
        <f t="shared" si="70"/>
        <v/>
      </c>
      <c r="O64" s="12">
        <f t="shared" si="71"/>
        <v>0</v>
      </c>
      <c r="P64" s="12">
        <f t="shared" si="72"/>
        <v>0</v>
      </c>
      <c r="Q64" s="13">
        <v>3</v>
      </c>
      <c r="R64" s="13">
        <v>2</v>
      </c>
      <c r="S64" s="13" t="s">
        <v>51</v>
      </c>
      <c r="T64" s="8" t="s">
        <v>520</v>
      </c>
      <c r="U64" s="5"/>
      <c r="V64" s="5" t="s">
        <v>1503</v>
      </c>
      <c r="X64" s="23">
        <f t="shared" si="73"/>
        <v>82.8</v>
      </c>
      <c r="Y64" s="21">
        <f t="shared" si="74"/>
        <v>25</v>
      </c>
      <c r="Z64" s="28">
        <f t="shared" si="75"/>
        <v>233</v>
      </c>
      <c r="AA64" s="6">
        <f t="shared" si="76"/>
        <v>0</v>
      </c>
      <c r="AB64" s="6">
        <f t="shared" si="77"/>
        <v>0</v>
      </c>
      <c r="AC64" s="6">
        <f t="shared" si="78"/>
        <v>0</v>
      </c>
      <c r="AD64" s="7" t="str">
        <f t="shared" si="79"/>
        <v/>
      </c>
      <c r="AE64" s="12">
        <f t="shared" si="80"/>
        <v>0</v>
      </c>
      <c r="AF64" s="13" t="str">
        <f t="shared" si="81"/>
        <v>계</v>
      </c>
      <c r="AG64" s="13" t="str">
        <f t="shared" si="82"/>
        <v>3/2</v>
      </c>
      <c r="AI64" s="32" t="str">
        <f t="shared" si="1"/>
        <v>평촌엘프라우드</v>
      </c>
      <c r="AJ64" s="21">
        <f t="shared" si="0"/>
        <v>25</v>
      </c>
      <c r="AK64" s="13" t="str">
        <f t="shared" si="83"/>
        <v>A-</v>
      </c>
      <c r="AL64" s="13"/>
      <c r="AM64" s="13"/>
      <c r="AN64" s="13"/>
      <c r="AO64" s="13" t="str">
        <f t="shared" si="84"/>
        <v>C</v>
      </c>
      <c r="AP64" s="13" t="str">
        <f t="shared" si="85"/>
        <v/>
      </c>
      <c r="AQ64" s="13" t="str">
        <f t="shared" si="86"/>
        <v/>
      </c>
      <c r="AR64" s="13" t="str">
        <f t="shared" si="87"/>
        <v>O</v>
      </c>
      <c r="AS64" s="13" t="str">
        <f t="shared" si="88"/>
        <v>O</v>
      </c>
      <c r="AT64" s="13" t="s">
        <v>32</v>
      </c>
      <c r="AU64" s="13" t="str">
        <f t="shared" si="89"/>
        <v>O</v>
      </c>
      <c r="AV64" s="13" t="str">
        <f t="shared" si="90"/>
        <v>O</v>
      </c>
      <c r="AW64" s="13" t="str">
        <f t="shared" si="91"/>
        <v/>
      </c>
    </row>
    <row r="65" spans="1:49" x14ac:dyDescent="0.3">
      <c r="A65" s="5" t="s">
        <v>1498</v>
      </c>
      <c r="B65" s="14" t="s">
        <v>1499</v>
      </c>
      <c r="C65" s="25">
        <v>2739</v>
      </c>
      <c r="D65" s="23">
        <v>97</v>
      </c>
      <c r="E65" s="21">
        <v>29</v>
      </c>
      <c r="F65" s="23">
        <v>74.099999999999994</v>
      </c>
      <c r="G65" s="24">
        <v>22</v>
      </c>
      <c r="H65" s="25">
        <v>110</v>
      </c>
      <c r="I65" s="29"/>
      <c r="J65" s="106"/>
      <c r="K65" s="29"/>
      <c r="L65" s="106"/>
      <c r="M65" s="6">
        <f t="shared" si="69"/>
        <v>0</v>
      </c>
      <c r="N65" s="7" t="str">
        <f t="shared" si="70"/>
        <v/>
      </c>
      <c r="O65" s="12">
        <f t="shared" si="71"/>
        <v>0</v>
      </c>
      <c r="P65" s="12">
        <f t="shared" si="72"/>
        <v>0</v>
      </c>
      <c r="Q65" s="13">
        <v>3</v>
      </c>
      <c r="R65" s="13">
        <v>2</v>
      </c>
      <c r="S65" s="13" t="s">
        <v>51</v>
      </c>
      <c r="T65" s="8">
        <v>96</v>
      </c>
      <c r="U65" s="5"/>
      <c r="V65" s="5" t="s">
        <v>1504</v>
      </c>
      <c r="X65" s="23">
        <f t="shared" si="73"/>
        <v>97</v>
      </c>
      <c r="Y65" s="21">
        <f t="shared" si="74"/>
        <v>29</v>
      </c>
      <c r="Z65" s="28">
        <f t="shared" si="75"/>
        <v>110</v>
      </c>
      <c r="AA65" s="6">
        <f t="shared" si="76"/>
        <v>0</v>
      </c>
      <c r="AB65" s="6">
        <f t="shared" si="77"/>
        <v>0</v>
      </c>
      <c r="AC65" s="6">
        <f t="shared" si="78"/>
        <v>0</v>
      </c>
      <c r="AD65" s="7" t="str">
        <f t="shared" si="79"/>
        <v/>
      </c>
      <c r="AE65" s="12">
        <f t="shared" si="80"/>
        <v>0</v>
      </c>
      <c r="AF65" s="13" t="str">
        <f t="shared" si="81"/>
        <v>계</v>
      </c>
      <c r="AG65" s="13" t="str">
        <f t="shared" si="82"/>
        <v>3/2</v>
      </c>
      <c r="AI65" s="32" t="str">
        <f t="shared" si="1"/>
        <v>평촌엘프라우드</v>
      </c>
      <c r="AJ65" s="21">
        <f t="shared" si="0"/>
        <v>29</v>
      </c>
      <c r="AK65" s="13" t="str">
        <f t="shared" si="83"/>
        <v>A-</v>
      </c>
      <c r="AL65" s="13"/>
      <c r="AM65" s="13"/>
      <c r="AN65" s="13"/>
      <c r="AO65" s="13" t="str">
        <f t="shared" si="84"/>
        <v>C</v>
      </c>
      <c r="AP65" s="13" t="str">
        <f t="shared" si="85"/>
        <v/>
      </c>
      <c r="AQ65" s="13" t="str">
        <f t="shared" si="86"/>
        <v/>
      </c>
      <c r="AR65" s="13" t="str">
        <f t="shared" si="87"/>
        <v>O</v>
      </c>
      <c r="AS65" s="13" t="str">
        <f t="shared" si="88"/>
        <v>O</v>
      </c>
      <c r="AT65" s="13" t="s">
        <v>32</v>
      </c>
      <c r="AU65" s="13" t="str">
        <f t="shared" si="89"/>
        <v>O</v>
      </c>
      <c r="AV65" s="13" t="str">
        <f t="shared" si="90"/>
        <v>O</v>
      </c>
      <c r="AW65" s="13" t="str">
        <f t="shared" si="91"/>
        <v/>
      </c>
    </row>
    <row r="66" spans="1:49" x14ac:dyDescent="0.3">
      <c r="A66" s="5" t="s">
        <v>1498</v>
      </c>
      <c r="B66" s="14" t="s">
        <v>1499</v>
      </c>
      <c r="C66" s="25">
        <v>2739</v>
      </c>
      <c r="D66" s="23">
        <v>109.6</v>
      </c>
      <c r="E66" s="21">
        <v>33</v>
      </c>
      <c r="F66" s="23">
        <v>84.9</v>
      </c>
      <c r="G66" s="24">
        <v>26</v>
      </c>
      <c r="H66" s="25">
        <v>324</v>
      </c>
      <c r="I66" s="29"/>
      <c r="J66" s="106"/>
      <c r="K66" s="29"/>
      <c r="L66" s="106"/>
      <c r="M66" s="6">
        <f t="shared" si="69"/>
        <v>0</v>
      </c>
      <c r="N66" s="7" t="str">
        <f t="shared" si="70"/>
        <v/>
      </c>
      <c r="O66" s="12">
        <f t="shared" si="71"/>
        <v>0</v>
      </c>
      <c r="P66" s="12">
        <f t="shared" si="72"/>
        <v>0</v>
      </c>
      <c r="Q66" s="13">
        <v>4</v>
      </c>
      <c r="R66" s="13">
        <v>2</v>
      </c>
      <c r="S66" s="13" t="s">
        <v>51</v>
      </c>
      <c r="T66" s="8" t="s">
        <v>521</v>
      </c>
      <c r="U66" s="5"/>
      <c r="V66" s="5" t="s">
        <v>1505</v>
      </c>
      <c r="X66" s="23">
        <f t="shared" si="73"/>
        <v>109.6</v>
      </c>
      <c r="Y66" s="21">
        <f t="shared" si="74"/>
        <v>33</v>
      </c>
      <c r="Z66" s="28">
        <f t="shared" si="75"/>
        <v>324</v>
      </c>
      <c r="AA66" s="6">
        <f t="shared" si="76"/>
        <v>0</v>
      </c>
      <c r="AB66" s="6">
        <f t="shared" si="77"/>
        <v>0</v>
      </c>
      <c r="AC66" s="6">
        <f t="shared" si="78"/>
        <v>0</v>
      </c>
      <c r="AD66" s="7" t="str">
        <f t="shared" si="79"/>
        <v/>
      </c>
      <c r="AE66" s="12">
        <f t="shared" si="80"/>
        <v>0</v>
      </c>
      <c r="AF66" s="13" t="str">
        <f t="shared" si="81"/>
        <v>계</v>
      </c>
      <c r="AG66" s="13" t="str">
        <f t="shared" si="82"/>
        <v>4/2</v>
      </c>
      <c r="AI66" s="32" t="str">
        <f t="shared" si="1"/>
        <v>평촌엘프라우드</v>
      </c>
      <c r="AJ66" s="21">
        <f t="shared" si="0"/>
        <v>33</v>
      </c>
      <c r="AK66" s="13" t="str">
        <f t="shared" si="83"/>
        <v>A-</v>
      </c>
      <c r="AL66" s="13"/>
      <c r="AM66" s="13"/>
      <c r="AN66" s="13"/>
      <c r="AO66" s="13" t="str">
        <f t="shared" si="84"/>
        <v>C</v>
      </c>
      <c r="AP66" s="13" t="str">
        <f t="shared" si="85"/>
        <v/>
      </c>
      <c r="AQ66" s="13" t="str">
        <f t="shared" si="86"/>
        <v/>
      </c>
      <c r="AR66" s="13" t="str">
        <f t="shared" si="87"/>
        <v>O</v>
      </c>
      <c r="AS66" s="13" t="str">
        <f t="shared" si="88"/>
        <v>O</v>
      </c>
      <c r="AT66" s="13" t="s">
        <v>32</v>
      </c>
      <c r="AU66" s="13" t="str">
        <f t="shared" si="89"/>
        <v>O</v>
      </c>
      <c r="AV66" s="13" t="str">
        <f t="shared" si="90"/>
        <v>O</v>
      </c>
      <c r="AW66" s="13" t="str">
        <f t="shared" si="91"/>
        <v/>
      </c>
    </row>
    <row r="67" spans="1:49" x14ac:dyDescent="0.3">
      <c r="A67" s="5" t="s">
        <v>1498</v>
      </c>
      <c r="B67" s="14" t="s">
        <v>1499</v>
      </c>
      <c r="C67" s="25">
        <v>2739</v>
      </c>
      <c r="D67" s="23">
        <v>110.4</v>
      </c>
      <c r="E67" s="21">
        <v>33</v>
      </c>
      <c r="F67" s="23">
        <v>85</v>
      </c>
      <c r="G67" s="24">
        <v>26</v>
      </c>
      <c r="H67" s="25">
        <v>497</v>
      </c>
      <c r="I67" s="29"/>
      <c r="J67" s="106"/>
      <c r="K67" s="29"/>
      <c r="L67" s="106"/>
      <c r="M67" s="6">
        <f t="shared" si="69"/>
        <v>0</v>
      </c>
      <c r="N67" s="7" t="str">
        <f t="shared" si="70"/>
        <v/>
      </c>
      <c r="O67" s="12">
        <f t="shared" si="71"/>
        <v>0</v>
      </c>
      <c r="P67" s="12">
        <f t="shared" si="72"/>
        <v>0</v>
      </c>
      <c r="Q67" s="13">
        <v>3</v>
      </c>
      <c r="R67" s="13">
        <v>2</v>
      </c>
      <c r="S67" s="13" t="s">
        <v>51</v>
      </c>
      <c r="T67" s="8" t="s">
        <v>458</v>
      </c>
      <c r="U67" s="5"/>
      <c r="V67" s="5" t="s">
        <v>1505</v>
      </c>
      <c r="X67" s="23">
        <f t="shared" si="73"/>
        <v>110.4</v>
      </c>
      <c r="Y67" s="21">
        <f t="shared" si="74"/>
        <v>33</v>
      </c>
      <c r="Z67" s="28">
        <f t="shared" si="75"/>
        <v>497</v>
      </c>
      <c r="AA67" s="6">
        <f t="shared" si="76"/>
        <v>0</v>
      </c>
      <c r="AB67" s="6">
        <f t="shared" si="77"/>
        <v>0</v>
      </c>
      <c r="AC67" s="6">
        <f t="shared" si="78"/>
        <v>0</v>
      </c>
      <c r="AD67" s="7" t="str">
        <f t="shared" si="79"/>
        <v/>
      </c>
      <c r="AE67" s="12">
        <f t="shared" si="80"/>
        <v>0</v>
      </c>
      <c r="AF67" s="13" t="str">
        <f t="shared" si="81"/>
        <v>계</v>
      </c>
      <c r="AG67" s="13" t="str">
        <f t="shared" si="82"/>
        <v>3/2</v>
      </c>
      <c r="AI67" s="32" t="str">
        <f t="shared" si="1"/>
        <v>평촌엘프라우드</v>
      </c>
      <c r="AJ67" s="21">
        <f t="shared" si="0"/>
        <v>33</v>
      </c>
      <c r="AK67" s="13" t="str">
        <f t="shared" si="83"/>
        <v>A-</v>
      </c>
      <c r="AL67" s="13"/>
      <c r="AM67" s="13"/>
      <c r="AN67" s="13"/>
      <c r="AO67" s="13" t="str">
        <f t="shared" si="84"/>
        <v>C</v>
      </c>
      <c r="AP67" s="13" t="str">
        <f t="shared" si="85"/>
        <v/>
      </c>
      <c r="AQ67" s="13" t="str">
        <f t="shared" si="86"/>
        <v/>
      </c>
      <c r="AR67" s="13" t="str">
        <f t="shared" si="87"/>
        <v>O</v>
      </c>
      <c r="AS67" s="13" t="str">
        <f t="shared" si="88"/>
        <v>O</v>
      </c>
      <c r="AT67" s="13" t="s">
        <v>32</v>
      </c>
      <c r="AU67" s="13" t="str">
        <f t="shared" si="89"/>
        <v>O</v>
      </c>
      <c r="AV67" s="13" t="str">
        <f t="shared" si="90"/>
        <v>O</v>
      </c>
      <c r="AW67" s="13" t="str">
        <f t="shared" si="91"/>
        <v/>
      </c>
    </row>
    <row r="68" spans="1:49" x14ac:dyDescent="0.3">
      <c r="A68" s="5" t="s">
        <v>1498</v>
      </c>
      <c r="B68" s="14" t="s">
        <v>1499</v>
      </c>
      <c r="C68" s="25">
        <v>2739</v>
      </c>
      <c r="D68" s="23">
        <v>149.4</v>
      </c>
      <c r="E68" s="21">
        <v>45</v>
      </c>
      <c r="F68" s="23">
        <v>110.6</v>
      </c>
      <c r="G68" s="24">
        <v>33</v>
      </c>
      <c r="H68" s="25">
        <v>12</v>
      </c>
      <c r="I68" s="29"/>
      <c r="J68" s="106"/>
      <c r="K68" s="29"/>
      <c r="L68" s="106"/>
      <c r="M68" s="6">
        <f t="shared" si="69"/>
        <v>0</v>
      </c>
      <c r="N68" s="7" t="str">
        <f t="shared" si="70"/>
        <v/>
      </c>
      <c r="O68" s="12">
        <f t="shared" si="71"/>
        <v>0</v>
      </c>
      <c r="P68" s="12">
        <f t="shared" si="72"/>
        <v>0</v>
      </c>
      <c r="Q68" s="13">
        <v>3</v>
      </c>
      <c r="R68" s="13">
        <v>2</v>
      </c>
      <c r="S68" s="13" t="s">
        <v>51</v>
      </c>
      <c r="T68" s="8">
        <v>149</v>
      </c>
      <c r="U68" s="5"/>
      <c r="V68" s="5" t="s">
        <v>1506</v>
      </c>
      <c r="X68" s="23">
        <f t="shared" si="73"/>
        <v>149.4</v>
      </c>
      <c r="Y68" s="21">
        <f t="shared" si="74"/>
        <v>45</v>
      </c>
      <c r="Z68" s="28">
        <f t="shared" si="75"/>
        <v>12</v>
      </c>
      <c r="AA68" s="6">
        <f t="shared" si="76"/>
        <v>0</v>
      </c>
      <c r="AB68" s="6">
        <f t="shared" si="77"/>
        <v>0</v>
      </c>
      <c r="AC68" s="6">
        <f t="shared" si="78"/>
        <v>0</v>
      </c>
      <c r="AD68" s="7" t="str">
        <f t="shared" si="79"/>
        <v/>
      </c>
      <c r="AE68" s="12">
        <f t="shared" si="80"/>
        <v>0</v>
      </c>
      <c r="AF68" s="13" t="str">
        <f t="shared" si="81"/>
        <v>계</v>
      </c>
      <c r="AG68" s="13" t="str">
        <f t="shared" si="82"/>
        <v>3/2</v>
      </c>
      <c r="AI68" s="32" t="str">
        <f t="shared" si="1"/>
        <v>평촌엘프라우드</v>
      </c>
      <c r="AJ68" s="21">
        <f t="shared" ref="AJ68:AJ131" si="92">IF(E68="","",E68)</f>
        <v>45</v>
      </c>
      <c r="AK68" s="13" t="str">
        <f t="shared" si="83"/>
        <v>A-</v>
      </c>
      <c r="AL68" s="13"/>
      <c r="AM68" s="13"/>
      <c r="AN68" s="13"/>
      <c r="AO68" s="13" t="str">
        <f t="shared" si="84"/>
        <v>C</v>
      </c>
      <c r="AP68" s="13" t="str">
        <f t="shared" si="85"/>
        <v/>
      </c>
      <c r="AQ68" s="13" t="str">
        <f t="shared" si="86"/>
        <v/>
      </c>
      <c r="AR68" s="13" t="str">
        <f t="shared" si="87"/>
        <v>O</v>
      </c>
      <c r="AS68" s="13" t="str">
        <f t="shared" si="88"/>
        <v>O</v>
      </c>
      <c r="AT68" s="13" t="s">
        <v>32</v>
      </c>
      <c r="AU68" s="13" t="str">
        <f t="shared" si="89"/>
        <v>X</v>
      </c>
      <c r="AV68" s="13" t="str">
        <f t="shared" si="90"/>
        <v>O</v>
      </c>
      <c r="AW68" s="13" t="str">
        <f t="shared" si="91"/>
        <v/>
      </c>
    </row>
    <row r="69" spans="1:49" x14ac:dyDescent="0.3">
      <c r="A69" s="5"/>
      <c r="B69" s="13"/>
      <c r="C69" s="9"/>
      <c r="D69" s="5"/>
      <c r="E69" s="18"/>
      <c r="F69" s="23"/>
      <c r="G69" s="5"/>
      <c r="H69" s="5"/>
      <c r="I69" s="5"/>
      <c r="J69" s="8"/>
      <c r="K69" s="5"/>
      <c r="L69" s="8"/>
      <c r="M69" s="5"/>
      <c r="N69" s="5"/>
      <c r="O69" s="12"/>
      <c r="P69" s="12"/>
      <c r="Q69" s="21"/>
      <c r="R69" s="21"/>
      <c r="S69" s="5"/>
      <c r="T69" s="59"/>
      <c r="U69" s="5"/>
      <c r="V69" s="5"/>
      <c r="X69" s="90" t="str">
        <f>$A$4&amp;" "&amp;A70&amp;"("&amp;B70&amp;","&amp;C70&amp;"^)"</f>
        <v>비산동 대광로제비앙(주상복합)('17.01,219^)</v>
      </c>
      <c r="Y69" s="91"/>
      <c r="Z69" s="91"/>
      <c r="AA69" s="91"/>
      <c r="AB69" s="91"/>
      <c r="AC69" s="91"/>
      <c r="AD69" s="91"/>
      <c r="AE69" s="91"/>
      <c r="AF69" s="91"/>
      <c r="AG69" s="92"/>
      <c r="AI69" s="32" t="str">
        <f t="shared" si="1"/>
        <v/>
      </c>
      <c r="AJ69" s="33" t="str">
        <f t="shared" si="92"/>
        <v/>
      </c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</row>
    <row r="70" spans="1:49" x14ac:dyDescent="0.3">
      <c r="A70" s="5" t="s">
        <v>1507</v>
      </c>
      <c r="B70" s="14" t="s">
        <v>1508</v>
      </c>
      <c r="C70" s="25">
        <v>219</v>
      </c>
      <c r="D70" s="23">
        <v>100.1</v>
      </c>
      <c r="E70" s="21">
        <v>30</v>
      </c>
      <c r="F70" s="23">
        <v>74.3</v>
      </c>
      <c r="G70" s="24">
        <v>22</v>
      </c>
      <c r="H70" s="25">
        <v>21</v>
      </c>
      <c r="I70" s="29">
        <v>57000</v>
      </c>
      <c r="J70" s="106" t="s">
        <v>2156</v>
      </c>
      <c r="K70" s="29">
        <v>34000</v>
      </c>
      <c r="L70" s="106" t="s">
        <v>2205</v>
      </c>
      <c r="M70" s="6">
        <f t="shared" ref="M70:M75" si="93">I70-K70</f>
        <v>23000</v>
      </c>
      <c r="N70" s="7">
        <f t="shared" ref="N70:N75" si="94">IF(ISERROR(K70/I70),"",K70/I70)</f>
        <v>0.59649122807017541</v>
      </c>
      <c r="O70" s="12">
        <f t="shared" ref="O70:O75" si="95">I70/E70</f>
        <v>1900</v>
      </c>
      <c r="P70" s="12">
        <f t="shared" ref="P70:P75" si="96">K70/E70</f>
        <v>1133.3333333333333</v>
      </c>
      <c r="Q70" s="13">
        <v>3</v>
      </c>
      <c r="R70" s="13">
        <v>2</v>
      </c>
      <c r="S70" s="13" t="s">
        <v>51</v>
      </c>
      <c r="T70" s="8">
        <v>100</v>
      </c>
      <c r="U70" s="5"/>
      <c r="V70" s="5" t="s">
        <v>1509</v>
      </c>
      <c r="X70" s="23">
        <f t="shared" ref="X70:Y75" si="97">D70</f>
        <v>100.1</v>
      </c>
      <c r="Y70" s="21">
        <f t="shared" si="97"/>
        <v>30</v>
      </c>
      <c r="Z70" s="28">
        <f t="shared" ref="Z70:AA75" si="98">H70</f>
        <v>21</v>
      </c>
      <c r="AA70" s="6">
        <f t="shared" si="98"/>
        <v>57000</v>
      </c>
      <c r="AB70" s="6">
        <f t="shared" ref="AB70:AB75" si="99">K70</f>
        <v>34000</v>
      </c>
      <c r="AC70" s="6">
        <f t="shared" ref="AC70:AE75" si="100">M70</f>
        <v>23000</v>
      </c>
      <c r="AD70" s="7">
        <f t="shared" si="100"/>
        <v>0.59649122807017541</v>
      </c>
      <c r="AE70" s="12">
        <f t="shared" si="100"/>
        <v>1900</v>
      </c>
      <c r="AF70" s="13" t="str">
        <f t="shared" ref="AF70:AF75" si="101">S70</f>
        <v>계</v>
      </c>
      <c r="AG70" s="13" t="str">
        <f t="shared" ref="AG70:AG75" si="102">Q70&amp;"/"&amp;R70</f>
        <v>3/2</v>
      </c>
      <c r="AI70" s="32" t="str">
        <f t="shared" ref="AI70:AI133" si="103">IF(A70="","",A70)</f>
        <v>대광로제비앙(주상복합)</v>
      </c>
      <c r="AJ70" s="21">
        <f t="shared" si="92"/>
        <v>30</v>
      </c>
      <c r="AK70" s="13" t="str">
        <f t="shared" ref="AK70:AK75" si="104">IF(AJ70="","",$AK$2)</f>
        <v>A-</v>
      </c>
      <c r="AL70" s="13"/>
      <c r="AM70" s="13"/>
      <c r="AN70" s="13"/>
      <c r="AO70" s="13" t="str">
        <f t="shared" ref="AO70:AO75" si="105">IF(AJ70="","",$AO$2)</f>
        <v>C</v>
      </c>
      <c r="AP70" s="13" t="str">
        <f t="shared" ref="AP70:AP75" si="106">IF(N70="","",IF(N70&gt;=$AP$1/100,"O","X"))</f>
        <v>X</v>
      </c>
      <c r="AQ70" s="13" t="str">
        <f t="shared" ref="AQ70:AQ75" si="107">IF(I70="","",IF(I70&lt;=$AQ$1,"O","X"))</f>
        <v>X</v>
      </c>
      <c r="AR70" s="13" t="str">
        <f t="shared" ref="AR70:AR75" si="108">IF(O70="","",IF(O70&lt;=$AR$1,"O","X"))</f>
        <v>X</v>
      </c>
      <c r="AS70" s="13" t="str">
        <f t="shared" ref="AS70:AS75" si="109">IF(M70="","",IF(M70&lt;=$AS$1,"O","X"))</f>
        <v>X</v>
      </c>
      <c r="AT70" s="13" t="s">
        <v>32</v>
      </c>
      <c r="AU70" s="13" t="str">
        <f t="shared" ref="AU70:AU75" si="110">IF(OR(F70="",AJ70=""),"",IF(AND((F70&lt;=85),(AJ70&gt;=15)),"O","X"))</f>
        <v>O</v>
      </c>
      <c r="AV70" s="13" t="str">
        <f t="shared" ref="AV70:AV75" si="111">IF(C70="","",IF(C70&gt;=$AV$1,"O","X"))</f>
        <v>X</v>
      </c>
      <c r="AW70" s="13" t="str">
        <f t="shared" ref="AW70:AW75" si="112">IF(AP70="","",IF(AND(AP70="O",AQ70="O",AS70="O",AU70="O",AV70="O"),"후보","X"))</f>
        <v>X</v>
      </c>
    </row>
    <row r="71" spans="1:49" x14ac:dyDescent="0.3">
      <c r="A71" s="5" t="s">
        <v>1507</v>
      </c>
      <c r="B71" s="14" t="s">
        <v>1508</v>
      </c>
      <c r="C71" s="25">
        <v>219</v>
      </c>
      <c r="D71" s="23">
        <v>114.1</v>
      </c>
      <c r="E71" s="21">
        <v>35</v>
      </c>
      <c r="F71" s="23">
        <v>84.9</v>
      </c>
      <c r="G71" s="24">
        <v>26</v>
      </c>
      <c r="H71" s="25">
        <v>44</v>
      </c>
      <c r="I71" s="29">
        <v>60000</v>
      </c>
      <c r="J71" s="106" t="s">
        <v>2203</v>
      </c>
      <c r="K71" s="29">
        <v>45000</v>
      </c>
      <c r="L71" s="106" t="s">
        <v>2206</v>
      </c>
      <c r="M71" s="6">
        <f t="shared" si="93"/>
        <v>15000</v>
      </c>
      <c r="N71" s="7">
        <f t="shared" si="94"/>
        <v>0.75</v>
      </c>
      <c r="O71" s="12">
        <f t="shared" si="95"/>
        <v>1714.2857142857142</v>
      </c>
      <c r="P71" s="12">
        <f t="shared" si="96"/>
        <v>1285.7142857142858</v>
      </c>
      <c r="Q71" s="13">
        <v>3</v>
      </c>
      <c r="R71" s="13">
        <v>2</v>
      </c>
      <c r="S71" s="13" t="s">
        <v>51</v>
      </c>
      <c r="T71" s="8" t="s">
        <v>526</v>
      </c>
      <c r="U71" s="5"/>
      <c r="V71" s="5" t="s">
        <v>1510</v>
      </c>
      <c r="X71" s="23">
        <f t="shared" si="97"/>
        <v>114.1</v>
      </c>
      <c r="Y71" s="21">
        <f t="shared" si="97"/>
        <v>35</v>
      </c>
      <c r="Z71" s="28">
        <f t="shared" si="98"/>
        <v>44</v>
      </c>
      <c r="AA71" s="6">
        <f t="shared" si="98"/>
        <v>60000</v>
      </c>
      <c r="AB71" s="6">
        <f t="shared" si="99"/>
        <v>45000</v>
      </c>
      <c r="AC71" s="6">
        <f t="shared" si="100"/>
        <v>15000</v>
      </c>
      <c r="AD71" s="7">
        <f t="shared" si="100"/>
        <v>0.75</v>
      </c>
      <c r="AE71" s="12">
        <f t="shared" si="100"/>
        <v>1714.2857142857142</v>
      </c>
      <c r="AF71" s="13" t="str">
        <f t="shared" si="101"/>
        <v>계</v>
      </c>
      <c r="AG71" s="13" t="str">
        <f t="shared" si="102"/>
        <v>3/2</v>
      </c>
      <c r="AI71" s="32" t="str">
        <f t="shared" si="103"/>
        <v>대광로제비앙(주상복합)</v>
      </c>
      <c r="AJ71" s="21">
        <f t="shared" si="92"/>
        <v>35</v>
      </c>
      <c r="AK71" s="13" t="str">
        <f t="shared" si="104"/>
        <v>A-</v>
      </c>
      <c r="AL71" s="13"/>
      <c r="AM71" s="13"/>
      <c r="AN71" s="13"/>
      <c r="AO71" s="13" t="str">
        <f t="shared" si="105"/>
        <v>C</v>
      </c>
      <c r="AP71" s="13" t="str">
        <f t="shared" si="106"/>
        <v>X</v>
      </c>
      <c r="AQ71" s="13" t="str">
        <f t="shared" si="107"/>
        <v>X</v>
      </c>
      <c r="AR71" s="13" t="str">
        <f t="shared" si="108"/>
        <v>X</v>
      </c>
      <c r="AS71" s="13" t="str">
        <f t="shared" si="109"/>
        <v>X</v>
      </c>
      <c r="AT71" s="13" t="s">
        <v>32</v>
      </c>
      <c r="AU71" s="13" t="str">
        <f t="shared" si="110"/>
        <v>O</v>
      </c>
      <c r="AV71" s="13" t="str">
        <f t="shared" si="111"/>
        <v>X</v>
      </c>
      <c r="AW71" s="13" t="str">
        <f t="shared" si="112"/>
        <v>X</v>
      </c>
    </row>
    <row r="72" spans="1:49" x14ac:dyDescent="0.3">
      <c r="A72" s="5" t="s">
        <v>1507</v>
      </c>
      <c r="B72" s="14" t="s">
        <v>1508</v>
      </c>
      <c r="C72" s="25">
        <v>219</v>
      </c>
      <c r="D72" s="23">
        <v>114.3</v>
      </c>
      <c r="E72" s="21">
        <v>35</v>
      </c>
      <c r="F72" s="23">
        <v>84.9</v>
      </c>
      <c r="G72" s="24">
        <v>26</v>
      </c>
      <c r="H72" s="25">
        <v>22</v>
      </c>
      <c r="I72" s="29">
        <v>64000</v>
      </c>
      <c r="J72" s="106" t="s">
        <v>2203</v>
      </c>
      <c r="K72" s="29">
        <v>42500</v>
      </c>
      <c r="L72" s="106"/>
      <c r="M72" s="6">
        <f t="shared" si="93"/>
        <v>21500</v>
      </c>
      <c r="N72" s="7">
        <f t="shared" si="94"/>
        <v>0.6640625</v>
      </c>
      <c r="O72" s="12">
        <f t="shared" si="95"/>
        <v>1828.5714285714287</v>
      </c>
      <c r="P72" s="12">
        <f t="shared" si="96"/>
        <v>1214.2857142857142</v>
      </c>
      <c r="Q72" s="13">
        <v>3</v>
      </c>
      <c r="R72" s="13">
        <v>2</v>
      </c>
      <c r="S72" s="13" t="s">
        <v>51</v>
      </c>
      <c r="T72" s="8" t="s">
        <v>527</v>
      </c>
      <c r="U72" s="5" t="s">
        <v>2207</v>
      </c>
      <c r="V72" s="5" t="s">
        <v>1510</v>
      </c>
      <c r="X72" s="23">
        <f t="shared" si="97"/>
        <v>114.3</v>
      </c>
      <c r="Y72" s="21">
        <f t="shared" si="97"/>
        <v>35</v>
      </c>
      <c r="Z72" s="28">
        <f t="shared" si="98"/>
        <v>22</v>
      </c>
      <c r="AA72" s="6">
        <f t="shared" si="98"/>
        <v>64000</v>
      </c>
      <c r="AB72" s="6">
        <f t="shared" si="99"/>
        <v>42500</v>
      </c>
      <c r="AC72" s="6">
        <f t="shared" si="100"/>
        <v>21500</v>
      </c>
      <c r="AD72" s="7">
        <f t="shared" si="100"/>
        <v>0.6640625</v>
      </c>
      <c r="AE72" s="12">
        <f t="shared" si="100"/>
        <v>1828.5714285714287</v>
      </c>
      <c r="AF72" s="13" t="str">
        <f t="shared" si="101"/>
        <v>계</v>
      </c>
      <c r="AG72" s="13" t="str">
        <f t="shared" si="102"/>
        <v>3/2</v>
      </c>
      <c r="AI72" s="32" t="str">
        <f t="shared" si="103"/>
        <v>대광로제비앙(주상복합)</v>
      </c>
      <c r="AJ72" s="21">
        <f t="shared" si="92"/>
        <v>35</v>
      </c>
      <c r="AK72" s="13" t="str">
        <f t="shared" si="104"/>
        <v>A-</v>
      </c>
      <c r="AL72" s="13"/>
      <c r="AM72" s="13"/>
      <c r="AN72" s="13"/>
      <c r="AO72" s="13" t="str">
        <f t="shared" si="105"/>
        <v>C</v>
      </c>
      <c r="AP72" s="13" t="str">
        <f t="shared" si="106"/>
        <v>X</v>
      </c>
      <c r="AQ72" s="13" t="str">
        <f t="shared" si="107"/>
        <v>X</v>
      </c>
      <c r="AR72" s="13" t="str">
        <f t="shared" si="108"/>
        <v>X</v>
      </c>
      <c r="AS72" s="13" t="str">
        <f t="shared" si="109"/>
        <v>X</v>
      </c>
      <c r="AT72" s="13" t="s">
        <v>32</v>
      </c>
      <c r="AU72" s="13" t="str">
        <f t="shared" si="110"/>
        <v>O</v>
      </c>
      <c r="AV72" s="13" t="str">
        <f t="shared" si="111"/>
        <v>X</v>
      </c>
      <c r="AW72" s="13" t="str">
        <f t="shared" si="112"/>
        <v>X</v>
      </c>
    </row>
    <row r="73" spans="1:49" x14ac:dyDescent="0.3">
      <c r="A73" s="5" t="s">
        <v>1507</v>
      </c>
      <c r="B73" s="14" t="s">
        <v>1508</v>
      </c>
      <c r="C73" s="25">
        <v>219</v>
      </c>
      <c r="D73" s="23">
        <v>115.2</v>
      </c>
      <c r="E73" s="21">
        <v>35</v>
      </c>
      <c r="F73" s="23">
        <v>84.7</v>
      </c>
      <c r="G73" s="24">
        <v>26</v>
      </c>
      <c r="H73" s="25">
        <v>66</v>
      </c>
      <c r="I73" s="29">
        <v>59500</v>
      </c>
      <c r="J73" s="106" t="s">
        <v>2203</v>
      </c>
      <c r="K73" s="29">
        <v>40000</v>
      </c>
      <c r="L73" s="106" t="s">
        <v>2208</v>
      </c>
      <c r="M73" s="6">
        <f t="shared" si="93"/>
        <v>19500</v>
      </c>
      <c r="N73" s="7">
        <f t="shared" si="94"/>
        <v>0.67226890756302526</v>
      </c>
      <c r="O73" s="12">
        <f t="shared" si="95"/>
        <v>1700</v>
      </c>
      <c r="P73" s="12">
        <f t="shared" si="96"/>
        <v>1142.8571428571429</v>
      </c>
      <c r="Q73" s="13">
        <v>3</v>
      </c>
      <c r="R73" s="13">
        <v>2</v>
      </c>
      <c r="S73" s="13" t="s">
        <v>51</v>
      </c>
      <c r="T73" s="8" t="s">
        <v>528</v>
      </c>
      <c r="U73" s="5"/>
      <c r="V73" s="5" t="s">
        <v>1511</v>
      </c>
      <c r="X73" s="23">
        <f t="shared" si="97"/>
        <v>115.2</v>
      </c>
      <c r="Y73" s="21">
        <f t="shared" si="97"/>
        <v>35</v>
      </c>
      <c r="Z73" s="28">
        <f t="shared" si="98"/>
        <v>66</v>
      </c>
      <c r="AA73" s="6">
        <f t="shared" si="98"/>
        <v>59500</v>
      </c>
      <c r="AB73" s="6">
        <f t="shared" si="99"/>
        <v>40000</v>
      </c>
      <c r="AC73" s="6">
        <f t="shared" si="100"/>
        <v>19500</v>
      </c>
      <c r="AD73" s="7">
        <f t="shared" si="100"/>
        <v>0.67226890756302526</v>
      </c>
      <c r="AE73" s="12">
        <f t="shared" si="100"/>
        <v>1700</v>
      </c>
      <c r="AF73" s="13" t="str">
        <f t="shared" si="101"/>
        <v>계</v>
      </c>
      <c r="AG73" s="13" t="str">
        <f t="shared" si="102"/>
        <v>3/2</v>
      </c>
      <c r="AI73" s="32" t="str">
        <f t="shared" si="103"/>
        <v>대광로제비앙(주상복합)</v>
      </c>
      <c r="AJ73" s="21">
        <f t="shared" si="92"/>
        <v>35</v>
      </c>
      <c r="AK73" s="13" t="str">
        <f t="shared" si="104"/>
        <v>A-</v>
      </c>
      <c r="AL73" s="13"/>
      <c r="AM73" s="13"/>
      <c r="AN73" s="13"/>
      <c r="AO73" s="13" t="str">
        <f t="shared" si="105"/>
        <v>C</v>
      </c>
      <c r="AP73" s="13" t="str">
        <f t="shared" si="106"/>
        <v>X</v>
      </c>
      <c r="AQ73" s="13" t="str">
        <f t="shared" si="107"/>
        <v>X</v>
      </c>
      <c r="AR73" s="13" t="str">
        <f t="shared" si="108"/>
        <v>X</v>
      </c>
      <c r="AS73" s="13" t="str">
        <f t="shared" si="109"/>
        <v>X</v>
      </c>
      <c r="AT73" s="13" t="s">
        <v>32</v>
      </c>
      <c r="AU73" s="13" t="str">
        <f t="shared" si="110"/>
        <v>O</v>
      </c>
      <c r="AV73" s="13" t="str">
        <f t="shared" si="111"/>
        <v>X</v>
      </c>
      <c r="AW73" s="13" t="str">
        <f t="shared" si="112"/>
        <v>X</v>
      </c>
    </row>
    <row r="74" spans="1:49" x14ac:dyDescent="0.3">
      <c r="A74" s="5" t="s">
        <v>1507</v>
      </c>
      <c r="B74" s="14" t="s">
        <v>1508</v>
      </c>
      <c r="C74" s="25">
        <v>219</v>
      </c>
      <c r="D74" s="23">
        <v>115.1</v>
      </c>
      <c r="E74" s="21">
        <v>35</v>
      </c>
      <c r="F74" s="23">
        <v>85</v>
      </c>
      <c r="G74" s="24">
        <v>26</v>
      </c>
      <c r="H74" s="25">
        <v>44</v>
      </c>
      <c r="I74" s="29">
        <v>62000</v>
      </c>
      <c r="J74" s="106" t="s">
        <v>2204</v>
      </c>
      <c r="K74" s="29">
        <v>35500</v>
      </c>
      <c r="L74" s="106" t="s">
        <v>2178</v>
      </c>
      <c r="M74" s="6">
        <f t="shared" si="93"/>
        <v>26500</v>
      </c>
      <c r="N74" s="7">
        <f t="shared" si="94"/>
        <v>0.57258064516129037</v>
      </c>
      <c r="O74" s="12">
        <f t="shared" si="95"/>
        <v>1771.4285714285713</v>
      </c>
      <c r="P74" s="12">
        <f t="shared" si="96"/>
        <v>1014.2857142857143</v>
      </c>
      <c r="Q74" s="13">
        <v>3</v>
      </c>
      <c r="R74" s="13">
        <v>2</v>
      </c>
      <c r="S74" s="13" t="s">
        <v>51</v>
      </c>
      <c r="T74" s="8" t="s">
        <v>529</v>
      </c>
      <c r="U74" s="5"/>
      <c r="V74" s="5" t="s">
        <v>1511</v>
      </c>
      <c r="X74" s="23">
        <f t="shared" si="97"/>
        <v>115.1</v>
      </c>
      <c r="Y74" s="21">
        <f t="shared" si="97"/>
        <v>35</v>
      </c>
      <c r="Z74" s="28">
        <f t="shared" si="98"/>
        <v>44</v>
      </c>
      <c r="AA74" s="6">
        <f t="shared" si="98"/>
        <v>62000</v>
      </c>
      <c r="AB74" s="6">
        <f t="shared" si="99"/>
        <v>35500</v>
      </c>
      <c r="AC74" s="6">
        <f t="shared" si="100"/>
        <v>26500</v>
      </c>
      <c r="AD74" s="7">
        <f t="shared" si="100"/>
        <v>0.57258064516129037</v>
      </c>
      <c r="AE74" s="12">
        <f t="shared" si="100"/>
        <v>1771.4285714285713</v>
      </c>
      <c r="AF74" s="13" t="str">
        <f t="shared" si="101"/>
        <v>계</v>
      </c>
      <c r="AG74" s="13" t="str">
        <f t="shared" si="102"/>
        <v>3/2</v>
      </c>
      <c r="AI74" s="32" t="str">
        <f t="shared" si="103"/>
        <v>대광로제비앙(주상복합)</v>
      </c>
      <c r="AJ74" s="21">
        <f t="shared" si="92"/>
        <v>35</v>
      </c>
      <c r="AK74" s="13" t="str">
        <f t="shared" si="104"/>
        <v>A-</v>
      </c>
      <c r="AL74" s="13"/>
      <c r="AM74" s="13"/>
      <c r="AN74" s="13"/>
      <c r="AO74" s="13" t="str">
        <f t="shared" si="105"/>
        <v>C</v>
      </c>
      <c r="AP74" s="13" t="str">
        <f t="shared" si="106"/>
        <v>X</v>
      </c>
      <c r="AQ74" s="13" t="str">
        <f t="shared" si="107"/>
        <v>X</v>
      </c>
      <c r="AR74" s="13" t="str">
        <f t="shared" si="108"/>
        <v>X</v>
      </c>
      <c r="AS74" s="13" t="str">
        <f t="shared" si="109"/>
        <v>X</v>
      </c>
      <c r="AT74" s="13" t="s">
        <v>32</v>
      </c>
      <c r="AU74" s="13" t="str">
        <f t="shared" si="110"/>
        <v>O</v>
      </c>
      <c r="AV74" s="13" t="str">
        <f t="shared" si="111"/>
        <v>X</v>
      </c>
      <c r="AW74" s="13" t="str">
        <f t="shared" si="112"/>
        <v>X</v>
      </c>
    </row>
    <row r="75" spans="1:49" x14ac:dyDescent="0.3">
      <c r="A75" s="5" t="s">
        <v>1507</v>
      </c>
      <c r="B75" s="14" t="s">
        <v>1508</v>
      </c>
      <c r="C75" s="25">
        <v>219</v>
      </c>
      <c r="D75" s="23">
        <v>115.2</v>
      </c>
      <c r="E75" s="21">
        <v>35</v>
      </c>
      <c r="F75" s="23">
        <v>84.7</v>
      </c>
      <c r="G75" s="24">
        <v>26</v>
      </c>
      <c r="H75" s="25">
        <v>22</v>
      </c>
      <c r="I75" s="29">
        <v>68000</v>
      </c>
      <c r="J75" s="106" t="s">
        <v>2156</v>
      </c>
      <c r="K75" s="29">
        <v>42500</v>
      </c>
      <c r="L75" s="106"/>
      <c r="M75" s="6">
        <f t="shared" si="93"/>
        <v>25500</v>
      </c>
      <c r="N75" s="7">
        <f t="shared" si="94"/>
        <v>0.625</v>
      </c>
      <c r="O75" s="12">
        <f t="shared" si="95"/>
        <v>1942.8571428571429</v>
      </c>
      <c r="P75" s="12">
        <f t="shared" si="96"/>
        <v>1214.2857142857142</v>
      </c>
      <c r="Q75" s="13">
        <v>3</v>
      </c>
      <c r="R75" s="13">
        <v>2</v>
      </c>
      <c r="S75" s="13" t="s">
        <v>51</v>
      </c>
      <c r="T75" s="8" t="s">
        <v>530</v>
      </c>
      <c r="U75" s="5" t="s">
        <v>2207</v>
      </c>
      <c r="V75" s="5" t="s">
        <v>1511</v>
      </c>
      <c r="X75" s="23">
        <f t="shared" si="97"/>
        <v>115.2</v>
      </c>
      <c r="Y75" s="21">
        <f t="shared" si="97"/>
        <v>35</v>
      </c>
      <c r="Z75" s="28">
        <f t="shared" si="98"/>
        <v>22</v>
      </c>
      <c r="AA75" s="6">
        <f t="shared" si="98"/>
        <v>68000</v>
      </c>
      <c r="AB75" s="6">
        <f t="shared" si="99"/>
        <v>42500</v>
      </c>
      <c r="AC75" s="6">
        <f t="shared" si="100"/>
        <v>25500</v>
      </c>
      <c r="AD75" s="7">
        <f t="shared" si="100"/>
        <v>0.625</v>
      </c>
      <c r="AE75" s="12">
        <f t="shared" si="100"/>
        <v>1942.8571428571429</v>
      </c>
      <c r="AF75" s="13" t="str">
        <f t="shared" si="101"/>
        <v>계</v>
      </c>
      <c r="AG75" s="13" t="str">
        <f t="shared" si="102"/>
        <v>3/2</v>
      </c>
      <c r="AI75" s="32" t="str">
        <f t="shared" si="103"/>
        <v>대광로제비앙(주상복합)</v>
      </c>
      <c r="AJ75" s="21">
        <f t="shared" si="92"/>
        <v>35</v>
      </c>
      <c r="AK75" s="13" t="str">
        <f t="shared" si="104"/>
        <v>A-</v>
      </c>
      <c r="AL75" s="13"/>
      <c r="AM75" s="13"/>
      <c r="AN75" s="13"/>
      <c r="AO75" s="13" t="str">
        <f t="shared" si="105"/>
        <v>C</v>
      </c>
      <c r="AP75" s="13" t="str">
        <f t="shared" si="106"/>
        <v>X</v>
      </c>
      <c r="AQ75" s="13" t="str">
        <f t="shared" si="107"/>
        <v>X</v>
      </c>
      <c r="AR75" s="13" t="str">
        <f t="shared" si="108"/>
        <v>X</v>
      </c>
      <c r="AS75" s="13" t="str">
        <f t="shared" si="109"/>
        <v>X</v>
      </c>
      <c r="AT75" s="13" t="s">
        <v>32</v>
      </c>
      <c r="AU75" s="13" t="str">
        <f t="shared" si="110"/>
        <v>O</v>
      </c>
      <c r="AV75" s="13" t="str">
        <f t="shared" si="111"/>
        <v>X</v>
      </c>
      <c r="AW75" s="13" t="str">
        <f t="shared" si="112"/>
        <v>X</v>
      </c>
    </row>
    <row r="76" spans="1:49" x14ac:dyDescent="0.3">
      <c r="A76" s="5"/>
      <c r="B76" s="13"/>
      <c r="C76" s="9"/>
      <c r="D76" s="5"/>
      <c r="E76" s="18"/>
      <c r="F76" s="23"/>
      <c r="G76" s="5"/>
      <c r="H76" s="5"/>
      <c r="I76" s="5"/>
      <c r="J76" s="8"/>
      <c r="K76" s="5"/>
      <c r="L76" s="8"/>
      <c r="M76" s="5"/>
      <c r="N76" s="5"/>
      <c r="O76" s="12"/>
      <c r="P76" s="12"/>
      <c r="Q76" s="21"/>
      <c r="R76" s="21"/>
      <c r="S76" s="5"/>
      <c r="T76" s="59"/>
      <c r="U76" s="5"/>
      <c r="V76" s="5"/>
      <c r="X76" s="90" t="str">
        <f>$A$4&amp;" "&amp;A77&amp;"("&amp;B77&amp;","&amp;C77&amp;"^)"</f>
        <v>비산동 은하수(벽산)('92.05,620^)</v>
      </c>
      <c r="Y76" s="91"/>
      <c r="Z76" s="91"/>
      <c r="AA76" s="91"/>
      <c r="AB76" s="91"/>
      <c r="AC76" s="91"/>
      <c r="AD76" s="91"/>
      <c r="AE76" s="91"/>
      <c r="AF76" s="91"/>
      <c r="AG76" s="92"/>
      <c r="AI76" s="32" t="str">
        <f t="shared" si="103"/>
        <v/>
      </c>
      <c r="AJ76" s="33" t="str">
        <f t="shared" si="92"/>
        <v/>
      </c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</row>
    <row r="77" spans="1:49" x14ac:dyDescent="0.3">
      <c r="A77" s="5" t="s">
        <v>1512</v>
      </c>
      <c r="B77" s="14" t="s">
        <v>1513</v>
      </c>
      <c r="C77" s="25">
        <v>620</v>
      </c>
      <c r="D77" s="23">
        <v>69.599999999999994</v>
      </c>
      <c r="E77" s="21">
        <v>21</v>
      </c>
      <c r="F77" s="23">
        <v>55.7</v>
      </c>
      <c r="G77" s="24">
        <v>17</v>
      </c>
      <c r="H77" s="25">
        <v>68</v>
      </c>
      <c r="I77" s="29">
        <v>52000</v>
      </c>
      <c r="J77" s="106" t="s">
        <v>2210</v>
      </c>
      <c r="K77" s="29">
        <v>30000</v>
      </c>
      <c r="L77" s="106" t="s">
        <v>2209</v>
      </c>
      <c r="M77" s="6">
        <f>I77-K77</f>
        <v>22000</v>
      </c>
      <c r="N77" s="7">
        <f>IF(ISERROR(K77/I77),"",K77/I77)</f>
        <v>0.57692307692307687</v>
      </c>
      <c r="O77" s="12">
        <f>I77/E77</f>
        <v>2476.1904761904761</v>
      </c>
      <c r="P77" s="12">
        <f>K77/E77</f>
        <v>1428.5714285714287</v>
      </c>
      <c r="Q77" s="13">
        <v>2</v>
      </c>
      <c r="R77" s="13">
        <v>1</v>
      </c>
      <c r="S77" s="13" t="s">
        <v>1356</v>
      </c>
      <c r="T77" s="8">
        <v>69</v>
      </c>
      <c r="U77" s="5"/>
      <c r="V77" s="5" t="s">
        <v>1514</v>
      </c>
      <c r="X77" s="23">
        <f t="shared" ref="X77:Y80" si="113">D77</f>
        <v>69.599999999999994</v>
      </c>
      <c r="Y77" s="21">
        <f t="shared" si="113"/>
        <v>21</v>
      </c>
      <c r="Z77" s="28">
        <f t="shared" ref="Z77:AA80" si="114">H77</f>
        <v>68</v>
      </c>
      <c r="AA77" s="6">
        <f t="shared" si="114"/>
        <v>52000</v>
      </c>
      <c r="AB77" s="6">
        <f>K77</f>
        <v>30000</v>
      </c>
      <c r="AC77" s="6">
        <f t="shared" ref="AC77:AE80" si="115">M77</f>
        <v>22000</v>
      </c>
      <c r="AD77" s="7">
        <f t="shared" si="115"/>
        <v>0.57692307692307687</v>
      </c>
      <c r="AE77" s="12">
        <f t="shared" si="115"/>
        <v>2476.1904761904761</v>
      </c>
      <c r="AF77" s="13" t="str">
        <f>S77</f>
        <v>복</v>
      </c>
      <c r="AG77" s="13" t="str">
        <f>Q77&amp;"/"&amp;R77</f>
        <v>2/1</v>
      </c>
      <c r="AI77" s="32" t="str">
        <f t="shared" si="103"/>
        <v>은하수(벽산)</v>
      </c>
      <c r="AJ77" s="21">
        <f t="shared" si="92"/>
        <v>21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>X</v>
      </c>
      <c r="AQ77" s="13" t="str">
        <f>IF(I77="","",IF(I77&lt;=$AQ$1,"O","X"))</f>
        <v>X</v>
      </c>
      <c r="AR77" s="13" t="str">
        <f>IF(O77="","",IF(O77&lt;=$AR$1,"O","X"))</f>
        <v>X</v>
      </c>
      <c r="AS77" s="13" t="str">
        <f>IF(M77="","",IF(M77&lt;=$AS$1,"O","X"))</f>
        <v>X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O</v>
      </c>
      <c r="AW77" s="13" t="str">
        <f>IF(AP77="","",IF(AND(AP77="O",AQ77="O",AS77="O",AU77="O",AV77="O"),"후보","X"))</f>
        <v>X</v>
      </c>
    </row>
    <row r="78" spans="1:49" x14ac:dyDescent="0.3">
      <c r="A78" s="5" t="s">
        <v>1512</v>
      </c>
      <c r="B78" s="14" t="s">
        <v>1513</v>
      </c>
      <c r="C78" s="25">
        <v>620</v>
      </c>
      <c r="D78" s="23">
        <v>74.3</v>
      </c>
      <c r="E78" s="21">
        <v>22</v>
      </c>
      <c r="F78" s="23">
        <v>59.4</v>
      </c>
      <c r="G78" s="24">
        <v>18</v>
      </c>
      <c r="H78" s="25">
        <v>68</v>
      </c>
      <c r="I78" s="29">
        <v>61000</v>
      </c>
      <c r="J78" s="106" t="s">
        <v>2210</v>
      </c>
      <c r="K78" s="29">
        <v>30000</v>
      </c>
      <c r="L78" s="106" t="s">
        <v>2212</v>
      </c>
      <c r="M78" s="6">
        <f>I78-K78</f>
        <v>31000</v>
      </c>
      <c r="N78" s="7">
        <f>IF(ISERROR(K78/I78),"",K78/I78)</f>
        <v>0.49180327868852458</v>
      </c>
      <c r="O78" s="12">
        <f>I78/E78</f>
        <v>2772.7272727272725</v>
      </c>
      <c r="P78" s="12">
        <f>K78/E78</f>
        <v>1363.6363636363637</v>
      </c>
      <c r="Q78" s="13">
        <v>2</v>
      </c>
      <c r="R78" s="13">
        <v>1</v>
      </c>
      <c r="S78" s="13" t="s">
        <v>1356</v>
      </c>
      <c r="T78" s="8">
        <v>74</v>
      </c>
      <c r="U78" s="5"/>
      <c r="V78" s="5" t="s">
        <v>1515</v>
      </c>
      <c r="X78" s="23">
        <f t="shared" si="113"/>
        <v>74.3</v>
      </c>
      <c r="Y78" s="21">
        <f t="shared" si="113"/>
        <v>22</v>
      </c>
      <c r="Z78" s="28">
        <f t="shared" si="114"/>
        <v>68</v>
      </c>
      <c r="AA78" s="6">
        <f t="shared" si="114"/>
        <v>61000</v>
      </c>
      <c r="AB78" s="6">
        <f>K78</f>
        <v>30000</v>
      </c>
      <c r="AC78" s="6">
        <f t="shared" si="115"/>
        <v>31000</v>
      </c>
      <c r="AD78" s="7">
        <f t="shared" si="115"/>
        <v>0.49180327868852458</v>
      </c>
      <c r="AE78" s="12">
        <f t="shared" si="115"/>
        <v>2772.7272727272725</v>
      </c>
      <c r="AF78" s="13" t="str">
        <f>S78</f>
        <v>복</v>
      </c>
      <c r="AG78" s="13" t="str">
        <f>Q78&amp;"/"&amp;R78</f>
        <v>2/1</v>
      </c>
      <c r="AI78" s="32" t="str">
        <f t="shared" si="103"/>
        <v>은하수(벽산)</v>
      </c>
      <c r="AJ78" s="21">
        <f t="shared" si="92"/>
        <v>22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>X</v>
      </c>
      <c r="AQ78" s="13" t="str">
        <f>IF(I78="","",IF(I78&lt;=$AQ$1,"O","X"))</f>
        <v>X</v>
      </c>
      <c r="AR78" s="13" t="str">
        <f>IF(O78="","",IF(O78&lt;=$AR$1,"O","X"))</f>
        <v>X</v>
      </c>
      <c r="AS78" s="13" t="str">
        <f>IF(M78="","",IF(M78&lt;=$AS$1,"O","X"))</f>
        <v>X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O</v>
      </c>
      <c r="AW78" s="13" t="str">
        <f>IF(AP78="","",IF(AND(AP78="O",AQ78="O",AS78="O",AU78="O",AV78="O"),"후보","X"))</f>
        <v>X</v>
      </c>
    </row>
    <row r="79" spans="1:49" x14ac:dyDescent="0.3">
      <c r="A79" s="5" t="s">
        <v>1512</v>
      </c>
      <c r="B79" s="14" t="s">
        <v>1513</v>
      </c>
      <c r="C79" s="25">
        <v>620</v>
      </c>
      <c r="D79" s="23">
        <v>95.1</v>
      </c>
      <c r="E79" s="21">
        <v>29</v>
      </c>
      <c r="F79" s="23">
        <v>76.099999999999994</v>
      </c>
      <c r="G79" s="24">
        <v>23</v>
      </c>
      <c r="H79" s="25">
        <v>136</v>
      </c>
      <c r="I79" s="29">
        <v>65000</v>
      </c>
      <c r="J79" s="106" t="s">
        <v>2210</v>
      </c>
      <c r="K79" s="29">
        <v>45000</v>
      </c>
      <c r="L79" s="106" t="s">
        <v>2141</v>
      </c>
      <c r="M79" s="6">
        <f>I79-K79</f>
        <v>20000</v>
      </c>
      <c r="N79" s="7">
        <f>IF(ISERROR(K79/I79),"",K79/I79)</f>
        <v>0.69230769230769229</v>
      </c>
      <c r="O79" s="12">
        <f>I79/E79</f>
        <v>2241.3793103448274</v>
      </c>
      <c r="P79" s="12">
        <f>K79/E79</f>
        <v>1551.7241379310344</v>
      </c>
      <c r="Q79" s="13">
        <v>3</v>
      </c>
      <c r="R79" s="13">
        <v>1</v>
      </c>
      <c r="S79" s="13" t="s">
        <v>51</v>
      </c>
      <c r="T79" s="8">
        <v>95</v>
      </c>
      <c r="U79" s="5"/>
      <c r="V79" s="5" t="s">
        <v>1516</v>
      </c>
      <c r="X79" s="23">
        <f t="shared" si="113"/>
        <v>95.1</v>
      </c>
      <c r="Y79" s="21">
        <f t="shared" si="113"/>
        <v>29</v>
      </c>
      <c r="Z79" s="28">
        <f t="shared" si="114"/>
        <v>136</v>
      </c>
      <c r="AA79" s="6">
        <f t="shared" si="114"/>
        <v>65000</v>
      </c>
      <c r="AB79" s="6">
        <f>K79</f>
        <v>45000</v>
      </c>
      <c r="AC79" s="6">
        <f t="shared" si="115"/>
        <v>20000</v>
      </c>
      <c r="AD79" s="7">
        <f t="shared" si="115"/>
        <v>0.69230769230769229</v>
      </c>
      <c r="AE79" s="12">
        <f t="shared" si="115"/>
        <v>2241.3793103448274</v>
      </c>
      <c r="AF79" s="13" t="str">
        <f>S79</f>
        <v>계</v>
      </c>
      <c r="AG79" s="13" t="str">
        <f>Q79&amp;"/"&amp;R79</f>
        <v>3/1</v>
      </c>
      <c r="AI79" s="32" t="str">
        <f t="shared" si="103"/>
        <v>은하수(벽산)</v>
      </c>
      <c r="AJ79" s="21">
        <f t="shared" si="92"/>
        <v>29</v>
      </c>
      <c r="AK79" s="13" t="str">
        <f>IF(AJ79="","",$AK$2)</f>
        <v>A-</v>
      </c>
      <c r="AL79" s="13"/>
      <c r="AM79" s="13"/>
      <c r="AN79" s="13"/>
      <c r="AO79" s="13" t="str">
        <f>IF(AJ79="","",$AO$2)</f>
        <v>C</v>
      </c>
      <c r="AP79" s="13" t="str">
        <f>IF(N79="","",IF(N79&gt;=$AP$1/100,"O","X"))</f>
        <v>X</v>
      </c>
      <c r="AQ79" s="13" t="str">
        <f>IF(I79="","",IF(I79&lt;=$AQ$1,"O","X"))</f>
        <v>X</v>
      </c>
      <c r="AR79" s="13" t="str">
        <f>IF(O79="","",IF(O79&lt;=$AR$1,"O","X"))</f>
        <v>X</v>
      </c>
      <c r="AS79" s="13" t="str">
        <f>IF(M79="","",IF(M79&lt;=$AS$1,"O","X"))</f>
        <v>X</v>
      </c>
      <c r="AT79" s="13" t="s">
        <v>32</v>
      </c>
      <c r="AU79" s="13" t="str">
        <f>IF(OR(F79="",AJ79=""),"",IF(AND((F79&lt;=85),(AJ79&gt;=15)),"O","X"))</f>
        <v>O</v>
      </c>
      <c r="AV79" s="13" t="str">
        <f>IF(C79="","",IF(C79&gt;=$AV$1,"O","X"))</f>
        <v>O</v>
      </c>
      <c r="AW79" s="13" t="str">
        <f>IF(AP79="","",IF(AND(AP79="O",AQ79="O",AS79="O",AU79="O",AV79="O"),"후보","X"))</f>
        <v>X</v>
      </c>
    </row>
    <row r="80" spans="1:49" x14ac:dyDescent="0.3">
      <c r="A80" s="5" t="s">
        <v>1512</v>
      </c>
      <c r="B80" s="14" t="s">
        <v>1513</v>
      </c>
      <c r="C80" s="25">
        <v>620</v>
      </c>
      <c r="D80" s="23">
        <v>106.2</v>
      </c>
      <c r="E80" s="21">
        <v>32</v>
      </c>
      <c r="F80" s="23">
        <v>84.9</v>
      </c>
      <c r="G80" s="24">
        <v>26</v>
      </c>
      <c r="H80" s="25">
        <v>348</v>
      </c>
      <c r="I80" s="29">
        <v>100000</v>
      </c>
      <c r="J80" s="106" t="s">
        <v>2211</v>
      </c>
      <c r="K80" s="29">
        <v>46000</v>
      </c>
      <c r="L80" s="106" t="s">
        <v>2213</v>
      </c>
      <c r="M80" s="6">
        <f>I80-K80</f>
        <v>54000</v>
      </c>
      <c r="N80" s="7">
        <f>IF(ISERROR(K80/I80),"",K80/I80)</f>
        <v>0.46</v>
      </c>
      <c r="O80" s="12">
        <f>I80/E80</f>
        <v>3125</v>
      </c>
      <c r="P80" s="12">
        <f>K80/E80</f>
        <v>1437.5</v>
      </c>
      <c r="Q80" s="13">
        <v>3</v>
      </c>
      <c r="R80" s="13">
        <v>2</v>
      </c>
      <c r="S80" s="13" t="s">
        <v>51</v>
      </c>
      <c r="T80" s="8">
        <v>106</v>
      </c>
      <c r="U80" s="5"/>
      <c r="V80" s="5" t="s">
        <v>1517</v>
      </c>
      <c r="X80" s="23">
        <f t="shared" si="113"/>
        <v>106.2</v>
      </c>
      <c r="Y80" s="21">
        <f t="shared" si="113"/>
        <v>32</v>
      </c>
      <c r="Z80" s="28">
        <f t="shared" si="114"/>
        <v>348</v>
      </c>
      <c r="AA80" s="6">
        <f t="shared" si="114"/>
        <v>100000</v>
      </c>
      <c r="AB80" s="6">
        <f>K80</f>
        <v>46000</v>
      </c>
      <c r="AC80" s="6">
        <f t="shared" si="115"/>
        <v>54000</v>
      </c>
      <c r="AD80" s="7">
        <f t="shared" si="115"/>
        <v>0.46</v>
      </c>
      <c r="AE80" s="12">
        <f t="shared" si="115"/>
        <v>3125</v>
      </c>
      <c r="AF80" s="13" t="str">
        <f>S80</f>
        <v>계</v>
      </c>
      <c r="AG80" s="13" t="str">
        <f>Q80&amp;"/"&amp;R80</f>
        <v>3/2</v>
      </c>
      <c r="AI80" s="32" t="str">
        <f t="shared" si="103"/>
        <v>은하수(벽산)</v>
      </c>
      <c r="AJ80" s="21">
        <f t="shared" si="92"/>
        <v>32</v>
      </c>
      <c r="AK80" s="13" t="str">
        <f>IF(AJ80="","",$AK$2)</f>
        <v>A-</v>
      </c>
      <c r="AL80" s="13"/>
      <c r="AM80" s="13"/>
      <c r="AN80" s="13"/>
      <c r="AO80" s="13" t="str">
        <f>IF(AJ80="","",$AO$2)</f>
        <v>C</v>
      </c>
      <c r="AP80" s="13" t="str">
        <f>IF(N80="","",IF(N80&gt;=$AP$1/100,"O","X"))</f>
        <v>X</v>
      </c>
      <c r="AQ80" s="13" t="str">
        <f>IF(I80="","",IF(I80&lt;=$AQ$1,"O","X"))</f>
        <v>X</v>
      </c>
      <c r="AR80" s="13" t="str">
        <f>IF(O80="","",IF(O80&lt;=$AR$1,"O","X"))</f>
        <v>X</v>
      </c>
      <c r="AS80" s="13" t="str">
        <f>IF(M80="","",IF(M80&lt;=$AS$1,"O","X"))</f>
        <v>X</v>
      </c>
      <c r="AT80" s="13" t="s">
        <v>32</v>
      </c>
      <c r="AU80" s="13" t="str">
        <f>IF(OR(F80="",AJ80=""),"",IF(AND((F80&lt;=85),(AJ80&gt;=15)),"O","X"))</f>
        <v>O</v>
      </c>
      <c r="AV80" s="13" t="str">
        <f>IF(C80="","",IF(C80&gt;=$AV$1,"O","X"))</f>
        <v>O</v>
      </c>
      <c r="AW80" s="13" t="str">
        <f>IF(AP80="","",IF(AND(AP80="O",AQ80="O",AS80="O",AU80="O",AV80="O"),"후보","X"))</f>
        <v>X</v>
      </c>
    </row>
    <row r="81" spans="1:49" x14ac:dyDescent="0.3">
      <c r="A81" s="5"/>
      <c r="B81" s="13"/>
      <c r="C81" s="9"/>
      <c r="D81" s="5"/>
      <c r="E81" s="18"/>
      <c r="F81" s="23"/>
      <c r="G81" s="5"/>
      <c r="H81" s="5"/>
      <c r="I81" s="5"/>
      <c r="J81" s="8"/>
      <c r="K81" s="5"/>
      <c r="L81" s="8"/>
      <c r="M81" s="5"/>
      <c r="N81" s="5"/>
      <c r="O81" s="12"/>
      <c r="P81" s="12"/>
      <c r="Q81" s="21"/>
      <c r="R81" s="21"/>
      <c r="S81" s="5"/>
      <c r="T81" s="59"/>
      <c r="U81" s="5"/>
      <c r="V81" s="5"/>
      <c r="X81" s="90" t="str">
        <f>$A$4&amp;" "&amp;A82&amp;"("&amp;B82&amp;","&amp;C82&amp;"^)"</f>
        <v>비산동 안양임곡휴먼시아('07.07,492^)</v>
      </c>
      <c r="Y81" s="91"/>
      <c r="Z81" s="91"/>
      <c r="AA81" s="91"/>
      <c r="AB81" s="91"/>
      <c r="AC81" s="91"/>
      <c r="AD81" s="91"/>
      <c r="AE81" s="91"/>
      <c r="AF81" s="91"/>
      <c r="AG81" s="92"/>
      <c r="AI81" s="32" t="str">
        <f t="shared" si="103"/>
        <v/>
      </c>
      <c r="AJ81" s="33" t="str">
        <f t="shared" si="92"/>
        <v/>
      </c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</row>
    <row r="82" spans="1:49" x14ac:dyDescent="0.3">
      <c r="A82" s="5" t="s">
        <v>1518</v>
      </c>
      <c r="B82" s="14" t="s">
        <v>1519</v>
      </c>
      <c r="C82" s="25">
        <v>492</v>
      </c>
      <c r="D82" s="23">
        <v>63.7</v>
      </c>
      <c r="E82" s="21">
        <v>19</v>
      </c>
      <c r="F82" s="23">
        <v>46.8</v>
      </c>
      <c r="G82" s="24">
        <v>14</v>
      </c>
      <c r="H82" s="25">
        <v>57</v>
      </c>
      <c r="I82" s="29">
        <v>43000</v>
      </c>
      <c r="J82" s="106" t="s">
        <v>2214</v>
      </c>
      <c r="K82" s="29">
        <v>30000</v>
      </c>
      <c r="L82" s="106" t="s">
        <v>2214</v>
      </c>
      <c r="M82" s="6">
        <f t="shared" ref="M82:M90" si="116">I82-K82</f>
        <v>13000</v>
      </c>
      <c r="N82" s="7">
        <f t="shared" ref="N82:N90" si="117">IF(ISERROR(K82/I82),"",K82/I82)</f>
        <v>0.69767441860465118</v>
      </c>
      <c r="O82" s="12">
        <f t="shared" ref="O82:O90" si="118">I82/E82</f>
        <v>2263.1578947368421</v>
      </c>
      <c r="P82" s="12">
        <f t="shared" ref="P82:P90" si="119">K82/E82</f>
        <v>1578.9473684210527</v>
      </c>
      <c r="Q82" s="13">
        <v>2</v>
      </c>
      <c r="R82" s="13">
        <v>1</v>
      </c>
      <c r="S82" s="13" t="s">
        <v>1356</v>
      </c>
      <c r="T82" s="8" t="s">
        <v>544</v>
      </c>
      <c r="U82" s="5"/>
      <c r="V82" s="5" t="s">
        <v>1520</v>
      </c>
      <c r="X82" s="23">
        <f t="shared" ref="X82:X90" si="120">D82</f>
        <v>63.7</v>
      </c>
      <c r="Y82" s="21">
        <f t="shared" ref="Y82:Y90" si="121">E82</f>
        <v>19</v>
      </c>
      <c r="Z82" s="28">
        <f t="shared" ref="Z82:Z90" si="122">H82</f>
        <v>57</v>
      </c>
      <c r="AA82" s="6">
        <f t="shared" ref="AA82:AA90" si="123">I82</f>
        <v>43000</v>
      </c>
      <c r="AB82" s="6">
        <f t="shared" ref="AB82:AB90" si="124">K82</f>
        <v>30000</v>
      </c>
      <c r="AC82" s="6">
        <f t="shared" ref="AC82:AC90" si="125">M82</f>
        <v>13000</v>
      </c>
      <c r="AD82" s="7">
        <f t="shared" ref="AD82:AD90" si="126">N82</f>
        <v>0.69767441860465118</v>
      </c>
      <c r="AE82" s="12">
        <f t="shared" ref="AE82:AE90" si="127">O82</f>
        <v>2263.1578947368421</v>
      </c>
      <c r="AF82" s="13" t="str">
        <f t="shared" ref="AF82:AF90" si="128">S82</f>
        <v>복</v>
      </c>
      <c r="AG82" s="13" t="str">
        <f t="shared" ref="AG82:AG90" si="129">Q82&amp;"/"&amp;R82</f>
        <v>2/1</v>
      </c>
      <c r="AI82" s="32" t="str">
        <f t="shared" si="103"/>
        <v>안양임곡휴먼시아</v>
      </c>
      <c r="AJ82" s="21">
        <f t="shared" si="92"/>
        <v>19</v>
      </c>
      <c r="AK82" s="13" t="str">
        <f t="shared" ref="AK82:AK90" si="130">IF(AJ82="","",$AK$2)</f>
        <v>A-</v>
      </c>
      <c r="AL82" s="13"/>
      <c r="AM82" s="13"/>
      <c r="AN82" s="13"/>
      <c r="AO82" s="13" t="str">
        <f t="shared" ref="AO82:AO90" si="131">IF(AJ82="","",$AO$2)</f>
        <v>C</v>
      </c>
      <c r="AP82" s="13" t="str">
        <f t="shared" ref="AP82:AP90" si="132">IF(N82="","",IF(N82&gt;=$AP$1/100,"O","X"))</f>
        <v>X</v>
      </c>
      <c r="AQ82" s="13" t="str">
        <f t="shared" ref="AQ82:AQ90" si="133">IF(I82="","",IF(I82&lt;=$AQ$1,"O","X"))</f>
        <v>O</v>
      </c>
      <c r="AR82" s="13" t="str">
        <f t="shared" ref="AR82:AR90" si="134">IF(O82="","",IF(O82&lt;=$AR$1,"O","X"))</f>
        <v>X</v>
      </c>
      <c r="AS82" s="13" t="str">
        <f t="shared" ref="AS82:AS90" si="135">IF(M82="","",IF(M82&lt;=$AS$1,"O","X"))</f>
        <v>X</v>
      </c>
      <c r="AT82" s="13" t="s">
        <v>32</v>
      </c>
      <c r="AU82" s="13" t="str">
        <f t="shared" ref="AU82:AU90" si="136">IF(OR(F82="",AJ82=""),"",IF(AND((F82&lt;=85),(AJ82&gt;=15)),"O","X"))</f>
        <v>O</v>
      </c>
      <c r="AV82" s="13" t="str">
        <f t="shared" ref="AV82:AV90" si="137">IF(C82="","",IF(C82&gt;=$AV$1,"O","X"))</f>
        <v>O</v>
      </c>
      <c r="AW82" s="13" t="str">
        <f t="shared" ref="AW82:AW90" si="138">IF(AP82="","",IF(AND(AP82="O",AQ82="O",AS82="O",AU82="O",AV82="O"),"후보","X"))</f>
        <v>X</v>
      </c>
    </row>
    <row r="83" spans="1:49" x14ac:dyDescent="0.3">
      <c r="A83" s="5" t="s">
        <v>1518</v>
      </c>
      <c r="B83" s="14" t="s">
        <v>1519</v>
      </c>
      <c r="C83" s="25">
        <v>492</v>
      </c>
      <c r="D83" s="23">
        <v>63.9</v>
      </c>
      <c r="E83" s="21">
        <v>19</v>
      </c>
      <c r="F83" s="23">
        <v>46.9</v>
      </c>
      <c r="G83" s="24">
        <v>14</v>
      </c>
      <c r="H83" s="25">
        <v>19</v>
      </c>
      <c r="I83" s="29">
        <v>43000</v>
      </c>
      <c r="J83" s="106" t="s">
        <v>2205</v>
      </c>
      <c r="K83" s="29">
        <v>30000</v>
      </c>
      <c r="L83" s="106" t="s">
        <v>2221</v>
      </c>
      <c r="M83" s="6">
        <f t="shared" si="116"/>
        <v>13000</v>
      </c>
      <c r="N83" s="7">
        <f t="shared" si="117"/>
        <v>0.69767441860465118</v>
      </c>
      <c r="O83" s="12">
        <f t="shared" si="118"/>
        <v>2263.1578947368421</v>
      </c>
      <c r="P83" s="12">
        <f t="shared" si="119"/>
        <v>1578.9473684210527</v>
      </c>
      <c r="Q83" s="13">
        <v>2</v>
      </c>
      <c r="R83" s="13">
        <v>1</v>
      </c>
      <c r="S83" s="13" t="s">
        <v>1356</v>
      </c>
      <c r="T83" s="8" t="s">
        <v>548</v>
      </c>
      <c r="U83" s="5" t="s">
        <v>2215</v>
      </c>
      <c r="V83" s="5" t="s">
        <v>1520</v>
      </c>
      <c r="X83" s="23">
        <f t="shared" si="120"/>
        <v>63.9</v>
      </c>
      <c r="Y83" s="21">
        <f t="shared" si="121"/>
        <v>19</v>
      </c>
      <c r="Z83" s="28">
        <f t="shared" si="122"/>
        <v>19</v>
      </c>
      <c r="AA83" s="6">
        <f t="shared" si="123"/>
        <v>43000</v>
      </c>
      <c r="AB83" s="6">
        <f t="shared" si="124"/>
        <v>30000</v>
      </c>
      <c r="AC83" s="6">
        <f t="shared" si="125"/>
        <v>13000</v>
      </c>
      <c r="AD83" s="7">
        <f t="shared" si="126"/>
        <v>0.69767441860465118</v>
      </c>
      <c r="AE83" s="12">
        <f t="shared" si="127"/>
        <v>2263.1578947368421</v>
      </c>
      <c r="AF83" s="13" t="str">
        <f t="shared" si="128"/>
        <v>복</v>
      </c>
      <c r="AG83" s="13" t="str">
        <f t="shared" si="129"/>
        <v>2/1</v>
      </c>
      <c r="AI83" s="32" t="str">
        <f t="shared" si="103"/>
        <v>안양임곡휴먼시아</v>
      </c>
      <c r="AJ83" s="21">
        <f t="shared" si="92"/>
        <v>19</v>
      </c>
      <c r="AK83" s="13" t="str">
        <f t="shared" si="130"/>
        <v>A-</v>
      </c>
      <c r="AL83" s="13"/>
      <c r="AM83" s="13"/>
      <c r="AN83" s="13"/>
      <c r="AO83" s="13" t="str">
        <f t="shared" si="131"/>
        <v>C</v>
      </c>
      <c r="AP83" s="13" t="str">
        <f t="shared" si="132"/>
        <v>X</v>
      </c>
      <c r="AQ83" s="13" t="str">
        <f t="shared" si="133"/>
        <v>O</v>
      </c>
      <c r="AR83" s="13" t="str">
        <f t="shared" si="134"/>
        <v>X</v>
      </c>
      <c r="AS83" s="13" t="str">
        <f t="shared" si="135"/>
        <v>X</v>
      </c>
      <c r="AT83" s="13" t="s">
        <v>32</v>
      </c>
      <c r="AU83" s="13" t="str">
        <f t="shared" si="136"/>
        <v>O</v>
      </c>
      <c r="AV83" s="13" t="str">
        <f t="shared" si="137"/>
        <v>O</v>
      </c>
      <c r="AW83" s="13" t="str">
        <f t="shared" si="138"/>
        <v>X</v>
      </c>
    </row>
    <row r="84" spans="1:49" x14ac:dyDescent="0.3">
      <c r="A84" s="5" t="s">
        <v>1518</v>
      </c>
      <c r="B84" s="14" t="s">
        <v>1519</v>
      </c>
      <c r="C84" s="25">
        <v>492</v>
      </c>
      <c r="D84" s="23">
        <v>81.7</v>
      </c>
      <c r="E84" s="21">
        <v>25</v>
      </c>
      <c r="F84" s="23">
        <v>60</v>
      </c>
      <c r="G84" s="24">
        <v>18</v>
      </c>
      <c r="H84" s="25">
        <v>147</v>
      </c>
      <c r="I84" s="29">
        <v>54000</v>
      </c>
      <c r="J84" s="106" t="s">
        <v>2216</v>
      </c>
      <c r="K84" s="29">
        <v>36000</v>
      </c>
      <c r="L84" s="106" t="s">
        <v>2222</v>
      </c>
      <c r="M84" s="6">
        <f t="shared" si="116"/>
        <v>18000</v>
      </c>
      <c r="N84" s="7">
        <f t="shared" si="117"/>
        <v>0.66666666666666663</v>
      </c>
      <c r="O84" s="12">
        <f t="shared" si="118"/>
        <v>2160</v>
      </c>
      <c r="P84" s="12">
        <f t="shared" si="119"/>
        <v>1440</v>
      </c>
      <c r="Q84" s="13">
        <v>3</v>
      </c>
      <c r="R84" s="13">
        <v>2</v>
      </c>
      <c r="S84" s="13" t="s">
        <v>51</v>
      </c>
      <c r="T84" s="8" t="s">
        <v>465</v>
      </c>
      <c r="U84" s="5"/>
      <c r="V84" s="5" t="s">
        <v>1521</v>
      </c>
      <c r="X84" s="23">
        <f t="shared" si="120"/>
        <v>81.7</v>
      </c>
      <c r="Y84" s="21">
        <f t="shared" si="121"/>
        <v>25</v>
      </c>
      <c r="Z84" s="28">
        <f t="shared" si="122"/>
        <v>147</v>
      </c>
      <c r="AA84" s="6">
        <f t="shared" si="123"/>
        <v>54000</v>
      </c>
      <c r="AB84" s="6">
        <f t="shared" si="124"/>
        <v>36000</v>
      </c>
      <c r="AC84" s="6">
        <f t="shared" si="125"/>
        <v>18000</v>
      </c>
      <c r="AD84" s="7">
        <f t="shared" si="126"/>
        <v>0.66666666666666663</v>
      </c>
      <c r="AE84" s="12">
        <f t="shared" si="127"/>
        <v>2160</v>
      </c>
      <c r="AF84" s="13" t="str">
        <f t="shared" si="128"/>
        <v>계</v>
      </c>
      <c r="AG84" s="13" t="str">
        <f t="shared" si="129"/>
        <v>3/2</v>
      </c>
      <c r="AI84" s="32" t="str">
        <f t="shared" si="103"/>
        <v>안양임곡휴먼시아</v>
      </c>
      <c r="AJ84" s="21">
        <f t="shared" si="92"/>
        <v>25</v>
      </c>
      <c r="AK84" s="13" t="str">
        <f t="shared" si="130"/>
        <v>A-</v>
      </c>
      <c r="AL84" s="13"/>
      <c r="AM84" s="13"/>
      <c r="AN84" s="13"/>
      <c r="AO84" s="13" t="str">
        <f t="shared" si="131"/>
        <v>C</v>
      </c>
      <c r="AP84" s="13" t="str">
        <f t="shared" si="132"/>
        <v>X</v>
      </c>
      <c r="AQ84" s="13" t="str">
        <f t="shared" si="133"/>
        <v>X</v>
      </c>
      <c r="AR84" s="13" t="str">
        <f t="shared" si="134"/>
        <v>X</v>
      </c>
      <c r="AS84" s="13" t="str">
        <f t="shared" si="135"/>
        <v>X</v>
      </c>
      <c r="AT84" s="13" t="s">
        <v>32</v>
      </c>
      <c r="AU84" s="13" t="str">
        <f t="shared" si="136"/>
        <v>O</v>
      </c>
      <c r="AV84" s="13" t="str">
        <f t="shared" si="137"/>
        <v>O</v>
      </c>
      <c r="AW84" s="13" t="str">
        <f t="shared" si="138"/>
        <v>X</v>
      </c>
    </row>
    <row r="85" spans="1:49" x14ac:dyDescent="0.3">
      <c r="A85" s="5" t="s">
        <v>1518</v>
      </c>
      <c r="B85" s="14" t="s">
        <v>1519</v>
      </c>
      <c r="C85" s="25">
        <v>492</v>
      </c>
      <c r="D85" s="23">
        <v>81.400000000000006</v>
      </c>
      <c r="E85" s="21">
        <v>25</v>
      </c>
      <c r="F85" s="23">
        <v>59.7</v>
      </c>
      <c r="G85" s="24">
        <v>18</v>
      </c>
      <c r="H85" s="25">
        <v>93</v>
      </c>
      <c r="I85" s="29">
        <v>52000</v>
      </c>
      <c r="J85" s="106" t="s">
        <v>2216</v>
      </c>
      <c r="K85" s="29">
        <v>35000</v>
      </c>
      <c r="L85" s="106" t="s">
        <v>2219</v>
      </c>
      <c r="M85" s="6">
        <f t="shared" si="116"/>
        <v>17000</v>
      </c>
      <c r="N85" s="7">
        <f t="shared" si="117"/>
        <v>0.67307692307692313</v>
      </c>
      <c r="O85" s="12">
        <f t="shared" si="118"/>
        <v>2080</v>
      </c>
      <c r="P85" s="12">
        <f t="shared" si="119"/>
        <v>1400</v>
      </c>
      <c r="Q85" s="13">
        <v>3</v>
      </c>
      <c r="R85" s="13">
        <v>2</v>
      </c>
      <c r="S85" s="13" t="s">
        <v>51</v>
      </c>
      <c r="T85" s="8" t="s">
        <v>260</v>
      </c>
      <c r="U85" s="5"/>
      <c r="V85" s="5" t="s">
        <v>1522</v>
      </c>
      <c r="X85" s="23">
        <f t="shared" si="120"/>
        <v>81.400000000000006</v>
      </c>
      <c r="Y85" s="21">
        <f t="shared" si="121"/>
        <v>25</v>
      </c>
      <c r="Z85" s="28">
        <f t="shared" si="122"/>
        <v>93</v>
      </c>
      <c r="AA85" s="6">
        <f t="shared" si="123"/>
        <v>52000</v>
      </c>
      <c r="AB85" s="6">
        <f t="shared" si="124"/>
        <v>35000</v>
      </c>
      <c r="AC85" s="6">
        <f t="shared" si="125"/>
        <v>17000</v>
      </c>
      <c r="AD85" s="7">
        <f t="shared" si="126"/>
        <v>0.67307692307692313</v>
      </c>
      <c r="AE85" s="12">
        <f t="shared" si="127"/>
        <v>2080</v>
      </c>
      <c r="AF85" s="13" t="str">
        <f t="shared" si="128"/>
        <v>계</v>
      </c>
      <c r="AG85" s="13" t="str">
        <f t="shared" si="129"/>
        <v>3/2</v>
      </c>
      <c r="AI85" s="32" t="str">
        <f t="shared" si="103"/>
        <v>안양임곡휴먼시아</v>
      </c>
      <c r="AJ85" s="21">
        <f t="shared" si="92"/>
        <v>25</v>
      </c>
      <c r="AK85" s="13" t="str">
        <f t="shared" si="130"/>
        <v>A-</v>
      </c>
      <c r="AL85" s="13"/>
      <c r="AM85" s="13"/>
      <c r="AN85" s="13"/>
      <c r="AO85" s="13" t="str">
        <f t="shared" si="131"/>
        <v>C</v>
      </c>
      <c r="AP85" s="13" t="str">
        <f t="shared" si="132"/>
        <v>X</v>
      </c>
      <c r="AQ85" s="13" t="str">
        <f t="shared" si="133"/>
        <v>X</v>
      </c>
      <c r="AR85" s="13" t="str">
        <f t="shared" si="134"/>
        <v>X</v>
      </c>
      <c r="AS85" s="13" t="str">
        <f t="shared" si="135"/>
        <v>X</v>
      </c>
      <c r="AT85" s="13" t="s">
        <v>32</v>
      </c>
      <c r="AU85" s="13" t="str">
        <f t="shared" si="136"/>
        <v>O</v>
      </c>
      <c r="AV85" s="13" t="str">
        <f t="shared" si="137"/>
        <v>O</v>
      </c>
      <c r="AW85" s="13" t="str">
        <f t="shared" si="138"/>
        <v>X</v>
      </c>
    </row>
    <row r="86" spans="1:49" x14ac:dyDescent="0.3">
      <c r="A86" s="5" t="s">
        <v>1518</v>
      </c>
      <c r="B86" s="14" t="s">
        <v>1519</v>
      </c>
      <c r="C86" s="25">
        <v>492</v>
      </c>
      <c r="D86" s="23">
        <v>81.599999999999994</v>
      </c>
      <c r="E86" s="21">
        <v>25</v>
      </c>
      <c r="F86" s="23">
        <v>59.9</v>
      </c>
      <c r="G86" s="24">
        <v>18</v>
      </c>
      <c r="H86" s="25">
        <v>16</v>
      </c>
      <c r="I86" s="29">
        <v>64000</v>
      </c>
      <c r="J86" s="106" t="s">
        <v>2157</v>
      </c>
      <c r="K86" s="29">
        <v>36750</v>
      </c>
      <c r="L86" s="106" t="s">
        <v>2141</v>
      </c>
      <c r="M86" s="6">
        <f t="shared" si="116"/>
        <v>27250</v>
      </c>
      <c r="N86" s="7">
        <f t="shared" si="117"/>
        <v>0.57421875</v>
      </c>
      <c r="O86" s="12">
        <f t="shared" si="118"/>
        <v>2560</v>
      </c>
      <c r="P86" s="12">
        <f t="shared" si="119"/>
        <v>1470</v>
      </c>
      <c r="Q86" s="13">
        <v>3</v>
      </c>
      <c r="R86" s="13">
        <v>2</v>
      </c>
      <c r="S86" s="13" t="s">
        <v>51</v>
      </c>
      <c r="T86" s="8" t="s">
        <v>464</v>
      </c>
      <c r="U86" s="5"/>
      <c r="V86" s="5" t="s">
        <v>1521</v>
      </c>
      <c r="X86" s="23">
        <f t="shared" si="120"/>
        <v>81.599999999999994</v>
      </c>
      <c r="Y86" s="21">
        <f t="shared" si="121"/>
        <v>25</v>
      </c>
      <c r="Z86" s="28">
        <f t="shared" si="122"/>
        <v>16</v>
      </c>
      <c r="AA86" s="6">
        <f t="shared" si="123"/>
        <v>64000</v>
      </c>
      <c r="AB86" s="6">
        <f t="shared" si="124"/>
        <v>36750</v>
      </c>
      <c r="AC86" s="6">
        <f t="shared" si="125"/>
        <v>27250</v>
      </c>
      <c r="AD86" s="7">
        <f t="shared" si="126"/>
        <v>0.57421875</v>
      </c>
      <c r="AE86" s="12">
        <f t="shared" si="127"/>
        <v>2560</v>
      </c>
      <c r="AF86" s="13" t="str">
        <f t="shared" si="128"/>
        <v>계</v>
      </c>
      <c r="AG86" s="13" t="str">
        <f t="shared" si="129"/>
        <v>3/2</v>
      </c>
      <c r="AI86" s="32" t="str">
        <f t="shared" si="103"/>
        <v>안양임곡휴먼시아</v>
      </c>
      <c r="AJ86" s="21">
        <f t="shared" si="92"/>
        <v>25</v>
      </c>
      <c r="AK86" s="13" t="str">
        <f t="shared" si="130"/>
        <v>A-</v>
      </c>
      <c r="AL86" s="13"/>
      <c r="AM86" s="13"/>
      <c r="AN86" s="13"/>
      <c r="AO86" s="13" t="str">
        <f t="shared" si="131"/>
        <v>C</v>
      </c>
      <c r="AP86" s="13" t="str">
        <f t="shared" si="132"/>
        <v>X</v>
      </c>
      <c r="AQ86" s="13" t="str">
        <f t="shared" si="133"/>
        <v>X</v>
      </c>
      <c r="AR86" s="13" t="str">
        <f t="shared" si="134"/>
        <v>X</v>
      </c>
      <c r="AS86" s="13" t="str">
        <f t="shared" si="135"/>
        <v>X</v>
      </c>
      <c r="AT86" s="13" t="s">
        <v>32</v>
      </c>
      <c r="AU86" s="13" t="str">
        <f t="shared" si="136"/>
        <v>O</v>
      </c>
      <c r="AV86" s="13" t="str">
        <f t="shared" si="137"/>
        <v>O</v>
      </c>
      <c r="AW86" s="13" t="str">
        <f t="shared" si="138"/>
        <v>X</v>
      </c>
    </row>
    <row r="87" spans="1:49" x14ac:dyDescent="0.3">
      <c r="A87" s="5" t="s">
        <v>1518</v>
      </c>
      <c r="B87" s="14" t="s">
        <v>1519</v>
      </c>
      <c r="C87" s="25">
        <v>492</v>
      </c>
      <c r="D87" s="23">
        <v>115.8</v>
      </c>
      <c r="E87" s="21">
        <v>35</v>
      </c>
      <c r="F87" s="23">
        <v>85</v>
      </c>
      <c r="G87" s="24">
        <v>26</v>
      </c>
      <c r="H87" s="25">
        <v>79</v>
      </c>
      <c r="I87" s="29">
        <v>70000</v>
      </c>
      <c r="J87" s="106" t="s">
        <v>2217</v>
      </c>
      <c r="K87" s="29">
        <v>50000</v>
      </c>
      <c r="L87" s="106" t="s">
        <v>2223</v>
      </c>
      <c r="M87" s="6">
        <f t="shared" si="116"/>
        <v>20000</v>
      </c>
      <c r="N87" s="7">
        <f t="shared" si="117"/>
        <v>0.7142857142857143</v>
      </c>
      <c r="O87" s="12">
        <f t="shared" si="118"/>
        <v>2000</v>
      </c>
      <c r="P87" s="12">
        <f t="shared" si="119"/>
        <v>1428.5714285714287</v>
      </c>
      <c r="Q87" s="13">
        <v>3</v>
      </c>
      <c r="R87" s="13">
        <v>2</v>
      </c>
      <c r="S87" s="13" t="s">
        <v>51</v>
      </c>
      <c r="T87" s="8" t="s">
        <v>528</v>
      </c>
      <c r="U87" s="5"/>
      <c r="V87" s="5" t="s">
        <v>1523</v>
      </c>
      <c r="X87" s="23">
        <f t="shared" si="120"/>
        <v>115.8</v>
      </c>
      <c r="Y87" s="21">
        <f t="shared" si="121"/>
        <v>35</v>
      </c>
      <c r="Z87" s="28">
        <f t="shared" si="122"/>
        <v>79</v>
      </c>
      <c r="AA87" s="6">
        <f t="shared" si="123"/>
        <v>70000</v>
      </c>
      <c r="AB87" s="6">
        <f t="shared" si="124"/>
        <v>50000</v>
      </c>
      <c r="AC87" s="6">
        <f t="shared" si="125"/>
        <v>20000</v>
      </c>
      <c r="AD87" s="7">
        <f t="shared" si="126"/>
        <v>0.7142857142857143</v>
      </c>
      <c r="AE87" s="12">
        <f t="shared" si="127"/>
        <v>2000</v>
      </c>
      <c r="AF87" s="13" t="str">
        <f t="shared" si="128"/>
        <v>계</v>
      </c>
      <c r="AG87" s="13" t="str">
        <f t="shared" si="129"/>
        <v>3/2</v>
      </c>
      <c r="AI87" s="32" t="str">
        <f t="shared" si="103"/>
        <v>안양임곡휴먼시아</v>
      </c>
      <c r="AJ87" s="21">
        <f t="shared" si="92"/>
        <v>35</v>
      </c>
      <c r="AK87" s="13" t="str">
        <f t="shared" si="130"/>
        <v>A-</v>
      </c>
      <c r="AL87" s="13"/>
      <c r="AM87" s="13"/>
      <c r="AN87" s="13"/>
      <c r="AO87" s="13" t="str">
        <f t="shared" si="131"/>
        <v>C</v>
      </c>
      <c r="AP87" s="13" t="str">
        <f t="shared" si="132"/>
        <v>X</v>
      </c>
      <c r="AQ87" s="13" t="str">
        <f t="shared" si="133"/>
        <v>X</v>
      </c>
      <c r="AR87" s="13" t="str">
        <f t="shared" si="134"/>
        <v>X</v>
      </c>
      <c r="AS87" s="13" t="str">
        <f t="shared" si="135"/>
        <v>X</v>
      </c>
      <c r="AT87" s="13" t="s">
        <v>32</v>
      </c>
      <c r="AU87" s="13" t="str">
        <f t="shared" si="136"/>
        <v>O</v>
      </c>
      <c r="AV87" s="13" t="str">
        <f t="shared" si="137"/>
        <v>O</v>
      </c>
      <c r="AW87" s="13" t="str">
        <f t="shared" si="138"/>
        <v>X</v>
      </c>
    </row>
    <row r="88" spans="1:49" x14ac:dyDescent="0.3">
      <c r="A88" s="5" t="s">
        <v>1518</v>
      </c>
      <c r="B88" s="14" t="s">
        <v>1519</v>
      </c>
      <c r="C88" s="25">
        <v>492</v>
      </c>
      <c r="D88" s="23">
        <v>115.3</v>
      </c>
      <c r="E88" s="21">
        <v>35</v>
      </c>
      <c r="F88" s="23">
        <v>84.6</v>
      </c>
      <c r="G88" s="24">
        <v>26</v>
      </c>
      <c r="H88" s="25">
        <v>24</v>
      </c>
      <c r="I88" s="29">
        <v>73000</v>
      </c>
      <c r="J88" s="106" t="s">
        <v>2218</v>
      </c>
      <c r="K88" s="29">
        <v>40000</v>
      </c>
      <c r="L88" s="106" t="s">
        <v>2193</v>
      </c>
      <c r="M88" s="6">
        <f t="shared" si="116"/>
        <v>33000</v>
      </c>
      <c r="N88" s="7">
        <f t="shared" si="117"/>
        <v>0.54794520547945202</v>
      </c>
      <c r="O88" s="12">
        <f t="shared" si="118"/>
        <v>2085.7142857142858</v>
      </c>
      <c r="P88" s="12">
        <f t="shared" si="119"/>
        <v>1142.8571428571429</v>
      </c>
      <c r="Q88" s="13">
        <v>3</v>
      </c>
      <c r="R88" s="13">
        <v>2</v>
      </c>
      <c r="S88" s="13" t="s">
        <v>51</v>
      </c>
      <c r="T88" s="8" t="s">
        <v>549</v>
      </c>
      <c r="U88" s="5"/>
      <c r="V88" s="5" t="s">
        <v>1524</v>
      </c>
      <c r="X88" s="23">
        <f t="shared" si="120"/>
        <v>115.3</v>
      </c>
      <c r="Y88" s="21">
        <f t="shared" si="121"/>
        <v>35</v>
      </c>
      <c r="Z88" s="28">
        <f t="shared" si="122"/>
        <v>24</v>
      </c>
      <c r="AA88" s="6">
        <f t="shared" si="123"/>
        <v>73000</v>
      </c>
      <c r="AB88" s="6">
        <f t="shared" si="124"/>
        <v>40000</v>
      </c>
      <c r="AC88" s="6">
        <f t="shared" si="125"/>
        <v>33000</v>
      </c>
      <c r="AD88" s="7">
        <f t="shared" si="126"/>
        <v>0.54794520547945202</v>
      </c>
      <c r="AE88" s="12">
        <f t="shared" si="127"/>
        <v>2085.7142857142858</v>
      </c>
      <c r="AF88" s="13" t="str">
        <f t="shared" si="128"/>
        <v>계</v>
      </c>
      <c r="AG88" s="13" t="str">
        <f t="shared" si="129"/>
        <v>3/2</v>
      </c>
      <c r="AI88" s="32" t="str">
        <f t="shared" si="103"/>
        <v>안양임곡휴먼시아</v>
      </c>
      <c r="AJ88" s="21">
        <f t="shared" si="92"/>
        <v>35</v>
      </c>
      <c r="AK88" s="13" t="str">
        <f t="shared" si="130"/>
        <v>A-</v>
      </c>
      <c r="AL88" s="13"/>
      <c r="AM88" s="13"/>
      <c r="AN88" s="13"/>
      <c r="AO88" s="13" t="str">
        <f t="shared" si="131"/>
        <v>C</v>
      </c>
      <c r="AP88" s="13" t="str">
        <f t="shared" si="132"/>
        <v>X</v>
      </c>
      <c r="AQ88" s="13" t="str">
        <f t="shared" si="133"/>
        <v>X</v>
      </c>
      <c r="AR88" s="13" t="str">
        <f t="shared" si="134"/>
        <v>X</v>
      </c>
      <c r="AS88" s="13" t="str">
        <f t="shared" si="135"/>
        <v>X</v>
      </c>
      <c r="AT88" s="13" t="s">
        <v>32</v>
      </c>
      <c r="AU88" s="13" t="str">
        <f t="shared" si="136"/>
        <v>O</v>
      </c>
      <c r="AV88" s="13" t="str">
        <f t="shared" si="137"/>
        <v>O</v>
      </c>
      <c r="AW88" s="13" t="str">
        <f t="shared" si="138"/>
        <v>X</v>
      </c>
    </row>
    <row r="89" spans="1:49" x14ac:dyDescent="0.3">
      <c r="A89" s="5" t="s">
        <v>1518</v>
      </c>
      <c r="B89" s="14" t="s">
        <v>1519</v>
      </c>
      <c r="C89" s="25">
        <v>492</v>
      </c>
      <c r="D89" s="23">
        <v>115.7</v>
      </c>
      <c r="E89" s="21">
        <v>35</v>
      </c>
      <c r="F89" s="23">
        <v>84.9</v>
      </c>
      <c r="G89" s="24">
        <v>26</v>
      </c>
      <c r="H89" s="25">
        <v>18</v>
      </c>
      <c r="I89" s="29">
        <v>71000</v>
      </c>
      <c r="J89" s="106" t="s">
        <v>2219</v>
      </c>
      <c r="K89" s="29">
        <v>44000</v>
      </c>
      <c r="L89" s="106" t="s">
        <v>2224</v>
      </c>
      <c r="M89" s="6">
        <f t="shared" si="116"/>
        <v>27000</v>
      </c>
      <c r="N89" s="7">
        <f t="shared" si="117"/>
        <v>0.61971830985915488</v>
      </c>
      <c r="O89" s="12">
        <f t="shared" si="118"/>
        <v>2028.5714285714287</v>
      </c>
      <c r="P89" s="12">
        <f t="shared" si="119"/>
        <v>1257.1428571428571</v>
      </c>
      <c r="Q89" s="13">
        <v>3</v>
      </c>
      <c r="R89" s="13">
        <v>2</v>
      </c>
      <c r="S89" s="13" t="s">
        <v>51</v>
      </c>
      <c r="T89" s="8" t="s">
        <v>550</v>
      </c>
      <c r="U89" s="5"/>
      <c r="V89" s="5" t="s">
        <v>1523</v>
      </c>
      <c r="X89" s="23">
        <f t="shared" si="120"/>
        <v>115.7</v>
      </c>
      <c r="Y89" s="21">
        <f t="shared" si="121"/>
        <v>35</v>
      </c>
      <c r="Z89" s="28">
        <f t="shared" si="122"/>
        <v>18</v>
      </c>
      <c r="AA89" s="6">
        <f t="shared" si="123"/>
        <v>71000</v>
      </c>
      <c r="AB89" s="6">
        <f t="shared" si="124"/>
        <v>44000</v>
      </c>
      <c r="AC89" s="6">
        <f t="shared" si="125"/>
        <v>27000</v>
      </c>
      <c r="AD89" s="7">
        <f t="shared" si="126"/>
        <v>0.61971830985915488</v>
      </c>
      <c r="AE89" s="12">
        <f t="shared" si="127"/>
        <v>2028.5714285714287</v>
      </c>
      <c r="AF89" s="13" t="str">
        <f t="shared" si="128"/>
        <v>계</v>
      </c>
      <c r="AG89" s="13" t="str">
        <f t="shared" si="129"/>
        <v>3/2</v>
      </c>
      <c r="AI89" s="32" t="str">
        <f t="shared" si="103"/>
        <v>안양임곡휴먼시아</v>
      </c>
      <c r="AJ89" s="21">
        <f t="shared" si="92"/>
        <v>35</v>
      </c>
      <c r="AK89" s="13" t="str">
        <f t="shared" si="130"/>
        <v>A-</v>
      </c>
      <c r="AL89" s="13"/>
      <c r="AM89" s="13"/>
      <c r="AN89" s="13"/>
      <c r="AO89" s="13" t="str">
        <f t="shared" si="131"/>
        <v>C</v>
      </c>
      <c r="AP89" s="13" t="str">
        <f t="shared" si="132"/>
        <v>X</v>
      </c>
      <c r="AQ89" s="13" t="str">
        <f t="shared" si="133"/>
        <v>X</v>
      </c>
      <c r="AR89" s="13" t="str">
        <f t="shared" si="134"/>
        <v>X</v>
      </c>
      <c r="AS89" s="13" t="str">
        <f t="shared" si="135"/>
        <v>X</v>
      </c>
      <c r="AT89" s="13" t="s">
        <v>32</v>
      </c>
      <c r="AU89" s="13" t="str">
        <f t="shared" si="136"/>
        <v>O</v>
      </c>
      <c r="AV89" s="13" t="str">
        <f t="shared" si="137"/>
        <v>O</v>
      </c>
      <c r="AW89" s="13" t="str">
        <f t="shared" si="138"/>
        <v>X</v>
      </c>
    </row>
    <row r="90" spans="1:49" x14ac:dyDescent="0.3">
      <c r="A90" s="5" t="s">
        <v>1518</v>
      </c>
      <c r="B90" s="14" t="s">
        <v>1519</v>
      </c>
      <c r="C90" s="25">
        <v>492</v>
      </c>
      <c r="D90" s="23">
        <v>148.19999999999999</v>
      </c>
      <c r="E90" s="21">
        <v>45</v>
      </c>
      <c r="F90" s="23">
        <v>108.7</v>
      </c>
      <c r="G90" s="24">
        <v>33</v>
      </c>
      <c r="H90" s="25">
        <v>39</v>
      </c>
      <c r="I90" s="29">
        <v>90000</v>
      </c>
      <c r="J90" s="106" t="s">
        <v>2220</v>
      </c>
      <c r="K90" s="29">
        <v>47000</v>
      </c>
      <c r="L90" s="106" t="s">
        <v>2180</v>
      </c>
      <c r="M90" s="6">
        <f t="shared" si="116"/>
        <v>43000</v>
      </c>
      <c r="N90" s="7">
        <f t="shared" si="117"/>
        <v>0.52222222222222225</v>
      </c>
      <c r="O90" s="12">
        <f t="shared" si="118"/>
        <v>2000</v>
      </c>
      <c r="P90" s="12">
        <f t="shared" si="119"/>
        <v>1044.4444444444443</v>
      </c>
      <c r="Q90" s="13">
        <v>4</v>
      </c>
      <c r="R90" s="13">
        <v>2</v>
      </c>
      <c r="S90" s="13" t="s">
        <v>51</v>
      </c>
      <c r="T90" s="8">
        <v>148</v>
      </c>
      <c r="U90" s="5"/>
      <c r="V90" s="5" t="s">
        <v>1525</v>
      </c>
      <c r="X90" s="23">
        <f t="shared" si="120"/>
        <v>148.19999999999999</v>
      </c>
      <c r="Y90" s="21">
        <f t="shared" si="121"/>
        <v>45</v>
      </c>
      <c r="Z90" s="28">
        <f t="shared" si="122"/>
        <v>39</v>
      </c>
      <c r="AA90" s="6">
        <f t="shared" si="123"/>
        <v>90000</v>
      </c>
      <c r="AB90" s="6">
        <f t="shared" si="124"/>
        <v>47000</v>
      </c>
      <c r="AC90" s="6">
        <f t="shared" si="125"/>
        <v>43000</v>
      </c>
      <c r="AD90" s="7">
        <f t="shared" si="126"/>
        <v>0.52222222222222225</v>
      </c>
      <c r="AE90" s="12">
        <f t="shared" si="127"/>
        <v>2000</v>
      </c>
      <c r="AF90" s="13" t="str">
        <f t="shared" si="128"/>
        <v>계</v>
      </c>
      <c r="AG90" s="13" t="str">
        <f t="shared" si="129"/>
        <v>4/2</v>
      </c>
      <c r="AI90" s="32" t="str">
        <f t="shared" si="103"/>
        <v>안양임곡휴먼시아</v>
      </c>
      <c r="AJ90" s="21">
        <f t="shared" si="92"/>
        <v>45</v>
      </c>
      <c r="AK90" s="13" t="str">
        <f t="shared" si="130"/>
        <v>A-</v>
      </c>
      <c r="AL90" s="13"/>
      <c r="AM90" s="13"/>
      <c r="AN90" s="13"/>
      <c r="AO90" s="13" t="str">
        <f t="shared" si="131"/>
        <v>C</v>
      </c>
      <c r="AP90" s="13" t="str">
        <f t="shared" si="132"/>
        <v>X</v>
      </c>
      <c r="AQ90" s="13" t="str">
        <f t="shared" si="133"/>
        <v>X</v>
      </c>
      <c r="AR90" s="13" t="str">
        <f t="shared" si="134"/>
        <v>X</v>
      </c>
      <c r="AS90" s="13" t="str">
        <f t="shared" si="135"/>
        <v>X</v>
      </c>
      <c r="AT90" s="13" t="s">
        <v>32</v>
      </c>
      <c r="AU90" s="13" t="str">
        <f t="shared" si="136"/>
        <v>X</v>
      </c>
      <c r="AV90" s="13" t="str">
        <f t="shared" si="137"/>
        <v>O</v>
      </c>
      <c r="AW90" s="13" t="str">
        <f t="shared" si="138"/>
        <v>X</v>
      </c>
    </row>
    <row r="91" spans="1:49" x14ac:dyDescent="0.3">
      <c r="A91" s="5"/>
      <c r="B91" s="13"/>
      <c r="C91" s="9"/>
      <c r="D91" s="5"/>
      <c r="E91" s="18"/>
      <c r="F91" s="23"/>
      <c r="G91" s="5"/>
      <c r="H91" s="5"/>
      <c r="I91" s="5"/>
      <c r="J91" s="8"/>
      <c r="K91" s="5"/>
      <c r="L91" s="8"/>
      <c r="M91" s="5"/>
      <c r="N91" s="5"/>
      <c r="O91" s="12"/>
      <c r="P91" s="12"/>
      <c r="Q91" s="21"/>
      <c r="R91" s="21"/>
      <c r="S91" s="5"/>
      <c r="T91" s="59"/>
      <c r="U91" s="5"/>
      <c r="V91" s="5"/>
      <c r="X91" s="90" t="str">
        <f>$A$4&amp;" "&amp;A92&amp;"("&amp;B92&amp;","&amp;C92&amp;"^)"</f>
        <v>비산동 비산힐스테이트('05.11,551^)</v>
      </c>
      <c r="Y91" s="91"/>
      <c r="Z91" s="91"/>
      <c r="AA91" s="91"/>
      <c r="AB91" s="91"/>
      <c r="AC91" s="91"/>
      <c r="AD91" s="91"/>
      <c r="AE91" s="91"/>
      <c r="AF91" s="91"/>
      <c r="AG91" s="92"/>
      <c r="AI91" s="32" t="str">
        <f t="shared" si="103"/>
        <v/>
      </c>
      <c r="AJ91" s="33" t="str">
        <f t="shared" si="92"/>
        <v/>
      </c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</row>
    <row r="92" spans="1:49" x14ac:dyDescent="0.3">
      <c r="A92" s="5" t="s">
        <v>1526</v>
      </c>
      <c r="B92" s="14" t="s">
        <v>1527</v>
      </c>
      <c r="C92" s="25">
        <v>551</v>
      </c>
      <c r="D92" s="23">
        <v>84.6</v>
      </c>
      <c r="E92" s="21">
        <v>26</v>
      </c>
      <c r="F92" s="23">
        <v>60</v>
      </c>
      <c r="G92" s="24">
        <v>18</v>
      </c>
      <c r="H92" s="25">
        <v>197</v>
      </c>
      <c r="I92" s="29">
        <v>52000</v>
      </c>
      <c r="J92" s="106" t="s">
        <v>2136</v>
      </c>
      <c r="K92" s="29">
        <v>35000</v>
      </c>
      <c r="L92" s="106" t="s">
        <v>2226</v>
      </c>
      <c r="M92" s="6">
        <f>I92-K92</f>
        <v>17000</v>
      </c>
      <c r="N92" s="7">
        <f>IF(ISERROR(K92/I92),"",K92/I92)</f>
        <v>0.67307692307692313</v>
      </c>
      <c r="O92" s="12">
        <f>I92/E92</f>
        <v>2000</v>
      </c>
      <c r="P92" s="12">
        <f>K92/E92</f>
        <v>1346.1538461538462</v>
      </c>
      <c r="Q92" s="13">
        <v>3</v>
      </c>
      <c r="R92" s="13">
        <v>2</v>
      </c>
      <c r="S92" s="13" t="s">
        <v>51</v>
      </c>
      <c r="T92" s="8">
        <v>84</v>
      </c>
      <c r="U92" s="5"/>
      <c r="V92" s="5" t="s">
        <v>1528</v>
      </c>
      <c r="X92" s="23">
        <f t="shared" ref="X92:Y94" si="139">D92</f>
        <v>84.6</v>
      </c>
      <c r="Y92" s="21">
        <f t="shared" si="139"/>
        <v>26</v>
      </c>
      <c r="Z92" s="28">
        <f t="shared" ref="Z92:AA94" si="140">H92</f>
        <v>197</v>
      </c>
      <c r="AA92" s="6">
        <f t="shared" si="140"/>
        <v>52000</v>
      </c>
      <c r="AB92" s="6">
        <f>K92</f>
        <v>35000</v>
      </c>
      <c r="AC92" s="6">
        <f t="shared" ref="AC92:AE94" si="141">M92</f>
        <v>17000</v>
      </c>
      <c r="AD92" s="7">
        <f t="shared" si="141"/>
        <v>0.67307692307692313</v>
      </c>
      <c r="AE92" s="12">
        <f t="shared" si="141"/>
        <v>2000</v>
      </c>
      <c r="AF92" s="13" t="str">
        <f>S92</f>
        <v>계</v>
      </c>
      <c r="AG92" s="13" t="str">
        <f>Q92&amp;"/"&amp;R92</f>
        <v>3/2</v>
      </c>
      <c r="AI92" s="32" t="str">
        <f t="shared" si="103"/>
        <v>비산힐스테이트</v>
      </c>
      <c r="AJ92" s="21">
        <f t="shared" si="92"/>
        <v>26</v>
      </c>
      <c r="AK92" s="13" t="str">
        <f>IF(AJ92="","",$AK$2)</f>
        <v>A-</v>
      </c>
      <c r="AL92" s="13"/>
      <c r="AM92" s="13"/>
      <c r="AN92" s="13"/>
      <c r="AO92" s="13" t="str">
        <f>IF(AJ92="","",$AO$2)</f>
        <v>C</v>
      </c>
      <c r="AP92" s="13" t="str">
        <f>IF(N92="","",IF(N92&gt;=$AP$1/100,"O","X"))</f>
        <v>X</v>
      </c>
      <c r="AQ92" s="13" t="str">
        <f>IF(I92="","",IF(I92&lt;=$AQ$1,"O","X"))</f>
        <v>X</v>
      </c>
      <c r="AR92" s="13" t="str">
        <f>IF(O92="","",IF(O92&lt;=$AR$1,"O","X"))</f>
        <v>X</v>
      </c>
      <c r="AS92" s="13" t="str">
        <f>IF(M92="","",IF(M92&lt;=$AS$1,"O","X"))</f>
        <v>X</v>
      </c>
      <c r="AT92" s="13" t="s">
        <v>32</v>
      </c>
      <c r="AU92" s="13" t="str">
        <f>IF(OR(F92="",AJ92=""),"",IF(AND((F92&lt;=85),(AJ92&gt;=15)),"O","X"))</f>
        <v>O</v>
      </c>
      <c r="AV92" s="13" t="str">
        <f>IF(C92="","",IF(C92&gt;=$AV$1,"O","X"))</f>
        <v>O</v>
      </c>
      <c r="AW92" s="13" t="str">
        <f>IF(AP92="","",IF(AND(AP92="O",AQ92="O",AS92="O",AU92="O",AV92="O"),"후보","X"))</f>
        <v>X</v>
      </c>
    </row>
    <row r="93" spans="1:49" x14ac:dyDescent="0.3">
      <c r="A93" s="5" t="s">
        <v>1526</v>
      </c>
      <c r="B93" s="14" t="s">
        <v>1527</v>
      </c>
      <c r="C93" s="25">
        <v>551</v>
      </c>
      <c r="D93" s="23">
        <v>104.2</v>
      </c>
      <c r="E93" s="21">
        <v>32</v>
      </c>
      <c r="F93" s="23">
        <v>82.2</v>
      </c>
      <c r="G93" s="24">
        <v>25</v>
      </c>
      <c r="H93" s="25">
        <v>314</v>
      </c>
      <c r="I93" s="29">
        <v>62000</v>
      </c>
      <c r="J93" s="106" t="s">
        <v>2225</v>
      </c>
      <c r="K93" s="29">
        <v>42000</v>
      </c>
      <c r="L93" s="106" t="s">
        <v>2227</v>
      </c>
      <c r="M93" s="6">
        <f>I93-K93</f>
        <v>20000</v>
      </c>
      <c r="N93" s="7">
        <f>IF(ISERROR(K93/I93),"",K93/I93)</f>
        <v>0.67741935483870963</v>
      </c>
      <c r="O93" s="12">
        <f>I93/E93</f>
        <v>1937.5</v>
      </c>
      <c r="P93" s="12">
        <f>K93/E93</f>
        <v>1312.5</v>
      </c>
      <c r="Q93" s="13">
        <v>3</v>
      </c>
      <c r="R93" s="13">
        <v>2</v>
      </c>
      <c r="S93" s="13" t="s">
        <v>51</v>
      </c>
      <c r="T93" s="8">
        <v>104</v>
      </c>
      <c r="U93" s="5"/>
      <c r="V93" s="5" t="s">
        <v>1529</v>
      </c>
      <c r="X93" s="23">
        <f t="shared" si="139"/>
        <v>104.2</v>
      </c>
      <c r="Y93" s="21">
        <f t="shared" si="139"/>
        <v>32</v>
      </c>
      <c r="Z93" s="28">
        <f t="shared" si="140"/>
        <v>314</v>
      </c>
      <c r="AA93" s="6">
        <f t="shared" si="140"/>
        <v>62000</v>
      </c>
      <c r="AB93" s="6">
        <f>K93</f>
        <v>42000</v>
      </c>
      <c r="AC93" s="6">
        <f t="shared" si="141"/>
        <v>20000</v>
      </c>
      <c r="AD93" s="7">
        <f t="shared" si="141"/>
        <v>0.67741935483870963</v>
      </c>
      <c r="AE93" s="12">
        <f t="shared" si="141"/>
        <v>1937.5</v>
      </c>
      <c r="AF93" s="13" t="str">
        <f>S93</f>
        <v>계</v>
      </c>
      <c r="AG93" s="13" t="str">
        <f>Q93&amp;"/"&amp;R93</f>
        <v>3/2</v>
      </c>
      <c r="AI93" s="32" t="str">
        <f t="shared" si="103"/>
        <v>비산힐스테이트</v>
      </c>
      <c r="AJ93" s="21">
        <f t="shared" si="92"/>
        <v>32</v>
      </c>
      <c r="AK93" s="13" t="str">
        <f>IF(AJ93="","",$AK$2)</f>
        <v>A-</v>
      </c>
      <c r="AL93" s="13"/>
      <c r="AM93" s="13"/>
      <c r="AN93" s="13"/>
      <c r="AO93" s="13" t="str">
        <f>IF(AJ93="","",$AO$2)</f>
        <v>C</v>
      </c>
      <c r="AP93" s="13" t="str">
        <f>IF(N93="","",IF(N93&gt;=$AP$1/100,"O","X"))</f>
        <v>X</v>
      </c>
      <c r="AQ93" s="13" t="str">
        <f>IF(I93="","",IF(I93&lt;=$AQ$1,"O","X"))</f>
        <v>X</v>
      </c>
      <c r="AR93" s="13" t="str">
        <f>IF(O93="","",IF(O93&lt;=$AR$1,"O","X"))</f>
        <v>X</v>
      </c>
      <c r="AS93" s="13" t="str">
        <f>IF(M93="","",IF(M93&lt;=$AS$1,"O","X"))</f>
        <v>X</v>
      </c>
      <c r="AT93" s="13" t="s">
        <v>32</v>
      </c>
      <c r="AU93" s="13" t="str">
        <f>IF(OR(F93="",AJ93=""),"",IF(AND((F93&lt;=85),(AJ93&gt;=15)),"O","X"))</f>
        <v>O</v>
      </c>
      <c r="AV93" s="13" t="str">
        <f>IF(C93="","",IF(C93&gt;=$AV$1,"O","X"))</f>
        <v>O</v>
      </c>
      <c r="AW93" s="13" t="str">
        <f>IF(AP93="","",IF(AND(AP93="O",AQ93="O",AS93="O",AU93="O",AV93="O"),"후보","X"))</f>
        <v>X</v>
      </c>
    </row>
    <row r="94" spans="1:49" x14ac:dyDescent="0.3">
      <c r="A94" s="5" t="s">
        <v>1526</v>
      </c>
      <c r="B94" s="14" t="s">
        <v>1527</v>
      </c>
      <c r="C94" s="25">
        <v>551</v>
      </c>
      <c r="D94" s="23">
        <v>143</v>
      </c>
      <c r="E94" s="21">
        <v>43</v>
      </c>
      <c r="F94" s="23">
        <v>114.9</v>
      </c>
      <c r="G94" s="24">
        <v>35</v>
      </c>
      <c r="H94" s="25">
        <v>40</v>
      </c>
      <c r="I94" s="29">
        <v>85000</v>
      </c>
      <c r="J94" s="106" t="s">
        <v>2161</v>
      </c>
      <c r="K94" s="29">
        <v>42000</v>
      </c>
      <c r="L94" s="106" t="s">
        <v>2228</v>
      </c>
      <c r="M94" s="6">
        <f>I94-K94</f>
        <v>43000</v>
      </c>
      <c r="N94" s="7">
        <f>IF(ISERROR(K94/I94),"",K94/I94)</f>
        <v>0.49411764705882355</v>
      </c>
      <c r="O94" s="12">
        <f>I94/E94</f>
        <v>1976.7441860465117</v>
      </c>
      <c r="P94" s="12">
        <f>K94/E94</f>
        <v>976.74418604651157</v>
      </c>
      <c r="Q94" s="13">
        <v>4</v>
      </c>
      <c r="R94" s="13">
        <v>2</v>
      </c>
      <c r="S94" s="13" t="s">
        <v>51</v>
      </c>
      <c r="T94" s="8">
        <v>143</v>
      </c>
      <c r="U94" s="5" t="s">
        <v>2229</v>
      </c>
      <c r="V94" s="5" t="s">
        <v>1530</v>
      </c>
      <c r="X94" s="23">
        <f t="shared" si="139"/>
        <v>143</v>
      </c>
      <c r="Y94" s="21">
        <f t="shared" si="139"/>
        <v>43</v>
      </c>
      <c r="Z94" s="28">
        <f t="shared" si="140"/>
        <v>40</v>
      </c>
      <c r="AA94" s="6">
        <f t="shared" si="140"/>
        <v>85000</v>
      </c>
      <c r="AB94" s="6">
        <f>K94</f>
        <v>42000</v>
      </c>
      <c r="AC94" s="6">
        <f t="shared" si="141"/>
        <v>43000</v>
      </c>
      <c r="AD94" s="7">
        <f t="shared" si="141"/>
        <v>0.49411764705882355</v>
      </c>
      <c r="AE94" s="12">
        <f t="shared" si="141"/>
        <v>1976.7441860465117</v>
      </c>
      <c r="AF94" s="13" t="str">
        <f>S94</f>
        <v>계</v>
      </c>
      <c r="AG94" s="13" t="str">
        <f>Q94&amp;"/"&amp;R94</f>
        <v>4/2</v>
      </c>
      <c r="AI94" s="32" t="str">
        <f t="shared" si="103"/>
        <v>비산힐스테이트</v>
      </c>
      <c r="AJ94" s="21">
        <f t="shared" si="92"/>
        <v>43</v>
      </c>
      <c r="AK94" s="13" t="str">
        <f>IF(AJ94="","",$AK$2)</f>
        <v>A-</v>
      </c>
      <c r="AL94" s="13"/>
      <c r="AM94" s="13"/>
      <c r="AN94" s="13"/>
      <c r="AO94" s="13" t="str">
        <f>IF(AJ94="","",$AO$2)</f>
        <v>C</v>
      </c>
      <c r="AP94" s="13" t="str">
        <f>IF(N94="","",IF(N94&gt;=$AP$1/100,"O","X"))</f>
        <v>X</v>
      </c>
      <c r="AQ94" s="13" t="str">
        <f>IF(I94="","",IF(I94&lt;=$AQ$1,"O","X"))</f>
        <v>X</v>
      </c>
      <c r="AR94" s="13" t="str">
        <f>IF(O94="","",IF(O94&lt;=$AR$1,"O","X"))</f>
        <v>X</v>
      </c>
      <c r="AS94" s="13" t="str">
        <f>IF(M94="","",IF(M94&lt;=$AS$1,"O","X"))</f>
        <v>X</v>
      </c>
      <c r="AT94" s="13" t="s">
        <v>32</v>
      </c>
      <c r="AU94" s="13" t="str">
        <f>IF(OR(F94="",AJ94=""),"",IF(AND((F94&lt;=85),(AJ94&gt;=15)),"O","X"))</f>
        <v>X</v>
      </c>
      <c r="AV94" s="13" t="str">
        <f>IF(C94="","",IF(C94&gt;=$AV$1,"O","X"))</f>
        <v>O</v>
      </c>
      <c r="AW94" s="13" t="str">
        <f>IF(AP94="","",IF(AND(AP94="O",AQ94="O",AS94="O",AU94="O",AV94="O"),"후보","X"))</f>
        <v>X</v>
      </c>
    </row>
    <row r="95" spans="1:49" x14ac:dyDescent="0.3">
      <c r="A95" s="5"/>
      <c r="B95" s="13"/>
      <c r="C95" s="9"/>
      <c r="D95" s="5"/>
      <c r="E95" s="18"/>
      <c r="F95" s="23"/>
      <c r="G95" s="5"/>
      <c r="H95" s="5"/>
      <c r="I95" s="5"/>
      <c r="J95" s="8"/>
      <c r="K95" s="5"/>
      <c r="L95" s="8"/>
      <c r="M95" s="5"/>
      <c r="N95" s="5"/>
      <c r="O95" s="12"/>
      <c r="P95" s="12"/>
      <c r="Q95" s="21"/>
      <c r="R95" s="21"/>
      <c r="S95" s="5"/>
      <c r="T95" s="59"/>
      <c r="U95" s="5"/>
      <c r="V95" s="5"/>
      <c r="X95" s="90" t="str">
        <f>$A$4&amp;" "&amp;A96&amp;"("&amp;B96&amp;","&amp;C96&amp;"^)"</f>
        <v>비산동 평촌자이아이파크('22.01,2737^)</v>
      </c>
      <c r="Y95" s="91"/>
      <c r="Z95" s="91"/>
      <c r="AA95" s="91"/>
      <c r="AB95" s="91"/>
      <c r="AC95" s="91"/>
      <c r="AD95" s="91"/>
      <c r="AE95" s="91"/>
      <c r="AF95" s="91"/>
      <c r="AG95" s="92"/>
      <c r="AI95" s="32" t="str">
        <f t="shared" si="103"/>
        <v/>
      </c>
      <c r="AJ95" s="33" t="str">
        <f t="shared" si="92"/>
        <v/>
      </c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</row>
    <row r="96" spans="1:49" x14ac:dyDescent="0.3">
      <c r="A96" s="5" t="s">
        <v>1531</v>
      </c>
      <c r="B96" s="14" t="s">
        <v>1532</v>
      </c>
      <c r="C96" s="25">
        <v>2737</v>
      </c>
      <c r="D96" s="23">
        <v>59.1</v>
      </c>
      <c r="E96" s="21">
        <v>18</v>
      </c>
      <c r="F96" s="23">
        <v>39.9</v>
      </c>
      <c r="G96" s="24">
        <v>12</v>
      </c>
      <c r="H96" s="25">
        <v>169</v>
      </c>
      <c r="I96" s="29">
        <v>42000</v>
      </c>
      <c r="J96" s="106" t="s">
        <v>2230</v>
      </c>
      <c r="K96" s="29">
        <v>28747</v>
      </c>
      <c r="L96" s="106" t="s">
        <v>2241</v>
      </c>
      <c r="M96" s="6">
        <f t="shared" ref="M96:M109" si="142">I96-K96</f>
        <v>13253</v>
      </c>
      <c r="N96" s="7">
        <f t="shared" ref="N96:N109" si="143">IF(ISERROR(K96/I96),"",K96/I96)</f>
        <v>0.68445238095238092</v>
      </c>
      <c r="O96" s="12">
        <f t="shared" ref="O96:O109" si="144">I96/E96</f>
        <v>2333.3333333333335</v>
      </c>
      <c r="P96" s="12">
        <f t="shared" ref="P96:P109" si="145">K96/E96</f>
        <v>1597.0555555555557</v>
      </c>
      <c r="Q96" s="13">
        <v>2</v>
      </c>
      <c r="R96" s="13">
        <v>1</v>
      </c>
      <c r="S96" s="13" t="s">
        <v>1356</v>
      </c>
      <c r="T96" s="8">
        <v>59</v>
      </c>
      <c r="U96" s="5"/>
      <c r="V96" s="5" t="s">
        <v>1533</v>
      </c>
      <c r="X96" s="23">
        <f t="shared" ref="X96:X109" si="146">D96</f>
        <v>59.1</v>
      </c>
      <c r="Y96" s="21">
        <f t="shared" ref="Y96:Y109" si="147">E96</f>
        <v>18</v>
      </c>
      <c r="Z96" s="28">
        <f t="shared" ref="Z96:Z109" si="148">H96</f>
        <v>169</v>
      </c>
      <c r="AA96" s="6">
        <f t="shared" ref="AA96:AA109" si="149">I96</f>
        <v>42000</v>
      </c>
      <c r="AB96" s="6">
        <f t="shared" ref="AB96:AB109" si="150">K96</f>
        <v>28747</v>
      </c>
      <c r="AC96" s="6">
        <f t="shared" ref="AC96:AC109" si="151">M96</f>
        <v>13253</v>
      </c>
      <c r="AD96" s="7">
        <f t="shared" ref="AD96:AD109" si="152">N96</f>
        <v>0.68445238095238092</v>
      </c>
      <c r="AE96" s="12">
        <f t="shared" ref="AE96:AE109" si="153">O96</f>
        <v>2333.3333333333335</v>
      </c>
      <c r="AF96" s="13" t="str">
        <f t="shared" ref="AF96:AF109" si="154">S96</f>
        <v>복</v>
      </c>
      <c r="AG96" s="13" t="str">
        <f t="shared" ref="AG96:AG109" si="155">Q96&amp;"/"&amp;R96</f>
        <v>2/1</v>
      </c>
      <c r="AI96" s="32" t="str">
        <f t="shared" si="103"/>
        <v>평촌자이아이파크</v>
      </c>
      <c r="AJ96" s="21">
        <f t="shared" si="92"/>
        <v>18</v>
      </c>
      <c r="AK96" s="13" t="str">
        <f t="shared" ref="AK96:AK109" si="156">IF(AJ96="","",$AK$2)</f>
        <v>A-</v>
      </c>
      <c r="AL96" s="13"/>
      <c r="AM96" s="13"/>
      <c r="AN96" s="13"/>
      <c r="AO96" s="13" t="str">
        <f t="shared" ref="AO96:AO109" si="157">IF(AJ96="","",$AO$2)</f>
        <v>C</v>
      </c>
      <c r="AP96" s="13" t="str">
        <f t="shared" ref="AP96:AP109" si="158">IF(N96="","",IF(N96&gt;=$AP$1/100,"O","X"))</f>
        <v>X</v>
      </c>
      <c r="AQ96" s="13" t="str">
        <f t="shared" ref="AQ96:AQ109" si="159">IF(I96="","",IF(I96&lt;=$AQ$1,"O","X"))</f>
        <v>O</v>
      </c>
      <c r="AR96" s="13" t="str">
        <f t="shared" ref="AR96:AR109" si="160">IF(O96="","",IF(O96&lt;=$AR$1,"O","X"))</f>
        <v>X</v>
      </c>
      <c r="AS96" s="13" t="str">
        <f t="shared" ref="AS96:AS109" si="161">IF(M96="","",IF(M96&lt;=$AS$1,"O","X"))</f>
        <v>X</v>
      </c>
      <c r="AT96" s="13" t="s">
        <v>32</v>
      </c>
      <c r="AU96" s="13" t="str">
        <f t="shared" ref="AU96:AU109" si="162">IF(OR(F96="",AJ96=""),"",IF(AND((F96&lt;=85),(AJ96&gt;=15)),"O","X"))</f>
        <v>O</v>
      </c>
      <c r="AV96" s="13" t="str">
        <f t="shared" ref="AV96:AV109" si="163">IF(C96="","",IF(C96&gt;=$AV$1,"O","X"))</f>
        <v>O</v>
      </c>
      <c r="AW96" s="13" t="str">
        <f t="shared" ref="AW96:AW109" si="164">IF(AP96="","",IF(AND(AP96="O",AQ96="O",AS96="O",AU96="O",AV96="O"),"후보","X"))</f>
        <v>X</v>
      </c>
    </row>
    <row r="97" spans="1:49" x14ac:dyDescent="0.3">
      <c r="A97" s="5" t="s">
        <v>1531</v>
      </c>
      <c r="B97" s="14" t="s">
        <v>1532</v>
      </c>
      <c r="C97" s="25">
        <v>2737</v>
      </c>
      <c r="D97" s="23">
        <v>68.599999999999994</v>
      </c>
      <c r="E97" s="21">
        <v>21</v>
      </c>
      <c r="F97" s="23">
        <v>45.6</v>
      </c>
      <c r="G97" s="24">
        <v>14</v>
      </c>
      <c r="H97" s="25">
        <v>113</v>
      </c>
      <c r="I97" s="29">
        <v>53000</v>
      </c>
      <c r="J97" s="106" t="s">
        <v>2226</v>
      </c>
      <c r="K97" s="29">
        <v>35000</v>
      </c>
      <c r="L97" s="106" t="s">
        <v>2242</v>
      </c>
      <c r="M97" s="6">
        <f t="shared" si="142"/>
        <v>18000</v>
      </c>
      <c r="N97" s="7">
        <f t="shared" si="143"/>
        <v>0.660377358490566</v>
      </c>
      <c r="O97" s="12">
        <f t="shared" si="144"/>
        <v>2523.8095238095239</v>
      </c>
      <c r="P97" s="12">
        <f t="shared" si="145"/>
        <v>1666.6666666666667</v>
      </c>
      <c r="Q97" s="13">
        <v>2</v>
      </c>
      <c r="R97" s="13">
        <v>1</v>
      </c>
      <c r="S97" s="13" t="s">
        <v>1356</v>
      </c>
      <c r="T97" s="8">
        <v>68</v>
      </c>
      <c r="U97" s="5"/>
      <c r="V97" s="5" t="s">
        <v>1534</v>
      </c>
      <c r="X97" s="23">
        <f t="shared" si="146"/>
        <v>68.599999999999994</v>
      </c>
      <c r="Y97" s="21">
        <f t="shared" si="147"/>
        <v>21</v>
      </c>
      <c r="Z97" s="28">
        <f t="shared" si="148"/>
        <v>113</v>
      </c>
      <c r="AA97" s="6">
        <f t="shared" si="149"/>
        <v>53000</v>
      </c>
      <c r="AB97" s="6">
        <f t="shared" si="150"/>
        <v>35000</v>
      </c>
      <c r="AC97" s="6">
        <f t="shared" si="151"/>
        <v>18000</v>
      </c>
      <c r="AD97" s="7">
        <f t="shared" si="152"/>
        <v>0.660377358490566</v>
      </c>
      <c r="AE97" s="12">
        <f t="shared" si="153"/>
        <v>2523.8095238095239</v>
      </c>
      <c r="AF97" s="13" t="str">
        <f t="shared" si="154"/>
        <v>복</v>
      </c>
      <c r="AG97" s="13" t="str">
        <f t="shared" si="155"/>
        <v>2/1</v>
      </c>
      <c r="AI97" s="32" t="str">
        <f t="shared" si="103"/>
        <v>평촌자이아이파크</v>
      </c>
      <c r="AJ97" s="21">
        <f t="shared" si="92"/>
        <v>21</v>
      </c>
      <c r="AK97" s="13" t="str">
        <f t="shared" si="156"/>
        <v>A-</v>
      </c>
      <c r="AL97" s="13"/>
      <c r="AM97" s="13"/>
      <c r="AN97" s="13"/>
      <c r="AO97" s="13" t="str">
        <f t="shared" si="157"/>
        <v>C</v>
      </c>
      <c r="AP97" s="13" t="str">
        <f t="shared" si="158"/>
        <v>X</v>
      </c>
      <c r="AQ97" s="13" t="str">
        <f t="shared" si="159"/>
        <v>X</v>
      </c>
      <c r="AR97" s="13" t="str">
        <f t="shared" si="160"/>
        <v>X</v>
      </c>
      <c r="AS97" s="13" t="str">
        <f t="shared" si="161"/>
        <v>X</v>
      </c>
      <c r="AT97" s="13" t="s">
        <v>32</v>
      </c>
      <c r="AU97" s="13" t="str">
        <f t="shared" si="162"/>
        <v>O</v>
      </c>
      <c r="AV97" s="13" t="str">
        <f t="shared" si="163"/>
        <v>O</v>
      </c>
      <c r="AW97" s="13" t="str">
        <f t="shared" si="164"/>
        <v>X</v>
      </c>
    </row>
    <row r="98" spans="1:49" x14ac:dyDescent="0.3">
      <c r="A98" s="5" t="s">
        <v>1531</v>
      </c>
      <c r="B98" s="14" t="s">
        <v>1532</v>
      </c>
      <c r="C98" s="25">
        <v>2737</v>
      </c>
      <c r="D98" s="23">
        <v>69.5</v>
      </c>
      <c r="E98" s="21">
        <v>21</v>
      </c>
      <c r="F98" s="23">
        <v>50</v>
      </c>
      <c r="G98" s="24">
        <v>15</v>
      </c>
      <c r="H98" s="25">
        <v>150</v>
      </c>
      <c r="I98" s="29">
        <v>63000</v>
      </c>
      <c r="J98" s="106" t="s">
        <v>2231</v>
      </c>
      <c r="K98" s="29">
        <v>40000</v>
      </c>
      <c r="L98" s="106" t="s">
        <v>2243</v>
      </c>
      <c r="M98" s="6">
        <f t="shared" si="142"/>
        <v>23000</v>
      </c>
      <c r="N98" s="7">
        <f t="shared" si="143"/>
        <v>0.63492063492063489</v>
      </c>
      <c r="O98" s="12">
        <f t="shared" si="144"/>
        <v>3000</v>
      </c>
      <c r="P98" s="12">
        <f t="shared" si="145"/>
        <v>1904.7619047619048</v>
      </c>
      <c r="Q98" s="13">
        <v>2</v>
      </c>
      <c r="R98" s="13">
        <v>1</v>
      </c>
      <c r="S98" s="13" t="s">
        <v>51</v>
      </c>
      <c r="T98" s="8" t="s">
        <v>440</v>
      </c>
      <c r="U98" s="5"/>
      <c r="V98" s="5" t="s">
        <v>1534</v>
      </c>
      <c r="X98" s="23">
        <f t="shared" si="146"/>
        <v>69.5</v>
      </c>
      <c r="Y98" s="21">
        <f t="shared" si="147"/>
        <v>21</v>
      </c>
      <c r="Z98" s="28">
        <f t="shared" si="148"/>
        <v>150</v>
      </c>
      <c r="AA98" s="6">
        <f t="shared" si="149"/>
        <v>63000</v>
      </c>
      <c r="AB98" s="6">
        <f t="shared" si="150"/>
        <v>40000</v>
      </c>
      <c r="AC98" s="6">
        <f t="shared" si="151"/>
        <v>23000</v>
      </c>
      <c r="AD98" s="7">
        <f t="shared" si="152"/>
        <v>0.63492063492063489</v>
      </c>
      <c r="AE98" s="12">
        <f t="shared" si="153"/>
        <v>3000</v>
      </c>
      <c r="AF98" s="13" t="str">
        <f t="shared" si="154"/>
        <v>계</v>
      </c>
      <c r="AG98" s="13" t="str">
        <f t="shared" si="155"/>
        <v>2/1</v>
      </c>
      <c r="AI98" s="32" t="str">
        <f t="shared" si="103"/>
        <v>평촌자이아이파크</v>
      </c>
      <c r="AJ98" s="21">
        <f t="shared" si="92"/>
        <v>21</v>
      </c>
      <c r="AK98" s="13" t="str">
        <f t="shared" si="156"/>
        <v>A-</v>
      </c>
      <c r="AL98" s="13"/>
      <c r="AM98" s="13"/>
      <c r="AN98" s="13"/>
      <c r="AO98" s="13" t="str">
        <f t="shared" si="157"/>
        <v>C</v>
      </c>
      <c r="AP98" s="13" t="str">
        <f t="shared" si="158"/>
        <v>X</v>
      </c>
      <c r="AQ98" s="13" t="str">
        <f t="shared" si="159"/>
        <v>X</v>
      </c>
      <c r="AR98" s="13" t="str">
        <f t="shared" si="160"/>
        <v>X</v>
      </c>
      <c r="AS98" s="13" t="str">
        <f t="shared" si="161"/>
        <v>X</v>
      </c>
      <c r="AT98" s="13" t="s">
        <v>32</v>
      </c>
      <c r="AU98" s="13" t="str">
        <f t="shared" si="162"/>
        <v>O</v>
      </c>
      <c r="AV98" s="13" t="str">
        <f t="shared" si="163"/>
        <v>O</v>
      </c>
      <c r="AW98" s="13" t="str">
        <f t="shared" si="164"/>
        <v>X</v>
      </c>
    </row>
    <row r="99" spans="1:49" x14ac:dyDescent="0.3">
      <c r="A99" s="5" t="s">
        <v>1531</v>
      </c>
      <c r="B99" s="14" t="s">
        <v>1532</v>
      </c>
      <c r="C99" s="25">
        <v>2737</v>
      </c>
      <c r="D99" s="23">
        <v>69.400000000000006</v>
      </c>
      <c r="E99" s="21">
        <v>21</v>
      </c>
      <c r="F99" s="23">
        <v>50</v>
      </c>
      <c r="G99" s="24">
        <v>15</v>
      </c>
      <c r="H99" s="25">
        <v>101</v>
      </c>
      <c r="I99" s="29">
        <v>70000</v>
      </c>
      <c r="J99" s="106" t="s">
        <v>2232</v>
      </c>
      <c r="K99" s="29">
        <v>42000</v>
      </c>
      <c r="L99" s="106" t="s">
        <v>2244</v>
      </c>
      <c r="M99" s="6">
        <f t="shared" si="142"/>
        <v>28000</v>
      </c>
      <c r="N99" s="7">
        <f t="shared" si="143"/>
        <v>0.6</v>
      </c>
      <c r="O99" s="12">
        <f t="shared" si="144"/>
        <v>3333.3333333333335</v>
      </c>
      <c r="P99" s="12">
        <f t="shared" si="145"/>
        <v>2000</v>
      </c>
      <c r="Q99" s="13">
        <v>2</v>
      </c>
      <c r="R99" s="13">
        <v>1</v>
      </c>
      <c r="S99" s="13" t="s">
        <v>51</v>
      </c>
      <c r="T99" s="8" t="s">
        <v>276</v>
      </c>
      <c r="U99" s="5"/>
      <c r="V99" s="5" t="s">
        <v>1534</v>
      </c>
      <c r="X99" s="23">
        <f t="shared" si="146"/>
        <v>69.400000000000006</v>
      </c>
      <c r="Y99" s="21">
        <f t="shared" si="147"/>
        <v>21</v>
      </c>
      <c r="Z99" s="28">
        <f t="shared" si="148"/>
        <v>101</v>
      </c>
      <c r="AA99" s="6">
        <f t="shared" si="149"/>
        <v>70000</v>
      </c>
      <c r="AB99" s="6">
        <f t="shared" si="150"/>
        <v>42000</v>
      </c>
      <c r="AC99" s="6">
        <f t="shared" si="151"/>
        <v>28000</v>
      </c>
      <c r="AD99" s="7">
        <f t="shared" si="152"/>
        <v>0.6</v>
      </c>
      <c r="AE99" s="12">
        <f t="shared" si="153"/>
        <v>3333.3333333333335</v>
      </c>
      <c r="AF99" s="13" t="str">
        <f t="shared" si="154"/>
        <v>계</v>
      </c>
      <c r="AG99" s="13" t="str">
        <f t="shared" si="155"/>
        <v>2/1</v>
      </c>
      <c r="AI99" s="32" t="str">
        <f t="shared" si="103"/>
        <v>평촌자이아이파크</v>
      </c>
      <c r="AJ99" s="21">
        <f t="shared" si="92"/>
        <v>21</v>
      </c>
      <c r="AK99" s="13" t="str">
        <f t="shared" si="156"/>
        <v>A-</v>
      </c>
      <c r="AL99" s="13"/>
      <c r="AM99" s="13"/>
      <c r="AN99" s="13"/>
      <c r="AO99" s="13" t="str">
        <f t="shared" si="157"/>
        <v>C</v>
      </c>
      <c r="AP99" s="13" t="str">
        <f t="shared" si="158"/>
        <v>X</v>
      </c>
      <c r="AQ99" s="13" t="str">
        <f t="shared" si="159"/>
        <v>X</v>
      </c>
      <c r="AR99" s="13" t="str">
        <f t="shared" si="160"/>
        <v>X</v>
      </c>
      <c r="AS99" s="13" t="str">
        <f t="shared" si="161"/>
        <v>X</v>
      </c>
      <c r="AT99" s="13" t="s">
        <v>32</v>
      </c>
      <c r="AU99" s="13" t="str">
        <f t="shared" si="162"/>
        <v>O</v>
      </c>
      <c r="AV99" s="13" t="str">
        <f t="shared" si="163"/>
        <v>O</v>
      </c>
      <c r="AW99" s="13" t="str">
        <f t="shared" si="164"/>
        <v>X</v>
      </c>
    </row>
    <row r="100" spans="1:49" x14ac:dyDescent="0.3">
      <c r="A100" s="5" t="s">
        <v>1531</v>
      </c>
      <c r="B100" s="14" t="s">
        <v>1532</v>
      </c>
      <c r="C100" s="25">
        <v>2737</v>
      </c>
      <c r="D100" s="23">
        <v>70</v>
      </c>
      <c r="E100" s="21">
        <v>21</v>
      </c>
      <c r="F100" s="23">
        <v>49.8</v>
      </c>
      <c r="G100" s="24">
        <v>15</v>
      </c>
      <c r="H100" s="25">
        <v>49</v>
      </c>
      <c r="I100" s="29">
        <v>67000</v>
      </c>
      <c r="J100" s="106" t="s">
        <v>2233</v>
      </c>
      <c r="K100" s="29">
        <v>45000</v>
      </c>
      <c r="L100" s="106" t="s">
        <v>2245</v>
      </c>
      <c r="M100" s="6">
        <f t="shared" si="142"/>
        <v>22000</v>
      </c>
      <c r="N100" s="7">
        <f t="shared" si="143"/>
        <v>0.67164179104477617</v>
      </c>
      <c r="O100" s="12">
        <f t="shared" si="144"/>
        <v>3190.4761904761904</v>
      </c>
      <c r="P100" s="12">
        <f t="shared" si="145"/>
        <v>2142.8571428571427</v>
      </c>
      <c r="Q100" s="13">
        <v>2</v>
      </c>
      <c r="R100" s="13">
        <v>1</v>
      </c>
      <c r="S100" s="13" t="s">
        <v>51</v>
      </c>
      <c r="T100" s="8" t="s">
        <v>574</v>
      </c>
      <c r="U100" s="5" t="s">
        <v>2246</v>
      </c>
      <c r="V100" s="5" t="s">
        <v>1535</v>
      </c>
      <c r="X100" s="23">
        <f t="shared" si="146"/>
        <v>70</v>
      </c>
      <c r="Y100" s="21">
        <f t="shared" si="147"/>
        <v>21</v>
      </c>
      <c r="Z100" s="28">
        <f t="shared" si="148"/>
        <v>49</v>
      </c>
      <c r="AA100" s="6">
        <f t="shared" si="149"/>
        <v>67000</v>
      </c>
      <c r="AB100" s="6">
        <f t="shared" si="150"/>
        <v>45000</v>
      </c>
      <c r="AC100" s="6">
        <f t="shared" si="151"/>
        <v>22000</v>
      </c>
      <c r="AD100" s="7">
        <f t="shared" si="152"/>
        <v>0.67164179104477617</v>
      </c>
      <c r="AE100" s="12">
        <f t="shared" si="153"/>
        <v>3190.4761904761904</v>
      </c>
      <c r="AF100" s="13" t="str">
        <f t="shared" si="154"/>
        <v>계</v>
      </c>
      <c r="AG100" s="13" t="str">
        <f t="shared" si="155"/>
        <v>2/1</v>
      </c>
      <c r="AI100" s="32" t="str">
        <f t="shared" si="103"/>
        <v>평촌자이아이파크</v>
      </c>
      <c r="AJ100" s="21">
        <f t="shared" si="92"/>
        <v>21</v>
      </c>
      <c r="AK100" s="13" t="str">
        <f t="shared" si="156"/>
        <v>A-</v>
      </c>
      <c r="AL100" s="13"/>
      <c r="AM100" s="13"/>
      <c r="AN100" s="13"/>
      <c r="AO100" s="13" t="str">
        <f t="shared" si="157"/>
        <v>C</v>
      </c>
      <c r="AP100" s="13" t="str">
        <f t="shared" si="158"/>
        <v>X</v>
      </c>
      <c r="AQ100" s="13" t="str">
        <f t="shared" si="159"/>
        <v>X</v>
      </c>
      <c r="AR100" s="13" t="str">
        <f t="shared" si="160"/>
        <v>X</v>
      </c>
      <c r="AS100" s="13" t="str">
        <f t="shared" si="161"/>
        <v>X</v>
      </c>
      <c r="AT100" s="13" t="s">
        <v>32</v>
      </c>
      <c r="AU100" s="13" t="str">
        <f t="shared" si="162"/>
        <v>O</v>
      </c>
      <c r="AV100" s="13" t="str">
        <f t="shared" si="163"/>
        <v>O</v>
      </c>
      <c r="AW100" s="13" t="str">
        <f t="shared" si="164"/>
        <v>X</v>
      </c>
    </row>
    <row r="101" spans="1:49" x14ac:dyDescent="0.3">
      <c r="A101" s="5" t="s">
        <v>1531</v>
      </c>
      <c r="B101" s="14" t="s">
        <v>1532</v>
      </c>
      <c r="C101" s="25">
        <v>2737</v>
      </c>
      <c r="D101" s="23">
        <v>83.8</v>
      </c>
      <c r="E101" s="21">
        <v>25</v>
      </c>
      <c r="F101" s="23">
        <v>60</v>
      </c>
      <c r="G101" s="24">
        <v>18</v>
      </c>
      <c r="H101" s="25">
        <v>671</v>
      </c>
      <c r="I101" s="29">
        <v>75000</v>
      </c>
      <c r="J101" s="106" t="s">
        <v>2234</v>
      </c>
      <c r="K101" s="29"/>
      <c r="L101" s="106"/>
      <c r="M101" s="6">
        <f t="shared" si="142"/>
        <v>75000</v>
      </c>
      <c r="N101" s="7">
        <f t="shared" si="143"/>
        <v>0</v>
      </c>
      <c r="O101" s="12">
        <f t="shared" si="144"/>
        <v>3000</v>
      </c>
      <c r="P101" s="12">
        <f t="shared" si="145"/>
        <v>0</v>
      </c>
      <c r="Q101" s="13">
        <v>3</v>
      </c>
      <c r="R101" s="13">
        <v>2</v>
      </c>
      <c r="S101" s="13" t="s">
        <v>51</v>
      </c>
      <c r="T101" s="8" t="s">
        <v>575</v>
      </c>
      <c r="U101" s="5"/>
      <c r="V101" s="5" t="s">
        <v>1536</v>
      </c>
      <c r="X101" s="23">
        <f t="shared" si="146"/>
        <v>83.8</v>
      </c>
      <c r="Y101" s="21">
        <f t="shared" si="147"/>
        <v>25</v>
      </c>
      <c r="Z101" s="28">
        <f t="shared" si="148"/>
        <v>671</v>
      </c>
      <c r="AA101" s="6">
        <f t="shared" si="149"/>
        <v>75000</v>
      </c>
      <c r="AB101" s="6">
        <f t="shared" si="150"/>
        <v>0</v>
      </c>
      <c r="AC101" s="6">
        <f t="shared" si="151"/>
        <v>75000</v>
      </c>
      <c r="AD101" s="7">
        <f t="shared" si="152"/>
        <v>0</v>
      </c>
      <c r="AE101" s="12">
        <f t="shared" si="153"/>
        <v>3000</v>
      </c>
      <c r="AF101" s="13" t="str">
        <f t="shared" si="154"/>
        <v>계</v>
      </c>
      <c r="AG101" s="13" t="str">
        <f t="shared" si="155"/>
        <v>3/2</v>
      </c>
      <c r="AI101" s="32" t="str">
        <f t="shared" si="103"/>
        <v>평촌자이아이파크</v>
      </c>
      <c r="AJ101" s="21">
        <f t="shared" si="92"/>
        <v>25</v>
      </c>
      <c r="AK101" s="13" t="str">
        <f t="shared" si="156"/>
        <v>A-</v>
      </c>
      <c r="AL101" s="13"/>
      <c r="AM101" s="13"/>
      <c r="AN101" s="13"/>
      <c r="AO101" s="13" t="str">
        <f t="shared" si="157"/>
        <v>C</v>
      </c>
      <c r="AP101" s="13" t="str">
        <f t="shared" si="158"/>
        <v>X</v>
      </c>
      <c r="AQ101" s="13" t="str">
        <f t="shared" si="159"/>
        <v>X</v>
      </c>
      <c r="AR101" s="13" t="str">
        <f t="shared" si="160"/>
        <v>X</v>
      </c>
      <c r="AS101" s="13" t="str">
        <f t="shared" si="161"/>
        <v>X</v>
      </c>
      <c r="AT101" s="13" t="s">
        <v>32</v>
      </c>
      <c r="AU101" s="13" t="str">
        <f t="shared" si="162"/>
        <v>O</v>
      </c>
      <c r="AV101" s="13" t="str">
        <f t="shared" si="163"/>
        <v>O</v>
      </c>
      <c r="AW101" s="13" t="str">
        <f t="shared" si="164"/>
        <v>X</v>
      </c>
    </row>
    <row r="102" spans="1:49" x14ac:dyDescent="0.3">
      <c r="A102" s="5" t="s">
        <v>1531</v>
      </c>
      <c r="B102" s="14" t="s">
        <v>1532</v>
      </c>
      <c r="C102" s="25">
        <v>2737</v>
      </c>
      <c r="D102" s="23">
        <v>84</v>
      </c>
      <c r="E102" s="21">
        <v>25</v>
      </c>
      <c r="F102" s="23">
        <v>60</v>
      </c>
      <c r="G102" s="24">
        <v>18</v>
      </c>
      <c r="H102" s="25">
        <v>45</v>
      </c>
      <c r="I102" s="29">
        <v>81045</v>
      </c>
      <c r="J102" s="106" t="s">
        <v>2208</v>
      </c>
      <c r="K102" s="29"/>
      <c r="L102" s="106"/>
      <c r="M102" s="6">
        <f t="shared" si="142"/>
        <v>81045</v>
      </c>
      <c r="N102" s="7">
        <f t="shared" si="143"/>
        <v>0</v>
      </c>
      <c r="O102" s="12">
        <f t="shared" si="144"/>
        <v>3241.8</v>
      </c>
      <c r="P102" s="12">
        <f t="shared" si="145"/>
        <v>0</v>
      </c>
      <c r="Q102" s="13">
        <v>3</v>
      </c>
      <c r="R102" s="13">
        <v>2</v>
      </c>
      <c r="S102" s="13" t="s">
        <v>51</v>
      </c>
      <c r="T102" s="8" t="s">
        <v>576</v>
      </c>
      <c r="U102" s="5" t="s">
        <v>2235</v>
      </c>
      <c r="V102" s="5" t="s">
        <v>1536</v>
      </c>
      <c r="X102" s="23">
        <f t="shared" si="146"/>
        <v>84</v>
      </c>
      <c r="Y102" s="21">
        <f t="shared" si="147"/>
        <v>25</v>
      </c>
      <c r="Z102" s="28">
        <f t="shared" si="148"/>
        <v>45</v>
      </c>
      <c r="AA102" s="6">
        <f t="shared" si="149"/>
        <v>81045</v>
      </c>
      <c r="AB102" s="6">
        <f t="shared" si="150"/>
        <v>0</v>
      </c>
      <c r="AC102" s="6">
        <f t="shared" si="151"/>
        <v>81045</v>
      </c>
      <c r="AD102" s="7">
        <f t="shared" si="152"/>
        <v>0</v>
      </c>
      <c r="AE102" s="12">
        <f t="shared" si="153"/>
        <v>3241.8</v>
      </c>
      <c r="AF102" s="13" t="str">
        <f t="shared" si="154"/>
        <v>계</v>
      </c>
      <c r="AG102" s="13" t="str">
        <f t="shared" si="155"/>
        <v>3/2</v>
      </c>
      <c r="AI102" s="32" t="str">
        <f t="shared" si="103"/>
        <v>평촌자이아이파크</v>
      </c>
      <c r="AJ102" s="21">
        <f t="shared" si="92"/>
        <v>25</v>
      </c>
      <c r="AK102" s="13" t="str">
        <f t="shared" si="156"/>
        <v>A-</v>
      </c>
      <c r="AL102" s="13"/>
      <c r="AM102" s="13"/>
      <c r="AN102" s="13"/>
      <c r="AO102" s="13" t="str">
        <f t="shared" si="157"/>
        <v>C</v>
      </c>
      <c r="AP102" s="13" t="str">
        <f t="shared" si="158"/>
        <v>X</v>
      </c>
      <c r="AQ102" s="13" t="str">
        <f t="shared" si="159"/>
        <v>X</v>
      </c>
      <c r="AR102" s="13" t="str">
        <f t="shared" si="160"/>
        <v>X</v>
      </c>
      <c r="AS102" s="13" t="str">
        <f t="shared" si="161"/>
        <v>X</v>
      </c>
      <c r="AT102" s="13" t="s">
        <v>32</v>
      </c>
      <c r="AU102" s="13" t="str">
        <f t="shared" si="162"/>
        <v>O</v>
      </c>
      <c r="AV102" s="13" t="str">
        <f t="shared" si="163"/>
        <v>O</v>
      </c>
      <c r="AW102" s="13" t="str">
        <f t="shared" si="164"/>
        <v>X</v>
      </c>
    </row>
    <row r="103" spans="1:49" x14ac:dyDescent="0.3">
      <c r="A103" s="5" t="s">
        <v>1531</v>
      </c>
      <c r="B103" s="14" t="s">
        <v>1532</v>
      </c>
      <c r="C103" s="25">
        <v>2737</v>
      </c>
      <c r="D103" s="23">
        <v>84.2</v>
      </c>
      <c r="E103" s="21">
        <v>25</v>
      </c>
      <c r="F103" s="23">
        <v>60</v>
      </c>
      <c r="G103" s="24">
        <v>18</v>
      </c>
      <c r="H103" s="25">
        <v>158</v>
      </c>
      <c r="I103" s="29">
        <v>75000</v>
      </c>
      <c r="J103" s="106" t="s">
        <v>2236</v>
      </c>
      <c r="K103" s="29"/>
      <c r="L103" s="106"/>
      <c r="M103" s="6">
        <f t="shared" si="142"/>
        <v>75000</v>
      </c>
      <c r="N103" s="7">
        <f t="shared" si="143"/>
        <v>0</v>
      </c>
      <c r="O103" s="12">
        <f t="shared" si="144"/>
        <v>3000</v>
      </c>
      <c r="P103" s="12">
        <f t="shared" si="145"/>
        <v>0</v>
      </c>
      <c r="Q103" s="13">
        <v>3</v>
      </c>
      <c r="R103" s="13">
        <v>2</v>
      </c>
      <c r="S103" s="13" t="s">
        <v>51</v>
      </c>
      <c r="T103" s="8" t="s">
        <v>108</v>
      </c>
      <c r="U103" s="5"/>
      <c r="V103" s="5" t="s">
        <v>1536</v>
      </c>
      <c r="X103" s="23">
        <f t="shared" si="146"/>
        <v>84.2</v>
      </c>
      <c r="Y103" s="21">
        <f t="shared" si="147"/>
        <v>25</v>
      </c>
      <c r="Z103" s="28">
        <f t="shared" si="148"/>
        <v>158</v>
      </c>
      <c r="AA103" s="6">
        <f t="shared" si="149"/>
        <v>75000</v>
      </c>
      <c r="AB103" s="6">
        <f t="shared" si="150"/>
        <v>0</v>
      </c>
      <c r="AC103" s="6">
        <f t="shared" si="151"/>
        <v>75000</v>
      </c>
      <c r="AD103" s="7">
        <f t="shared" si="152"/>
        <v>0</v>
      </c>
      <c r="AE103" s="12">
        <f t="shared" si="153"/>
        <v>3000</v>
      </c>
      <c r="AF103" s="13" t="str">
        <f t="shared" si="154"/>
        <v>계</v>
      </c>
      <c r="AG103" s="13" t="str">
        <f t="shared" si="155"/>
        <v>3/2</v>
      </c>
      <c r="AI103" s="32" t="str">
        <f t="shared" si="103"/>
        <v>평촌자이아이파크</v>
      </c>
      <c r="AJ103" s="21">
        <f t="shared" si="92"/>
        <v>25</v>
      </c>
      <c r="AK103" s="13" t="str">
        <f t="shared" si="156"/>
        <v>A-</v>
      </c>
      <c r="AL103" s="13"/>
      <c r="AM103" s="13"/>
      <c r="AN103" s="13"/>
      <c r="AO103" s="13" t="str">
        <f t="shared" si="157"/>
        <v>C</v>
      </c>
      <c r="AP103" s="13" t="str">
        <f t="shared" si="158"/>
        <v>X</v>
      </c>
      <c r="AQ103" s="13" t="str">
        <f t="shared" si="159"/>
        <v>X</v>
      </c>
      <c r="AR103" s="13" t="str">
        <f t="shared" si="160"/>
        <v>X</v>
      </c>
      <c r="AS103" s="13" t="str">
        <f t="shared" si="161"/>
        <v>X</v>
      </c>
      <c r="AT103" s="13" t="s">
        <v>32</v>
      </c>
      <c r="AU103" s="13" t="str">
        <f t="shared" si="162"/>
        <v>O</v>
      </c>
      <c r="AV103" s="13" t="str">
        <f t="shared" si="163"/>
        <v>O</v>
      </c>
      <c r="AW103" s="13" t="str">
        <f t="shared" si="164"/>
        <v>X</v>
      </c>
    </row>
    <row r="104" spans="1:49" x14ac:dyDescent="0.3">
      <c r="A104" s="5" t="s">
        <v>1531</v>
      </c>
      <c r="B104" s="14" t="s">
        <v>1532</v>
      </c>
      <c r="C104" s="25">
        <v>2737</v>
      </c>
      <c r="D104" s="23">
        <v>99.8</v>
      </c>
      <c r="E104" s="21">
        <v>30</v>
      </c>
      <c r="F104" s="23">
        <v>75.900000000000006</v>
      </c>
      <c r="G104" s="24">
        <v>23</v>
      </c>
      <c r="H104" s="25">
        <v>110</v>
      </c>
      <c r="I104" s="29">
        <v>72000</v>
      </c>
      <c r="J104" s="106" t="s">
        <v>2237</v>
      </c>
      <c r="K104" s="29"/>
      <c r="L104" s="106"/>
      <c r="M104" s="6">
        <f t="shared" si="142"/>
        <v>72000</v>
      </c>
      <c r="N104" s="7">
        <f t="shared" si="143"/>
        <v>0</v>
      </c>
      <c r="O104" s="12">
        <f t="shared" si="144"/>
        <v>2400</v>
      </c>
      <c r="P104" s="12">
        <f t="shared" si="145"/>
        <v>0</v>
      </c>
      <c r="Q104" s="13">
        <v>3</v>
      </c>
      <c r="R104" s="13">
        <v>2</v>
      </c>
      <c r="S104" s="13" t="s">
        <v>51</v>
      </c>
      <c r="T104" s="8" t="s">
        <v>577</v>
      </c>
      <c r="U104" s="5"/>
      <c r="V104" s="5" t="s">
        <v>1537</v>
      </c>
      <c r="X104" s="23">
        <f t="shared" si="146"/>
        <v>99.8</v>
      </c>
      <c r="Y104" s="21">
        <f t="shared" si="147"/>
        <v>30</v>
      </c>
      <c r="Z104" s="28">
        <f t="shared" si="148"/>
        <v>110</v>
      </c>
      <c r="AA104" s="6">
        <f t="shared" si="149"/>
        <v>72000</v>
      </c>
      <c r="AB104" s="6">
        <f t="shared" si="150"/>
        <v>0</v>
      </c>
      <c r="AC104" s="6">
        <f t="shared" si="151"/>
        <v>72000</v>
      </c>
      <c r="AD104" s="7">
        <f t="shared" si="152"/>
        <v>0</v>
      </c>
      <c r="AE104" s="12">
        <f t="shared" si="153"/>
        <v>2400</v>
      </c>
      <c r="AF104" s="13" t="str">
        <f t="shared" si="154"/>
        <v>계</v>
      </c>
      <c r="AG104" s="13" t="str">
        <f t="shared" si="155"/>
        <v>3/2</v>
      </c>
      <c r="AI104" s="32" t="str">
        <f t="shared" si="103"/>
        <v>평촌자이아이파크</v>
      </c>
      <c r="AJ104" s="21">
        <f t="shared" si="92"/>
        <v>30</v>
      </c>
      <c r="AK104" s="13" t="str">
        <f t="shared" si="156"/>
        <v>A-</v>
      </c>
      <c r="AL104" s="13"/>
      <c r="AM104" s="13"/>
      <c r="AN104" s="13"/>
      <c r="AO104" s="13" t="str">
        <f t="shared" si="157"/>
        <v>C</v>
      </c>
      <c r="AP104" s="13" t="str">
        <f t="shared" si="158"/>
        <v>X</v>
      </c>
      <c r="AQ104" s="13" t="str">
        <f t="shared" si="159"/>
        <v>X</v>
      </c>
      <c r="AR104" s="13" t="str">
        <f t="shared" si="160"/>
        <v>X</v>
      </c>
      <c r="AS104" s="13" t="str">
        <f t="shared" si="161"/>
        <v>X</v>
      </c>
      <c r="AT104" s="13" t="s">
        <v>32</v>
      </c>
      <c r="AU104" s="13" t="str">
        <f t="shared" si="162"/>
        <v>O</v>
      </c>
      <c r="AV104" s="13" t="str">
        <f t="shared" si="163"/>
        <v>O</v>
      </c>
      <c r="AW104" s="13" t="str">
        <f t="shared" si="164"/>
        <v>X</v>
      </c>
    </row>
    <row r="105" spans="1:49" x14ac:dyDescent="0.3">
      <c r="A105" s="5" t="s">
        <v>1531</v>
      </c>
      <c r="B105" s="14" t="s">
        <v>1532</v>
      </c>
      <c r="C105" s="25">
        <v>2737</v>
      </c>
      <c r="D105" s="23">
        <v>100</v>
      </c>
      <c r="E105" s="21">
        <v>30</v>
      </c>
      <c r="F105" s="23">
        <v>76</v>
      </c>
      <c r="G105" s="24">
        <v>23</v>
      </c>
      <c r="H105" s="25">
        <v>110</v>
      </c>
      <c r="I105" s="29">
        <v>86000</v>
      </c>
      <c r="J105" s="106" t="s">
        <v>2238</v>
      </c>
      <c r="K105" s="29"/>
      <c r="L105" s="106"/>
      <c r="M105" s="6">
        <f t="shared" si="142"/>
        <v>86000</v>
      </c>
      <c r="N105" s="7">
        <f t="shared" si="143"/>
        <v>0</v>
      </c>
      <c r="O105" s="12">
        <f t="shared" si="144"/>
        <v>2866.6666666666665</v>
      </c>
      <c r="P105" s="12">
        <f t="shared" si="145"/>
        <v>0</v>
      </c>
      <c r="Q105" s="13">
        <v>3</v>
      </c>
      <c r="R105" s="13">
        <v>2</v>
      </c>
      <c r="S105" s="13" t="s">
        <v>51</v>
      </c>
      <c r="T105" s="8" t="s">
        <v>578</v>
      </c>
      <c r="U105" s="5"/>
      <c r="V105" s="5" t="s">
        <v>1537</v>
      </c>
      <c r="X105" s="23">
        <f t="shared" si="146"/>
        <v>100</v>
      </c>
      <c r="Y105" s="21">
        <f t="shared" si="147"/>
        <v>30</v>
      </c>
      <c r="Z105" s="28">
        <f t="shared" si="148"/>
        <v>110</v>
      </c>
      <c r="AA105" s="6">
        <f t="shared" si="149"/>
        <v>86000</v>
      </c>
      <c r="AB105" s="6">
        <f t="shared" si="150"/>
        <v>0</v>
      </c>
      <c r="AC105" s="6">
        <f t="shared" si="151"/>
        <v>86000</v>
      </c>
      <c r="AD105" s="7">
        <f t="shared" si="152"/>
        <v>0</v>
      </c>
      <c r="AE105" s="12">
        <f t="shared" si="153"/>
        <v>2866.6666666666665</v>
      </c>
      <c r="AF105" s="13" t="str">
        <f t="shared" si="154"/>
        <v>계</v>
      </c>
      <c r="AG105" s="13" t="str">
        <f t="shared" si="155"/>
        <v>3/2</v>
      </c>
      <c r="AI105" s="32" t="str">
        <f t="shared" si="103"/>
        <v>평촌자이아이파크</v>
      </c>
      <c r="AJ105" s="21">
        <f t="shared" si="92"/>
        <v>30</v>
      </c>
      <c r="AK105" s="13" t="str">
        <f t="shared" si="156"/>
        <v>A-</v>
      </c>
      <c r="AL105" s="13"/>
      <c r="AM105" s="13"/>
      <c r="AN105" s="13"/>
      <c r="AO105" s="13" t="str">
        <f t="shared" si="157"/>
        <v>C</v>
      </c>
      <c r="AP105" s="13" t="str">
        <f t="shared" si="158"/>
        <v>X</v>
      </c>
      <c r="AQ105" s="13" t="str">
        <f t="shared" si="159"/>
        <v>X</v>
      </c>
      <c r="AR105" s="13" t="str">
        <f t="shared" si="160"/>
        <v>X</v>
      </c>
      <c r="AS105" s="13" t="str">
        <f t="shared" si="161"/>
        <v>X</v>
      </c>
      <c r="AT105" s="13" t="s">
        <v>32</v>
      </c>
      <c r="AU105" s="13" t="str">
        <f t="shared" si="162"/>
        <v>O</v>
      </c>
      <c r="AV105" s="13" t="str">
        <f t="shared" si="163"/>
        <v>O</v>
      </c>
      <c r="AW105" s="13" t="str">
        <f t="shared" si="164"/>
        <v>X</v>
      </c>
    </row>
    <row r="106" spans="1:49" x14ac:dyDescent="0.3">
      <c r="A106" s="5" t="s">
        <v>1531</v>
      </c>
      <c r="B106" s="14" t="s">
        <v>1532</v>
      </c>
      <c r="C106" s="25">
        <v>2737</v>
      </c>
      <c r="D106" s="23">
        <v>100.2</v>
      </c>
      <c r="E106" s="21">
        <v>30</v>
      </c>
      <c r="F106" s="23">
        <v>76</v>
      </c>
      <c r="G106" s="24">
        <v>23</v>
      </c>
      <c r="H106" s="25">
        <v>165</v>
      </c>
      <c r="I106" s="29">
        <v>87000</v>
      </c>
      <c r="J106" s="106" t="s">
        <v>2239</v>
      </c>
      <c r="K106" s="29"/>
      <c r="L106" s="106"/>
      <c r="M106" s="6">
        <f t="shared" si="142"/>
        <v>87000</v>
      </c>
      <c r="N106" s="7">
        <f t="shared" si="143"/>
        <v>0</v>
      </c>
      <c r="O106" s="12">
        <f t="shared" si="144"/>
        <v>2900</v>
      </c>
      <c r="P106" s="12">
        <f t="shared" si="145"/>
        <v>0</v>
      </c>
      <c r="Q106" s="13">
        <v>3</v>
      </c>
      <c r="R106" s="13">
        <v>2</v>
      </c>
      <c r="S106" s="13" t="s">
        <v>51</v>
      </c>
      <c r="T106" s="8" t="s">
        <v>579</v>
      </c>
      <c r="U106" s="5"/>
      <c r="V106" s="5" t="s">
        <v>1537</v>
      </c>
      <c r="X106" s="23">
        <f t="shared" si="146"/>
        <v>100.2</v>
      </c>
      <c r="Y106" s="21">
        <f t="shared" si="147"/>
        <v>30</v>
      </c>
      <c r="Z106" s="28">
        <f t="shared" si="148"/>
        <v>165</v>
      </c>
      <c r="AA106" s="6">
        <f t="shared" si="149"/>
        <v>87000</v>
      </c>
      <c r="AB106" s="6">
        <f t="shared" si="150"/>
        <v>0</v>
      </c>
      <c r="AC106" s="6">
        <f t="shared" si="151"/>
        <v>87000</v>
      </c>
      <c r="AD106" s="7">
        <f t="shared" si="152"/>
        <v>0</v>
      </c>
      <c r="AE106" s="12">
        <f t="shared" si="153"/>
        <v>2900</v>
      </c>
      <c r="AF106" s="13" t="str">
        <f t="shared" si="154"/>
        <v>계</v>
      </c>
      <c r="AG106" s="13" t="str">
        <f t="shared" si="155"/>
        <v>3/2</v>
      </c>
      <c r="AI106" s="32" t="str">
        <f t="shared" si="103"/>
        <v>평촌자이아이파크</v>
      </c>
      <c r="AJ106" s="21">
        <f t="shared" si="92"/>
        <v>30</v>
      </c>
      <c r="AK106" s="13" t="str">
        <f t="shared" si="156"/>
        <v>A-</v>
      </c>
      <c r="AL106" s="13"/>
      <c r="AM106" s="13"/>
      <c r="AN106" s="13"/>
      <c r="AO106" s="13" t="str">
        <f t="shared" si="157"/>
        <v>C</v>
      </c>
      <c r="AP106" s="13" t="str">
        <f t="shared" si="158"/>
        <v>X</v>
      </c>
      <c r="AQ106" s="13" t="str">
        <f t="shared" si="159"/>
        <v>X</v>
      </c>
      <c r="AR106" s="13" t="str">
        <f t="shared" si="160"/>
        <v>X</v>
      </c>
      <c r="AS106" s="13" t="str">
        <f t="shared" si="161"/>
        <v>X</v>
      </c>
      <c r="AT106" s="13" t="s">
        <v>32</v>
      </c>
      <c r="AU106" s="13" t="str">
        <f t="shared" si="162"/>
        <v>O</v>
      </c>
      <c r="AV106" s="13" t="str">
        <f t="shared" si="163"/>
        <v>O</v>
      </c>
      <c r="AW106" s="13" t="str">
        <f t="shared" si="164"/>
        <v>X</v>
      </c>
    </row>
    <row r="107" spans="1:49" x14ac:dyDescent="0.3">
      <c r="A107" s="5" t="s">
        <v>1531</v>
      </c>
      <c r="B107" s="14" t="s">
        <v>1532</v>
      </c>
      <c r="C107" s="25">
        <v>2737</v>
      </c>
      <c r="D107" s="23">
        <v>112.6</v>
      </c>
      <c r="E107" s="21">
        <v>34</v>
      </c>
      <c r="F107" s="23">
        <v>85</v>
      </c>
      <c r="G107" s="24">
        <v>26</v>
      </c>
      <c r="H107" s="25">
        <v>430</v>
      </c>
      <c r="I107" s="29">
        <v>92000</v>
      </c>
      <c r="J107" s="106" t="s">
        <v>2155</v>
      </c>
      <c r="K107" s="29"/>
      <c r="L107" s="106"/>
      <c r="M107" s="6">
        <f t="shared" si="142"/>
        <v>92000</v>
      </c>
      <c r="N107" s="7">
        <f t="shared" si="143"/>
        <v>0</v>
      </c>
      <c r="O107" s="12">
        <f t="shared" si="144"/>
        <v>2705.8823529411766</v>
      </c>
      <c r="P107" s="12">
        <f t="shared" si="145"/>
        <v>0</v>
      </c>
      <c r="Q107" s="13">
        <v>4</v>
      </c>
      <c r="R107" s="13">
        <v>2</v>
      </c>
      <c r="S107" s="13" t="s">
        <v>51</v>
      </c>
      <c r="T107" s="8" t="s">
        <v>261</v>
      </c>
      <c r="U107" s="5"/>
      <c r="V107" s="5" t="s">
        <v>1538</v>
      </c>
      <c r="X107" s="23">
        <f t="shared" si="146"/>
        <v>112.6</v>
      </c>
      <c r="Y107" s="21">
        <f t="shared" si="147"/>
        <v>34</v>
      </c>
      <c r="Z107" s="28">
        <f t="shared" si="148"/>
        <v>430</v>
      </c>
      <c r="AA107" s="6">
        <f t="shared" si="149"/>
        <v>92000</v>
      </c>
      <c r="AB107" s="6">
        <f t="shared" si="150"/>
        <v>0</v>
      </c>
      <c r="AC107" s="6">
        <f t="shared" si="151"/>
        <v>92000</v>
      </c>
      <c r="AD107" s="7">
        <f t="shared" si="152"/>
        <v>0</v>
      </c>
      <c r="AE107" s="12">
        <f t="shared" si="153"/>
        <v>2705.8823529411766</v>
      </c>
      <c r="AF107" s="13" t="str">
        <f t="shared" si="154"/>
        <v>계</v>
      </c>
      <c r="AG107" s="13" t="str">
        <f t="shared" si="155"/>
        <v>4/2</v>
      </c>
      <c r="AI107" s="32" t="str">
        <f t="shared" si="103"/>
        <v>평촌자이아이파크</v>
      </c>
      <c r="AJ107" s="21">
        <f t="shared" si="92"/>
        <v>34</v>
      </c>
      <c r="AK107" s="13" t="str">
        <f t="shared" si="156"/>
        <v>A-</v>
      </c>
      <c r="AL107" s="13"/>
      <c r="AM107" s="13"/>
      <c r="AN107" s="13"/>
      <c r="AO107" s="13" t="str">
        <f t="shared" si="157"/>
        <v>C</v>
      </c>
      <c r="AP107" s="13" t="str">
        <f t="shared" si="158"/>
        <v>X</v>
      </c>
      <c r="AQ107" s="13" t="str">
        <f t="shared" si="159"/>
        <v>X</v>
      </c>
      <c r="AR107" s="13" t="str">
        <f t="shared" si="160"/>
        <v>X</v>
      </c>
      <c r="AS107" s="13" t="str">
        <f t="shared" si="161"/>
        <v>X</v>
      </c>
      <c r="AT107" s="13" t="s">
        <v>32</v>
      </c>
      <c r="AU107" s="13" t="str">
        <f t="shared" si="162"/>
        <v>O</v>
      </c>
      <c r="AV107" s="13" t="str">
        <f t="shared" si="163"/>
        <v>O</v>
      </c>
      <c r="AW107" s="13" t="str">
        <f t="shared" si="164"/>
        <v>X</v>
      </c>
    </row>
    <row r="108" spans="1:49" x14ac:dyDescent="0.3">
      <c r="A108" s="5" t="s">
        <v>1531</v>
      </c>
      <c r="B108" s="14" t="s">
        <v>1532</v>
      </c>
      <c r="C108" s="25">
        <v>2737</v>
      </c>
      <c r="D108" s="23">
        <v>112.7</v>
      </c>
      <c r="E108" s="21">
        <v>34</v>
      </c>
      <c r="F108" s="23">
        <v>85</v>
      </c>
      <c r="G108" s="24">
        <v>26</v>
      </c>
      <c r="H108" s="25">
        <v>189</v>
      </c>
      <c r="I108" s="29">
        <v>92000</v>
      </c>
      <c r="J108" s="106" t="s">
        <v>2240</v>
      </c>
      <c r="K108" s="29"/>
      <c r="L108" s="106"/>
      <c r="M108" s="6">
        <f t="shared" si="142"/>
        <v>92000</v>
      </c>
      <c r="N108" s="7">
        <f t="shared" si="143"/>
        <v>0</v>
      </c>
      <c r="O108" s="12">
        <f t="shared" si="144"/>
        <v>2705.8823529411766</v>
      </c>
      <c r="P108" s="12">
        <f t="shared" si="145"/>
        <v>0</v>
      </c>
      <c r="Q108" s="13">
        <v>3</v>
      </c>
      <c r="R108" s="13">
        <v>2</v>
      </c>
      <c r="S108" s="13" t="s">
        <v>51</v>
      </c>
      <c r="T108" s="8" t="s">
        <v>580</v>
      </c>
      <c r="U108" s="5"/>
      <c r="V108" s="5" t="s">
        <v>1538</v>
      </c>
      <c r="X108" s="23">
        <f t="shared" si="146"/>
        <v>112.7</v>
      </c>
      <c r="Y108" s="21">
        <f t="shared" si="147"/>
        <v>34</v>
      </c>
      <c r="Z108" s="28">
        <f t="shared" si="148"/>
        <v>189</v>
      </c>
      <c r="AA108" s="6">
        <f t="shared" si="149"/>
        <v>92000</v>
      </c>
      <c r="AB108" s="6">
        <f t="shared" si="150"/>
        <v>0</v>
      </c>
      <c r="AC108" s="6">
        <f t="shared" si="151"/>
        <v>92000</v>
      </c>
      <c r="AD108" s="7">
        <f t="shared" si="152"/>
        <v>0</v>
      </c>
      <c r="AE108" s="12">
        <f t="shared" si="153"/>
        <v>2705.8823529411766</v>
      </c>
      <c r="AF108" s="13" t="str">
        <f t="shared" si="154"/>
        <v>계</v>
      </c>
      <c r="AG108" s="13" t="str">
        <f t="shared" si="155"/>
        <v>3/2</v>
      </c>
      <c r="AI108" s="32" t="str">
        <f t="shared" si="103"/>
        <v>평촌자이아이파크</v>
      </c>
      <c r="AJ108" s="21">
        <f t="shared" si="92"/>
        <v>34</v>
      </c>
      <c r="AK108" s="13" t="str">
        <f t="shared" si="156"/>
        <v>A-</v>
      </c>
      <c r="AL108" s="13"/>
      <c r="AM108" s="13"/>
      <c r="AN108" s="13"/>
      <c r="AO108" s="13" t="str">
        <f t="shared" si="157"/>
        <v>C</v>
      </c>
      <c r="AP108" s="13" t="str">
        <f t="shared" si="158"/>
        <v>X</v>
      </c>
      <c r="AQ108" s="13" t="str">
        <f t="shared" si="159"/>
        <v>X</v>
      </c>
      <c r="AR108" s="13" t="str">
        <f t="shared" si="160"/>
        <v>X</v>
      </c>
      <c r="AS108" s="13" t="str">
        <f t="shared" si="161"/>
        <v>X</v>
      </c>
      <c r="AT108" s="13" t="s">
        <v>32</v>
      </c>
      <c r="AU108" s="13" t="str">
        <f t="shared" si="162"/>
        <v>O</v>
      </c>
      <c r="AV108" s="13" t="str">
        <f t="shared" si="163"/>
        <v>O</v>
      </c>
      <c r="AW108" s="13" t="str">
        <f t="shared" si="164"/>
        <v>X</v>
      </c>
    </row>
    <row r="109" spans="1:49" x14ac:dyDescent="0.3">
      <c r="A109" s="5" t="s">
        <v>1531</v>
      </c>
      <c r="B109" s="14" t="s">
        <v>1532</v>
      </c>
      <c r="C109" s="25">
        <v>2737</v>
      </c>
      <c r="D109" s="23">
        <v>131.19999999999999</v>
      </c>
      <c r="E109" s="21">
        <v>40</v>
      </c>
      <c r="F109" s="23">
        <v>102.9</v>
      </c>
      <c r="G109" s="24">
        <v>31</v>
      </c>
      <c r="H109" s="25">
        <v>102</v>
      </c>
      <c r="I109" s="29">
        <v>140000</v>
      </c>
      <c r="J109" s="106" t="s">
        <v>2172</v>
      </c>
      <c r="K109" s="29"/>
      <c r="L109" s="106"/>
      <c r="M109" s="6">
        <f t="shared" si="142"/>
        <v>140000</v>
      </c>
      <c r="N109" s="7">
        <f t="shared" si="143"/>
        <v>0</v>
      </c>
      <c r="O109" s="12">
        <f t="shared" si="144"/>
        <v>3500</v>
      </c>
      <c r="P109" s="12">
        <f t="shared" si="145"/>
        <v>0</v>
      </c>
      <c r="Q109" s="13">
        <v>4</v>
      </c>
      <c r="R109" s="13">
        <v>2</v>
      </c>
      <c r="S109" s="13" t="s">
        <v>51</v>
      </c>
      <c r="T109" s="8">
        <v>131</v>
      </c>
      <c r="U109" s="5"/>
      <c r="V109" s="5" t="s">
        <v>1539</v>
      </c>
      <c r="X109" s="23">
        <f t="shared" si="146"/>
        <v>131.19999999999999</v>
      </c>
      <c r="Y109" s="21">
        <f t="shared" si="147"/>
        <v>40</v>
      </c>
      <c r="Z109" s="28">
        <f t="shared" si="148"/>
        <v>102</v>
      </c>
      <c r="AA109" s="6">
        <f t="shared" si="149"/>
        <v>140000</v>
      </c>
      <c r="AB109" s="6">
        <f t="shared" si="150"/>
        <v>0</v>
      </c>
      <c r="AC109" s="6">
        <f t="shared" si="151"/>
        <v>140000</v>
      </c>
      <c r="AD109" s="7">
        <f t="shared" si="152"/>
        <v>0</v>
      </c>
      <c r="AE109" s="12">
        <f t="shared" si="153"/>
        <v>3500</v>
      </c>
      <c r="AF109" s="13" t="str">
        <f t="shared" si="154"/>
        <v>계</v>
      </c>
      <c r="AG109" s="13" t="str">
        <f t="shared" si="155"/>
        <v>4/2</v>
      </c>
      <c r="AI109" s="32" t="str">
        <f t="shared" si="103"/>
        <v>평촌자이아이파크</v>
      </c>
      <c r="AJ109" s="21">
        <f t="shared" si="92"/>
        <v>40</v>
      </c>
      <c r="AK109" s="13" t="str">
        <f t="shared" si="156"/>
        <v>A-</v>
      </c>
      <c r="AL109" s="13"/>
      <c r="AM109" s="13"/>
      <c r="AN109" s="13"/>
      <c r="AO109" s="13" t="str">
        <f t="shared" si="157"/>
        <v>C</v>
      </c>
      <c r="AP109" s="13" t="str">
        <f t="shared" si="158"/>
        <v>X</v>
      </c>
      <c r="AQ109" s="13" t="str">
        <f t="shared" si="159"/>
        <v>X</v>
      </c>
      <c r="AR109" s="13" t="str">
        <f t="shared" si="160"/>
        <v>X</v>
      </c>
      <c r="AS109" s="13" t="str">
        <f t="shared" si="161"/>
        <v>X</v>
      </c>
      <c r="AT109" s="13" t="s">
        <v>32</v>
      </c>
      <c r="AU109" s="13" t="str">
        <f t="shared" si="162"/>
        <v>X</v>
      </c>
      <c r="AV109" s="13" t="str">
        <f t="shared" si="163"/>
        <v>O</v>
      </c>
      <c r="AW109" s="13" t="str">
        <f t="shared" si="164"/>
        <v>X</v>
      </c>
    </row>
    <row r="110" spans="1:49" x14ac:dyDescent="0.3">
      <c r="A110" s="5"/>
      <c r="B110" s="13"/>
      <c r="C110" s="9"/>
      <c r="D110" s="5"/>
      <c r="E110" s="18"/>
      <c r="F110" s="23"/>
      <c r="G110" s="5"/>
      <c r="H110" s="5"/>
      <c r="I110" s="5"/>
      <c r="J110" s="8"/>
      <c r="K110" s="5"/>
      <c r="L110" s="8"/>
      <c r="M110" s="5"/>
      <c r="N110" s="5"/>
      <c r="O110" s="12"/>
      <c r="P110" s="12"/>
      <c r="Q110" s="21"/>
      <c r="R110" s="21"/>
      <c r="S110" s="5"/>
      <c r="T110" s="59"/>
      <c r="U110" s="5"/>
      <c r="V110" s="5"/>
      <c r="X110" s="90" t="str">
        <f>$A$4&amp;" "&amp;A111&amp;"("&amp;B111&amp;","&amp;C111&amp;"^)"</f>
        <v>비산동 뉴타운5차('85.11,540^)</v>
      </c>
      <c r="Y110" s="91"/>
      <c r="Z110" s="91"/>
      <c r="AA110" s="91"/>
      <c r="AB110" s="91"/>
      <c r="AC110" s="91"/>
      <c r="AD110" s="91"/>
      <c r="AE110" s="91"/>
      <c r="AF110" s="91"/>
      <c r="AG110" s="92"/>
      <c r="AI110" s="32" t="str">
        <f t="shared" si="103"/>
        <v/>
      </c>
      <c r="AJ110" s="33" t="str">
        <f t="shared" si="92"/>
        <v/>
      </c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</row>
    <row r="111" spans="1:49" x14ac:dyDescent="0.3">
      <c r="A111" s="5" t="s">
        <v>581</v>
      </c>
      <c r="B111" s="14" t="s">
        <v>1541</v>
      </c>
      <c r="C111" s="25">
        <v>540</v>
      </c>
      <c r="D111" s="23">
        <v>102.8</v>
      </c>
      <c r="E111" s="21">
        <v>31</v>
      </c>
      <c r="F111" s="23">
        <v>85</v>
      </c>
      <c r="G111" s="24">
        <v>26</v>
      </c>
      <c r="H111" s="25">
        <v>240</v>
      </c>
      <c r="I111" s="29">
        <v>73000</v>
      </c>
      <c r="J111" s="106" t="s">
        <v>2247</v>
      </c>
      <c r="K111" s="29">
        <v>0</v>
      </c>
      <c r="L111" s="106" t="s">
        <v>2248</v>
      </c>
      <c r="M111" s="6">
        <f>I111-K111</f>
        <v>73000</v>
      </c>
      <c r="N111" s="7">
        <f>IF(ISERROR(K111/I111),"",K111/I111)</f>
        <v>0</v>
      </c>
      <c r="O111" s="12">
        <f>I111/E111</f>
        <v>2354.8387096774195</v>
      </c>
      <c r="P111" s="12">
        <f>K111/E111</f>
        <v>0</v>
      </c>
      <c r="Q111" s="13">
        <v>3</v>
      </c>
      <c r="R111" s="13">
        <v>1</v>
      </c>
      <c r="S111" s="13" t="s">
        <v>51</v>
      </c>
      <c r="T111" s="8">
        <v>102</v>
      </c>
      <c r="U111" s="5"/>
      <c r="V111" s="5" t="s">
        <v>1542</v>
      </c>
      <c r="X111" s="23">
        <f t="shared" ref="X111:Y114" si="165">D111</f>
        <v>102.8</v>
      </c>
      <c r="Y111" s="21">
        <f t="shared" si="165"/>
        <v>31</v>
      </c>
      <c r="Z111" s="28">
        <f t="shared" ref="Z111:AA114" si="166">H111</f>
        <v>240</v>
      </c>
      <c r="AA111" s="6">
        <f t="shared" si="166"/>
        <v>73000</v>
      </c>
      <c r="AB111" s="6">
        <f>K111</f>
        <v>0</v>
      </c>
      <c r="AC111" s="6">
        <f t="shared" ref="AC111:AE114" si="167">M111</f>
        <v>73000</v>
      </c>
      <c r="AD111" s="7">
        <f t="shared" si="167"/>
        <v>0</v>
      </c>
      <c r="AE111" s="12">
        <f t="shared" si="167"/>
        <v>2354.8387096774195</v>
      </c>
      <c r="AF111" s="13" t="str">
        <f>S111</f>
        <v>계</v>
      </c>
      <c r="AG111" s="13" t="str">
        <f>Q111&amp;"/"&amp;R111</f>
        <v>3/1</v>
      </c>
      <c r="AI111" s="32" t="str">
        <f t="shared" si="103"/>
        <v>뉴타운5차</v>
      </c>
      <c r="AJ111" s="21">
        <f t="shared" si="92"/>
        <v>31</v>
      </c>
      <c r="AK111" s="13" t="str">
        <f>IF(AJ111="","",$AK$2)</f>
        <v>A-</v>
      </c>
      <c r="AL111" s="13"/>
      <c r="AM111" s="13"/>
      <c r="AN111" s="13"/>
      <c r="AO111" s="13" t="str">
        <f>IF(AJ111="","",$AO$2)</f>
        <v>C</v>
      </c>
      <c r="AP111" s="13" t="str">
        <f>IF(N111="","",IF(N111&gt;=$AP$1/100,"O","X"))</f>
        <v>X</v>
      </c>
      <c r="AQ111" s="13" t="str">
        <f>IF(I111="","",IF(I111&lt;=$AQ$1,"O","X"))</f>
        <v>X</v>
      </c>
      <c r="AR111" s="13" t="str">
        <f>IF(O111="","",IF(O111&lt;=$AR$1,"O","X"))</f>
        <v>X</v>
      </c>
      <c r="AS111" s="13" t="str">
        <f>IF(M111="","",IF(M111&lt;=$AS$1,"O","X"))</f>
        <v>X</v>
      </c>
      <c r="AT111" s="13" t="s">
        <v>32</v>
      </c>
      <c r="AU111" s="13" t="str">
        <f>IF(OR(F111="",AJ111=""),"",IF(AND((F111&lt;=85),(AJ111&gt;=15)),"O","X"))</f>
        <v>O</v>
      </c>
      <c r="AV111" s="13" t="str">
        <f>IF(C111="","",IF(C111&gt;=$AV$1,"O","X"))</f>
        <v>O</v>
      </c>
      <c r="AW111" s="13" t="str">
        <f>IF(AP111="","",IF(AND(AP111="O",AQ111="O",AS111="O",AU111="O",AV111="O"),"후보","X"))</f>
        <v>X</v>
      </c>
    </row>
    <row r="112" spans="1:49" x14ac:dyDescent="0.3">
      <c r="A112" s="5" t="s">
        <v>1540</v>
      </c>
      <c r="B112" s="14" t="s">
        <v>1541</v>
      </c>
      <c r="C112" s="25">
        <v>540</v>
      </c>
      <c r="D112" s="23">
        <v>102.4</v>
      </c>
      <c r="E112" s="21">
        <v>31</v>
      </c>
      <c r="F112" s="23">
        <v>84.9</v>
      </c>
      <c r="G112" s="24">
        <v>26</v>
      </c>
      <c r="H112" s="25">
        <v>120</v>
      </c>
      <c r="I112" s="29">
        <v>82000</v>
      </c>
      <c r="J112" s="106" t="s">
        <v>2249</v>
      </c>
      <c r="K112" s="29">
        <v>0</v>
      </c>
      <c r="L112" s="106" t="s">
        <v>2248</v>
      </c>
      <c r="M112" s="6">
        <f>I112-K112</f>
        <v>82000</v>
      </c>
      <c r="N112" s="7">
        <f>IF(ISERROR(K112/I112),"",K112/I112)</f>
        <v>0</v>
      </c>
      <c r="O112" s="12">
        <f>I112/E112</f>
        <v>2645.1612903225805</v>
      </c>
      <c r="P112" s="12">
        <f>K112/E112</f>
        <v>0</v>
      </c>
      <c r="Q112" s="13">
        <v>3</v>
      </c>
      <c r="R112" s="13">
        <v>1</v>
      </c>
      <c r="S112" s="13" t="s">
        <v>51</v>
      </c>
      <c r="T112" s="8" t="s">
        <v>585</v>
      </c>
      <c r="U112" s="5"/>
      <c r="V112" s="5" t="s">
        <v>1543</v>
      </c>
      <c r="X112" s="23">
        <f t="shared" si="165"/>
        <v>102.4</v>
      </c>
      <c r="Y112" s="21">
        <f t="shared" si="165"/>
        <v>31</v>
      </c>
      <c r="Z112" s="28">
        <f t="shared" si="166"/>
        <v>120</v>
      </c>
      <c r="AA112" s="6">
        <f t="shared" si="166"/>
        <v>82000</v>
      </c>
      <c r="AB112" s="6">
        <f>K112</f>
        <v>0</v>
      </c>
      <c r="AC112" s="6">
        <f t="shared" si="167"/>
        <v>82000</v>
      </c>
      <c r="AD112" s="7">
        <f t="shared" si="167"/>
        <v>0</v>
      </c>
      <c r="AE112" s="12">
        <f t="shared" si="167"/>
        <v>2645.1612903225805</v>
      </c>
      <c r="AF112" s="13" t="str">
        <f>S112</f>
        <v>계</v>
      </c>
      <c r="AG112" s="13" t="str">
        <f>Q112&amp;"/"&amp;R112</f>
        <v>3/1</v>
      </c>
      <c r="AI112" s="32" t="str">
        <f t="shared" si="103"/>
        <v>뉴타운5차</v>
      </c>
      <c r="AJ112" s="21">
        <f t="shared" si="92"/>
        <v>31</v>
      </c>
      <c r="AK112" s="13" t="str">
        <f>IF(AJ112="","",$AK$2)</f>
        <v>A-</v>
      </c>
      <c r="AL112" s="13"/>
      <c r="AM112" s="13"/>
      <c r="AN112" s="13"/>
      <c r="AO112" s="13" t="str">
        <f>IF(AJ112="","",$AO$2)</f>
        <v>C</v>
      </c>
      <c r="AP112" s="13" t="str">
        <f>IF(N112="","",IF(N112&gt;=$AP$1/100,"O","X"))</f>
        <v>X</v>
      </c>
      <c r="AQ112" s="13" t="str">
        <f>IF(I112="","",IF(I112&lt;=$AQ$1,"O","X"))</f>
        <v>X</v>
      </c>
      <c r="AR112" s="13" t="str">
        <f>IF(O112="","",IF(O112&lt;=$AR$1,"O","X"))</f>
        <v>X</v>
      </c>
      <c r="AS112" s="13" t="str">
        <f>IF(M112="","",IF(M112&lt;=$AS$1,"O","X"))</f>
        <v>X</v>
      </c>
      <c r="AT112" s="13" t="s">
        <v>32</v>
      </c>
      <c r="AU112" s="13" t="str">
        <f>IF(OR(F112="",AJ112=""),"",IF(AND((F112&lt;=85),(AJ112&gt;=15)),"O","X"))</f>
        <v>O</v>
      </c>
      <c r="AV112" s="13" t="str">
        <f>IF(C112="","",IF(C112&gt;=$AV$1,"O","X"))</f>
        <v>O</v>
      </c>
      <c r="AW112" s="13" t="str">
        <f>IF(AP112="","",IF(AND(AP112="O",AQ112="O",AS112="O",AU112="O",AV112="O"),"후보","X"))</f>
        <v>X</v>
      </c>
    </row>
    <row r="113" spans="1:49" x14ac:dyDescent="0.3">
      <c r="A113" s="5" t="s">
        <v>1540</v>
      </c>
      <c r="B113" s="14" t="s">
        <v>1541</v>
      </c>
      <c r="C113" s="25">
        <v>540</v>
      </c>
      <c r="D113" s="23">
        <v>148.69999999999999</v>
      </c>
      <c r="E113" s="21">
        <v>45</v>
      </c>
      <c r="F113" s="23">
        <v>128.9</v>
      </c>
      <c r="G113" s="24">
        <v>39</v>
      </c>
      <c r="H113" s="25">
        <v>150</v>
      </c>
      <c r="I113" s="29"/>
      <c r="J113" s="106"/>
      <c r="K113" s="29"/>
      <c r="L113" s="106"/>
      <c r="M113" s="6">
        <f>I113-K113</f>
        <v>0</v>
      </c>
      <c r="N113" s="7" t="str">
        <f>IF(ISERROR(K113/I113),"",K113/I113)</f>
        <v/>
      </c>
      <c r="O113" s="12">
        <f>I113/E113</f>
        <v>0</v>
      </c>
      <c r="P113" s="12">
        <f>K113/E113</f>
        <v>0</v>
      </c>
      <c r="Q113" s="13">
        <v>4</v>
      </c>
      <c r="R113" s="13">
        <v>2</v>
      </c>
      <c r="S113" s="13" t="s">
        <v>51</v>
      </c>
      <c r="T113" s="8">
        <v>148</v>
      </c>
      <c r="U113" s="5"/>
      <c r="V113" s="5" t="s">
        <v>1544</v>
      </c>
      <c r="X113" s="23">
        <f t="shared" si="165"/>
        <v>148.69999999999999</v>
      </c>
      <c r="Y113" s="21">
        <f t="shared" si="165"/>
        <v>45</v>
      </c>
      <c r="Z113" s="28">
        <f t="shared" si="166"/>
        <v>150</v>
      </c>
      <c r="AA113" s="6">
        <f t="shared" si="166"/>
        <v>0</v>
      </c>
      <c r="AB113" s="6">
        <f>K113</f>
        <v>0</v>
      </c>
      <c r="AC113" s="6">
        <f t="shared" si="167"/>
        <v>0</v>
      </c>
      <c r="AD113" s="7" t="str">
        <f t="shared" si="167"/>
        <v/>
      </c>
      <c r="AE113" s="12">
        <f t="shared" si="167"/>
        <v>0</v>
      </c>
      <c r="AF113" s="13" t="str">
        <f>S113</f>
        <v>계</v>
      </c>
      <c r="AG113" s="13" t="str">
        <f>Q113&amp;"/"&amp;R113</f>
        <v>4/2</v>
      </c>
      <c r="AI113" s="32" t="str">
        <f t="shared" si="103"/>
        <v>뉴타운5차</v>
      </c>
      <c r="AJ113" s="21">
        <f t="shared" si="92"/>
        <v>45</v>
      </c>
      <c r="AK113" s="13" t="str">
        <f>IF(AJ113="","",$AK$2)</f>
        <v>A-</v>
      </c>
      <c r="AL113" s="13"/>
      <c r="AM113" s="13"/>
      <c r="AN113" s="13"/>
      <c r="AO113" s="13" t="str">
        <f>IF(AJ113="","",$AO$2)</f>
        <v>C</v>
      </c>
      <c r="AP113" s="13" t="str">
        <f>IF(N113="","",IF(N113&gt;=$AP$1/100,"O","X"))</f>
        <v/>
      </c>
      <c r="AQ113" s="13" t="str">
        <f>IF(I113="","",IF(I113&lt;=$AQ$1,"O","X"))</f>
        <v/>
      </c>
      <c r="AR113" s="13" t="str">
        <f>IF(O113="","",IF(O113&lt;=$AR$1,"O","X"))</f>
        <v>O</v>
      </c>
      <c r="AS113" s="13" t="str">
        <f>IF(M113="","",IF(M113&lt;=$AS$1,"O","X"))</f>
        <v>O</v>
      </c>
      <c r="AT113" s="13" t="s">
        <v>32</v>
      </c>
      <c r="AU113" s="13" t="str">
        <f>IF(OR(F113="",AJ113=""),"",IF(AND((F113&lt;=85),(AJ113&gt;=15)),"O","X"))</f>
        <v>X</v>
      </c>
      <c r="AV113" s="13" t="str">
        <f>IF(C113="","",IF(C113&gt;=$AV$1,"O","X"))</f>
        <v>O</v>
      </c>
      <c r="AW113" s="13" t="str">
        <f>IF(AP113="","",IF(AND(AP113="O",AQ113="O",AS113="O",AU113="O",AV113="O"),"후보","X"))</f>
        <v/>
      </c>
    </row>
    <row r="114" spans="1:49" x14ac:dyDescent="0.3">
      <c r="A114" s="5" t="s">
        <v>1540</v>
      </c>
      <c r="B114" s="14" t="s">
        <v>1541</v>
      </c>
      <c r="C114" s="25">
        <v>540</v>
      </c>
      <c r="D114" s="23">
        <v>188.3</v>
      </c>
      <c r="E114" s="21">
        <v>57</v>
      </c>
      <c r="F114" s="23">
        <v>164.2</v>
      </c>
      <c r="G114" s="24">
        <v>50</v>
      </c>
      <c r="H114" s="25">
        <v>30</v>
      </c>
      <c r="I114" s="29"/>
      <c r="J114" s="106"/>
      <c r="K114" s="29"/>
      <c r="L114" s="106"/>
      <c r="M114" s="6">
        <f>I114-K114</f>
        <v>0</v>
      </c>
      <c r="N114" s="7" t="str">
        <f>IF(ISERROR(K114/I114),"",K114/I114)</f>
        <v/>
      </c>
      <c r="O114" s="12">
        <f>I114/E114</f>
        <v>0</v>
      </c>
      <c r="P114" s="12">
        <f>K114/E114</f>
        <v>0</v>
      </c>
      <c r="Q114" s="13">
        <v>5</v>
      </c>
      <c r="R114" s="13">
        <v>2</v>
      </c>
      <c r="S114" s="13" t="s">
        <v>51</v>
      </c>
      <c r="T114" s="8">
        <v>188</v>
      </c>
      <c r="U114" s="5"/>
      <c r="V114" s="5" t="s">
        <v>1545</v>
      </c>
      <c r="X114" s="23">
        <f t="shared" si="165"/>
        <v>188.3</v>
      </c>
      <c r="Y114" s="21">
        <f t="shared" si="165"/>
        <v>57</v>
      </c>
      <c r="Z114" s="28">
        <f t="shared" si="166"/>
        <v>30</v>
      </c>
      <c r="AA114" s="6">
        <f t="shared" si="166"/>
        <v>0</v>
      </c>
      <c r="AB114" s="6">
        <f>K114</f>
        <v>0</v>
      </c>
      <c r="AC114" s="6">
        <f t="shared" si="167"/>
        <v>0</v>
      </c>
      <c r="AD114" s="7" t="str">
        <f t="shared" si="167"/>
        <v/>
      </c>
      <c r="AE114" s="12">
        <f t="shared" si="167"/>
        <v>0</v>
      </c>
      <c r="AF114" s="13" t="str">
        <f>S114</f>
        <v>계</v>
      </c>
      <c r="AG114" s="13" t="str">
        <f>Q114&amp;"/"&amp;R114</f>
        <v>5/2</v>
      </c>
      <c r="AI114" s="32" t="str">
        <f t="shared" si="103"/>
        <v>뉴타운5차</v>
      </c>
      <c r="AJ114" s="21">
        <f t="shared" si="92"/>
        <v>57</v>
      </c>
      <c r="AK114" s="13" t="str">
        <f>IF(AJ114="","",$AK$2)</f>
        <v>A-</v>
      </c>
      <c r="AL114" s="13"/>
      <c r="AM114" s="13"/>
      <c r="AN114" s="13"/>
      <c r="AO114" s="13" t="str">
        <f>IF(AJ114="","",$AO$2)</f>
        <v>C</v>
      </c>
      <c r="AP114" s="13" t="str">
        <f>IF(N114="","",IF(N114&gt;=$AP$1/100,"O","X"))</f>
        <v/>
      </c>
      <c r="AQ114" s="13" t="str">
        <f>IF(I114="","",IF(I114&lt;=$AQ$1,"O","X"))</f>
        <v/>
      </c>
      <c r="AR114" s="13" t="str">
        <f>IF(O114="","",IF(O114&lt;=$AR$1,"O","X"))</f>
        <v>O</v>
      </c>
      <c r="AS114" s="13" t="str">
        <f>IF(M114="","",IF(M114&lt;=$AS$1,"O","X"))</f>
        <v>O</v>
      </c>
      <c r="AT114" s="13" t="s">
        <v>32</v>
      </c>
      <c r="AU114" s="13" t="str">
        <f>IF(OR(F114="",AJ114=""),"",IF(AND((F114&lt;=85),(AJ114&gt;=15)),"O","X"))</f>
        <v>X</v>
      </c>
      <c r="AV114" s="13" t="str">
        <f>IF(C114="","",IF(C114&gt;=$AV$1,"O","X"))</f>
        <v>O</v>
      </c>
      <c r="AW114" s="13" t="str">
        <f>IF(AP114="","",IF(AND(AP114="O",AQ114="O",AS114="O",AU114="O",AV114="O"),"후보","X"))</f>
        <v/>
      </c>
    </row>
    <row r="115" spans="1:49" x14ac:dyDescent="0.3">
      <c r="A115" s="5"/>
      <c r="B115" s="13"/>
      <c r="C115" s="9"/>
      <c r="D115" s="5"/>
      <c r="E115" s="18"/>
      <c r="F115" s="23"/>
      <c r="G115" s="5"/>
      <c r="H115" s="5"/>
      <c r="I115" s="5"/>
      <c r="J115" s="8"/>
      <c r="K115" s="5"/>
      <c r="L115" s="8"/>
      <c r="M115" s="5"/>
      <c r="N115" s="5"/>
      <c r="O115" s="12"/>
      <c r="P115" s="12"/>
      <c r="Q115" s="21"/>
      <c r="R115" s="21"/>
      <c r="S115" s="5"/>
      <c r="T115" s="59"/>
      <c r="U115" s="5"/>
      <c r="V115" s="5"/>
      <c r="X115" s="90" t="str">
        <f>$A$4&amp;" "&amp;A116&amp;"("&amp;B116&amp;","&amp;C116&amp;"^)"</f>
        <v>비산동 뉴타운1,2,3차('81.09,912^)</v>
      </c>
      <c r="Y115" s="91"/>
      <c r="Z115" s="91"/>
      <c r="AA115" s="91"/>
      <c r="AB115" s="91"/>
      <c r="AC115" s="91"/>
      <c r="AD115" s="91"/>
      <c r="AE115" s="91"/>
      <c r="AF115" s="91"/>
      <c r="AG115" s="92"/>
      <c r="AI115" s="32" t="str">
        <f t="shared" si="103"/>
        <v/>
      </c>
      <c r="AJ115" s="33" t="str">
        <f t="shared" si="92"/>
        <v/>
      </c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</row>
    <row r="116" spans="1:49" x14ac:dyDescent="0.3">
      <c r="A116" s="5" t="s">
        <v>1546</v>
      </c>
      <c r="B116" s="14" t="s">
        <v>1547</v>
      </c>
      <c r="C116" s="25">
        <v>912</v>
      </c>
      <c r="D116" s="23">
        <v>60.8</v>
      </c>
      <c r="E116" s="21">
        <v>18</v>
      </c>
      <c r="F116" s="23">
        <v>56.8</v>
      </c>
      <c r="G116" s="24">
        <v>17</v>
      </c>
      <c r="H116" s="25">
        <v>54</v>
      </c>
      <c r="I116" s="29"/>
      <c r="J116" s="106"/>
      <c r="K116" s="29"/>
      <c r="L116" s="106"/>
      <c r="M116" s="6">
        <f t="shared" ref="M116:M161" si="168">I116-K116</f>
        <v>0</v>
      </c>
      <c r="N116" s="7" t="str">
        <f t="shared" ref="N116:N161" si="169">IF(ISERROR(K116/I116),"",K116/I116)</f>
        <v/>
      </c>
      <c r="O116" s="12">
        <f t="shared" ref="O116:O161" si="170">I116/E116</f>
        <v>0</v>
      </c>
      <c r="P116" s="12">
        <f t="shared" ref="P116:P161" si="171">K116/E116</f>
        <v>0</v>
      </c>
      <c r="Q116" s="13">
        <v>2</v>
      </c>
      <c r="R116" s="13">
        <v>1</v>
      </c>
      <c r="S116" s="13" t="s">
        <v>1356</v>
      </c>
      <c r="T116" s="8" t="s">
        <v>587</v>
      </c>
      <c r="U116" s="5"/>
      <c r="V116" s="5" t="s">
        <v>1548</v>
      </c>
      <c r="X116" s="23">
        <f t="shared" ref="X116:X161" si="172">D116</f>
        <v>60.8</v>
      </c>
      <c r="Y116" s="21">
        <f t="shared" ref="Y116:Y161" si="173">E116</f>
        <v>18</v>
      </c>
      <c r="Z116" s="28">
        <f t="shared" ref="Z116:Z161" si="174">H116</f>
        <v>54</v>
      </c>
      <c r="AA116" s="6">
        <f t="shared" ref="AA116:AA161" si="175">I116</f>
        <v>0</v>
      </c>
      <c r="AB116" s="6">
        <f t="shared" ref="AB116:AB161" si="176">K116</f>
        <v>0</v>
      </c>
      <c r="AC116" s="6">
        <f t="shared" ref="AC116:AC161" si="177">M116</f>
        <v>0</v>
      </c>
      <c r="AD116" s="7" t="str">
        <f t="shared" ref="AD116:AD161" si="178">N116</f>
        <v/>
      </c>
      <c r="AE116" s="12">
        <f t="shared" ref="AE116:AE161" si="179">O116</f>
        <v>0</v>
      </c>
      <c r="AF116" s="13" t="str">
        <f t="shared" ref="AF116:AF161" si="180">S116</f>
        <v>복</v>
      </c>
      <c r="AG116" s="13" t="str">
        <f t="shared" ref="AG116:AG161" si="181">Q116&amp;"/"&amp;R116</f>
        <v>2/1</v>
      </c>
      <c r="AI116" s="32" t="str">
        <f t="shared" si="103"/>
        <v>뉴타운1,2,3차</v>
      </c>
      <c r="AJ116" s="21">
        <f t="shared" si="92"/>
        <v>18</v>
      </c>
      <c r="AK116" s="13" t="str">
        <f t="shared" ref="AK116:AK161" si="182">IF(AJ116="","",$AK$2)</f>
        <v>A-</v>
      </c>
      <c r="AL116" s="13"/>
      <c r="AM116" s="13"/>
      <c r="AN116" s="13"/>
      <c r="AO116" s="13" t="str">
        <f t="shared" ref="AO116:AO161" si="183">IF(AJ116="","",$AO$2)</f>
        <v>C</v>
      </c>
      <c r="AP116" s="13" t="str">
        <f t="shared" ref="AP116:AP161" si="184">IF(N116="","",IF(N116&gt;=$AP$1/100,"O","X"))</f>
        <v/>
      </c>
      <c r="AQ116" s="13" t="str">
        <f t="shared" ref="AQ116:AQ161" si="185">IF(I116="","",IF(I116&lt;=$AQ$1,"O","X"))</f>
        <v/>
      </c>
      <c r="AR116" s="13" t="str">
        <f t="shared" ref="AR116:AR161" si="186">IF(O116="","",IF(O116&lt;=$AR$1,"O","X"))</f>
        <v>O</v>
      </c>
      <c r="AS116" s="13" t="str">
        <f t="shared" ref="AS116:AS161" si="187">IF(M116="","",IF(M116&lt;=$AS$1,"O","X"))</f>
        <v>O</v>
      </c>
      <c r="AT116" s="13" t="s">
        <v>32</v>
      </c>
      <c r="AU116" s="13" t="str">
        <f t="shared" ref="AU116:AU161" si="188">IF(OR(F116="",AJ116=""),"",IF(AND((F116&lt;=85),(AJ116&gt;=15)),"O","X"))</f>
        <v>O</v>
      </c>
      <c r="AV116" s="13" t="str">
        <f t="shared" ref="AV116:AV161" si="189">IF(C116="","",IF(C116&gt;=$AV$1,"O","X"))</f>
        <v>O</v>
      </c>
      <c r="AW116" s="13" t="str">
        <f t="shared" ref="AW116:AW161" si="190">IF(AP116="","",IF(AND(AP116="O",AQ116="O",AS116="O",AU116="O",AV116="O"),"후보","X"))</f>
        <v/>
      </c>
    </row>
    <row r="117" spans="1:49" x14ac:dyDescent="0.3">
      <c r="A117" s="5" t="s">
        <v>1546</v>
      </c>
      <c r="B117" s="14" t="s">
        <v>1547</v>
      </c>
      <c r="C117" s="25">
        <v>912</v>
      </c>
      <c r="D117" s="23">
        <v>60.8</v>
      </c>
      <c r="E117" s="21">
        <v>18</v>
      </c>
      <c r="F117" s="23">
        <v>56.8</v>
      </c>
      <c r="G117" s="24">
        <v>17</v>
      </c>
      <c r="H117" s="25">
        <v>1</v>
      </c>
      <c r="I117" s="29"/>
      <c r="J117" s="106"/>
      <c r="K117" s="29"/>
      <c r="L117" s="106"/>
      <c r="M117" s="6">
        <f t="shared" si="168"/>
        <v>0</v>
      </c>
      <c r="N117" s="7" t="str">
        <f t="shared" si="169"/>
        <v/>
      </c>
      <c r="O117" s="12">
        <f t="shared" si="170"/>
        <v>0</v>
      </c>
      <c r="P117" s="12">
        <f t="shared" si="171"/>
        <v>0</v>
      </c>
      <c r="Q117" s="13">
        <v>3</v>
      </c>
      <c r="R117" s="13">
        <v>1</v>
      </c>
      <c r="S117" s="13" t="s">
        <v>1356</v>
      </c>
      <c r="T117" s="8" t="s">
        <v>590</v>
      </c>
      <c r="U117" s="5"/>
      <c r="V117" s="5" t="s">
        <v>1548</v>
      </c>
      <c r="X117" s="23">
        <f t="shared" si="172"/>
        <v>60.8</v>
      </c>
      <c r="Y117" s="21">
        <f t="shared" si="173"/>
        <v>18</v>
      </c>
      <c r="Z117" s="28">
        <f t="shared" si="174"/>
        <v>1</v>
      </c>
      <c r="AA117" s="6">
        <f t="shared" si="175"/>
        <v>0</v>
      </c>
      <c r="AB117" s="6">
        <f t="shared" si="176"/>
        <v>0</v>
      </c>
      <c r="AC117" s="6">
        <f t="shared" si="177"/>
        <v>0</v>
      </c>
      <c r="AD117" s="7" t="str">
        <f t="shared" si="178"/>
        <v/>
      </c>
      <c r="AE117" s="12">
        <f t="shared" si="179"/>
        <v>0</v>
      </c>
      <c r="AF117" s="13" t="str">
        <f t="shared" si="180"/>
        <v>복</v>
      </c>
      <c r="AG117" s="13" t="str">
        <f t="shared" si="181"/>
        <v>3/1</v>
      </c>
      <c r="AI117" s="32" t="str">
        <f t="shared" si="103"/>
        <v>뉴타운1,2,3차</v>
      </c>
      <c r="AJ117" s="21">
        <f t="shared" si="92"/>
        <v>18</v>
      </c>
      <c r="AK117" s="13" t="str">
        <f t="shared" si="182"/>
        <v>A-</v>
      </c>
      <c r="AL117" s="13"/>
      <c r="AM117" s="13"/>
      <c r="AN117" s="13"/>
      <c r="AO117" s="13" t="str">
        <f t="shared" si="183"/>
        <v>C</v>
      </c>
      <c r="AP117" s="13" t="str">
        <f t="shared" si="184"/>
        <v/>
      </c>
      <c r="AQ117" s="13" t="str">
        <f t="shared" si="185"/>
        <v/>
      </c>
      <c r="AR117" s="13" t="str">
        <f t="shared" si="186"/>
        <v>O</v>
      </c>
      <c r="AS117" s="13" t="str">
        <f t="shared" si="187"/>
        <v>O</v>
      </c>
      <c r="AT117" s="13" t="s">
        <v>32</v>
      </c>
      <c r="AU117" s="13" t="str">
        <f t="shared" si="188"/>
        <v>O</v>
      </c>
      <c r="AV117" s="13" t="str">
        <f t="shared" si="189"/>
        <v>O</v>
      </c>
      <c r="AW117" s="13" t="str">
        <f t="shared" si="190"/>
        <v/>
      </c>
    </row>
    <row r="118" spans="1:49" x14ac:dyDescent="0.3">
      <c r="A118" s="5" t="s">
        <v>1546</v>
      </c>
      <c r="B118" s="14" t="s">
        <v>1547</v>
      </c>
      <c r="C118" s="25">
        <v>912</v>
      </c>
      <c r="D118" s="23">
        <v>61.8</v>
      </c>
      <c r="E118" s="21">
        <v>19</v>
      </c>
      <c r="F118" s="23">
        <v>57.8</v>
      </c>
      <c r="G118" s="24">
        <v>17</v>
      </c>
      <c r="H118" s="25">
        <v>76</v>
      </c>
      <c r="I118" s="29"/>
      <c r="J118" s="106"/>
      <c r="K118" s="29"/>
      <c r="L118" s="106"/>
      <c r="M118" s="6">
        <f t="shared" si="168"/>
        <v>0</v>
      </c>
      <c r="N118" s="7" t="str">
        <f t="shared" si="169"/>
        <v/>
      </c>
      <c r="O118" s="12">
        <f t="shared" si="170"/>
        <v>0</v>
      </c>
      <c r="P118" s="12">
        <f t="shared" si="171"/>
        <v>0</v>
      </c>
      <c r="Q118" s="13">
        <v>2</v>
      </c>
      <c r="R118" s="13">
        <v>1</v>
      </c>
      <c r="S118" s="13" t="s">
        <v>1356</v>
      </c>
      <c r="T118" s="8" t="s">
        <v>591</v>
      </c>
      <c r="U118" s="5"/>
      <c r="V118" s="5" t="s">
        <v>1549</v>
      </c>
      <c r="X118" s="23">
        <f t="shared" si="172"/>
        <v>61.8</v>
      </c>
      <c r="Y118" s="21">
        <f t="shared" si="173"/>
        <v>19</v>
      </c>
      <c r="Z118" s="28">
        <f t="shared" si="174"/>
        <v>76</v>
      </c>
      <c r="AA118" s="6">
        <f t="shared" si="175"/>
        <v>0</v>
      </c>
      <c r="AB118" s="6">
        <f t="shared" si="176"/>
        <v>0</v>
      </c>
      <c r="AC118" s="6">
        <f t="shared" si="177"/>
        <v>0</v>
      </c>
      <c r="AD118" s="7" t="str">
        <f t="shared" si="178"/>
        <v/>
      </c>
      <c r="AE118" s="12">
        <f t="shared" si="179"/>
        <v>0</v>
      </c>
      <c r="AF118" s="13" t="str">
        <f t="shared" si="180"/>
        <v>복</v>
      </c>
      <c r="AG118" s="13" t="str">
        <f t="shared" si="181"/>
        <v>2/1</v>
      </c>
      <c r="AI118" s="32" t="str">
        <f t="shared" si="103"/>
        <v>뉴타운1,2,3차</v>
      </c>
      <c r="AJ118" s="21">
        <f t="shared" si="92"/>
        <v>19</v>
      </c>
      <c r="AK118" s="13" t="str">
        <f t="shared" si="182"/>
        <v>A-</v>
      </c>
      <c r="AL118" s="13"/>
      <c r="AM118" s="13"/>
      <c r="AN118" s="13"/>
      <c r="AO118" s="13" t="str">
        <f t="shared" si="183"/>
        <v>C</v>
      </c>
      <c r="AP118" s="13" t="str">
        <f t="shared" si="184"/>
        <v/>
      </c>
      <c r="AQ118" s="13" t="str">
        <f t="shared" si="185"/>
        <v/>
      </c>
      <c r="AR118" s="13" t="str">
        <f t="shared" si="186"/>
        <v>O</v>
      </c>
      <c r="AS118" s="13" t="str">
        <f t="shared" si="187"/>
        <v>O</v>
      </c>
      <c r="AT118" s="13" t="s">
        <v>32</v>
      </c>
      <c r="AU118" s="13" t="str">
        <f t="shared" si="188"/>
        <v>O</v>
      </c>
      <c r="AV118" s="13" t="str">
        <f t="shared" si="189"/>
        <v>O</v>
      </c>
      <c r="AW118" s="13" t="str">
        <f t="shared" si="190"/>
        <v/>
      </c>
    </row>
    <row r="119" spans="1:49" x14ac:dyDescent="0.3">
      <c r="A119" s="5" t="s">
        <v>1546</v>
      </c>
      <c r="B119" s="14" t="s">
        <v>1547</v>
      </c>
      <c r="C119" s="25">
        <v>912</v>
      </c>
      <c r="D119" s="23">
        <v>61.9</v>
      </c>
      <c r="E119" s="21">
        <v>19</v>
      </c>
      <c r="F119" s="23">
        <v>57.9</v>
      </c>
      <c r="G119" s="24">
        <v>18</v>
      </c>
      <c r="H119" s="25">
        <v>7</v>
      </c>
      <c r="I119" s="29"/>
      <c r="J119" s="106"/>
      <c r="K119" s="29"/>
      <c r="L119" s="106"/>
      <c r="M119" s="6">
        <f t="shared" si="168"/>
        <v>0</v>
      </c>
      <c r="N119" s="7" t="str">
        <f t="shared" si="169"/>
        <v/>
      </c>
      <c r="O119" s="12">
        <f t="shared" si="170"/>
        <v>0</v>
      </c>
      <c r="P119" s="12">
        <f t="shared" si="171"/>
        <v>0</v>
      </c>
      <c r="Q119" s="13">
        <v>2</v>
      </c>
      <c r="R119" s="13">
        <v>1</v>
      </c>
      <c r="S119" s="13" t="s">
        <v>1356</v>
      </c>
      <c r="T119" s="8" t="s">
        <v>592</v>
      </c>
      <c r="U119" s="5"/>
      <c r="V119" s="5" t="s">
        <v>1549</v>
      </c>
      <c r="X119" s="23">
        <f t="shared" si="172"/>
        <v>61.9</v>
      </c>
      <c r="Y119" s="21">
        <f t="shared" si="173"/>
        <v>19</v>
      </c>
      <c r="Z119" s="28">
        <f t="shared" si="174"/>
        <v>7</v>
      </c>
      <c r="AA119" s="6">
        <f t="shared" si="175"/>
        <v>0</v>
      </c>
      <c r="AB119" s="6">
        <f t="shared" si="176"/>
        <v>0</v>
      </c>
      <c r="AC119" s="6">
        <f t="shared" si="177"/>
        <v>0</v>
      </c>
      <c r="AD119" s="7" t="str">
        <f t="shared" si="178"/>
        <v/>
      </c>
      <c r="AE119" s="12">
        <f t="shared" si="179"/>
        <v>0</v>
      </c>
      <c r="AF119" s="13" t="str">
        <f t="shared" si="180"/>
        <v>복</v>
      </c>
      <c r="AG119" s="13" t="str">
        <f t="shared" si="181"/>
        <v>2/1</v>
      </c>
      <c r="AI119" s="32" t="str">
        <f t="shared" si="103"/>
        <v>뉴타운1,2,3차</v>
      </c>
      <c r="AJ119" s="21">
        <f t="shared" si="92"/>
        <v>19</v>
      </c>
      <c r="AK119" s="13" t="str">
        <f t="shared" si="182"/>
        <v>A-</v>
      </c>
      <c r="AL119" s="13"/>
      <c r="AM119" s="13"/>
      <c r="AN119" s="13"/>
      <c r="AO119" s="13" t="str">
        <f t="shared" si="183"/>
        <v>C</v>
      </c>
      <c r="AP119" s="13" t="str">
        <f t="shared" si="184"/>
        <v/>
      </c>
      <c r="AQ119" s="13" t="str">
        <f t="shared" si="185"/>
        <v/>
      </c>
      <c r="AR119" s="13" t="str">
        <f t="shared" si="186"/>
        <v>O</v>
      </c>
      <c r="AS119" s="13" t="str">
        <f t="shared" si="187"/>
        <v>O</v>
      </c>
      <c r="AT119" s="13" t="s">
        <v>32</v>
      </c>
      <c r="AU119" s="13" t="str">
        <f t="shared" si="188"/>
        <v>O</v>
      </c>
      <c r="AV119" s="13" t="str">
        <f t="shared" si="189"/>
        <v>O</v>
      </c>
      <c r="AW119" s="13" t="str">
        <f t="shared" si="190"/>
        <v/>
      </c>
    </row>
    <row r="120" spans="1:49" x14ac:dyDescent="0.3">
      <c r="A120" s="5" t="s">
        <v>1546</v>
      </c>
      <c r="B120" s="14" t="s">
        <v>1547</v>
      </c>
      <c r="C120" s="25">
        <v>912</v>
      </c>
      <c r="D120" s="23">
        <v>61.7</v>
      </c>
      <c r="E120" s="21">
        <v>19</v>
      </c>
      <c r="F120" s="23">
        <v>57.7</v>
      </c>
      <c r="G120" s="24">
        <v>17</v>
      </c>
      <c r="H120" s="25">
        <v>5</v>
      </c>
      <c r="I120" s="29"/>
      <c r="J120" s="106"/>
      <c r="K120" s="29"/>
      <c r="L120" s="106"/>
      <c r="M120" s="6">
        <f t="shared" si="168"/>
        <v>0</v>
      </c>
      <c r="N120" s="7" t="str">
        <f t="shared" si="169"/>
        <v/>
      </c>
      <c r="O120" s="12">
        <f t="shared" si="170"/>
        <v>0</v>
      </c>
      <c r="P120" s="12">
        <f t="shared" si="171"/>
        <v>0</v>
      </c>
      <c r="Q120" s="13">
        <v>2</v>
      </c>
      <c r="R120" s="13">
        <v>1</v>
      </c>
      <c r="S120" s="13" t="s">
        <v>1356</v>
      </c>
      <c r="T120" s="8" t="s">
        <v>593</v>
      </c>
      <c r="U120" s="5"/>
      <c r="V120" s="5" t="s">
        <v>1549</v>
      </c>
      <c r="X120" s="23">
        <f t="shared" si="172"/>
        <v>61.7</v>
      </c>
      <c r="Y120" s="21">
        <f t="shared" si="173"/>
        <v>19</v>
      </c>
      <c r="Z120" s="28">
        <f t="shared" si="174"/>
        <v>5</v>
      </c>
      <c r="AA120" s="6">
        <f t="shared" si="175"/>
        <v>0</v>
      </c>
      <c r="AB120" s="6">
        <f t="shared" si="176"/>
        <v>0</v>
      </c>
      <c r="AC120" s="6">
        <f t="shared" si="177"/>
        <v>0</v>
      </c>
      <c r="AD120" s="7" t="str">
        <f t="shared" si="178"/>
        <v/>
      </c>
      <c r="AE120" s="12">
        <f t="shared" si="179"/>
        <v>0</v>
      </c>
      <c r="AF120" s="13" t="str">
        <f t="shared" si="180"/>
        <v>복</v>
      </c>
      <c r="AG120" s="13" t="str">
        <f t="shared" si="181"/>
        <v>2/1</v>
      </c>
      <c r="AI120" s="32" t="str">
        <f t="shared" si="103"/>
        <v>뉴타운1,2,3차</v>
      </c>
      <c r="AJ120" s="21">
        <f t="shared" si="92"/>
        <v>19</v>
      </c>
      <c r="AK120" s="13" t="str">
        <f t="shared" si="182"/>
        <v>A-</v>
      </c>
      <c r="AL120" s="13"/>
      <c r="AM120" s="13"/>
      <c r="AN120" s="13"/>
      <c r="AO120" s="13" t="str">
        <f t="shared" si="183"/>
        <v>C</v>
      </c>
      <c r="AP120" s="13" t="str">
        <f t="shared" si="184"/>
        <v/>
      </c>
      <c r="AQ120" s="13" t="str">
        <f t="shared" si="185"/>
        <v/>
      </c>
      <c r="AR120" s="13" t="str">
        <f t="shared" si="186"/>
        <v>O</v>
      </c>
      <c r="AS120" s="13" t="str">
        <f t="shared" si="187"/>
        <v>O</v>
      </c>
      <c r="AT120" s="13" t="s">
        <v>32</v>
      </c>
      <c r="AU120" s="13" t="str">
        <f t="shared" si="188"/>
        <v>O</v>
      </c>
      <c r="AV120" s="13" t="str">
        <f t="shared" si="189"/>
        <v>O</v>
      </c>
      <c r="AW120" s="13" t="str">
        <f t="shared" si="190"/>
        <v/>
      </c>
    </row>
    <row r="121" spans="1:49" x14ac:dyDescent="0.3">
      <c r="A121" s="5" t="s">
        <v>1546</v>
      </c>
      <c r="B121" s="14" t="s">
        <v>1547</v>
      </c>
      <c r="C121" s="25">
        <v>912</v>
      </c>
      <c r="D121" s="23">
        <v>61.8</v>
      </c>
      <c r="E121" s="21">
        <v>19</v>
      </c>
      <c r="F121" s="23">
        <v>44.4</v>
      </c>
      <c r="G121" s="24">
        <v>13</v>
      </c>
      <c r="H121" s="25">
        <v>1</v>
      </c>
      <c r="I121" s="29"/>
      <c r="J121" s="106"/>
      <c r="K121" s="29"/>
      <c r="L121" s="106"/>
      <c r="M121" s="6">
        <f t="shared" si="168"/>
        <v>0</v>
      </c>
      <c r="N121" s="7" t="str">
        <f t="shared" si="169"/>
        <v/>
      </c>
      <c r="O121" s="12">
        <f t="shared" si="170"/>
        <v>0</v>
      </c>
      <c r="P121" s="12">
        <f t="shared" si="171"/>
        <v>0</v>
      </c>
      <c r="Q121" s="13">
        <v>2</v>
      </c>
      <c r="R121" s="13">
        <v>1</v>
      </c>
      <c r="S121" s="13" t="s">
        <v>1356</v>
      </c>
      <c r="T121" s="8" t="s">
        <v>594</v>
      </c>
      <c r="U121" s="5"/>
      <c r="V121" s="5" t="s">
        <v>1549</v>
      </c>
      <c r="X121" s="23">
        <f t="shared" si="172"/>
        <v>61.8</v>
      </c>
      <c r="Y121" s="21">
        <f t="shared" si="173"/>
        <v>19</v>
      </c>
      <c r="Z121" s="28">
        <f t="shared" si="174"/>
        <v>1</v>
      </c>
      <c r="AA121" s="6">
        <f t="shared" si="175"/>
        <v>0</v>
      </c>
      <c r="AB121" s="6">
        <f t="shared" si="176"/>
        <v>0</v>
      </c>
      <c r="AC121" s="6">
        <f t="shared" si="177"/>
        <v>0</v>
      </c>
      <c r="AD121" s="7" t="str">
        <f t="shared" si="178"/>
        <v/>
      </c>
      <c r="AE121" s="12">
        <f t="shared" si="179"/>
        <v>0</v>
      </c>
      <c r="AF121" s="13" t="str">
        <f t="shared" si="180"/>
        <v>복</v>
      </c>
      <c r="AG121" s="13" t="str">
        <f t="shared" si="181"/>
        <v>2/1</v>
      </c>
      <c r="AI121" s="32" t="str">
        <f t="shared" si="103"/>
        <v>뉴타운1,2,3차</v>
      </c>
      <c r="AJ121" s="21">
        <f t="shared" si="92"/>
        <v>19</v>
      </c>
      <c r="AK121" s="13" t="str">
        <f t="shared" si="182"/>
        <v>A-</v>
      </c>
      <c r="AL121" s="13"/>
      <c r="AM121" s="13"/>
      <c r="AN121" s="13"/>
      <c r="AO121" s="13" t="str">
        <f t="shared" si="183"/>
        <v>C</v>
      </c>
      <c r="AP121" s="13" t="str">
        <f t="shared" si="184"/>
        <v/>
      </c>
      <c r="AQ121" s="13" t="str">
        <f t="shared" si="185"/>
        <v/>
      </c>
      <c r="AR121" s="13" t="str">
        <f t="shared" si="186"/>
        <v>O</v>
      </c>
      <c r="AS121" s="13" t="str">
        <f t="shared" si="187"/>
        <v>O</v>
      </c>
      <c r="AT121" s="13" t="s">
        <v>32</v>
      </c>
      <c r="AU121" s="13" t="str">
        <f t="shared" si="188"/>
        <v>O</v>
      </c>
      <c r="AV121" s="13" t="str">
        <f t="shared" si="189"/>
        <v>O</v>
      </c>
      <c r="AW121" s="13" t="str">
        <f t="shared" si="190"/>
        <v/>
      </c>
    </row>
    <row r="122" spans="1:49" x14ac:dyDescent="0.3">
      <c r="A122" s="5" t="s">
        <v>1546</v>
      </c>
      <c r="B122" s="14" t="s">
        <v>1547</v>
      </c>
      <c r="C122" s="25">
        <v>912</v>
      </c>
      <c r="D122" s="23">
        <v>62.2</v>
      </c>
      <c r="E122" s="21">
        <v>19</v>
      </c>
      <c r="F122" s="23">
        <v>58.1</v>
      </c>
      <c r="G122" s="24">
        <v>18</v>
      </c>
      <c r="H122" s="25">
        <v>66</v>
      </c>
      <c r="I122" s="29"/>
      <c r="J122" s="106"/>
      <c r="K122" s="29"/>
      <c r="L122" s="106"/>
      <c r="M122" s="6">
        <f t="shared" si="168"/>
        <v>0</v>
      </c>
      <c r="N122" s="7" t="str">
        <f t="shared" si="169"/>
        <v/>
      </c>
      <c r="O122" s="12">
        <f t="shared" si="170"/>
        <v>0</v>
      </c>
      <c r="P122" s="12">
        <f t="shared" si="171"/>
        <v>0</v>
      </c>
      <c r="Q122" s="13">
        <v>2</v>
      </c>
      <c r="R122" s="13">
        <v>1</v>
      </c>
      <c r="S122" s="13" t="s">
        <v>1356</v>
      </c>
      <c r="T122" s="8" t="s">
        <v>595</v>
      </c>
      <c r="U122" s="5"/>
      <c r="V122" s="5" t="s">
        <v>1549</v>
      </c>
      <c r="X122" s="23">
        <f t="shared" si="172"/>
        <v>62.2</v>
      </c>
      <c r="Y122" s="21">
        <f t="shared" si="173"/>
        <v>19</v>
      </c>
      <c r="Z122" s="28">
        <f t="shared" si="174"/>
        <v>66</v>
      </c>
      <c r="AA122" s="6">
        <f t="shared" si="175"/>
        <v>0</v>
      </c>
      <c r="AB122" s="6">
        <f t="shared" si="176"/>
        <v>0</v>
      </c>
      <c r="AC122" s="6">
        <f t="shared" si="177"/>
        <v>0</v>
      </c>
      <c r="AD122" s="7" t="str">
        <f t="shared" si="178"/>
        <v/>
      </c>
      <c r="AE122" s="12">
        <f t="shared" si="179"/>
        <v>0</v>
      </c>
      <c r="AF122" s="13" t="str">
        <f t="shared" si="180"/>
        <v>복</v>
      </c>
      <c r="AG122" s="13" t="str">
        <f t="shared" si="181"/>
        <v>2/1</v>
      </c>
      <c r="AI122" s="32" t="str">
        <f t="shared" si="103"/>
        <v>뉴타운1,2,3차</v>
      </c>
      <c r="AJ122" s="21">
        <f t="shared" si="92"/>
        <v>19</v>
      </c>
      <c r="AK122" s="13" t="str">
        <f t="shared" si="182"/>
        <v>A-</v>
      </c>
      <c r="AL122" s="13"/>
      <c r="AM122" s="13"/>
      <c r="AN122" s="13"/>
      <c r="AO122" s="13" t="str">
        <f t="shared" si="183"/>
        <v>C</v>
      </c>
      <c r="AP122" s="13" t="str">
        <f t="shared" si="184"/>
        <v/>
      </c>
      <c r="AQ122" s="13" t="str">
        <f t="shared" si="185"/>
        <v/>
      </c>
      <c r="AR122" s="13" t="str">
        <f t="shared" si="186"/>
        <v>O</v>
      </c>
      <c r="AS122" s="13" t="str">
        <f t="shared" si="187"/>
        <v>O</v>
      </c>
      <c r="AT122" s="13" t="s">
        <v>32</v>
      </c>
      <c r="AU122" s="13" t="str">
        <f t="shared" si="188"/>
        <v>O</v>
      </c>
      <c r="AV122" s="13" t="str">
        <f t="shared" si="189"/>
        <v>O</v>
      </c>
      <c r="AW122" s="13" t="str">
        <f t="shared" si="190"/>
        <v/>
      </c>
    </row>
    <row r="123" spans="1:49" x14ac:dyDescent="0.3">
      <c r="A123" s="5" t="s">
        <v>1546</v>
      </c>
      <c r="B123" s="14" t="s">
        <v>1547</v>
      </c>
      <c r="C123" s="25">
        <v>912</v>
      </c>
      <c r="D123" s="23">
        <v>63.3</v>
      </c>
      <c r="E123" s="21">
        <v>19</v>
      </c>
      <c r="F123" s="23">
        <v>59.2</v>
      </c>
      <c r="G123" s="24">
        <v>18</v>
      </c>
      <c r="H123" s="25">
        <v>99</v>
      </c>
      <c r="I123" s="29"/>
      <c r="J123" s="106"/>
      <c r="K123" s="29"/>
      <c r="L123" s="106"/>
      <c r="M123" s="6">
        <f t="shared" si="168"/>
        <v>0</v>
      </c>
      <c r="N123" s="7" t="str">
        <f t="shared" si="169"/>
        <v/>
      </c>
      <c r="O123" s="12">
        <f t="shared" si="170"/>
        <v>0</v>
      </c>
      <c r="P123" s="12">
        <f t="shared" si="171"/>
        <v>0</v>
      </c>
      <c r="Q123" s="13">
        <v>2</v>
      </c>
      <c r="R123" s="13">
        <v>1</v>
      </c>
      <c r="S123" s="13" t="s">
        <v>1356</v>
      </c>
      <c r="T123" s="8" t="s">
        <v>548</v>
      </c>
      <c r="U123" s="5"/>
      <c r="V123" s="5" t="s">
        <v>1550</v>
      </c>
      <c r="X123" s="23">
        <f t="shared" si="172"/>
        <v>63.3</v>
      </c>
      <c r="Y123" s="21">
        <f t="shared" si="173"/>
        <v>19</v>
      </c>
      <c r="Z123" s="28">
        <f t="shared" si="174"/>
        <v>99</v>
      </c>
      <c r="AA123" s="6">
        <f t="shared" si="175"/>
        <v>0</v>
      </c>
      <c r="AB123" s="6">
        <f t="shared" si="176"/>
        <v>0</v>
      </c>
      <c r="AC123" s="6">
        <f t="shared" si="177"/>
        <v>0</v>
      </c>
      <c r="AD123" s="7" t="str">
        <f t="shared" si="178"/>
        <v/>
      </c>
      <c r="AE123" s="12">
        <f t="shared" si="179"/>
        <v>0</v>
      </c>
      <c r="AF123" s="13" t="str">
        <f t="shared" si="180"/>
        <v>복</v>
      </c>
      <c r="AG123" s="13" t="str">
        <f t="shared" si="181"/>
        <v>2/1</v>
      </c>
      <c r="AI123" s="32" t="str">
        <f t="shared" si="103"/>
        <v>뉴타운1,2,3차</v>
      </c>
      <c r="AJ123" s="21">
        <f t="shared" si="92"/>
        <v>19</v>
      </c>
      <c r="AK123" s="13" t="str">
        <f t="shared" si="182"/>
        <v>A-</v>
      </c>
      <c r="AL123" s="13"/>
      <c r="AM123" s="13"/>
      <c r="AN123" s="13"/>
      <c r="AO123" s="13" t="str">
        <f t="shared" si="183"/>
        <v>C</v>
      </c>
      <c r="AP123" s="13" t="str">
        <f t="shared" si="184"/>
        <v/>
      </c>
      <c r="AQ123" s="13" t="str">
        <f t="shared" si="185"/>
        <v/>
      </c>
      <c r="AR123" s="13" t="str">
        <f t="shared" si="186"/>
        <v>O</v>
      </c>
      <c r="AS123" s="13" t="str">
        <f t="shared" si="187"/>
        <v>O</v>
      </c>
      <c r="AT123" s="13" t="s">
        <v>32</v>
      </c>
      <c r="AU123" s="13" t="str">
        <f t="shared" si="188"/>
        <v>O</v>
      </c>
      <c r="AV123" s="13" t="str">
        <f t="shared" si="189"/>
        <v>O</v>
      </c>
      <c r="AW123" s="13" t="str">
        <f t="shared" si="190"/>
        <v/>
      </c>
    </row>
    <row r="124" spans="1:49" x14ac:dyDescent="0.3">
      <c r="A124" s="5" t="s">
        <v>1546</v>
      </c>
      <c r="B124" s="14" t="s">
        <v>1547</v>
      </c>
      <c r="C124" s="25">
        <v>912</v>
      </c>
      <c r="D124" s="23">
        <v>63.3</v>
      </c>
      <c r="E124" s="21">
        <v>19</v>
      </c>
      <c r="F124" s="23">
        <v>59.2</v>
      </c>
      <c r="G124" s="24">
        <v>18</v>
      </c>
      <c r="H124" s="25">
        <v>9</v>
      </c>
      <c r="I124" s="29"/>
      <c r="J124" s="106"/>
      <c r="K124" s="29"/>
      <c r="L124" s="106"/>
      <c r="M124" s="6">
        <f t="shared" si="168"/>
        <v>0</v>
      </c>
      <c r="N124" s="7" t="str">
        <f t="shared" si="169"/>
        <v/>
      </c>
      <c r="O124" s="12">
        <f t="shared" si="170"/>
        <v>0</v>
      </c>
      <c r="P124" s="12">
        <f t="shared" si="171"/>
        <v>0</v>
      </c>
      <c r="Q124" s="13">
        <v>2</v>
      </c>
      <c r="R124" s="13">
        <v>1</v>
      </c>
      <c r="S124" s="13" t="s">
        <v>1356</v>
      </c>
      <c r="T124" s="8" t="s">
        <v>596</v>
      </c>
      <c r="U124" s="5"/>
      <c r="V124" s="5" t="s">
        <v>1550</v>
      </c>
      <c r="X124" s="23">
        <f t="shared" si="172"/>
        <v>63.3</v>
      </c>
      <c r="Y124" s="21">
        <f t="shared" si="173"/>
        <v>19</v>
      </c>
      <c r="Z124" s="28">
        <f t="shared" si="174"/>
        <v>9</v>
      </c>
      <c r="AA124" s="6">
        <f t="shared" si="175"/>
        <v>0</v>
      </c>
      <c r="AB124" s="6">
        <f t="shared" si="176"/>
        <v>0</v>
      </c>
      <c r="AC124" s="6">
        <f t="shared" si="177"/>
        <v>0</v>
      </c>
      <c r="AD124" s="7" t="str">
        <f t="shared" si="178"/>
        <v/>
      </c>
      <c r="AE124" s="12">
        <f t="shared" si="179"/>
        <v>0</v>
      </c>
      <c r="AF124" s="13" t="str">
        <f t="shared" si="180"/>
        <v>복</v>
      </c>
      <c r="AG124" s="13" t="str">
        <f t="shared" si="181"/>
        <v>2/1</v>
      </c>
      <c r="AI124" s="32" t="str">
        <f t="shared" si="103"/>
        <v>뉴타운1,2,3차</v>
      </c>
      <c r="AJ124" s="21">
        <f t="shared" si="92"/>
        <v>19</v>
      </c>
      <c r="AK124" s="13" t="str">
        <f t="shared" si="182"/>
        <v>A-</v>
      </c>
      <c r="AL124" s="13"/>
      <c r="AM124" s="13"/>
      <c r="AN124" s="13"/>
      <c r="AO124" s="13" t="str">
        <f t="shared" si="183"/>
        <v>C</v>
      </c>
      <c r="AP124" s="13" t="str">
        <f t="shared" si="184"/>
        <v/>
      </c>
      <c r="AQ124" s="13" t="str">
        <f t="shared" si="185"/>
        <v/>
      </c>
      <c r="AR124" s="13" t="str">
        <f t="shared" si="186"/>
        <v>O</v>
      </c>
      <c r="AS124" s="13" t="str">
        <f t="shared" si="187"/>
        <v>O</v>
      </c>
      <c r="AT124" s="13" t="s">
        <v>32</v>
      </c>
      <c r="AU124" s="13" t="str">
        <f t="shared" si="188"/>
        <v>O</v>
      </c>
      <c r="AV124" s="13" t="str">
        <f t="shared" si="189"/>
        <v>O</v>
      </c>
      <c r="AW124" s="13" t="str">
        <f t="shared" si="190"/>
        <v/>
      </c>
    </row>
    <row r="125" spans="1:49" x14ac:dyDescent="0.3">
      <c r="A125" s="5" t="s">
        <v>1546</v>
      </c>
      <c r="B125" s="14" t="s">
        <v>1547</v>
      </c>
      <c r="C125" s="25">
        <v>912</v>
      </c>
      <c r="D125" s="23">
        <v>63.1</v>
      </c>
      <c r="E125" s="21">
        <v>19</v>
      </c>
      <c r="F125" s="23">
        <v>59</v>
      </c>
      <c r="G125" s="24">
        <v>18</v>
      </c>
      <c r="H125" s="25">
        <v>6</v>
      </c>
      <c r="I125" s="29"/>
      <c r="J125" s="106"/>
      <c r="K125" s="29"/>
      <c r="L125" s="106"/>
      <c r="M125" s="6">
        <f t="shared" si="168"/>
        <v>0</v>
      </c>
      <c r="N125" s="7" t="str">
        <f t="shared" si="169"/>
        <v/>
      </c>
      <c r="O125" s="12">
        <f t="shared" si="170"/>
        <v>0</v>
      </c>
      <c r="P125" s="12">
        <f t="shared" si="171"/>
        <v>0</v>
      </c>
      <c r="Q125" s="13">
        <v>2</v>
      </c>
      <c r="R125" s="13">
        <v>1</v>
      </c>
      <c r="S125" s="13" t="s">
        <v>1356</v>
      </c>
      <c r="T125" s="8" t="s">
        <v>597</v>
      </c>
      <c r="U125" s="5"/>
      <c r="V125" s="5" t="s">
        <v>1550</v>
      </c>
      <c r="X125" s="23">
        <f t="shared" si="172"/>
        <v>63.1</v>
      </c>
      <c r="Y125" s="21">
        <f t="shared" si="173"/>
        <v>19</v>
      </c>
      <c r="Z125" s="28">
        <f t="shared" si="174"/>
        <v>6</v>
      </c>
      <c r="AA125" s="6">
        <f t="shared" si="175"/>
        <v>0</v>
      </c>
      <c r="AB125" s="6">
        <f t="shared" si="176"/>
        <v>0</v>
      </c>
      <c r="AC125" s="6">
        <f t="shared" si="177"/>
        <v>0</v>
      </c>
      <c r="AD125" s="7" t="str">
        <f t="shared" si="178"/>
        <v/>
      </c>
      <c r="AE125" s="12">
        <f t="shared" si="179"/>
        <v>0</v>
      </c>
      <c r="AF125" s="13" t="str">
        <f t="shared" si="180"/>
        <v>복</v>
      </c>
      <c r="AG125" s="13" t="str">
        <f t="shared" si="181"/>
        <v>2/1</v>
      </c>
      <c r="AI125" s="32" t="str">
        <f t="shared" si="103"/>
        <v>뉴타운1,2,3차</v>
      </c>
      <c r="AJ125" s="21">
        <f t="shared" si="92"/>
        <v>19</v>
      </c>
      <c r="AK125" s="13" t="str">
        <f t="shared" si="182"/>
        <v>A-</v>
      </c>
      <c r="AL125" s="13"/>
      <c r="AM125" s="13"/>
      <c r="AN125" s="13"/>
      <c r="AO125" s="13" t="str">
        <f t="shared" si="183"/>
        <v>C</v>
      </c>
      <c r="AP125" s="13" t="str">
        <f t="shared" si="184"/>
        <v/>
      </c>
      <c r="AQ125" s="13" t="str">
        <f t="shared" si="185"/>
        <v/>
      </c>
      <c r="AR125" s="13" t="str">
        <f t="shared" si="186"/>
        <v>O</v>
      </c>
      <c r="AS125" s="13" t="str">
        <f t="shared" si="187"/>
        <v>O</v>
      </c>
      <c r="AT125" s="13" t="s">
        <v>32</v>
      </c>
      <c r="AU125" s="13" t="str">
        <f t="shared" si="188"/>
        <v>O</v>
      </c>
      <c r="AV125" s="13" t="str">
        <f t="shared" si="189"/>
        <v>O</v>
      </c>
      <c r="AW125" s="13" t="str">
        <f t="shared" si="190"/>
        <v/>
      </c>
    </row>
    <row r="126" spans="1:49" x14ac:dyDescent="0.3">
      <c r="A126" s="5" t="s">
        <v>1546</v>
      </c>
      <c r="B126" s="14" t="s">
        <v>1547</v>
      </c>
      <c r="C126" s="25">
        <v>912</v>
      </c>
      <c r="D126" s="23">
        <v>66.900000000000006</v>
      </c>
      <c r="E126" s="21">
        <v>20</v>
      </c>
      <c r="F126" s="23">
        <v>62.6</v>
      </c>
      <c r="G126" s="24">
        <v>19</v>
      </c>
      <c r="H126" s="25">
        <v>2</v>
      </c>
      <c r="I126" s="29"/>
      <c r="J126" s="106"/>
      <c r="K126" s="29"/>
      <c r="L126" s="106"/>
      <c r="M126" s="6">
        <f t="shared" si="168"/>
        <v>0</v>
      </c>
      <c r="N126" s="7" t="str">
        <f t="shared" si="169"/>
        <v/>
      </c>
      <c r="O126" s="12">
        <f t="shared" si="170"/>
        <v>0</v>
      </c>
      <c r="P126" s="12">
        <f t="shared" si="171"/>
        <v>0</v>
      </c>
      <c r="Q126" s="13">
        <v>2</v>
      </c>
      <c r="R126" s="13">
        <v>1</v>
      </c>
      <c r="S126" s="13" t="s">
        <v>51</v>
      </c>
      <c r="T126" s="8" t="s">
        <v>598</v>
      </c>
      <c r="U126" s="5"/>
      <c r="V126" s="5" t="s">
        <v>1551</v>
      </c>
      <c r="X126" s="23">
        <f t="shared" si="172"/>
        <v>66.900000000000006</v>
      </c>
      <c r="Y126" s="21">
        <f t="shared" si="173"/>
        <v>20</v>
      </c>
      <c r="Z126" s="28">
        <f t="shared" si="174"/>
        <v>2</v>
      </c>
      <c r="AA126" s="6">
        <f t="shared" si="175"/>
        <v>0</v>
      </c>
      <c r="AB126" s="6">
        <f t="shared" si="176"/>
        <v>0</v>
      </c>
      <c r="AC126" s="6">
        <f t="shared" si="177"/>
        <v>0</v>
      </c>
      <c r="AD126" s="7" t="str">
        <f t="shared" si="178"/>
        <v/>
      </c>
      <c r="AE126" s="12">
        <f t="shared" si="179"/>
        <v>0</v>
      </c>
      <c r="AF126" s="13" t="str">
        <f t="shared" si="180"/>
        <v>계</v>
      </c>
      <c r="AG126" s="13" t="str">
        <f t="shared" si="181"/>
        <v>2/1</v>
      </c>
      <c r="AI126" s="32" t="str">
        <f t="shared" si="103"/>
        <v>뉴타운1,2,3차</v>
      </c>
      <c r="AJ126" s="21">
        <f t="shared" si="92"/>
        <v>20</v>
      </c>
      <c r="AK126" s="13" t="str">
        <f t="shared" si="182"/>
        <v>A-</v>
      </c>
      <c r="AL126" s="13"/>
      <c r="AM126" s="13"/>
      <c r="AN126" s="13"/>
      <c r="AO126" s="13" t="str">
        <f t="shared" si="183"/>
        <v>C</v>
      </c>
      <c r="AP126" s="13" t="str">
        <f t="shared" si="184"/>
        <v/>
      </c>
      <c r="AQ126" s="13" t="str">
        <f t="shared" si="185"/>
        <v/>
      </c>
      <c r="AR126" s="13" t="str">
        <f t="shared" si="186"/>
        <v>O</v>
      </c>
      <c r="AS126" s="13" t="str">
        <f t="shared" si="187"/>
        <v>O</v>
      </c>
      <c r="AT126" s="13" t="s">
        <v>32</v>
      </c>
      <c r="AU126" s="13" t="str">
        <f t="shared" si="188"/>
        <v>O</v>
      </c>
      <c r="AV126" s="13" t="str">
        <f t="shared" si="189"/>
        <v>O</v>
      </c>
      <c r="AW126" s="13" t="str">
        <f t="shared" si="190"/>
        <v/>
      </c>
    </row>
    <row r="127" spans="1:49" x14ac:dyDescent="0.3">
      <c r="A127" s="5" t="s">
        <v>1546</v>
      </c>
      <c r="B127" s="14" t="s">
        <v>1547</v>
      </c>
      <c r="C127" s="25">
        <v>912</v>
      </c>
      <c r="D127" s="23">
        <v>66.400000000000006</v>
      </c>
      <c r="E127" s="21">
        <v>20</v>
      </c>
      <c r="F127" s="23">
        <v>62</v>
      </c>
      <c r="G127" s="24">
        <v>19</v>
      </c>
      <c r="H127" s="25">
        <v>1</v>
      </c>
      <c r="I127" s="29"/>
      <c r="J127" s="106"/>
      <c r="K127" s="29"/>
      <c r="L127" s="106"/>
      <c r="M127" s="6">
        <f t="shared" si="168"/>
        <v>0</v>
      </c>
      <c r="N127" s="7" t="str">
        <f t="shared" si="169"/>
        <v/>
      </c>
      <c r="O127" s="12">
        <f t="shared" si="170"/>
        <v>0</v>
      </c>
      <c r="P127" s="12">
        <f t="shared" si="171"/>
        <v>0</v>
      </c>
      <c r="Q127" s="13">
        <v>2</v>
      </c>
      <c r="R127" s="13">
        <v>1</v>
      </c>
      <c r="S127" s="13" t="s">
        <v>1356</v>
      </c>
      <c r="T127" s="8" t="s">
        <v>599</v>
      </c>
      <c r="U127" s="5"/>
      <c r="V127" s="5" t="s">
        <v>1552</v>
      </c>
      <c r="X127" s="23">
        <f t="shared" si="172"/>
        <v>66.400000000000006</v>
      </c>
      <c r="Y127" s="21">
        <f t="shared" si="173"/>
        <v>20</v>
      </c>
      <c r="Z127" s="28">
        <f t="shared" si="174"/>
        <v>1</v>
      </c>
      <c r="AA127" s="6">
        <f t="shared" si="175"/>
        <v>0</v>
      </c>
      <c r="AB127" s="6">
        <f t="shared" si="176"/>
        <v>0</v>
      </c>
      <c r="AC127" s="6">
        <f t="shared" si="177"/>
        <v>0</v>
      </c>
      <c r="AD127" s="7" t="str">
        <f t="shared" si="178"/>
        <v/>
      </c>
      <c r="AE127" s="12">
        <f t="shared" si="179"/>
        <v>0</v>
      </c>
      <c r="AF127" s="13" t="str">
        <f t="shared" si="180"/>
        <v>복</v>
      </c>
      <c r="AG127" s="13" t="str">
        <f t="shared" si="181"/>
        <v>2/1</v>
      </c>
      <c r="AI127" s="32" t="str">
        <f t="shared" si="103"/>
        <v>뉴타운1,2,3차</v>
      </c>
      <c r="AJ127" s="21">
        <f t="shared" si="92"/>
        <v>20</v>
      </c>
      <c r="AK127" s="13" t="str">
        <f t="shared" si="182"/>
        <v>A-</v>
      </c>
      <c r="AL127" s="13"/>
      <c r="AM127" s="13"/>
      <c r="AN127" s="13"/>
      <c r="AO127" s="13" t="str">
        <f t="shared" si="183"/>
        <v>C</v>
      </c>
      <c r="AP127" s="13" t="str">
        <f t="shared" si="184"/>
        <v/>
      </c>
      <c r="AQ127" s="13" t="str">
        <f t="shared" si="185"/>
        <v/>
      </c>
      <c r="AR127" s="13" t="str">
        <f t="shared" si="186"/>
        <v>O</v>
      </c>
      <c r="AS127" s="13" t="str">
        <f t="shared" si="187"/>
        <v>O</v>
      </c>
      <c r="AT127" s="13" t="s">
        <v>32</v>
      </c>
      <c r="AU127" s="13" t="str">
        <f t="shared" si="188"/>
        <v>O</v>
      </c>
      <c r="AV127" s="13" t="str">
        <f t="shared" si="189"/>
        <v>O</v>
      </c>
      <c r="AW127" s="13" t="str">
        <f t="shared" si="190"/>
        <v/>
      </c>
    </row>
    <row r="128" spans="1:49" x14ac:dyDescent="0.3">
      <c r="A128" s="5" t="s">
        <v>1546</v>
      </c>
      <c r="B128" s="14" t="s">
        <v>1547</v>
      </c>
      <c r="C128" s="25">
        <v>912</v>
      </c>
      <c r="D128" s="23">
        <v>66.400000000000006</v>
      </c>
      <c r="E128" s="21">
        <v>20</v>
      </c>
      <c r="F128" s="23">
        <v>62</v>
      </c>
      <c r="G128" s="24">
        <v>19</v>
      </c>
      <c r="H128" s="25">
        <v>1</v>
      </c>
      <c r="I128" s="29"/>
      <c r="J128" s="106"/>
      <c r="K128" s="29"/>
      <c r="L128" s="106"/>
      <c r="M128" s="6">
        <f t="shared" si="168"/>
        <v>0</v>
      </c>
      <c r="N128" s="7" t="str">
        <f t="shared" si="169"/>
        <v/>
      </c>
      <c r="O128" s="12">
        <f t="shared" si="170"/>
        <v>0</v>
      </c>
      <c r="P128" s="12">
        <f t="shared" si="171"/>
        <v>0</v>
      </c>
      <c r="Q128" s="13">
        <v>2</v>
      </c>
      <c r="R128" s="13">
        <v>1</v>
      </c>
      <c r="S128" s="13" t="s">
        <v>1356</v>
      </c>
      <c r="T128" s="8" t="s">
        <v>600</v>
      </c>
      <c r="U128" s="5"/>
      <c r="V128" s="5" t="s">
        <v>1552</v>
      </c>
      <c r="X128" s="23">
        <f t="shared" si="172"/>
        <v>66.400000000000006</v>
      </c>
      <c r="Y128" s="21">
        <f t="shared" si="173"/>
        <v>20</v>
      </c>
      <c r="Z128" s="28">
        <f t="shared" si="174"/>
        <v>1</v>
      </c>
      <c r="AA128" s="6">
        <f t="shared" si="175"/>
        <v>0</v>
      </c>
      <c r="AB128" s="6">
        <f t="shared" si="176"/>
        <v>0</v>
      </c>
      <c r="AC128" s="6">
        <f t="shared" si="177"/>
        <v>0</v>
      </c>
      <c r="AD128" s="7" t="str">
        <f t="shared" si="178"/>
        <v/>
      </c>
      <c r="AE128" s="12">
        <f t="shared" si="179"/>
        <v>0</v>
      </c>
      <c r="AF128" s="13" t="str">
        <f t="shared" si="180"/>
        <v>복</v>
      </c>
      <c r="AG128" s="13" t="str">
        <f t="shared" si="181"/>
        <v>2/1</v>
      </c>
      <c r="AI128" s="32" t="str">
        <f t="shared" si="103"/>
        <v>뉴타운1,2,3차</v>
      </c>
      <c r="AJ128" s="21">
        <f t="shared" si="92"/>
        <v>20</v>
      </c>
      <c r="AK128" s="13" t="str">
        <f t="shared" si="182"/>
        <v>A-</v>
      </c>
      <c r="AL128" s="13"/>
      <c r="AM128" s="13"/>
      <c r="AN128" s="13"/>
      <c r="AO128" s="13" t="str">
        <f t="shared" si="183"/>
        <v>C</v>
      </c>
      <c r="AP128" s="13" t="str">
        <f t="shared" si="184"/>
        <v/>
      </c>
      <c r="AQ128" s="13" t="str">
        <f t="shared" si="185"/>
        <v/>
      </c>
      <c r="AR128" s="13" t="str">
        <f t="shared" si="186"/>
        <v>O</v>
      </c>
      <c r="AS128" s="13" t="str">
        <f t="shared" si="187"/>
        <v>O</v>
      </c>
      <c r="AT128" s="13" t="s">
        <v>32</v>
      </c>
      <c r="AU128" s="13" t="str">
        <f t="shared" si="188"/>
        <v>O</v>
      </c>
      <c r="AV128" s="13" t="str">
        <f t="shared" si="189"/>
        <v>O</v>
      </c>
      <c r="AW128" s="13" t="str">
        <f t="shared" si="190"/>
        <v/>
      </c>
    </row>
    <row r="129" spans="1:49" x14ac:dyDescent="0.3">
      <c r="A129" s="5" t="s">
        <v>1546</v>
      </c>
      <c r="B129" s="14" t="s">
        <v>1547</v>
      </c>
      <c r="C129" s="25">
        <v>912</v>
      </c>
      <c r="D129" s="23">
        <v>74.3</v>
      </c>
      <c r="E129" s="21">
        <v>22</v>
      </c>
      <c r="F129" s="23">
        <v>69.5</v>
      </c>
      <c r="G129" s="24">
        <v>21</v>
      </c>
      <c r="H129" s="25">
        <v>109</v>
      </c>
      <c r="I129" s="29"/>
      <c r="J129" s="106"/>
      <c r="K129" s="29"/>
      <c r="L129" s="106"/>
      <c r="M129" s="6">
        <f t="shared" si="168"/>
        <v>0</v>
      </c>
      <c r="N129" s="7" t="str">
        <f t="shared" si="169"/>
        <v/>
      </c>
      <c r="O129" s="12">
        <f t="shared" si="170"/>
        <v>0</v>
      </c>
      <c r="P129" s="12">
        <f t="shared" si="171"/>
        <v>0</v>
      </c>
      <c r="Q129" s="13">
        <v>2</v>
      </c>
      <c r="R129" s="13">
        <v>1</v>
      </c>
      <c r="S129" s="13" t="s">
        <v>1356</v>
      </c>
      <c r="T129" s="8" t="s">
        <v>281</v>
      </c>
      <c r="U129" s="5"/>
      <c r="V129" s="5" t="s">
        <v>1553</v>
      </c>
      <c r="X129" s="23">
        <f t="shared" si="172"/>
        <v>74.3</v>
      </c>
      <c r="Y129" s="21">
        <f t="shared" si="173"/>
        <v>22</v>
      </c>
      <c r="Z129" s="28">
        <f t="shared" si="174"/>
        <v>109</v>
      </c>
      <c r="AA129" s="6">
        <f t="shared" si="175"/>
        <v>0</v>
      </c>
      <c r="AB129" s="6">
        <f t="shared" si="176"/>
        <v>0</v>
      </c>
      <c r="AC129" s="6">
        <f t="shared" si="177"/>
        <v>0</v>
      </c>
      <c r="AD129" s="7" t="str">
        <f t="shared" si="178"/>
        <v/>
      </c>
      <c r="AE129" s="12">
        <f t="shared" si="179"/>
        <v>0</v>
      </c>
      <c r="AF129" s="13" t="str">
        <f t="shared" si="180"/>
        <v>복</v>
      </c>
      <c r="AG129" s="13" t="str">
        <f t="shared" si="181"/>
        <v>2/1</v>
      </c>
      <c r="AI129" s="32" t="str">
        <f t="shared" si="103"/>
        <v>뉴타운1,2,3차</v>
      </c>
      <c r="AJ129" s="21">
        <f t="shared" si="92"/>
        <v>22</v>
      </c>
      <c r="AK129" s="13" t="str">
        <f t="shared" si="182"/>
        <v>A-</v>
      </c>
      <c r="AL129" s="13"/>
      <c r="AM129" s="13"/>
      <c r="AN129" s="13"/>
      <c r="AO129" s="13" t="str">
        <f t="shared" si="183"/>
        <v>C</v>
      </c>
      <c r="AP129" s="13" t="str">
        <f t="shared" si="184"/>
        <v/>
      </c>
      <c r="AQ129" s="13" t="str">
        <f t="shared" si="185"/>
        <v/>
      </c>
      <c r="AR129" s="13" t="str">
        <f t="shared" si="186"/>
        <v>O</v>
      </c>
      <c r="AS129" s="13" t="str">
        <f t="shared" si="187"/>
        <v>O</v>
      </c>
      <c r="AT129" s="13" t="s">
        <v>32</v>
      </c>
      <c r="AU129" s="13" t="str">
        <f t="shared" si="188"/>
        <v>O</v>
      </c>
      <c r="AV129" s="13" t="str">
        <f t="shared" si="189"/>
        <v>O</v>
      </c>
      <c r="AW129" s="13" t="str">
        <f t="shared" si="190"/>
        <v/>
      </c>
    </row>
    <row r="130" spans="1:49" x14ac:dyDescent="0.3">
      <c r="A130" s="5" t="s">
        <v>1546</v>
      </c>
      <c r="B130" s="14" t="s">
        <v>1547</v>
      </c>
      <c r="C130" s="25">
        <v>912</v>
      </c>
      <c r="D130" s="23">
        <v>74.8</v>
      </c>
      <c r="E130" s="21">
        <v>23</v>
      </c>
      <c r="F130" s="23">
        <v>70.099999999999994</v>
      </c>
      <c r="G130" s="24">
        <v>21</v>
      </c>
      <c r="H130" s="25">
        <v>97</v>
      </c>
      <c r="I130" s="29"/>
      <c r="J130" s="106"/>
      <c r="K130" s="29"/>
      <c r="L130" s="106"/>
      <c r="M130" s="6">
        <f t="shared" si="168"/>
        <v>0</v>
      </c>
      <c r="N130" s="7" t="str">
        <f t="shared" si="169"/>
        <v/>
      </c>
      <c r="O130" s="12">
        <f t="shared" si="170"/>
        <v>0</v>
      </c>
      <c r="P130" s="12">
        <f t="shared" si="171"/>
        <v>0</v>
      </c>
      <c r="Q130" s="13">
        <v>2</v>
      </c>
      <c r="R130" s="13">
        <v>1</v>
      </c>
      <c r="S130" s="13" t="s">
        <v>1356</v>
      </c>
      <c r="T130" s="8" t="s">
        <v>136</v>
      </c>
      <c r="U130" s="5"/>
      <c r="V130" s="5" t="s">
        <v>1554</v>
      </c>
      <c r="X130" s="23">
        <f t="shared" si="172"/>
        <v>74.8</v>
      </c>
      <c r="Y130" s="21">
        <f t="shared" si="173"/>
        <v>23</v>
      </c>
      <c r="Z130" s="28">
        <f t="shared" si="174"/>
        <v>97</v>
      </c>
      <c r="AA130" s="6">
        <f t="shared" si="175"/>
        <v>0</v>
      </c>
      <c r="AB130" s="6">
        <f t="shared" si="176"/>
        <v>0</v>
      </c>
      <c r="AC130" s="6">
        <f t="shared" si="177"/>
        <v>0</v>
      </c>
      <c r="AD130" s="7" t="str">
        <f t="shared" si="178"/>
        <v/>
      </c>
      <c r="AE130" s="12">
        <f t="shared" si="179"/>
        <v>0</v>
      </c>
      <c r="AF130" s="13" t="str">
        <f t="shared" si="180"/>
        <v>복</v>
      </c>
      <c r="AG130" s="13" t="str">
        <f t="shared" si="181"/>
        <v>2/1</v>
      </c>
      <c r="AI130" s="32" t="str">
        <f t="shared" si="103"/>
        <v>뉴타운1,2,3차</v>
      </c>
      <c r="AJ130" s="21">
        <f t="shared" si="92"/>
        <v>23</v>
      </c>
      <c r="AK130" s="13" t="str">
        <f t="shared" si="182"/>
        <v>A-</v>
      </c>
      <c r="AL130" s="13"/>
      <c r="AM130" s="13"/>
      <c r="AN130" s="13"/>
      <c r="AO130" s="13" t="str">
        <f t="shared" si="183"/>
        <v>C</v>
      </c>
      <c r="AP130" s="13" t="str">
        <f t="shared" si="184"/>
        <v/>
      </c>
      <c r="AQ130" s="13" t="str">
        <f t="shared" si="185"/>
        <v/>
      </c>
      <c r="AR130" s="13" t="str">
        <f t="shared" si="186"/>
        <v>O</v>
      </c>
      <c r="AS130" s="13" t="str">
        <f t="shared" si="187"/>
        <v>O</v>
      </c>
      <c r="AT130" s="13" t="s">
        <v>32</v>
      </c>
      <c r="AU130" s="13" t="str">
        <f t="shared" si="188"/>
        <v>O</v>
      </c>
      <c r="AV130" s="13" t="str">
        <f t="shared" si="189"/>
        <v>O</v>
      </c>
      <c r="AW130" s="13" t="str">
        <f t="shared" si="190"/>
        <v/>
      </c>
    </row>
    <row r="131" spans="1:49" x14ac:dyDescent="0.3">
      <c r="A131" s="5" t="s">
        <v>1546</v>
      </c>
      <c r="B131" s="14" t="s">
        <v>1547</v>
      </c>
      <c r="C131" s="25">
        <v>912</v>
      </c>
      <c r="D131" s="23">
        <v>74.8</v>
      </c>
      <c r="E131" s="21">
        <v>23</v>
      </c>
      <c r="F131" s="23">
        <v>52.4</v>
      </c>
      <c r="G131" s="24">
        <v>16</v>
      </c>
      <c r="H131" s="25">
        <v>1</v>
      </c>
      <c r="I131" s="29"/>
      <c r="J131" s="106"/>
      <c r="K131" s="29"/>
      <c r="L131" s="106"/>
      <c r="M131" s="6">
        <f t="shared" si="168"/>
        <v>0</v>
      </c>
      <c r="N131" s="7" t="str">
        <f t="shared" si="169"/>
        <v/>
      </c>
      <c r="O131" s="12">
        <f t="shared" si="170"/>
        <v>0</v>
      </c>
      <c r="P131" s="12">
        <f t="shared" si="171"/>
        <v>0</v>
      </c>
      <c r="Q131" s="13">
        <v>2</v>
      </c>
      <c r="R131" s="13">
        <v>1</v>
      </c>
      <c r="S131" s="13" t="s">
        <v>1356</v>
      </c>
      <c r="T131" s="8" t="s">
        <v>281</v>
      </c>
      <c r="U131" s="5"/>
      <c r="V131" s="5" t="s">
        <v>1554</v>
      </c>
      <c r="X131" s="23">
        <f t="shared" si="172"/>
        <v>74.8</v>
      </c>
      <c r="Y131" s="21">
        <f t="shared" si="173"/>
        <v>23</v>
      </c>
      <c r="Z131" s="28">
        <f t="shared" si="174"/>
        <v>1</v>
      </c>
      <c r="AA131" s="6">
        <f t="shared" si="175"/>
        <v>0</v>
      </c>
      <c r="AB131" s="6">
        <f t="shared" si="176"/>
        <v>0</v>
      </c>
      <c r="AC131" s="6">
        <f t="shared" si="177"/>
        <v>0</v>
      </c>
      <c r="AD131" s="7" t="str">
        <f t="shared" si="178"/>
        <v/>
      </c>
      <c r="AE131" s="12">
        <f t="shared" si="179"/>
        <v>0</v>
      </c>
      <c r="AF131" s="13" t="str">
        <f t="shared" si="180"/>
        <v>복</v>
      </c>
      <c r="AG131" s="13" t="str">
        <f t="shared" si="181"/>
        <v>2/1</v>
      </c>
      <c r="AI131" s="32" t="str">
        <f t="shared" si="103"/>
        <v>뉴타운1,2,3차</v>
      </c>
      <c r="AJ131" s="21">
        <f t="shared" si="92"/>
        <v>23</v>
      </c>
      <c r="AK131" s="13" t="str">
        <f t="shared" si="182"/>
        <v>A-</v>
      </c>
      <c r="AL131" s="13"/>
      <c r="AM131" s="13"/>
      <c r="AN131" s="13"/>
      <c r="AO131" s="13" t="str">
        <f t="shared" si="183"/>
        <v>C</v>
      </c>
      <c r="AP131" s="13" t="str">
        <f t="shared" si="184"/>
        <v/>
      </c>
      <c r="AQ131" s="13" t="str">
        <f t="shared" si="185"/>
        <v/>
      </c>
      <c r="AR131" s="13" t="str">
        <f t="shared" si="186"/>
        <v>O</v>
      </c>
      <c r="AS131" s="13" t="str">
        <f t="shared" si="187"/>
        <v>O</v>
      </c>
      <c r="AT131" s="13" t="s">
        <v>32</v>
      </c>
      <c r="AU131" s="13" t="str">
        <f t="shared" si="188"/>
        <v>O</v>
      </c>
      <c r="AV131" s="13" t="str">
        <f t="shared" si="189"/>
        <v>O</v>
      </c>
      <c r="AW131" s="13" t="str">
        <f t="shared" si="190"/>
        <v/>
      </c>
    </row>
    <row r="132" spans="1:49" x14ac:dyDescent="0.3">
      <c r="A132" s="5" t="s">
        <v>1546</v>
      </c>
      <c r="B132" s="14" t="s">
        <v>1547</v>
      </c>
      <c r="C132" s="25">
        <v>912</v>
      </c>
      <c r="D132" s="23">
        <v>74.8</v>
      </c>
      <c r="E132" s="21">
        <v>23</v>
      </c>
      <c r="F132" s="23">
        <v>70.099999999999994</v>
      </c>
      <c r="G132" s="24">
        <v>21</v>
      </c>
      <c r="H132" s="25">
        <v>1</v>
      </c>
      <c r="I132" s="29"/>
      <c r="J132" s="106"/>
      <c r="K132" s="29"/>
      <c r="L132" s="106"/>
      <c r="M132" s="6">
        <f t="shared" si="168"/>
        <v>0</v>
      </c>
      <c r="N132" s="7" t="str">
        <f t="shared" si="169"/>
        <v/>
      </c>
      <c r="O132" s="12">
        <f t="shared" si="170"/>
        <v>0</v>
      </c>
      <c r="P132" s="12">
        <f t="shared" si="171"/>
        <v>0</v>
      </c>
      <c r="Q132" s="13">
        <v>2</v>
      </c>
      <c r="R132" s="13">
        <v>1</v>
      </c>
      <c r="S132" s="13" t="s">
        <v>1356</v>
      </c>
      <c r="T132" s="8" t="s">
        <v>601</v>
      </c>
      <c r="U132" s="5"/>
      <c r="V132" s="5" t="s">
        <v>1554</v>
      </c>
      <c r="X132" s="23">
        <f t="shared" si="172"/>
        <v>74.8</v>
      </c>
      <c r="Y132" s="21">
        <f t="shared" si="173"/>
        <v>23</v>
      </c>
      <c r="Z132" s="28">
        <f t="shared" si="174"/>
        <v>1</v>
      </c>
      <c r="AA132" s="6">
        <f t="shared" si="175"/>
        <v>0</v>
      </c>
      <c r="AB132" s="6">
        <f t="shared" si="176"/>
        <v>0</v>
      </c>
      <c r="AC132" s="6">
        <f t="shared" si="177"/>
        <v>0</v>
      </c>
      <c r="AD132" s="7" t="str">
        <f t="shared" si="178"/>
        <v/>
      </c>
      <c r="AE132" s="12">
        <f t="shared" si="179"/>
        <v>0</v>
      </c>
      <c r="AF132" s="13" t="str">
        <f t="shared" si="180"/>
        <v>복</v>
      </c>
      <c r="AG132" s="13" t="str">
        <f t="shared" si="181"/>
        <v>2/1</v>
      </c>
      <c r="AI132" s="32" t="str">
        <f t="shared" si="103"/>
        <v>뉴타운1,2,3차</v>
      </c>
      <c r="AJ132" s="21">
        <f t="shared" ref="AJ132:AJ195" si="191">IF(E132="","",E132)</f>
        <v>23</v>
      </c>
      <c r="AK132" s="13" t="str">
        <f t="shared" si="182"/>
        <v>A-</v>
      </c>
      <c r="AL132" s="13"/>
      <c r="AM132" s="13"/>
      <c r="AN132" s="13"/>
      <c r="AO132" s="13" t="str">
        <f t="shared" si="183"/>
        <v>C</v>
      </c>
      <c r="AP132" s="13" t="str">
        <f t="shared" si="184"/>
        <v/>
      </c>
      <c r="AQ132" s="13" t="str">
        <f t="shared" si="185"/>
        <v/>
      </c>
      <c r="AR132" s="13" t="str">
        <f t="shared" si="186"/>
        <v>O</v>
      </c>
      <c r="AS132" s="13" t="str">
        <f t="shared" si="187"/>
        <v>O</v>
      </c>
      <c r="AT132" s="13" t="s">
        <v>32</v>
      </c>
      <c r="AU132" s="13" t="str">
        <f t="shared" si="188"/>
        <v>O</v>
      </c>
      <c r="AV132" s="13" t="str">
        <f t="shared" si="189"/>
        <v>O</v>
      </c>
      <c r="AW132" s="13" t="str">
        <f t="shared" si="190"/>
        <v/>
      </c>
    </row>
    <row r="133" spans="1:49" x14ac:dyDescent="0.3">
      <c r="A133" s="5" t="s">
        <v>1546</v>
      </c>
      <c r="B133" s="14" t="s">
        <v>1547</v>
      </c>
      <c r="C133" s="25">
        <v>912</v>
      </c>
      <c r="D133" s="23">
        <v>74.3</v>
      </c>
      <c r="E133" s="21">
        <v>22</v>
      </c>
      <c r="F133" s="23">
        <v>52.4</v>
      </c>
      <c r="G133" s="24">
        <v>16</v>
      </c>
      <c r="H133" s="25">
        <v>1</v>
      </c>
      <c r="I133" s="29"/>
      <c r="J133" s="106"/>
      <c r="K133" s="29"/>
      <c r="L133" s="106"/>
      <c r="M133" s="6">
        <f t="shared" si="168"/>
        <v>0</v>
      </c>
      <c r="N133" s="7" t="str">
        <f t="shared" si="169"/>
        <v/>
      </c>
      <c r="O133" s="12">
        <f t="shared" si="170"/>
        <v>0</v>
      </c>
      <c r="P133" s="12">
        <f t="shared" si="171"/>
        <v>0</v>
      </c>
      <c r="Q133" s="13">
        <v>2</v>
      </c>
      <c r="R133" s="13">
        <v>1</v>
      </c>
      <c r="S133" s="13" t="s">
        <v>1356</v>
      </c>
      <c r="T133" s="8" t="s">
        <v>601</v>
      </c>
      <c r="U133" s="5"/>
      <c r="V133" s="5" t="s">
        <v>1553</v>
      </c>
      <c r="X133" s="23">
        <f t="shared" si="172"/>
        <v>74.3</v>
      </c>
      <c r="Y133" s="21">
        <f t="shared" si="173"/>
        <v>22</v>
      </c>
      <c r="Z133" s="28">
        <f t="shared" si="174"/>
        <v>1</v>
      </c>
      <c r="AA133" s="6">
        <f t="shared" si="175"/>
        <v>0</v>
      </c>
      <c r="AB133" s="6">
        <f t="shared" si="176"/>
        <v>0</v>
      </c>
      <c r="AC133" s="6">
        <f t="shared" si="177"/>
        <v>0</v>
      </c>
      <c r="AD133" s="7" t="str">
        <f t="shared" si="178"/>
        <v/>
      </c>
      <c r="AE133" s="12">
        <f t="shared" si="179"/>
        <v>0</v>
      </c>
      <c r="AF133" s="13" t="str">
        <f t="shared" si="180"/>
        <v>복</v>
      </c>
      <c r="AG133" s="13" t="str">
        <f t="shared" si="181"/>
        <v>2/1</v>
      </c>
      <c r="AI133" s="32" t="str">
        <f t="shared" si="103"/>
        <v>뉴타운1,2,3차</v>
      </c>
      <c r="AJ133" s="21">
        <f t="shared" si="191"/>
        <v>22</v>
      </c>
      <c r="AK133" s="13" t="str">
        <f t="shared" si="182"/>
        <v>A-</v>
      </c>
      <c r="AL133" s="13"/>
      <c r="AM133" s="13"/>
      <c r="AN133" s="13"/>
      <c r="AO133" s="13" t="str">
        <f t="shared" si="183"/>
        <v>C</v>
      </c>
      <c r="AP133" s="13" t="str">
        <f t="shared" si="184"/>
        <v/>
      </c>
      <c r="AQ133" s="13" t="str">
        <f t="shared" si="185"/>
        <v/>
      </c>
      <c r="AR133" s="13" t="str">
        <f t="shared" si="186"/>
        <v>O</v>
      </c>
      <c r="AS133" s="13" t="str">
        <f t="shared" si="187"/>
        <v>O</v>
      </c>
      <c r="AT133" s="13" t="s">
        <v>32</v>
      </c>
      <c r="AU133" s="13" t="str">
        <f t="shared" si="188"/>
        <v>O</v>
      </c>
      <c r="AV133" s="13" t="str">
        <f t="shared" si="189"/>
        <v>O</v>
      </c>
      <c r="AW133" s="13" t="str">
        <f t="shared" si="190"/>
        <v/>
      </c>
    </row>
    <row r="134" spans="1:49" x14ac:dyDescent="0.3">
      <c r="A134" s="5" t="s">
        <v>1546</v>
      </c>
      <c r="B134" s="14" t="s">
        <v>1547</v>
      </c>
      <c r="C134" s="25">
        <v>912</v>
      </c>
      <c r="D134" s="23">
        <v>75.8</v>
      </c>
      <c r="E134" s="21">
        <v>23</v>
      </c>
      <c r="F134" s="23">
        <v>71.099999999999994</v>
      </c>
      <c r="G134" s="24">
        <v>21</v>
      </c>
      <c r="H134" s="25">
        <v>8</v>
      </c>
      <c r="I134" s="29"/>
      <c r="J134" s="106"/>
      <c r="K134" s="29"/>
      <c r="L134" s="106"/>
      <c r="M134" s="6">
        <f t="shared" si="168"/>
        <v>0</v>
      </c>
      <c r="N134" s="7" t="str">
        <f t="shared" si="169"/>
        <v/>
      </c>
      <c r="O134" s="12">
        <f t="shared" si="170"/>
        <v>0</v>
      </c>
      <c r="P134" s="12">
        <f t="shared" si="171"/>
        <v>0</v>
      </c>
      <c r="Q134" s="13">
        <v>3</v>
      </c>
      <c r="R134" s="13">
        <v>1</v>
      </c>
      <c r="S134" s="13" t="s">
        <v>1356</v>
      </c>
      <c r="T134" s="8" t="s">
        <v>602</v>
      </c>
      <c r="U134" s="5"/>
      <c r="V134" s="5" t="s">
        <v>1555</v>
      </c>
      <c r="X134" s="23">
        <f t="shared" si="172"/>
        <v>75.8</v>
      </c>
      <c r="Y134" s="21">
        <f t="shared" si="173"/>
        <v>23</v>
      </c>
      <c r="Z134" s="28">
        <f t="shared" si="174"/>
        <v>8</v>
      </c>
      <c r="AA134" s="6">
        <f t="shared" si="175"/>
        <v>0</v>
      </c>
      <c r="AB134" s="6">
        <f t="shared" si="176"/>
        <v>0</v>
      </c>
      <c r="AC134" s="6">
        <f t="shared" si="177"/>
        <v>0</v>
      </c>
      <c r="AD134" s="7" t="str">
        <f t="shared" si="178"/>
        <v/>
      </c>
      <c r="AE134" s="12">
        <f t="shared" si="179"/>
        <v>0</v>
      </c>
      <c r="AF134" s="13" t="str">
        <f t="shared" si="180"/>
        <v>복</v>
      </c>
      <c r="AG134" s="13" t="str">
        <f t="shared" si="181"/>
        <v>3/1</v>
      </c>
      <c r="AI134" s="32" t="str">
        <f t="shared" ref="AI134:AI197" si="192">IF(A134="","",A134)</f>
        <v>뉴타운1,2,3차</v>
      </c>
      <c r="AJ134" s="21">
        <f t="shared" si="191"/>
        <v>23</v>
      </c>
      <c r="AK134" s="13" t="str">
        <f t="shared" si="182"/>
        <v>A-</v>
      </c>
      <c r="AL134" s="13"/>
      <c r="AM134" s="13"/>
      <c r="AN134" s="13"/>
      <c r="AO134" s="13" t="str">
        <f t="shared" si="183"/>
        <v>C</v>
      </c>
      <c r="AP134" s="13" t="str">
        <f t="shared" si="184"/>
        <v/>
      </c>
      <c r="AQ134" s="13" t="str">
        <f t="shared" si="185"/>
        <v/>
      </c>
      <c r="AR134" s="13" t="str">
        <f t="shared" si="186"/>
        <v>O</v>
      </c>
      <c r="AS134" s="13" t="str">
        <f t="shared" si="187"/>
        <v>O</v>
      </c>
      <c r="AT134" s="13" t="s">
        <v>32</v>
      </c>
      <c r="AU134" s="13" t="str">
        <f t="shared" si="188"/>
        <v>O</v>
      </c>
      <c r="AV134" s="13" t="str">
        <f t="shared" si="189"/>
        <v>O</v>
      </c>
      <c r="AW134" s="13" t="str">
        <f t="shared" si="190"/>
        <v/>
      </c>
    </row>
    <row r="135" spans="1:49" x14ac:dyDescent="0.3">
      <c r="A135" s="5" t="s">
        <v>1546</v>
      </c>
      <c r="B135" s="14" t="s">
        <v>1547</v>
      </c>
      <c r="C135" s="25">
        <v>912</v>
      </c>
      <c r="D135" s="23">
        <v>76.5</v>
      </c>
      <c r="E135" s="21">
        <v>23</v>
      </c>
      <c r="F135" s="23">
        <v>71.7</v>
      </c>
      <c r="G135" s="24">
        <v>22</v>
      </c>
      <c r="H135" s="25">
        <v>7</v>
      </c>
      <c r="I135" s="29"/>
      <c r="J135" s="106"/>
      <c r="K135" s="29"/>
      <c r="L135" s="106"/>
      <c r="M135" s="6">
        <f t="shared" si="168"/>
        <v>0</v>
      </c>
      <c r="N135" s="7" t="str">
        <f t="shared" si="169"/>
        <v/>
      </c>
      <c r="O135" s="12">
        <f t="shared" si="170"/>
        <v>0</v>
      </c>
      <c r="P135" s="12">
        <f t="shared" si="171"/>
        <v>0</v>
      </c>
      <c r="Q135" s="13">
        <v>2</v>
      </c>
      <c r="R135" s="13">
        <v>1</v>
      </c>
      <c r="S135" s="13" t="s">
        <v>1356</v>
      </c>
      <c r="T135" s="8" t="s">
        <v>603</v>
      </c>
      <c r="U135" s="5"/>
      <c r="V135" s="5" t="s">
        <v>1555</v>
      </c>
      <c r="X135" s="23">
        <f t="shared" si="172"/>
        <v>76.5</v>
      </c>
      <c r="Y135" s="21">
        <f t="shared" si="173"/>
        <v>23</v>
      </c>
      <c r="Z135" s="28">
        <f t="shared" si="174"/>
        <v>7</v>
      </c>
      <c r="AA135" s="6">
        <f t="shared" si="175"/>
        <v>0</v>
      </c>
      <c r="AB135" s="6">
        <f t="shared" si="176"/>
        <v>0</v>
      </c>
      <c r="AC135" s="6">
        <f t="shared" si="177"/>
        <v>0</v>
      </c>
      <c r="AD135" s="7" t="str">
        <f t="shared" si="178"/>
        <v/>
      </c>
      <c r="AE135" s="12">
        <f t="shared" si="179"/>
        <v>0</v>
      </c>
      <c r="AF135" s="13" t="str">
        <f t="shared" si="180"/>
        <v>복</v>
      </c>
      <c r="AG135" s="13" t="str">
        <f t="shared" si="181"/>
        <v>2/1</v>
      </c>
      <c r="AI135" s="32" t="str">
        <f t="shared" si="192"/>
        <v>뉴타운1,2,3차</v>
      </c>
      <c r="AJ135" s="21">
        <f t="shared" si="191"/>
        <v>23</v>
      </c>
      <c r="AK135" s="13" t="str">
        <f t="shared" si="182"/>
        <v>A-</v>
      </c>
      <c r="AL135" s="13"/>
      <c r="AM135" s="13"/>
      <c r="AN135" s="13"/>
      <c r="AO135" s="13" t="str">
        <f t="shared" si="183"/>
        <v>C</v>
      </c>
      <c r="AP135" s="13" t="str">
        <f t="shared" si="184"/>
        <v/>
      </c>
      <c r="AQ135" s="13" t="str">
        <f t="shared" si="185"/>
        <v/>
      </c>
      <c r="AR135" s="13" t="str">
        <f t="shared" si="186"/>
        <v>O</v>
      </c>
      <c r="AS135" s="13" t="str">
        <f t="shared" si="187"/>
        <v>O</v>
      </c>
      <c r="AT135" s="13" t="s">
        <v>32</v>
      </c>
      <c r="AU135" s="13" t="str">
        <f t="shared" si="188"/>
        <v>O</v>
      </c>
      <c r="AV135" s="13" t="str">
        <f t="shared" si="189"/>
        <v>O</v>
      </c>
      <c r="AW135" s="13" t="str">
        <f t="shared" si="190"/>
        <v/>
      </c>
    </row>
    <row r="136" spans="1:49" x14ac:dyDescent="0.3">
      <c r="A136" s="5" t="s">
        <v>1546</v>
      </c>
      <c r="B136" s="14" t="s">
        <v>1547</v>
      </c>
      <c r="C136" s="25">
        <v>912</v>
      </c>
      <c r="D136" s="23">
        <v>82.2</v>
      </c>
      <c r="E136" s="21">
        <v>25</v>
      </c>
      <c r="F136" s="23">
        <v>75.5</v>
      </c>
      <c r="G136" s="24">
        <v>23</v>
      </c>
      <c r="H136" s="25">
        <v>1</v>
      </c>
      <c r="I136" s="29"/>
      <c r="J136" s="106"/>
      <c r="K136" s="29"/>
      <c r="L136" s="106"/>
      <c r="M136" s="6">
        <f t="shared" si="168"/>
        <v>0</v>
      </c>
      <c r="N136" s="7" t="str">
        <f t="shared" si="169"/>
        <v/>
      </c>
      <c r="O136" s="12">
        <f t="shared" si="170"/>
        <v>0</v>
      </c>
      <c r="P136" s="12">
        <f t="shared" si="171"/>
        <v>0</v>
      </c>
      <c r="Q136" s="13">
        <v>3</v>
      </c>
      <c r="R136" s="13">
        <v>2</v>
      </c>
      <c r="S136" s="13" t="s">
        <v>1356</v>
      </c>
      <c r="T136" s="8">
        <v>82</v>
      </c>
      <c r="U136" s="5"/>
      <c r="V136" s="5" t="s">
        <v>1556</v>
      </c>
      <c r="X136" s="23">
        <f t="shared" si="172"/>
        <v>82.2</v>
      </c>
      <c r="Y136" s="21">
        <f t="shared" si="173"/>
        <v>25</v>
      </c>
      <c r="Z136" s="28">
        <f t="shared" si="174"/>
        <v>1</v>
      </c>
      <c r="AA136" s="6">
        <f t="shared" si="175"/>
        <v>0</v>
      </c>
      <c r="AB136" s="6">
        <f t="shared" si="176"/>
        <v>0</v>
      </c>
      <c r="AC136" s="6">
        <f t="shared" si="177"/>
        <v>0</v>
      </c>
      <c r="AD136" s="7" t="str">
        <f t="shared" si="178"/>
        <v/>
      </c>
      <c r="AE136" s="12">
        <f t="shared" si="179"/>
        <v>0</v>
      </c>
      <c r="AF136" s="13" t="str">
        <f t="shared" si="180"/>
        <v>복</v>
      </c>
      <c r="AG136" s="13" t="str">
        <f t="shared" si="181"/>
        <v>3/2</v>
      </c>
      <c r="AI136" s="32" t="str">
        <f t="shared" si="192"/>
        <v>뉴타운1,2,3차</v>
      </c>
      <c r="AJ136" s="21">
        <f t="shared" si="191"/>
        <v>25</v>
      </c>
      <c r="AK136" s="13" t="str">
        <f t="shared" si="182"/>
        <v>A-</v>
      </c>
      <c r="AL136" s="13"/>
      <c r="AM136" s="13"/>
      <c r="AN136" s="13"/>
      <c r="AO136" s="13" t="str">
        <f t="shared" si="183"/>
        <v>C</v>
      </c>
      <c r="AP136" s="13" t="str">
        <f t="shared" si="184"/>
        <v/>
      </c>
      <c r="AQ136" s="13" t="str">
        <f t="shared" si="185"/>
        <v/>
      </c>
      <c r="AR136" s="13" t="str">
        <f t="shared" si="186"/>
        <v>O</v>
      </c>
      <c r="AS136" s="13" t="str">
        <f t="shared" si="187"/>
        <v>O</v>
      </c>
      <c r="AT136" s="13" t="s">
        <v>32</v>
      </c>
      <c r="AU136" s="13" t="str">
        <f t="shared" si="188"/>
        <v>O</v>
      </c>
      <c r="AV136" s="13" t="str">
        <f t="shared" si="189"/>
        <v>O</v>
      </c>
      <c r="AW136" s="13" t="str">
        <f t="shared" si="190"/>
        <v/>
      </c>
    </row>
    <row r="137" spans="1:49" x14ac:dyDescent="0.3">
      <c r="A137" s="5" t="s">
        <v>1546</v>
      </c>
      <c r="B137" s="14" t="s">
        <v>1547</v>
      </c>
      <c r="C137" s="25">
        <v>912</v>
      </c>
      <c r="D137" s="23">
        <v>88.6</v>
      </c>
      <c r="E137" s="21">
        <v>27</v>
      </c>
      <c r="F137" s="23">
        <v>72.099999999999994</v>
      </c>
      <c r="G137" s="24">
        <v>22</v>
      </c>
      <c r="H137" s="25">
        <v>55</v>
      </c>
      <c r="I137" s="29"/>
      <c r="J137" s="106"/>
      <c r="K137" s="29"/>
      <c r="L137" s="106"/>
      <c r="M137" s="6">
        <f t="shared" si="168"/>
        <v>0</v>
      </c>
      <c r="N137" s="7" t="str">
        <f t="shared" si="169"/>
        <v/>
      </c>
      <c r="O137" s="12">
        <f t="shared" si="170"/>
        <v>0</v>
      </c>
      <c r="P137" s="12">
        <f t="shared" si="171"/>
        <v>0</v>
      </c>
      <c r="Q137" s="13">
        <v>3</v>
      </c>
      <c r="R137" s="13">
        <v>2</v>
      </c>
      <c r="S137" s="13" t="s">
        <v>1356</v>
      </c>
      <c r="T137" s="8" t="s">
        <v>604</v>
      </c>
      <c r="U137" s="5"/>
      <c r="V137" s="5" t="s">
        <v>1557</v>
      </c>
      <c r="X137" s="23">
        <f t="shared" si="172"/>
        <v>88.6</v>
      </c>
      <c r="Y137" s="21">
        <f t="shared" si="173"/>
        <v>27</v>
      </c>
      <c r="Z137" s="28">
        <f t="shared" si="174"/>
        <v>55</v>
      </c>
      <c r="AA137" s="6">
        <f t="shared" si="175"/>
        <v>0</v>
      </c>
      <c r="AB137" s="6">
        <f t="shared" si="176"/>
        <v>0</v>
      </c>
      <c r="AC137" s="6">
        <f t="shared" si="177"/>
        <v>0</v>
      </c>
      <c r="AD137" s="7" t="str">
        <f t="shared" si="178"/>
        <v/>
      </c>
      <c r="AE137" s="12">
        <f t="shared" si="179"/>
        <v>0</v>
      </c>
      <c r="AF137" s="13" t="str">
        <f t="shared" si="180"/>
        <v>복</v>
      </c>
      <c r="AG137" s="13" t="str">
        <f t="shared" si="181"/>
        <v>3/2</v>
      </c>
      <c r="AI137" s="32" t="str">
        <f t="shared" si="192"/>
        <v>뉴타운1,2,3차</v>
      </c>
      <c r="AJ137" s="21">
        <f t="shared" si="191"/>
        <v>27</v>
      </c>
      <c r="AK137" s="13" t="str">
        <f t="shared" si="182"/>
        <v>A-</v>
      </c>
      <c r="AL137" s="13"/>
      <c r="AM137" s="13"/>
      <c r="AN137" s="13"/>
      <c r="AO137" s="13" t="str">
        <f t="shared" si="183"/>
        <v>C</v>
      </c>
      <c r="AP137" s="13" t="str">
        <f t="shared" si="184"/>
        <v/>
      </c>
      <c r="AQ137" s="13" t="str">
        <f t="shared" si="185"/>
        <v/>
      </c>
      <c r="AR137" s="13" t="str">
        <f t="shared" si="186"/>
        <v>O</v>
      </c>
      <c r="AS137" s="13" t="str">
        <f t="shared" si="187"/>
        <v>O</v>
      </c>
      <c r="AT137" s="13" t="s">
        <v>32</v>
      </c>
      <c r="AU137" s="13" t="str">
        <f t="shared" si="188"/>
        <v>O</v>
      </c>
      <c r="AV137" s="13" t="str">
        <f t="shared" si="189"/>
        <v>O</v>
      </c>
      <c r="AW137" s="13" t="str">
        <f t="shared" si="190"/>
        <v/>
      </c>
    </row>
    <row r="138" spans="1:49" x14ac:dyDescent="0.3">
      <c r="A138" s="5" t="s">
        <v>1546</v>
      </c>
      <c r="B138" s="14" t="s">
        <v>1547</v>
      </c>
      <c r="C138" s="25">
        <v>912</v>
      </c>
      <c r="D138" s="23">
        <v>88.6</v>
      </c>
      <c r="E138" s="21">
        <v>27</v>
      </c>
      <c r="F138" s="23">
        <v>82.2</v>
      </c>
      <c r="G138" s="24">
        <v>25</v>
      </c>
      <c r="H138" s="25">
        <v>16</v>
      </c>
      <c r="I138" s="29"/>
      <c r="J138" s="106"/>
      <c r="K138" s="29"/>
      <c r="L138" s="106"/>
      <c r="M138" s="6">
        <f t="shared" si="168"/>
        <v>0</v>
      </c>
      <c r="N138" s="7" t="str">
        <f t="shared" si="169"/>
        <v/>
      </c>
      <c r="O138" s="12">
        <f t="shared" si="170"/>
        <v>0</v>
      </c>
      <c r="P138" s="12">
        <f t="shared" si="171"/>
        <v>0</v>
      </c>
      <c r="Q138" s="13">
        <v>3</v>
      </c>
      <c r="R138" s="13">
        <v>2</v>
      </c>
      <c r="S138" s="13" t="s">
        <v>1356</v>
      </c>
      <c r="T138" s="8" t="s">
        <v>605</v>
      </c>
      <c r="U138" s="5"/>
      <c r="V138" s="5" t="s">
        <v>1557</v>
      </c>
      <c r="X138" s="23">
        <f t="shared" si="172"/>
        <v>88.6</v>
      </c>
      <c r="Y138" s="21">
        <f t="shared" si="173"/>
        <v>27</v>
      </c>
      <c r="Z138" s="28">
        <f t="shared" si="174"/>
        <v>16</v>
      </c>
      <c r="AA138" s="6">
        <f t="shared" si="175"/>
        <v>0</v>
      </c>
      <c r="AB138" s="6">
        <f t="shared" si="176"/>
        <v>0</v>
      </c>
      <c r="AC138" s="6">
        <f t="shared" si="177"/>
        <v>0</v>
      </c>
      <c r="AD138" s="7" t="str">
        <f t="shared" si="178"/>
        <v/>
      </c>
      <c r="AE138" s="12">
        <f t="shared" si="179"/>
        <v>0</v>
      </c>
      <c r="AF138" s="13" t="str">
        <f t="shared" si="180"/>
        <v>복</v>
      </c>
      <c r="AG138" s="13" t="str">
        <f t="shared" si="181"/>
        <v>3/2</v>
      </c>
      <c r="AI138" s="32" t="str">
        <f t="shared" si="192"/>
        <v>뉴타운1,2,3차</v>
      </c>
      <c r="AJ138" s="21">
        <f t="shared" si="191"/>
        <v>27</v>
      </c>
      <c r="AK138" s="13" t="str">
        <f t="shared" si="182"/>
        <v>A-</v>
      </c>
      <c r="AL138" s="13"/>
      <c r="AM138" s="13"/>
      <c r="AN138" s="13"/>
      <c r="AO138" s="13" t="str">
        <f t="shared" si="183"/>
        <v>C</v>
      </c>
      <c r="AP138" s="13" t="str">
        <f t="shared" si="184"/>
        <v/>
      </c>
      <c r="AQ138" s="13" t="str">
        <f t="shared" si="185"/>
        <v/>
      </c>
      <c r="AR138" s="13" t="str">
        <f t="shared" si="186"/>
        <v>O</v>
      </c>
      <c r="AS138" s="13" t="str">
        <f t="shared" si="187"/>
        <v>O</v>
      </c>
      <c r="AT138" s="13" t="s">
        <v>32</v>
      </c>
      <c r="AU138" s="13" t="str">
        <f t="shared" si="188"/>
        <v>O</v>
      </c>
      <c r="AV138" s="13" t="str">
        <f t="shared" si="189"/>
        <v>O</v>
      </c>
      <c r="AW138" s="13" t="str">
        <f t="shared" si="190"/>
        <v/>
      </c>
    </row>
    <row r="139" spans="1:49" x14ac:dyDescent="0.3">
      <c r="A139" s="5" t="s">
        <v>1546</v>
      </c>
      <c r="B139" s="14" t="s">
        <v>1547</v>
      </c>
      <c r="C139" s="25">
        <v>912</v>
      </c>
      <c r="D139" s="23">
        <v>88.6</v>
      </c>
      <c r="E139" s="21">
        <v>27</v>
      </c>
      <c r="F139" s="23">
        <v>72.099999999999994</v>
      </c>
      <c r="G139" s="24">
        <v>22</v>
      </c>
      <c r="H139" s="25">
        <v>1</v>
      </c>
      <c r="I139" s="29"/>
      <c r="J139" s="106"/>
      <c r="K139" s="29"/>
      <c r="L139" s="106"/>
      <c r="M139" s="6">
        <f t="shared" si="168"/>
        <v>0</v>
      </c>
      <c r="N139" s="7" t="str">
        <f t="shared" si="169"/>
        <v/>
      </c>
      <c r="O139" s="12">
        <f t="shared" si="170"/>
        <v>0</v>
      </c>
      <c r="P139" s="12">
        <f t="shared" si="171"/>
        <v>0</v>
      </c>
      <c r="Q139" s="13">
        <v>3</v>
      </c>
      <c r="R139" s="13">
        <v>2</v>
      </c>
      <c r="S139" s="13" t="s">
        <v>1356</v>
      </c>
      <c r="T139" s="8" t="s">
        <v>606</v>
      </c>
      <c r="U139" s="5"/>
      <c r="V139" s="5" t="s">
        <v>1557</v>
      </c>
      <c r="X139" s="23">
        <f t="shared" si="172"/>
        <v>88.6</v>
      </c>
      <c r="Y139" s="21">
        <f t="shared" si="173"/>
        <v>27</v>
      </c>
      <c r="Z139" s="28">
        <f t="shared" si="174"/>
        <v>1</v>
      </c>
      <c r="AA139" s="6">
        <f t="shared" si="175"/>
        <v>0</v>
      </c>
      <c r="AB139" s="6">
        <f t="shared" si="176"/>
        <v>0</v>
      </c>
      <c r="AC139" s="6">
        <f t="shared" si="177"/>
        <v>0</v>
      </c>
      <c r="AD139" s="7" t="str">
        <f t="shared" si="178"/>
        <v/>
      </c>
      <c r="AE139" s="12">
        <f t="shared" si="179"/>
        <v>0</v>
      </c>
      <c r="AF139" s="13" t="str">
        <f t="shared" si="180"/>
        <v>복</v>
      </c>
      <c r="AG139" s="13" t="str">
        <f t="shared" si="181"/>
        <v>3/2</v>
      </c>
      <c r="AI139" s="32" t="str">
        <f t="shared" si="192"/>
        <v>뉴타운1,2,3차</v>
      </c>
      <c r="AJ139" s="21">
        <f t="shared" si="191"/>
        <v>27</v>
      </c>
      <c r="AK139" s="13" t="str">
        <f t="shared" si="182"/>
        <v>A-</v>
      </c>
      <c r="AL139" s="13"/>
      <c r="AM139" s="13"/>
      <c r="AN139" s="13"/>
      <c r="AO139" s="13" t="str">
        <f t="shared" si="183"/>
        <v>C</v>
      </c>
      <c r="AP139" s="13" t="str">
        <f t="shared" si="184"/>
        <v/>
      </c>
      <c r="AQ139" s="13" t="str">
        <f t="shared" si="185"/>
        <v/>
      </c>
      <c r="AR139" s="13" t="str">
        <f t="shared" si="186"/>
        <v>O</v>
      </c>
      <c r="AS139" s="13" t="str">
        <f t="shared" si="187"/>
        <v>O</v>
      </c>
      <c r="AT139" s="13" t="s">
        <v>32</v>
      </c>
      <c r="AU139" s="13" t="str">
        <f t="shared" si="188"/>
        <v>O</v>
      </c>
      <c r="AV139" s="13" t="str">
        <f t="shared" si="189"/>
        <v>O</v>
      </c>
      <c r="AW139" s="13" t="str">
        <f t="shared" si="190"/>
        <v/>
      </c>
    </row>
    <row r="140" spans="1:49" x14ac:dyDescent="0.3">
      <c r="A140" s="5" t="s">
        <v>1546</v>
      </c>
      <c r="B140" s="14" t="s">
        <v>1547</v>
      </c>
      <c r="C140" s="25">
        <v>912</v>
      </c>
      <c r="D140" s="23">
        <v>92.9</v>
      </c>
      <c r="E140" s="21">
        <v>28</v>
      </c>
      <c r="F140" s="23">
        <v>75.5</v>
      </c>
      <c r="G140" s="24">
        <v>23</v>
      </c>
      <c r="H140" s="25">
        <v>61</v>
      </c>
      <c r="I140" s="29"/>
      <c r="J140" s="106"/>
      <c r="K140" s="29"/>
      <c r="L140" s="106"/>
      <c r="M140" s="6">
        <f t="shared" si="168"/>
        <v>0</v>
      </c>
      <c r="N140" s="7" t="str">
        <f t="shared" si="169"/>
        <v/>
      </c>
      <c r="O140" s="12">
        <f t="shared" si="170"/>
        <v>0</v>
      </c>
      <c r="P140" s="12">
        <f t="shared" si="171"/>
        <v>0</v>
      </c>
      <c r="Q140" s="13">
        <v>3</v>
      </c>
      <c r="R140" s="13">
        <v>2</v>
      </c>
      <c r="S140" s="13" t="s">
        <v>1356</v>
      </c>
      <c r="T140" s="8" t="s">
        <v>607</v>
      </c>
      <c r="U140" s="5"/>
      <c r="V140" s="5" t="s">
        <v>1558</v>
      </c>
      <c r="X140" s="23">
        <f t="shared" si="172"/>
        <v>92.9</v>
      </c>
      <c r="Y140" s="21">
        <f t="shared" si="173"/>
        <v>28</v>
      </c>
      <c r="Z140" s="28">
        <f t="shared" si="174"/>
        <v>61</v>
      </c>
      <c r="AA140" s="6">
        <f t="shared" si="175"/>
        <v>0</v>
      </c>
      <c r="AB140" s="6">
        <f t="shared" si="176"/>
        <v>0</v>
      </c>
      <c r="AC140" s="6">
        <f t="shared" si="177"/>
        <v>0</v>
      </c>
      <c r="AD140" s="7" t="str">
        <f t="shared" si="178"/>
        <v/>
      </c>
      <c r="AE140" s="12">
        <f t="shared" si="179"/>
        <v>0</v>
      </c>
      <c r="AF140" s="13" t="str">
        <f t="shared" si="180"/>
        <v>복</v>
      </c>
      <c r="AG140" s="13" t="str">
        <f t="shared" si="181"/>
        <v>3/2</v>
      </c>
      <c r="AI140" s="32" t="str">
        <f t="shared" si="192"/>
        <v>뉴타운1,2,3차</v>
      </c>
      <c r="AJ140" s="21">
        <f t="shared" si="191"/>
        <v>28</v>
      </c>
      <c r="AK140" s="13" t="str">
        <f t="shared" si="182"/>
        <v>A-</v>
      </c>
      <c r="AL140" s="13"/>
      <c r="AM140" s="13"/>
      <c r="AN140" s="13"/>
      <c r="AO140" s="13" t="str">
        <f t="shared" si="183"/>
        <v>C</v>
      </c>
      <c r="AP140" s="13" t="str">
        <f t="shared" si="184"/>
        <v/>
      </c>
      <c r="AQ140" s="13" t="str">
        <f t="shared" si="185"/>
        <v/>
      </c>
      <c r="AR140" s="13" t="str">
        <f t="shared" si="186"/>
        <v>O</v>
      </c>
      <c r="AS140" s="13" t="str">
        <f t="shared" si="187"/>
        <v>O</v>
      </c>
      <c r="AT140" s="13" t="s">
        <v>32</v>
      </c>
      <c r="AU140" s="13" t="str">
        <f t="shared" si="188"/>
        <v>O</v>
      </c>
      <c r="AV140" s="13" t="str">
        <f t="shared" si="189"/>
        <v>O</v>
      </c>
      <c r="AW140" s="13" t="str">
        <f t="shared" si="190"/>
        <v/>
      </c>
    </row>
    <row r="141" spans="1:49" x14ac:dyDescent="0.3">
      <c r="A141" s="5" t="s">
        <v>1546</v>
      </c>
      <c r="B141" s="14" t="s">
        <v>1547</v>
      </c>
      <c r="C141" s="25">
        <v>912</v>
      </c>
      <c r="D141" s="23">
        <v>92.9</v>
      </c>
      <c r="E141" s="21">
        <v>28</v>
      </c>
      <c r="F141" s="23">
        <v>86.2</v>
      </c>
      <c r="G141" s="24">
        <v>26</v>
      </c>
      <c r="H141" s="25">
        <v>7</v>
      </c>
      <c r="I141" s="29"/>
      <c r="J141" s="106"/>
      <c r="K141" s="29"/>
      <c r="L141" s="106"/>
      <c r="M141" s="6">
        <f t="shared" si="168"/>
        <v>0</v>
      </c>
      <c r="N141" s="7" t="str">
        <f t="shared" si="169"/>
        <v/>
      </c>
      <c r="O141" s="12">
        <f t="shared" si="170"/>
        <v>0</v>
      </c>
      <c r="P141" s="12">
        <f t="shared" si="171"/>
        <v>0</v>
      </c>
      <c r="Q141" s="13">
        <v>3</v>
      </c>
      <c r="R141" s="13">
        <v>2</v>
      </c>
      <c r="S141" s="13" t="s">
        <v>1356</v>
      </c>
      <c r="T141" s="8" t="s">
        <v>608</v>
      </c>
      <c r="U141" s="5"/>
      <c r="V141" s="5" t="s">
        <v>1558</v>
      </c>
      <c r="X141" s="23">
        <f t="shared" si="172"/>
        <v>92.9</v>
      </c>
      <c r="Y141" s="21">
        <f t="shared" si="173"/>
        <v>28</v>
      </c>
      <c r="Z141" s="28">
        <f t="shared" si="174"/>
        <v>7</v>
      </c>
      <c r="AA141" s="6">
        <f t="shared" si="175"/>
        <v>0</v>
      </c>
      <c r="AB141" s="6">
        <f t="shared" si="176"/>
        <v>0</v>
      </c>
      <c r="AC141" s="6">
        <f t="shared" si="177"/>
        <v>0</v>
      </c>
      <c r="AD141" s="7" t="str">
        <f t="shared" si="178"/>
        <v/>
      </c>
      <c r="AE141" s="12">
        <f t="shared" si="179"/>
        <v>0</v>
      </c>
      <c r="AF141" s="13" t="str">
        <f t="shared" si="180"/>
        <v>복</v>
      </c>
      <c r="AG141" s="13" t="str">
        <f t="shared" si="181"/>
        <v>3/2</v>
      </c>
      <c r="AI141" s="32" t="str">
        <f t="shared" si="192"/>
        <v>뉴타운1,2,3차</v>
      </c>
      <c r="AJ141" s="21">
        <f t="shared" si="191"/>
        <v>28</v>
      </c>
      <c r="AK141" s="13" t="str">
        <f t="shared" si="182"/>
        <v>A-</v>
      </c>
      <c r="AL141" s="13"/>
      <c r="AM141" s="13"/>
      <c r="AN141" s="13"/>
      <c r="AO141" s="13" t="str">
        <f t="shared" si="183"/>
        <v>C</v>
      </c>
      <c r="AP141" s="13" t="str">
        <f t="shared" si="184"/>
        <v/>
      </c>
      <c r="AQ141" s="13" t="str">
        <f t="shared" si="185"/>
        <v/>
      </c>
      <c r="AR141" s="13" t="str">
        <f t="shared" si="186"/>
        <v>O</v>
      </c>
      <c r="AS141" s="13" t="str">
        <f t="shared" si="187"/>
        <v>O</v>
      </c>
      <c r="AT141" s="13" t="s">
        <v>32</v>
      </c>
      <c r="AU141" s="13" t="str">
        <f t="shared" si="188"/>
        <v>X</v>
      </c>
      <c r="AV141" s="13" t="str">
        <f t="shared" si="189"/>
        <v>O</v>
      </c>
      <c r="AW141" s="13" t="str">
        <f t="shared" si="190"/>
        <v/>
      </c>
    </row>
    <row r="142" spans="1:49" x14ac:dyDescent="0.3">
      <c r="A142" s="5" t="s">
        <v>1546</v>
      </c>
      <c r="B142" s="14" t="s">
        <v>1547</v>
      </c>
      <c r="C142" s="25">
        <v>912</v>
      </c>
      <c r="D142" s="23">
        <v>93</v>
      </c>
      <c r="E142" s="21">
        <v>28</v>
      </c>
      <c r="F142" s="23">
        <v>75.5</v>
      </c>
      <c r="G142" s="24">
        <v>23</v>
      </c>
      <c r="H142" s="25">
        <v>1</v>
      </c>
      <c r="I142" s="29"/>
      <c r="J142" s="106"/>
      <c r="K142" s="29"/>
      <c r="L142" s="106"/>
      <c r="M142" s="6">
        <f t="shared" si="168"/>
        <v>0</v>
      </c>
      <c r="N142" s="7" t="str">
        <f t="shared" si="169"/>
        <v/>
      </c>
      <c r="O142" s="12">
        <f t="shared" si="170"/>
        <v>0</v>
      </c>
      <c r="P142" s="12">
        <f t="shared" si="171"/>
        <v>0</v>
      </c>
      <c r="Q142" s="13">
        <v>3</v>
      </c>
      <c r="R142" s="13">
        <v>2</v>
      </c>
      <c r="S142" s="13" t="s">
        <v>1356</v>
      </c>
      <c r="T142" s="8" t="s">
        <v>147</v>
      </c>
      <c r="U142" s="5"/>
      <c r="V142" s="5" t="s">
        <v>1558</v>
      </c>
      <c r="X142" s="23">
        <f t="shared" si="172"/>
        <v>93</v>
      </c>
      <c r="Y142" s="21">
        <f t="shared" si="173"/>
        <v>28</v>
      </c>
      <c r="Z142" s="28">
        <f t="shared" si="174"/>
        <v>1</v>
      </c>
      <c r="AA142" s="6">
        <f t="shared" si="175"/>
        <v>0</v>
      </c>
      <c r="AB142" s="6">
        <f t="shared" si="176"/>
        <v>0</v>
      </c>
      <c r="AC142" s="6">
        <f t="shared" si="177"/>
        <v>0</v>
      </c>
      <c r="AD142" s="7" t="str">
        <f t="shared" si="178"/>
        <v/>
      </c>
      <c r="AE142" s="12">
        <f t="shared" si="179"/>
        <v>0</v>
      </c>
      <c r="AF142" s="13" t="str">
        <f t="shared" si="180"/>
        <v>복</v>
      </c>
      <c r="AG142" s="13" t="str">
        <f t="shared" si="181"/>
        <v>3/2</v>
      </c>
      <c r="AI142" s="32" t="str">
        <f t="shared" si="192"/>
        <v>뉴타운1,2,3차</v>
      </c>
      <c r="AJ142" s="21">
        <f t="shared" si="191"/>
        <v>28</v>
      </c>
      <c r="AK142" s="13" t="str">
        <f t="shared" si="182"/>
        <v>A-</v>
      </c>
      <c r="AL142" s="13"/>
      <c r="AM142" s="13"/>
      <c r="AN142" s="13"/>
      <c r="AO142" s="13" t="str">
        <f t="shared" si="183"/>
        <v>C</v>
      </c>
      <c r="AP142" s="13" t="str">
        <f t="shared" si="184"/>
        <v/>
      </c>
      <c r="AQ142" s="13" t="str">
        <f t="shared" si="185"/>
        <v/>
      </c>
      <c r="AR142" s="13" t="str">
        <f t="shared" si="186"/>
        <v>O</v>
      </c>
      <c r="AS142" s="13" t="str">
        <f t="shared" si="187"/>
        <v>O</v>
      </c>
      <c r="AT142" s="13" t="s">
        <v>32</v>
      </c>
      <c r="AU142" s="13" t="str">
        <f t="shared" si="188"/>
        <v>O</v>
      </c>
      <c r="AV142" s="13" t="str">
        <f t="shared" si="189"/>
        <v>O</v>
      </c>
      <c r="AW142" s="13" t="str">
        <f t="shared" si="190"/>
        <v/>
      </c>
    </row>
    <row r="143" spans="1:49" x14ac:dyDescent="0.3">
      <c r="A143" s="5" t="s">
        <v>1546</v>
      </c>
      <c r="B143" s="14" t="s">
        <v>1547</v>
      </c>
      <c r="C143" s="25">
        <v>912</v>
      </c>
      <c r="D143" s="23">
        <v>92.4</v>
      </c>
      <c r="E143" s="21">
        <v>28</v>
      </c>
      <c r="F143" s="23">
        <v>75.5</v>
      </c>
      <c r="G143" s="24">
        <v>23</v>
      </c>
      <c r="H143" s="25">
        <v>1</v>
      </c>
      <c r="I143" s="29"/>
      <c r="J143" s="106"/>
      <c r="K143" s="29"/>
      <c r="L143" s="106"/>
      <c r="M143" s="6">
        <f t="shared" si="168"/>
        <v>0</v>
      </c>
      <c r="N143" s="7" t="str">
        <f t="shared" si="169"/>
        <v/>
      </c>
      <c r="O143" s="12">
        <f t="shared" si="170"/>
        <v>0</v>
      </c>
      <c r="P143" s="12">
        <f t="shared" si="171"/>
        <v>0</v>
      </c>
      <c r="Q143" s="13">
        <v>3</v>
      </c>
      <c r="R143" s="13">
        <v>2</v>
      </c>
      <c r="S143" s="13" t="s">
        <v>1356</v>
      </c>
      <c r="T143" s="8" t="s">
        <v>609</v>
      </c>
      <c r="U143" s="5"/>
      <c r="V143" s="5" t="s">
        <v>1559</v>
      </c>
      <c r="X143" s="23">
        <f t="shared" si="172"/>
        <v>92.4</v>
      </c>
      <c r="Y143" s="21">
        <f t="shared" si="173"/>
        <v>28</v>
      </c>
      <c r="Z143" s="28">
        <f t="shared" si="174"/>
        <v>1</v>
      </c>
      <c r="AA143" s="6">
        <f t="shared" si="175"/>
        <v>0</v>
      </c>
      <c r="AB143" s="6">
        <f t="shared" si="176"/>
        <v>0</v>
      </c>
      <c r="AC143" s="6">
        <f t="shared" si="177"/>
        <v>0</v>
      </c>
      <c r="AD143" s="7" t="str">
        <f t="shared" si="178"/>
        <v/>
      </c>
      <c r="AE143" s="12">
        <f t="shared" si="179"/>
        <v>0</v>
      </c>
      <c r="AF143" s="13" t="str">
        <f t="shared" si="180"/>
        <v>복</v>
      </c>
      <c r="AG143" s="13" t="str">
        <f t="shared" si="181"/>
        <v>3/2</v>
      </c>
      <c r="AI143" s="32" t="str">
        <f t="shared" si="192"/>
        <v>뉴타운1,2,3차</v>
      </c>
      <c r="AJ143" s="21">
        <f t="shared" si="191"/>
        <v>28</v>
      </c>
      <c r="AK143" s="13" t="str">
        <f t="shared" si="182"/>
        <v>A-</v>
      </c>
      <c r="AL143" s="13"/>
      <c r="AM143" s="13"/>
      <c r="AN143" s="13"/>
      <c r="AO143" s="13" t="str">
        <f t="shared" si="183"/>
        <v>C</v>
      </c>
      <c r="AP143" s="13" t="str">
        <f t="shared" si="184"/>
        <v/>
      </c>
      <c r="AQ143" s="13" t="str">
        <f t="shared" si="185"/>
        <v/>
      </c>
      <c r="AR143" s="13" t="str">
        <f t="shared" si="186"/>
        <v>O</v>
      </c>
      <c r="AS143" s="13" t="str">
        <f t="shared" si="187"/>
        <v>O</v>
      </c>
      <c r="AT143" s="13" t="s">
        <v>32</v>
      </c>
      <c r="AU143" s="13" t="str">
        <f t="shared" si="188"/>
        <v>O</v>
      </c>
      <c r="AV143" s="13" t="str">
        <f t="shared" si="189"/>
        <v>O</v>
      </c>
      <c r="AW143" s="13" t="str">
        <f t="shared" si="190"/>
        <v/>
      </c>
    </row>
    <row r="144" spans="1:49" x14ac:dyDescent="0.3">
      <c r="A144" s="5" t="s">
        <v>1546</v>
      </c>
      <c r="B144" s="14" t="s">
        <v>1547</v>
      </c>
      <c r="C144" s="25">
        <v>912</v>
      </c>
      <c r="D144" s="23">
        <v>92.9</v>
      </c>
      <c r="E144" s="21">
        <v>28</v>
      </c>
      <c r="F144" s="23">
        <v>75.5</v>
      </c>
      <c r="G144" s="24">
        <v>23</v>
      </c>
      <c r="H144" s="25">
        <v>1</v>
      </c>
      <c r="I144" s="29"/>
      <c r="J144" s="106"/>
      <c r="K144" s="29"/>
      <c r="L144" s="106"/>
      <c r="M144" s="6">
        <f t="shared" si="168"/>
        <v>0</v>
      </c>
      <c r="N144" s="7" t="str">
        <f t="shared" si="169"/>
        <v/>
      </c>
      <c r="O144" s="12">
        <f t="shared" si="170"/>
        <v>0</v>
      </c>
      <c r="P144" s="12">
        <f t="shared" si="171"/>
        <v>0</v>
      </c>
      <c r="Q144" s="13">
        <v>3</v>
      </c>
      <c r="R144" s="13">
        <v>2</v>
      </c>
      <c r="S144" s="13" t="s">
        <v>1356</v>
      </c>
      <c r="T144" s="8" t="s">
        <v>610</v>
      </c>
      <c r="U144" s="5"/>
      <c r="V144" s="5" t="s">
        <v>1558</v>
      </c>
      <c r="X144" s="23">
        <f t="shared" si="172"/>
        <v>92.9</v>
      </c>
      <c r="Y144" s="21">
        <f t="shared" si="173"/>
        <v>28</v>
      </c>
      <c r="Z144" s="28">
        <f t="shared" si="174"/>
        <v>1</v>
      </c>
      <c r="AA144" s="6">
        <f t="shared" si="175"/>
        <v>0</v>
      </c>
      <c r="AB144" s="6">
        <f t="shared" si="176"/>
        <v>0</v>
      </c>
      <c r="AC144" s="6">
        <f t="shared" si="177"/>
        <v>0</v>
      </c>
      <c r="AD144" s="7" t="str">
        <f t="shared" si="178"/>
        <v/>
      </c>
      <c r="AE144" s="12">
        <f t="shared" si="179"/>
        <v>0</v>
      </c>
      <c r="AF144" s="13" t="str">
        <f t="shared" si="180"/>
        <v>복</v>
      </c>
      <c r="AG144" s="13" t="str">
        <f t="shared" si="181"/>
        <v>3/2</v>
      </c>
      <c r="AI144" s="32" t="str">
        <f t="shared" si="192"/>
        <v>뉴타운1,2,3차</v>
      </c>
      <c r="AJ144" s="21">
        <f t="shared" si="191"/>
        <v>28</v>
      </c>
      <c r="AK144" s="13" t="str">
        <f t="shared" si="182"/>
        <v>A-</v>
      </c>
      <c r="AL144" s="13"/>
      <c r="AM144" s="13"/>
      <c r="AN144" s="13"/>
      <c r="AO144" s="13" t="str">
        <f t="shared" si="183"/>
        <v>C</v>
      </c>
      <c r="AP144" s="13" t="str">
        <f t="shared" si="184"/>
        <v/>
      </c>
      <c r="AQ144" s="13" t="str">
        <f t="shared" si="185"/>
        <v/>
      </c>
      <c r="AR144" s="13" t="str">
        <f t="shared" si="186"/>
        <v>O</v>
      </c>
      <c r="AS144" s="13" t="str">
        <f t="shared" si="187"/>
        <v>O</v>
      </c>
      <c r="AT144" s="13" t="s">
        <v>32</v>
      </c>
      <c r="AU144" s="13" t="str">
        <f t="shared" si="188"/>
        <v>O</v>
      </c>
      <c r="AV144" s="13" t="str">
        <f t="shared" si="189"/>
        <v>O</v>
      </c>
      <c r="AW144" s="13" t="str">
        <f t="shared" si="190"/>
        <v/>
      </c>
    </row>
    <row r="145" spans="1:49" x14ac:dyDescent="0.3">
      <c r="A145" s="5" t="s">
        <v>1546</v>
      </c>
      <c r="B145" s="14" t="s">
        <v>1547</v>
      </c>
      <c r="C145" s="25">
        <v>912</v>
      </c>
      <c r="D145" s="23">
        <v>93.3</v>
      </c>
      <c r="E145" s="21">
        <v>28</v>
      </c>
      <c r="F145" s="23">
        <v>87.3</v>
      </c>
      <c r="G145" s="24">
        <v>26</v>
      </c>
      <c r="H145" s="25">
        <v>20</v>
      </c>
      <c r="I145" s="29"/>
      <c r="J145" s="106"/>
      <c r="K145" s="29"/>
      <c r="L145" s="106"/>
      <c r="M145" s="6">
        <f t="shared" si="168"/>
        <v>0</v>
      </c>
      <c r="N145" s="7" t="str">
        <f t="shared" si="169"/>
        <v/>
      </c>
      <c r="O145" s="12">
        <f t="shared" si="170"/>
        <v>0</v>
      </c>
      <c r="P145" s="12">
        <f t="shared" si="171"/>
        <v>0</v>
      </c>
      <c r="Q145" s="13">
        <v>3</v>
      </c>
      <c r="R145" s="13">
        <v>2</v>
      </c>
      <c r="S145" s="13" t="s">
        <v>1356</v>
      </c>
      <c r="T145" s="8" t="s">
        <v>611</v>
      </c>
      <c r="U145" s="5"/>
      <c r="V145" s="5" t="s">
        <v>1558</v>
      </c>
      <c r="X145" s="23">
        <f t="shared" si="172"/>
        <v>93.3</v>
      </c>
      <c r="Y145" s="21">
        <f t="shared" si="173"/>
        <v>28</v>
      </c>
      <c r="Z145" s="28">
        <f t="shared" si="174"/>
        <v>20</v>
      </c>
      <c r="AA145" s="6">
        <f t="shared" si="175"/>
        <v>0</v>
      </c>
      <c r="AB145" s="6">
        <f t="shared" si="176"/>
        <v>0</v>
      </c>
      <c r="AC145" s="6">
        <f t="shared" si="177"/>
        <v>0</v>
      </c>
      <c r="AD145" s="7" t="str">
        <f t="shared" si="178"/>
        <v/>
      </c>
      <c r="AE145" s="12">
        <f t="shared" si="179"/>
        <v>0</v>
      </c>
      <c r="AF145" s="13" t="str">
        <f t="shared" si="180"/>
        <v>복</v>
      </c>
      <c r="AG145" s="13" t="str">
        <f t="shared" si="181"/>
        <v>3/2</v>
      </c>
      <c r="AI145" s="32" t="str">
        <f t="shared" si="192"/>
        <v>뉴타운1,2,3차</v>
      </c>
      <c r="AJ145" s="21">
        <f t="shared" si="191"/>
        <v>28</v>
      </c>
      <c r="AK145" s="13" t="str">
        <f t="shared" si="182"/>
        <v>A-</v>
      </c>
      <c r="AL145" s="13"/>
      <c r="AM145" s="13"/>
      <c r="AN145" s="13"/>
      <c r="AO145" s="13" t="str">
        <f t="shared" si="183"/>
        <v>C</v>
      </c>
      <c r="AP145" s="13" t="str">
        <f t="shared" si="184"/>
        <v/>
      </c>
      <c r="AQ145" s="13" t="str">
        <f t="shared" si="185"/>
        <v/>
      </c>
      <c r="AR145" s="13" t="str">
        <f t="shared" si="186"/>
        <v>O</v>
      </c>
      <c r="AS145" s="13" t="str">
        <f t="shared" si="187"/>
        <v>O</v>
      </c>
      <c r="AT145" s="13" t="s">
        <v>32</v>
      </c>
      <c r="AU145" s="13" t="str">
        <f t="shared" si="188"/>
        <v>X</v>
      </c>
      <c r="AV145" s="13" t="str">
        <f t="shared" si="189"/>
        <v>O</v>
      </c>
      <c r="AW145" s="13" t="str">
        <f t="shared" si="190"/>
        <v/>
      </c>
    </row>
    <row r="146" spans="1:49" x14ac:dyDescent="0.3">
      <c r="A146" s="5" t="s">
        <v>1546</v>
      </c>
      <c r="B146" s="14" t="s">
        <v>1547</v>
      </c>
      <c r="C146" s="25">
        <v>912</v>
      </c>
      <c r="D146" s="23">
        <v>93.8</v>
      </c>
      <c r="E146" s="21">
        <v>28</v>
      </c>
      <c r="F146" s="23">
        <v>87.8</v>
      </c>
      <c r="G146" s="24">
        <v>27</v>
      </c>
      <c r="H146" s="25">
        <v>15</v>
      </c>
      <c r="I146" s="29"/>
      <c r="J146" s="106"/>
      <c r="K146" s="29"/>
      <c r="L146" s="106"/>
      <c r="M146" s="6">
        <f t="shared" si="168"/>
        <v>0</v>
      </c>
      <c r="N146" s="7" t="str">
        <f t="shared" si="169"/>
        <v/>
      </c>
      <c r="O146" s="12">
        <f t="shared" si="170"/>
        <v>0</v>
      </c>
      <c r="P146" s="12">
        <f t="shared" si="171"/>
        <v>0</v>
      </c>
      <c r="Q146" s="13">
        <v>3</v>
      </c>
      <c r="R146" s="13">
        <v>2</v>
      </c>
      <c r="S146" s="13" t="s">
        <v>1356</v>
      </c>
      <c r="T146" s="8" t="s">
        <v>612</v>
      </c>
      <c r="U146" s="5"/>
      <c r="V146" s="5" t="s">
        <v>1560</v>
      </c>
      <c r="X146" s="23">
        <f t="shared" si="172"/>
        <v>93.8</v>
      </c>
      <c r="Y146" s="21">
        <f t="shared" si="173"/>
        <v>28</v>
      </c>
      <c r="Z146" s="28">
        <f t="shared" si="174"/>
        <v>15</v>
      </c>
      <c r="AA146" s="6">
        <f t="shared" si="175"/>
        <v>0</v>
      </c>
      <c r="AB146" s="6">
        <f t="shared" si="176"/>
        <v>0</v>
      </c>
      <c r="AC146" s="6">
        <f t="shared" si="177"/>
        <v>0</v>
      </c>
      <c r="AD146" s="7" t="str">
        <f t="shared" si="178"/>
        <v/>
      </c>
      <c r="AE146" s="12">
        <f t="shared" si="179"/>
        <v>0</v>
      </c>
      <c r="AF146" s="13" t="str">
        <f t="shared" si="180"/>
        <v>복</v>
      </c>
      <c r="AG146" s="13" t="str">
        <f t="shared" si="181"/>
        <v>3/2</v>
      </c>
      <c r="AI146" s="32" t="str">
        <f t="shared" si="192"/>
        <v>뉴타운1,2,3차</v>
      </c>
      <c r="AJ146" s="21">
        <f t="shared" si="191"/>
        <v>28</v>
      </c>
      <c r="AK146" s="13" t="str">
        <f t="shared" si="182"/>
        <v>A-</v>
      </c>
      <c r="AL146" s="13"/>
      <c r="AM146" s="13"/>
      <c r="AN146" s="13"/>
      <c r="AO146" s="13" t="str">
        <f t="shared" si="183"/>
        <v>C</v>
      </c>
      <c r="AP146" s="13" t="str">
        <f t="shared" si="184"/>
        <v/>
      </c>
      <c r="AQ146" s="13" t="str">
        <f t="shared" si="185"/>
        <v/>
      </c>
      <c r="AR146" s="13" t="str">
        <f t="shared" si="186"/>
        <v>O</v>
      </c>
      <c r="AS146" s="13" t="str">
        <f t="shared" si="187"/>
        <v>O</v>
      </c>
      <c r="AT146" s="13" t="s">
        <v>32</v>
      </c>
      <c r="AU146" s="13" t="str">
        <f t="shared" si="188"/>
        <v>X</v>
      </c>
      <c r="AV146" s="13" t="str">
        <f t="shared" si="189"/>
        <v>O</v>
      </c>
      <c r="AW146" s="13" t="str">
        <f t="shared" si="190"/>
        <v/>
      </c>
    </row>
    <row r="147" spans="1:49" x14ac:dyDescent="0.3">
      <c r="A147" s="5" t="s">
        <v>1546</v>
      </c>
      <c r="B147" s="14" t="s">
        <v>1547</v>
      </c>
      <c r="C147" s="25">
        <v>912</v>
      </c>
      <c r="D147" s="23">
        <v>93.8</v>
      </c>
      <c r="E147" s="21">
        <v>28</v>
      </c>
      <c r="F147" s="23">
        <v>65.7</v>
      </c>
      <c r="G147" s="24">
        <v>20</v>
      </c>
      <c r="H147" s="25">
        <v>7</v>
      </c>
      <c r="I147" s="29"/>
      <c r="J147" s="106"/>
      <c r="K147" s="29"/>
      <c r="L147" s="106"/>
      <c r="M147" s="6">
        <f t="shared" si="168"/>
        <v>0</v>
      </c>
      <c r="N147" s="7" t="str">
        <f t="shared" si="169"/>
        <v/>
      </c>
      <c r="O147" s="12">
        <f t="shared" si="170"/>
        <v>0</v>
      </c>
      <c r="P147" s="12">
        <f t="shared" si="171"/>
        <v>0</v>
      </c>
      <c r="Q147" s="13">
        <v>3</v>
      </c>
      <c r="R147" s="13">
        <v>2</v>
      </c>
      <c r="S147" s="13" t="s">
        <v>51</v>
      </c>
      <c r="T147" s="8" t="s">
        <v>613</v>
      </c>
      <c r="U147" s="5"/>
      <c r="V147" s="5" t="s">
        <v>1560</v>
      </c>
      <c r="X147" s="23">
        <f t="shared" si="172"/>
        <v>93.8</v>
      </c>
      <c r="Y147" s="21">
        <f t="shared" si="173"/>
        <v>28</v>
      </c>
      <c r="Z147" s="28">
        <f t="shared" si="174"/>
        <v>7</v>
      </c>
      <c r="AA147" s="6">
        <f t="shared" si="175"/>
        <v>0</v>
      </c>
      <c r="AB147" s="6">
        <f t="shared" si="176"/>
        <v>0</v>
      </c>
      <c r="AC147" s="6">
        <f t="shared" si="177"/>
        <v>0</v>
      </c>
      <c r="AD147" s="7" t="str">
        <f t="shared" si="178"/>
        <v/>
      </c>
      <c r="AE147" s="12">
        <f t="shared" si="179"/>
        <v>0</v>
      </c>
      <c r="AF147" s="13" t="str">
        <f t="shared" si="180"/>
        <v>계</v>
      </c>
      <c r="AG147" s="13" t="str">
        <f t="shared" si="181"/>
        <v>3/2</v>
      </c>
      <c r="AI147" s="32" t="str">
        <f t="shared" si="192"/>
        <v>뉴타운1,2,3차</v>
      </c>
      <c r="AJ147" s="21">
        <f t="shared" si="191"/>
        <v>28</v>
      </c>
      <c r="AK147" s="13" t="str">
        <f t="shared" si="182"/>
        <v>A-</v>
      </c>
      <c r="AL147" s="13"/>
      <c r="AM147" s="13"/>
      <c r="AN147" s="13"/>
      <c r="AO147" s="13" t="str">
        <f t="shared" si="183"/>
        <v>C</v>
      </c>
      <c r="AP147" s="13" t="str">
        <f t="shared" si="184"/>
        <v/>
      </c>
      <c r="AQ147" s="13" t="str">
        <f t="shared" si="185"/>
        <v/>
      </c>
      <c r="AR147" s="13" t="str">
        <f t="shared" si="186"/>
        <v>O</v>
      </c>
      <c r="AS147" s="13" t="str">
        <f t="shared" si="187"/>
        <v>O</v>
      </c>
      <c r="AT147" s="13" t="s">
        <v>32</v>
      </c>
      <c r="AU147" s="13" t="str">
        <f t="shared" si="188"/>
        <v>O</v>
      </c>
      <c r="AV147" s="13" t="str">
        <f t="shared" si="189"/>
        <v>O</v>
      </c>
      <c r="AW147" s="13" t="str">
        <f t="shared" si="190"/>
        <v/>
      </c>
    </row>
    <row r="148" spans="1:49" x14ac:dyDescent="0.3">
      <c r="A148" s="5" t="s">
        <v>1546</v>
      </c>
      <c r="B148" s="14" t="s">
        <v>1547</v>
      </c>
      <c r="C148" s="25">
        <v>912</v>
      </c>
      <c r="D148" s="23">
        <v>93.3</v>
      </c>
      <c r="E148" s="21">
        <v>28</v>
      </c>
      <c r="F148" s="23">
        <v>65.7</v>
      </c>
      <c r="G148" s="24">
        <v>20</v>
      </c>
      <c r="H148" s="25">
        <v>2</v>
      </c>
      <c r="I148" s="29"/>
      <c r="J148" s="106"/>
      <c r="K148" s="29"/>
      <c r="L148" s="106"/>
      <c r="M148" s="6">
        <f t="shared" si="168"/>
        <v>0</v>
      </c>
      <c r="N148" s="7" t="str">
        <f t="shared" si="169"/>
        <v/>
      </c>
      <c r="O148" s="12">
        <f t="shared" si="170"/>
        <v>0</v>
      </c>
      <c r="P148" s="12">
        <f t="shared" si="171"/>
        <v>0</v>
      </c>
      <c r="Q148" s="13">
        <v>2</v>
      </c>
      <c r="R148" s="13">
        <v>1</v>
      </c>
      <c r="S148" s="13" t="s">
        <v>51</v>
      </c>
      <c r="T148" s="8" t="s">
        <v>614</v>
      </c>
      <c r="U148" s="5"/>
      <c r="V148" s="5" t="s">
        <v>1558</v>
      </c>
      <c r="X148" s="23">
        <f t="shared" si="172"/>
        <v>93.3</v>
      </c>
      <c r="Y148" s="21">
        <f t="shared" si="173"/>
        <v>28</v>
      </c>
      <c r="Z148" s="28">
        <f t="shared" si="174"/>
        <v>2</v>
      </c>
      <c r="AA148" s="6">
        <f t="shared" si="175"/>
        <v>0</v>
      </c>
      <c r="AB148" s="6">
        <f t="shared" si="176"/>
        <v>0</v>
      </c>
      <c r="AC148" s="6">
        <f t="shared" si="177"/>
        <v>0</v>
      </c>
      <c r="AD148" s="7" t="str">
        <f t="shared" si="178"/>
        <v/>
      </c>
      <c r="AE148" s="12">
        <f t="shared" si="179"/>
        <v>0</v>
      </c>
      <c r="AF148" s="13" t="str">
        <f t="shared" si="180"/>
        <v>계</v>
      </c>
      <c r="AG148" s="13" t="str">
        <f t="shared" si="181"/>
        <v>2/1</v>
      </c>
      <c r="AI148" s="32" t="str">
        <f t="shared" si="192"/>
        <v>뉴타운1,2,3차</v>
      </c>
      <c r="AJ148" s="21">
        <f t="shared" si="191"/>
        <v>28</v>
      </c>
      <c r="AK148" s="13" t="str">
        <f t="shared" si="182"/>
        <v>A-</v>
      </c>
      <c r="AL148" s="13"/>
      <c r="AM148" s="13"/>
      <c r="AN148" s="13"/>
      <c r="AO148" s="13" t="str">
        <f t="shared" si="183"/>
        <v>C</v>
      </c>
      <c r="AP148" s="13" t="str">
        <f t="shared" si="184"/>
        <v/>
      </c>
      <c r="AQ148" s="13" t="str">
        <f t="shared" si="185"/>
        <v/>
      </c>
      <c r="AR148" s="13" t="str">
        <f t="shared" si="186"/>
        <v>O</v>
      </c>
      <c r="AS148" s="13" t="str">
        <f t="shared" si="187"/>
        <v>O</v>
      </c>
      <c r="AT148" s="13" t="s">
        <v>32</v>
      </c>
      <c r="AU148" s="13" t="str">
        <f t="shared" si="188"/>
        <v>O</v>
      </c>
      <c r="AV148" s="13" t="str">
        <f t="shared" si="189"/>
        <v>O</v>
      </c>
      <c r="AW148" s="13" t="str">
        <f t="shared" si="190"/>
        <v/>
      </c>
    </row>
    <row r="149" spans="1:49" x14ac:dyDescent="0.3">
      <c r="A149" s="5" t="s">
        <v>1546</v>
      </c>
      <c r="B149" s="14" t="s">
        <v>1547</v>
      </c>
      <c r="C149" s="25">
        <v>912</v>
      </c>
      <c r="D149" s="23">
        <v>93.1</v>
      </c>
      <c r="E149" s="21">
        <v>28</v>
      </c>
      <c r="F149" s="23">
        <v>84.9</v>
      </c>
      <c r="G149" s="24">
        <v>26</v>
      </c>
      <c r="H149" s="25">
        <v>2</v>
      </c>
      <c r="I149" s="29"/>
      <c r="J149" s="106"/>
      <c r="K149" s="29"/>
      <c r="L149" s="106"/>
      <c r="M149" s="6">
        <f t="shared" si="168"/>
        <v>0</v>
      </c>
      <c r="N149" s="7" t="str">
        <f t="shared" si="169"/>
        <v/>
      </c>
      <c r="O149" s="12">
        <f t="shared" si="170"/>
        <v>0</v>
      </c>
      <c r="P149" s="12">
        <f t="shared" si="171"/>
        <v>0</v>
      </c>
      <c r="Q149" s="13">
        <v>3</v>
      </c>
      <c r="R149" s="13">
        <v>2</v>
      </c>
      <c r="S149" s="13" t="s">
        <v>1356</v>
      </c>
      <c r="T149" s="8" t="s">
        <v>615</v>
      </c>
      <c r="U149" s="5"/>
      <c r="V149" s="5" t="s">
        <v>1558</v>
      </c>
      <c r="X149" s="23">
        <f t="shared" si="172"/>
        <v>93.1</v>
      </c>
      <c r="Y149" s="21">
        <f t="shared" si="173"/>
        <v>28</v>
      </c>
      <c r="Z149" s="28">
        <f t="shared" si="174"/>
        <v>2</v>
      </c>
      <c r="AA149" s="6">
        <f t="shared" si="175"/>
        <v>0</v>
      </c>
      <c r="AB149" s="6">
        <f t="shared" si="176"/>
        <v>0</v>
      </c>
      <c r="AC149" s="6">
        <f t="shared" si="177"/>
        <v>0</v>
      </c>
      <c r="AD149" s="7" t="str">
        <f t="shared" si="178"/>
        <v/>
      </c>
      <c r="AE149" s="12">
        <f t="shared" si="179"/>
        <v>0</v>
      </c>
      <c r="AF149" s="13" t="str">
        <f t="shared" si="180"/>
        <v>복</v>
      </c>
      <c r="AG149" s="13" t="str">
        <f t="shared" si="181"/>
        <v>3/2</v>
      </c>
      <c r="AI149" s="32" t="str">
        <f t="shared" si="192"/>
        <v>뉴타운1,2,3차</v>
      </c>
      <c r="AJ149" s="21">
        <f t="shared" si="191"/>
        <v>28</v>
      </c>
      <c r="AK149" s="13" t="str">
        <f t="shared" si="182"/>
        <v>A-</v>
      </c>
      <c r="AL149" s="13"/>
      <c r="AM149" s="13"/>
      <c r="AN149" s="13"/>
      <c r="AO149" s="13" t="str">
        <f t="shared" si="183"/>
        <v>C</v>
      </c>
      <c r="AP149" s="13" t="str">
        <f t="shared" si="184"/>
        <v/>
      </c>
      <c r="AQ149" s="13" t="str">
        <f t="shared" si="185"/>
        <v/>
      </c>
      <c r="AR149" s="13" t="str">
        <f t="shared" si="186"/>
        <v>O</v>
      </c>
      <c r="AS149" s="13" t="str">
        <f t="shared" si="187"/>
        <v>O</v>
      </c>
      <c r="AT149" s="13" t="s">
        <v>32</v>
      </c>
      <c r="AU149" s="13" t="str">
        <f t="shared" si="188"/>
        <v>O</v>
      </c>
      <c r="AV149" s="13" t="str">
        <f t="shared" si="189"/>
        <v>O</v>
      </c>
      <c r="AW149" s="13" t="str">
        <f t="shared" si="190"/>
        <v/>
      </c>
    </row>
    <row r="150" spans="1:49" x14ac:dyDescent="0.3">
      <c r="A150" s="5" t="s">
        <v>1546</v>
      </c>
      <c r="B150" s="14" t="s">
        <v>1547</v>
      </c>
      <c r="C150" s="25">
        <v>912</v>
      </c>
      <c r="D150" s="23">
        <v>93.1</v>
      </c>
      <c r="E150" s="21">
        <v>28</v>
      </c>
      <c r="F150" s="23">
        <v>84.9</v>
      </c>
      <c r="G150" s="24">
        <v>26</v>
      </c>
      <c r="H150" s="25">
        <v>1</v>
      </c>
      <c r="I150" s="29"/>
      <c r="J150" s="106"/>
      <c r="K150" s="29"/>
      <c r="L150" s="106"/>
      <c r="M150" s="6">
        <f t="shared" si="168"/>
        <v>0</v>
      </c>
      <c r="N150" s="7" t="str">
        <f t="shared" si="169"/>
        <v/>
      </c>
      <c r="O150" s="12">
        <f t="shared" si="170"/>
        <v>0</v>
      </c>
      <c r="P150" s="12">
        <f t="shared" si="171"/>
        <v>0</v>
      </c>
      <c r="Q150" s="13">
        <v>3</v>
      </c>
      <c r="R150" s="13">
        <v>2</v>
      </c>
      <c r="S150" s="13" t="s">
        <v>1356</v>
      </c>
      <c r="T150" s="8" t="s">
        <v>616</v>
      </c>
      <c r="U150" s="5"/>
      <c r="V150" s="5" t="s">
        <v>1558</v>
      </c>
      <c r="X150" s="23">
        <f t="shared" si="172"/>
        <v>93.1</v>
      </c>
      <c r="Y150" s="21">
        <f t="shared" si="173"/>
        <v>28</v>
      </c>
      <c r="Z150" s="28">
        <f t="shared" si="174"/>
        <v>1</v>
      </c>
      <c r="AA150" s="6">
        <f t="shared" si="175"/>
        <v>0</v>
      </c>
      <c r="AB150" s="6">
        <f t="shared" si="176"/>
        <v>0</v>
      </c>
      <c r="AC150" s="6">
        <f t="shared" si="177"/>
        <v>0</v>
      </c>
      <c r="AD150" s="7" t="str">
        <f t="shared" si="178"/>
        <v/>
      </c>
      <c r="AE150" s="12">
        <f t="shared" si="179"/>
        <v>0</v>
      </c>
      <c r="AF150" s="13" t="str">
        <f t="shared" si="180"/>
        <v>복</v>
      </c>
      <c r="AG150" s="13" t="str">
        <f t="shared" si="181"/>
        <v>3/2</v>
      </c>
      <c r="AI150" s="32" t="str">
        <f t="shared" si="192"/>
        <v>뉴타운1,2,3차</v>
      </c>
      <c r="AJ150" s="21">
        <f t="shared" si="191"/>
        <v>28</v>
      </c>
      <c r="AK150" s="13" t="str">
        <f t="shared" si="182"/>
        <v>A-</v>
      </c>
      <c r="AL150" s="13"/>
      <c r="AM150" s="13"/>
      <c r="AN150" s="13"/>
      <c r="AO150" s="13" t="str">
        <f t="shared" si="183"/>
        <v>C</v>
      </c>
      <c r="AP150" s="13" t="str">
        <f t="shared" si="184"/>
        <v/>
      </c>
      <c r="AQ150" s="13" t="str">
        <f t="shared" si="185"/>
        <v/>
      </c>
      <c r="AR150" s="13" t="str">
        <f t="shared" si="186"/>
        <v>O</v>
      </c>
      <c r="AS150" s="13" t="str">
        <f t="shared" si="187"/>
        <v>O</v>
      </c>
      <c r="AT150" s="13" t="s">
        <v>32</v>
      </c>
      <c r="AU150" s="13" t="str">
        <f t="shared" si="188"/>
        <v>O</v>
      </c>
      <c r="AV150" s="13" t="str">
        <f t="shared" si="189"/>
        <v>O</v>
      </c>
      <c r="AW150" s="13" t="str">
        <f t="shared" si="190"/>
        <v/>
      </c>
    </row>
    <row r="151" spans="1:49" x14ac:dyDescent="0.3">
      <c r="A151" s="5" t="s">
        <v>1546</v>
      </c>
      <c r="B151" s="14" t="s">
        <v>1547</v>
      </c>
      <c r="C151" s="25">
        <v>912</v>
      </c>
      <c r="D151" s="23">
        <v>95</v>
      </c>
      <c r="E151" s="21">
        <v>29</v>
      </c>
      <c r="F151" s="23">
        <v>89.1</v>
      </c>
      <c r="G151" s="24">
        <v>27</v>
      </c>
      <c r="H151" s="25">
        <v>2</v>
      </c>
      <c r="I151" s="29"/>
      <c r="J151" s="106"/>
      <c r="K151" s="29"/>
      <c r="L151" s="106"/>
      <c r="M151" s="6">
        <f t="shared" si="168"/>
        <v>0</v>
      </c>
      <c r="N151" s="7" t="str">
        <f t="shared" si="169"/>
        <v/>
      </c>
      <c r="O151" s="12">
        <f t="shared" si="170"/>
        <v>0</v>
      </c>
      <c r="P151" s="12">
        <f t="shared" si="171"/>
        <v>0</v>
      </c>
      <c r="Q151" s="13">
        <v>3</v>
      </c>
      <c r="R151" s="13">
        <v>2</v>
      </c>
      <c r="S151" s="13" t="s">
        <v>51</v>
      </c>
      <c r="T151" s="8" t="s">
        <v>617</v>
      </c>
      <c r="U151" s="5"/>
      <c r="V151" s="5" t="s">
        <v>1561</v>
      </c>
      <c r="X151" s="23">
        <f t="shared" si="172"/>
        <v>95</v>
      </c>
      <c r="Y151" s="21">
        <f t="shared" si="173"/>
        <v>29</v>
      </c>
      <c r="Z151" s="28">
        <f t="shared" si="174"/>
        <v>2</v>
      </c>
      <c r="AA151" s="6">
        <f t="shared" si="175"/>
        <v>0</v>
      </c>
      <c r="AB151" s="6">
        <f t="shared" si="176"/>
        <v>0</v>
      </c>
      <c r="AC151" s="6">
        <f t="shared" si="177"/>
        <v>0</v>
      </c>
      <c r="AD151" s="7" t="str">
        <f t="shared" si="178"/>
        <v/>
      </c>
      <c r="AE151" s="12">
        <f t="shared" si="179"/>
        <v>0</v>
      </c>
      <c r="AF151" s="13" t="str">
        <f t="shared" si="180"/>
        <v>계</v>
      </c>
      <c r="AG151" s="13" t="str">
        <f t="shared" si="181"/>
        <v>3/2</v>
      </c>
      <c r="AI151" s="32" t="str">
        <f t="shared" si="192"/>
        <v>뉴타운1,2,3차</v>
      </c>
      <c r="AJ151" s="21">
        <f t="shared" si="191"/>
        <v>29</v>
      </c>
      <c r="AK151" s="13" t="str">
        <f t="shared" si="182"/>
        <v>A-</v>
      </c>
      <c r="AL151" s="13"/>
      <c r="AM151" s="13"/>
      <c r="AN151" s="13"/>
      <c r="AO151" s="13" t="str">
        <f t="shared" si="183"/>
        <v>C</v>
      </c>
      <c r="AP151" s="13" t="str">
        <f t="shared" si="184"/>
        <v/>
      </c>
      <c r="AQ151" s="13" t="str">
        <f t="shared" si="185"/>
        <v/>
      </c>
      <c r="AR151" s="13" t="str">
        <f t="shared" si="186"/>
        <v>O</v>
      </c>
      <c r="AS151" s="13" t="str">
        <f t="shared" si="187"/>
        <v>O</v>
      </c>
      <c r="AT151" s="13" t="s">
        <v>32</v>
      </c>
      <c r="AU151" s="13" t="str">
        <f t="shared" si="188"/>
        <v>X</v>
      </c>
      <c r="AV151" s="13" t="str">
        <f t="shared" si="189"/>
        <v>O</v>
      </c>
      <c r="AW151" s="13" t="str">
        <f t="shared" si="190"/>
        <v/>
      </c>
    </row>
    <row r="152" spans="1:49" x14ac:dyDescent="0.3">
      <c r="A152" s="5" t="s">
        <v>1546</v>
      </c>
      <c r="B152" s="14" t="s">
        <v>1547</v>
      </c>
      <c r="C152" s="25">
        <v>912</v>
      </c>
      <c r="D152" s="23">
        <v>95.9</v>
      </c>
      <c r="E152" s="21">
        <v>29</v>
      </c>
      <c r="F152" s="23">
        <v>65.7</v>
      </c>
      <c r="G152" s="24">
        <v>20</v>
      </c>
      <c r="H152" s="25">
        <v>1</v>
      </c>
      <c r="I152" s="29"/>
      <c r="J152" s="106"/>
      <c r="K152" s="29"/>
      <c r="L152" s="106"/>
      <c r="M152" s="6">
        <f t="shared" si="168"/>
        <v>0</v>
      </c>
      <c r="N152" s="7" t="str">
        <f t="shared" si="169"/>
        <v/>
      </c>
      <c r="O152" s="12">
        <f t="shared" si="170"/>
        <v>0</v>
      </c>
      <c r="P152" s="12">
        <f t="shared" si="171"/>
        <v>0</v>
      </c>
      <c r="Q152" s="13">
        <v>3</v>
      </c>
      <c r="R152" s="13">
        <v>1</v>
      </c>
      <c r="S152" s="13" t="s">
        <v>1356</v>
      </c>
      <c r="T152" s="8" t="s">
        <v>618</v>
      </c>
      <c r="U152" s="5"/>
      <c r="V152" s="5" t="s">
        <v>1562</v>
      </c>
      <c r="X152" s="23">
        <f t="shared" si="172"/>
        <v>95.9</v>
      </c>
      <c r="Y152" s="21">
        <f t="shared" si="173"/>
        <v>29</v>
      </c>
      <c r="Z152" s="28">
        <f t="shared" si="174"/>
        <v>1</v>
      </c>
      <c r="AA152" s="6">
        <f t="shared" si="175"/>
        <v>0</v>
      </c>
      <c r="AB152" s="6">
        <f t="shared" si="176"/>
        <v>0</v>
      </c>
      <c r="AC152" s="6">
        <f t="shared" si="177"/>
        <v>0</v>
      </c>
      <c r="AD152" s="7" t="str">
        <f t="shared" si="178"/>
        <v/>
      </c>
      <c r="AE152" s="12">
        <f t="shared" si="179"/>
        <v>0</v>
      </c>
      <c r="AF152" s="13" t="str">
        <f t="shared" si="180"/>
        <v>복</v>
      </c>
      <c r="AG152" s="13" t="str">
        <f t="shared" si="181"/>
        <v>3/1</v>
      </c>
      <c r="AI152" s="32" t="str">
        <f t="shared" si="192"/>
        <v>뉴타운1,2,3차</v>
      </c>
      <c r="AJ152" s="21">
        <f t="shared" si="191"/>
        <v>29</v>
      </c>
      <c r="AK152" s="13" t="str">
        <f t="shared" si="182"/>
        <v>A-</v>
      </c>
      <c r="AL152" s="13"/>
      <c r="AM152" s="13"/>
      <c r="AN152" s="13"/>
      <c r="AO152" s="13" t="str">
        <f t="shared" si="183"/>
        <v>C</v>
      </c>
      <c r="AP152" s="13" t="str">
        <f t="shared" si="184"/>
        <v/>
      </c>
      <c r="AQ152" s="13" t="str">
        <f t="shared" si="185"/>
        <v/>
      </c>
      <c r="AR152" s="13" t="str">
        <f t="shared" si="186"/>
        <v>O</v>
      </c>
      <c r="AS152" s="13" t="str">
        <f t="shared" si="187"/>
        <v>O</v>
      </c>
      <c r="AT152" s="13" t="s">
        <v>32</v>
      </c>
      <c r="AU152" s="13" t="str">
        <f t="shared" si="188"/>
        <v>O</v>
      </c>
      <c r="AV152" s="13" t="str">
        <f t="shared" si="189"/>
        <v>O</v>
      </c>
      <c r="AW152" s="13" t="str">
        <f t="shared" si="190"/>
        <v/>
      </c>
    </row>
    <row r="153" spans="1:49" x14ac:dyDescent="0.3">
      <c r="A153" s="5" t="s">
        <v>1546</v>
      </c>
      <c r="B153" s="14" t="s">
        <v>1547</v>
      </c>
      <c r="C153" s="25">
        <v>912</v>
      </c>
      <c r="D153" s="23">
        <v>95.9</v>
      </c>
      <c r="E153" s="21">
        <v>29</v>
      </c>
      <c r="F153" s="23">
        <v>89.9</v>
      </c>
      <c r="G153" s="24">
        <v>27</v>
      </c>
      <c r="H153" s="25">
        <v>1</v>
      </c>
      <c r="I153" s="29"/>
      <c r="J153" s="106"/>
      <c r="K153" s="29"/>
      <c r="L153" s="106"/>
      <c r="M153" s="6">
        <f t="shared" si="168"/>
        <v>0</v>
      </c>
      <c r="N153" s="7" t="str">
        <f t="shared" si="169"/>
        <v/>
      </c>
      <c r="O153" s="12">
        <f t="shared" si="170"/>
        <v>0</v>
      </c>
      <c r="P153" s="12">
        <f t="shared" si="171"/>
        <v>0</v>
      </c>
      <c r="Q153" s="13">
        <v>3</v>
      </c>
      <c r="R153" s="13">
        <v>2</v>
      </c>
      <c r="S153" s="13" t="s">
        <v>1356</v>
      </c>
      <c r="T153" s="8" t="s">
        <v>619</v>
      </c>
      <c r="U153" s="5"/>
      <c r="V153" s="5" t="s">
        <v>1562</v>
      </c>
      <c r="X153" s="23">
        <f t="shared" si="172"/>
        <v>95.9</v>
      </c>
      <c r="Y153" s="21">
        <f t="shared" si="173"/>
        <v>29</v>
      </c>
      <c r="Z153" s="28">
        <f t="shared" si="174"/>
        <v>1</v>
      </c>
      <c r="AA153" s="6">
        <f t="shared" si="175"/>
        <v>0</v>
      </c>
      <c r="AB153" s="6">
        <f t="shared" si="176"/>
        <v>0</v>
      </c>
      <c r="AC153" s="6">
        <f t="shared" si="177"/>
        <v>0</v>
      </c>
      <c r="AD153" s="7" t="str">
        <f t="shared" si="178"/>
        <v/>
      </c>
      <c r="AE153" s="12">
        <f t="shared" si="179"/>
        <v>0</v>
      </c>
      <c r="AF153" s="13" t="str">
        <f t="shared" si="180"/>
        <v>복</v>
      </c>
      <c r="AG153" s="13" t="str">
        <f t="shared" si="181"/>
        <v>3/2</v>
      </c>
      <c r="AI153" s="32" t="str">
        <f t="shared" si="192"/>
        <v>뉴타운1,2,3차</v>
      </c>
      <c r="AJ153" s="21">
        <f t="shared" si="191"/>
        <v>29</v>
      </c>
      <c r="AK153" s="13" t="str">
        <f t="shared" si="182"/>
        <v>A-</v>
      </c>
      <c r="AL153" s="13"/>
      <c r="AM153" s="13"/>
      <c r="AN153" s="13"/>
      <c r="AO153" s="13" t="str">
        <f t="shared" si="183"/>
        <v>C</v>
      </c>
      <c r="AP153" s="13" t="str">
        <f t="shared" si="184"/>
        <v/>
      </c>
      <c r="AQ153" s="13" t="str">
        <f t="shared" si="185"/>
        <v/>
      </c>
      <c r="AR153" s="13" t="str">
        <f t="shared" si="186"/>
        <v>O</v>
      </c>
      <c r="AS153" s="13" t="str">
        <f t="shared" si="187"/>
        <v>O</v>
      </c>
      <c r="AT153" s="13" t="s">
        <v>32</v>
      </c>
      <c r="AU153" s="13" t="str">
        <f t="shared" si="188"/>
        <v>X</v>
      </c>
      <c r="AV153" s="13" t="str">
        <f t="shared" si="189"/>
        <v>O</v>
      </c>
      <c r="AW153" s="13" t="str">
        <f t="shared" si="190"/>
        <v/>
      </c>
    </row>
    <row r="154" spans="1:49" x14ac:dyDescent="0.3">
      <c r="A154" s="5" t="s">
        <v>1546</v>
      </c>
      <c r="B154" s="14" t="s">
        <v>1547</v>
      </c>
      <c r="C154" s="25">
        <v>912</v>
      </c>
      <c r="D154" s="23">
        <v>105.3</v>
      </c>
      <c r="E154" s="21">
        <v>32</v>
      </c>
      <c r="F154" s="23">
        <v>84.9</v>
      </c>
      <c r="G154" s="24">
        <v>26</v>
      </c>
      <c r="H154" s="25">
        <v>109</v>
      </c>
      <c r="I154" s="29"/>
      <c r="J154" s="106"/>
      <c r="K154" s="29"/>
      <c r="L154" s="106"/>
      <c r="M154" s="6">
        <f t="shared" si="168"/>
        <v>0</v>
      </c>
      <c r="N154" s="7" t="str">
        <f t="shared" si="169"/>
        <v/>
      </c>
      <c r="O154" s="12">
        <f t="shared" si="170"/>
        <v>0</v>
      </c>
      <c r="P154" s="12">
        <f t="shared" si="171"/>
        <v>0</v>
      </c>
      <c r="Q154" s="13">
        <v>3</v>
      </c>
      <c r="R154" s="13">
        <v>2</v>
      </c>
      <c r="S154" s="13" t="s">
        <v>1356</v>
      </c>
      <c r="T154" s="8" t="s">
        <v>487</v>
      </c>
      <c r="U154" s="5"/>
      <c r="V154" s="5" t="s">
        <v>1563</v>
      </c>
      <c r="X154" s="23">
        <f t="shared" si="172"/>
        <v>105.3</v>
      </c>
      <c r="Y154" s="21">
        <f t="shared" si="173"/>
        <v>32</v>
      </c>
      <c r="Z154" s="28">
        <f t="shared" si="174"/>
        <v>109</v>
      </c>
      <c r="AA154" s="6">
        <f t="shared" si="175"/>
        <v>0</v>
      </c>
      <c r="AB154" s="6">
        <f t="shared" si="176"/>
        <v>0</v>
      </c>
      <c r="AC154" s="6">
        <f t="shared" si="177"/>
        <v>0</v>
      </c>
      <c r="AD154" s="7" t="str">
        <f t="shared" si="178"/>
        <v/>
      </c>
      <c r="AE154" s="12">
        <f t="shared" si="179"/>
        <v>0</v>
      </c>
      <c r="AF154" s="13" t="str">
        <f t="shared" si="180"/>
        <v>복</v>
      </c>
      <c r="AG154" s="13" t="str">
        <f t="shared" si="181"/>
        <v>3/2</v>
      </c>
      <c r="AI154" s="32" t="str">
        <f t="shared" si="192"/>
        <v>뉴타운1,2,3차</v>
      </c>
      <c r="AJ154" s="21">
        <f t="shared" si="191"/>
        <v>32</v>
      </c>
      <c r="AK154" s="13" t="str">
        <f t="shared" si="182"/>
        <v>A-</v>
      </c>
      <c r="AL154" s="13"/>
      <c r="AM154" s="13"/>
      <c r="AN154" s="13"/>
      <c r="AO154" s="13" t="str">
        <f t="shared" si="183"/>
        <v>C</v>
      </c>
      <c r="AP154" s="13" t="str">
        <f t="shared" si="184"/>
        <v/>
      </c>
      <c r="AQ154" s="13" t="str">
        <f t="shared" si="185"/>
        <v/>
      </c>
      <c r="AR154" s="13" t="str">
        <f t="shared" si="186"/>
        <v>O</v>
      </c>
      <c r="AS154" s="13" t="str">
        <f t="shared" si="187"/>
        <v>O</v>
      </c>
      <c r="AT154" s="13" t="s">
        <v>32</v>
      </c>
      <c r="AU154" s="13" t="str">
        <f t="shared" si="188"/>
        <v>O</v>
      </c>
      <c r="AV154" s="13" t="str">
        <f t="shared" si="189"/>
        <v>O</v>
      </c>
      <c r="AW154" s="13" t="str">
        <f t="shared" si="190"/>
        <v/>
      </c>
    </row>
    <row r="155" spans="1:49" x14ac:dyDescent="0.3">
      <c r="A155" s="5" t="s">
        <v>1546</v>
      </c>
      <c r="B155" s="14" t="s">
        <v>1547</v>
      </c>
      <c r="C155" s="25">
        <v>912</v>
      </c>
      <c r="D155" s="23">
        <v>105.3</v>
      </c>
      <c r="E155" s="21">
        <v>32</v>
      </c>
      <c r="F155" s="23">
        <v>97.1</v>
      </c>
      <c r="G155" s="24">
        <v>29</v>
      </c>
      <c r="H155" s="25">
        <v>7</v>
      </c>
      <c r="I155" s="29"/>
      <c r="J155" s="106"/>
      <c r="K155" s="29"/>
      <c r="L155" s="106"/>
      <c r="M155" s="6">
        <f t="shared" si="168"/>
        <v>0</v>
      </c>
      <c r="N155" s="7" t="str">
        <f t="shared" si="169"/>
        <v/>
      </c>
      <c r="O155" s="12">
        <f t="shared" si="170"/>
        <v>0</v>
      </c>
      <c r="P155" s="12">
        <f t="shared" si="171"/>
        <v>0</v>
      </c>
      <c r="Q155" s="13">
        <v>3</v>
      </c>
      <c r="R155" s="13">
        <v>2</v>
      </c>
      <c r="S155" s="13" t="s">
        <v>1356</v>
      </c>
      <c r="T155" s="8" t="s">
        <v>620</v>
      </c>
      <c r="U155" s="5"/>
      <c r="V155" s="5" t="s">
        <v>1563</v>
      </c>
      <c r="X155" s="23">
        <f t="shared" si="172"/>
        <v>105.3</v>
      </c>
      <c r="Y155" s="21">
        <f t="shared" si="173"/>
        <v>32</v>
      </c>
      <c r="Z155" s="28">
        <f t="shared" si="174"/>
        <v>7</v>
      </c>
      <c r="AA155" s="6">
        <f t="shared" si="175"/>
        <v>0</v>
      </c>
      <c r="AB155" s="6">
        <f t="shared" si="176"/>
        <v>0</v>
      </c>
      <c r="AC155" s="6">
        <f t="shared" si="177"/>
        <v>0</v>
      </c>
      <c r="AD155" s="7" t="str">
        <f t="shared" si="178"/>
        <v/>
      </c>
      <c r="AE155" s="12">
        <f t="shared" si="179"/>
        <v>0</v>
      </c>
      <c r="AF155" s="13" t="str">
        <f t="shared" si="180"/>
        <v>복</v>
      </c>
      <c r="AG155" s="13" t="str">
        <f t="shared" si="181"/>
        <v>3/2</v>
      </c>
      <c r="AI155" s="32" t="str">
        <f t="shared" si="192"/>
        <v>뉴타운1,2,3차</v>
      </c>
      <c r="AJ155" s="21">
        <f t="shared" si="191"/>
        <v>32</v>
      </c>
      <c r="AK155" s="13" t="str">
        <f t="shared" si="182"/>
        <v>A-</v>
      </c>
      <c r="AL155" s="13"/>
      <c r="AM155" s="13"/>
      <c r="AN155" s="13"/>
      <c r="AO155" s="13" t="str">
        <f t="shared" si="183"/>
        <v>C</v>
      </c>
      <c r="AP155" s="13" t="str">
        <f t="shared" si="184"/>
        <v/>
      </c>
      <c r="AQ155" s="13" t="str">
        <f t="shared" si="185"/>
        <v/>
      </c>
      <c r="AR155" s="13" t="str">
        <f t="shared" si="186"/>
        <v>O</v>
      </c>
      <c r="AS155" s="13" t="str">
        <f t="shared" si="187"/>
        <v>O</v>
      </c>
      <c r="AT155" s="13" t="s">
        <v>32</v>
      </c>
      <c r="AU155" s="13" t="str">
        <f t="shared" si="188"/>
        <v>X</v>
      </c>
      <c r="AV155" s="13" t="str">
        <f t="shared" si="189"/>
        <v>O</v>
      </c>
      <c r="AW155" s="13" t="str">
        <f t="shared" si="190"/>
        <v/>
      </c>
    </row>
    <row r="156" spans="1:49" x14ac:dyDescent="0.3">
      <c r="A156" s="5" t="s">
        <v>1546</v>
      </c>
      <c r="B156" s="14" t="s">
        <v>1547</v>
      </c>
      <c r="C156" s="25">
        <v>912</v>
      </c>
      <c r="D156" s="23">
        <v>105.3</v>
      </c>
      <c r="E156" s="21">
        <v>32</v>
      </c>
      <c r="F156" s="23">
        <v>84.9</v>
      </c>
      <c r="G156" s="24">
        <v>26</v>
      </c>
      <c r="H156" s="25">
        <v>1</v>
      </c>
      <c r="I156" s="29"/>
      <c r="J156" s="106"/>
      <c r="K156" s="29"/>
      <c r="L156" s="106"/>
      <c r="M156" s="6">
        <f t="shared" si="168"/>
        <v>0</v>
      </c>
      <c r="N156" s="7" t="str">
        <f t="shared" si="169"/>
        <v/>
      </c>
      <c r="O156" s="12">
        <f t="shared" si="170"/>
        <v>0</v>
      </c>
      <c r="P156" s="12">
        <f t="shared" si="171"/>
        <v>0</v>
      </c>
      <c r="Q156" s="13">
        <v>3</v>
      </c>
      <c r="R156" s="13">
        <v>2</v>
      </c>
      <c r="S156" s="13" t="s">
        <v>51</v>
      </c>
      <c r="T156" s="8" t="s">
        <v>621</v>
      </c>
      <c r="U156" s="5"/>
      <c r="V156" s="5" t="s">
        <v>1563</v>
      </c>
      <c r="X156" s="23">
        <f t="shared" si="172"/>
        <v>105.3</v>
      </c>
      <c r="Y156" s="21">
        <f t="shared" si="173"/>
        <v>32</v>
      </c>
      <c r="Z156" s="28">
        <f t="shared" si="174"/>
        <v>1</v>
      </c>
      <c r="AA156" s="6">
        <f t="shared" si="175"/>
        <v>0</v>
      </c>
      <c r="AB156" s="6">
        <f t="shared" si="176"/>
        <v>0</v>
      </c>
      <c r="AC156" s="6">
        <f t="shared" si="177"/>
        <v>0</v>
      </c>
      <c r="AD156" s="7" t="str">
        <f t="shared" si="178"/>
        <v/>
      </c>
      <c r="AE156" s="12">
        <f t="shared" si="179"/>
        <v>0</v>
      </c>
      <c r="AF156" s="13" t="str">
        <f t="shared" si="180"/>
        <v>계</v>
      </c>
      <c r="AG156" s="13" t="str">
        <f t="shared" si="181"/>
        <v>3/2</v>
      </c>
      <c r="AI156" s="32" t="str">
        <f t="shared" si="192"/>
        <v>뉴타운1,2,3차</v>
      </c>
      <c r="AJ156" s="21">
        <f t="shared" si="191"/>
        <v>32</v>
      </c>
      <c r="AK156" s="13" t="str">
        <f t="shared" si="182"/>
        <v>A-</v>
      </c>
      <c r="AL156" s="13"/>
      <c r="AM156" s="13"/>
      <c r="AN156" s="13"/>
      <c r="AO156" s="13" t="str">
        <f t="shared" si="183"/>
        <v>C</v>
      </c>
      <c r="AP156" s="13" t="str">
        <f t="shared" si="184"/>
        <v/>
      </c>
      <c r="AQ156" s="13" t="str">
        <f t="shared" si="185"/>
        <v/>
      </c>
      <c r="AR156" s="13" t="str">
        <f t="shared" si="186"/>
        <v>O</v>
      </c>
      <c r="AS156" s="13" t="str">
        <f t="shared" si="187"/>
        <v>O</v>
      </c>
      <c r="AT156" s="13" t="s">
        <v>32</v>
      </c>
      <c r="AU156" s="13" t="str">
        <f t="shared" si="188"/>
        <v>O</v>
      </c>
      <c r="AV156" s="13" t="str">
        <f t="shared" si="189"/>
        <v>O</v>
      </c>
      <c r="AW156" s="13" t="str">
        <f t="shared" si="190"/>
        <v/>
      </c>
    </row>
    <row r="157" spans="1:49" x14ac:dyDescent="0.3">
      <c r="A157" s="5" t="s">
        <v>1546</v>
      </c>
      <c r="B157" s="14" t="s">
        <v>1547</v>
      </c>
      <c r="C157" s="25">
        <v>912</v>
      </c>
      <c r="D157" s="23">
        <v>139.5</v>
      </c>
      <c r="E157" s="21">
        <v>42</v>
      </c>
      <c r="F157" s="23">
        <v>117</v>
      </c>
      <c r="G157" s="24">
        <v>35</v>
      </c>
      <c r="H157" s="25">
        <v>23</v>
      </c>
      <c r="I157" s="29"/>
      <c r="J157" s="106"/>
      <c r="K157" s="29"/>
      <c r="L157" s="106"/>
      <c r="M157" s="6">
        <f t="shared" si="168"/>
        <v>0</v>
      </c>
      <c r="N157" s="7" t="str">
        <f t="shared" si="169"/>
        <v/>
      </c>
      <c r="O157" s="12">
        <f t="shared" si="170"/>
        <v>0</v>
      </c>
      <c r="P157" s="12">
        <f t="shared" si="171"/>
        <v>0</v>
      </c>
      <c r="Q157" s="13">
        <v>3</v>
      </c>
      <c r="R157" s="13">
        <v>2</v>
      </c>
      <c r="S157" s="13" t="s">
        <v>1356</v>
      </c>
      <c r="T157" s="8" t="s">
        <v>622</v>
      </c>
      <c r="U157" s="5"/>
      <c r="V157" s="5" t="s">
        <v>1564</v>
      </c>
      <c r="X157" s="23">
        <f t="shared" si="172"/>
        <v>139.5</v>
      </c>
      <c r="Y157" s="21">
        <f t="shared" si="173"/>
        <v>42</v>
      </c>
      <c r="Z157" s="28">
        <f t="shared" si="174"/>
        <v>23</v>
      </c>
      <c r="AA157" s="6">
        <f t="shared" si="175"/>
        <v>0</v>
      </c>
      <c r="AB157" s="6">
        <f t="shared" si="176"/>
        <v>0</v>
      </c>
      <c r="AC157" s="6">
        <f t="shared" si="177"/>
        <v>0</v>
      </c>
      <c r="AD157" s="7" t="str">
        <f t="shared" si="178"/>
        <v/>
      </c>
      <c r="AE157" s="12">
        <f t="shared" si="179"/>
        <v>0</v>
      </c>
      <c r="AF157" s="13" t="str">
        <f t="shared" si="180"/>
        <v>복</v>
      </c>
      <c r="AG157" s="13" t="str">
        <f t="shared" si="181"/>
        <v>3/2</v>
      </c>
      <c r="AI157" s="32" t="str">
        <f t="shared" si="192"/>
        <v>뉴타운1,2,3차</v>
      </c>
      <c r="AJ157" s="21">
        <f t="shared" si="191"/>
        <v>42</v>
      </c>
      <c r="AK157" s="13" t="str">
        <f t="shared" si="182"/>
        <v>A-</v>
      </c>
      <c r="AL157" s="13"/>
      <c r="AM157" s="13"/>
      <c r="AN157" s="13"/>
      <c r="AO157" s="13" t="str">
        <f t="shared" si="183"/>
        <v>C</v>
      </c>
      <c r="AP157" s="13" t="str">
        <f t="shared" si="184"/>
        <v/>
      </c>
      <c r="AQ157" s="13" t="str">
        <f t="shared" si="185"/>
        <v/>
      </c>
      <c r="AR157" s="13" t="str">
        <f t="shared" si="186"/>
        <v>O</v>
      </c>
      <c r="AS157" s="13" t="str">
        <f t="shared" si="187"/>
        <v>O</v>
      </c>
      <c r="AT157" s="13" t="s">
        <v>32</v>
      </c>
      <c r="AU157" s="13" t="str">
        <f t="shared" si="188"/>
        <v>X</v>
      </c>
      <c r="AV157" s="13" t="str">
        <f t="shared" si="189"/>
        <v>O</v>
      </c>
      <c r="AW157" s="13" t="str">
        <f t="shared" si="190"/>
        <v/>
      </c>
    </row>
    <row r="158" spans="1:49" x14ac:dyDescent="0.3">
      <c r="A158" s="5" t="s">
        <v>1546</v>
      </c>
      <c r="B158" s="14" t="s">
        <v>1547</v>
      </c>
      <c r="C158" s="25">
        <v>912</v>
      </c>
      <c r="D158" s="23">
        <v>139.5</v>
      </c>
      <c r="E158" s="21">
        <v>42</v>
      </c>
      <c r="F158" s="23">
        <v>117</v>
      </c>
      <c r="G158" s="24">
        <v>35</v>
      </c>
      <c r="H158" s="25">
        <v>19</v>
      </c>
      <c r="I158" s="29"/>
      <c r="J158" s="106"/>
      <c r="K158" s="29"/>
      <c r="L158" s="106"/>
      <c r="M158" s="6">
        <f t="shared" si="168"/>
        <v>0</v>
      </c>
      <c r="N158" s="7" t="str">
        <f t="shared" si="169"/>
        <v/>
      </c>
      <c r="O158" s="12">
        <f t="shared" si="170"/>
        <v>0</v>
      </c>
      <c r="P158" s="12">
        <f t="shared" si="171"/>
        <v>0</v>
      </c>
      <c r="Q158" s="13">
        <v>3</v>
      </c>
      <c r="R158" s="13">
        <v>2</v>
      </c>
      <c r="S158" s="13" t="s">
        <v>1356</v>
      </c>
      <c r="T158" s="8" t="s">
        <v>623</v>
      </c>
      <c r="U158" s="5"/>
      <c r="V158" s="5" t="s">
        <v>1564</v>
      </c>
      <c r="X158" s="23">
        <f t="shared" si="172"/>
        <v>139.5</v>
      </c>
      <c r="Y158" s="21">
        <f t="shared" si="173"/>
        <v>42</v>
      </c>
      <c r="Z158" s="28">
        <f t="shared" si="174"/>
        <v>19</v>
      </c>
      <c r="AA158" s="6">
        <f t="shared" si="175"/>
        <v>0</v>
      </c>
      <c r="AB158" s="6">
        <f t="shared" si="176"/>
        <v>0</v>
      </c>
      <c r="AC158" s="6">
        <f t="shared" si="177"/>
        <v>0</v>
      </c>
      <c r="AD158" s="7" t="str">
        <f t="shared" si="178"/>
        <v/>
      </c>
      <c r="AE158" s="12">
        <f t="shared" si="179"/>
        <v>0</v>
      </c>
      <c r="AF158" s="13" t="str">
        <f t="shared" si="180"/>
        <v>복</v>
      </c>
      <c r="AG158" s="13" t="str">
        <f t="shared" si="181"/>
        <v>3/2</v>
      </c>
      <c r="AI158" s="32" t="str">
        <f t="shared" si="192"/>
        <v>뉴타운1,2,3차</v>
      </c>
      <c r="AJ158" s="21">
        <f t="shared" si="191"/>
        <v>42</v>
      </c>
      <c r="AK158" s="13" t="str">
        <f t="shared" si="182"/>
        <v>A-</v>
      </c>
      <c r="AL158" s="13"/>
      <c r="AM158" s="13"/>
      <c r="AN158" s="13"/>
      <c r="AO158" s="13" t="str">
        <f t="shared" si="183"/>
        <v>C</v>
      </c>
      <c r="AP158" s="13" t="str">
        <f t="shared" si="184"/>
        <v/>
      </c>
      <c r="AQ158" s="13" t="str">
        <f t="shared" si="185"/>
        <v/>
      </c>
      <c r="AR158" s="13" t="str">
        <f t="shared" si="186"/>
        <v>O</v>
      </c>
      <c r="AS158" s="13" t="str">
        <f t="shared" si="187"/>
        <v>O</v>
      </c>
      <c r="AT158" s="13" t="s">
        <v>32</v>
      </c>
      <c r="AU158" s="13" t="str">
        <f t="shared" si="188"/>
        <v>X</v>
      </c>
      <c r="AV158" s="13" t="str">
        <f t="shared" si="189"/>
        <v>O</v>
      </c>
      <c r="AW158" s="13" t="str">
        <f t="shared" si="190"/>
        <v/>
      </c>
    </row>
    <row r="159" spans="1:49" x14ac:dyDescent="0.3">
      <c r="A159" s="5" t="s">
        <v>1546</v>
      </c>
      <c r="B159" s="14" t="s">
        <v>1547</v>
      </c>
      <c r="C159" s="25">
        <v>912</v>
      </c>
      <c r="D159" s="23">
        <v>139.5</v>
      </c>
      <c r="E159" s="21">
        <v>42</v>
      </c>
      <c r="F159" s="23">
        <v>117</v>
      </c>
      <c r="G159" s="24">
        <v>35</v>
      </c>
      <c r="H159" s="25">
        <v>4</v>
      </c>
      <c r="I159" s="29"/>
      <c r="J159" s="106"/>
      <c r="K159" s="29"/>
      <c r="L159" s="106"/>
      <c r="M159" s="6">
        <f t="shared" si="168"/>
        <v>0</v>
      </c>
      <c r="N159" s="7" t="str">
        <f t="shared" si="169"/>
        <v/>
      </c>
      <c r="O159" s="12">
        <f t="shared" si="170"/>
        <v>0</v>
      </c>
      <c r="P159" s="12">
        <f t="shared" si="171"/>
        <v>0</v>
      </c>
      <c r="Q159" s="13">
        <v>3</v>
      </c>
      <c r="R159" s="13">
        <v>2</v>
      </c>
      <c r="S159" s="13" t="s">
        <v>1356</v>
      </c>
      <c r="T159" s="8" t="s">
        <v>624</v>
      </c>
      <c r="U159" s="5"/>
      <c r="V159" s="5" t="s">
        <v>1564</v>
      </c>
      <c r="X159" s="23">
        <f t="shared" si="172"/>
        <v>139.5</v>
      </c>
      <c r="Y159" s="21">
        <f t="shared" si="173"/>
        <v>42</v>
      </c>
      <c r="Z159" s="28">
        <f t="shared" si="174"/>
        <v>4</v>
      </c>
      <c r="AA159" s="6">
        <f t="shared" si="175"/>
        <v>0</v>
      </c>
      <c r="AB159" s="6">
        <f t="shared" si="176"/>
        <v>0</v>
      </c>
      <c r="AC159" s="6">
        <f t="shared" si="177"/>
        <v>0</v>
      </c>
      <c r="AD159" s="7" t="str">
        <f t="shared" si="178"/>
        <v/>
      </c>
      <c r="AE159" s="12">
        <f t="shared" si="179"/>
        <v>0</v>
      </c>
      <c r="AF159" s="13" t="str">
        <f t="shared" si="180"/>
        <v>복</v>
      </c>
      <c r="AG159" s="13" t="str">
        <f t="shared" si="181"/>
        <v>3/2</v>
      </c>
      <c r="AI159" s="32" t="str">
        <f t="shared" si="192"/>
        <v>뉴타운1,2,3차</v>
      </c>
      <c r="AJ159" s="21">
        <f t="shared" si="191"/>
        <v>42</v>
      </c>
      <c r="AK159" s="13" t="str">
        <f t="shared" si="182"/>
        <v>A-</v>
      </c>
      <c r="AL159" s="13"/>
      <c r="AM159" s="13"/>
      <c r="AN159" s="13"/>
      <c r="AO159" s="13" t="str">
        <f t="shared" si="183"/>
        <v>C</v>
      </c>
      <c r="AP159" s="13" t="str">
        <f t="shared" si="184"/>
        <v/>
      </c>
      <c r="AQ159" s="13" t="str">
        <f t="shared" si="185"/>
        <v/>
      </c>
      <c r="AR159" s="13" t="str">
        <f t="shared" si="186"/>
        <v>O</v>
      </c>
      <c r="AS159" s="13" t="str">
        <f t="shared" si="187"/>
        <v>O</v>
      </c>
      <c r="AT159" s="13" t="s">
        <v>32</v>
      </c>
      <c r="AU159" s="13" t="str">
        <f t="shared" si="188"/>
        <v>X</v>
      </c>
      <c r="AV159" s="13" t="str">
        <f t="shared" si="189"/>
        <v>O</v>
      </c>
      <c r="AW159" s="13" t="str">
        <f t="shared" si="190"/>
        <v/>
      </c>
    </row>
    <row r="160" spans="1:49" x14ac:dyDescent="0.3">
      <c r="A160" s="5" t="s">
        <v>1546</v>
      </c>
      <c r="B160" s="14" t="s">
        <v>1547</v>
      </c>
      <c r="C160" s="25">
        <v>912</v>
      </c>
      <c r="D160" s="23">
        <v>139.5</v>
      </c>
      <c r="E160" s="21">
        <v>42</v>
      </c>
      <c r="F160" s="23">
        <v>117</v>
      </c>
      <c r="G160" s="24">
        <v>35</v>
      </c>
      <c r="H160" s="25">
        <v>1</v>
      </c>
      <c r="I160" s="29"/>
      <c r="J160" s="106"/>
      <c r="K160" s="29"/>
      <c r="L160" s="106"/>
      <c r="M160" s="6">
        <f t="shared" si="168"/>
        <v>0</v>
      </c>
      <c r="N160" s="7" t="str">
        <f t="shared" si="169"/>
        <v/>
      </c>
      <c r="O160" s="12">
        <f t="shared" si="170"/>
        <v>0</v>
      </c>
      <c r="P160" s="12">
        <f t="shared" si="171"/>
        <v>0</v>
      </c>
      <c r="Q160" s="13">
        <v>3</v>
      </c>
      <c r="R160" s="13">
        <v>2</v>
      </c>
      <c r="S160" s="13" t="s">
        <v>1356</v>
      </c>
      <c r="T160" s="8" t="s">
        <v>625</v>
      </c>
      <c r="U160" s="5"/>
      <c r="V160" s="5" t="s">
        <v>1564</v>
      </c>
      <c r="X160" s="23">
        <f t="shared" si="172"/>
        <v>139.5</v>
      </c>
      <c r="Y160" s="21">
        <f t="shared" si="173"/>
        <v>42</v>
      </c>
      <c r="Z160" s="28">
        <f t="shared" si="174"/>
        <v>1</v>
      </c>
      <c r="AA160" s="6">
        <f t="shared" si="175"/>
        <v>0</v>
      </c>
      <c r="AB160" s="6">
        <f t="shared" si="176"/>
        <v>0</v>
      </c>
      <c r="AC160" s="6">
        <f t="shared" si="177"/>
        <v>0</v>
      </c>
      <c r="AD160" s="7" t="str">
        <f t="shared" si="178"/>
        <v/>
      </c>
      <c r="AE160" s="12">
        <f t="shared" si="179"/>
        <v>0</v>
      </c>
      <c r="AF160" s="13" t="str">
        <f t="shared" si="180"/>
        <v>복</v>
      </c>
      <c r="AG160" s="13" t="str">
        <f t="shared" si="181"/>
        <v>3/2</v>
      </c>
      <c r="AI160" s="32" t="str">
        <f t="shared" si="192"/>
        <v>뉴타운1,2,3차</v>
      </c>
      <c r="AJ160" s="21">
        <f t="shared" si="191"/>
        <v>42</v>
      </c>
      <c r="AK160" s="13" t="str">
        <f t="shared" si="182"/>
        <v>A-</v>
      </c>
      <c r="AL160" s="13"/>
      <c r="AM160" s="13"/>
      <c r="AN160" s="13"/>
      <c r="AO160" s="13" t="str">
        <f t="shared" si="183"/>
        <v>C</v>
      </c>
      <c r="AP160" s="13" t="str">
        <f t="shared" si="184"/>
        <v/>
      </c>
      <c r="AQ160" s="13" t="str">
        <f t="shared" si="185"/>
        <v/>
      </c>
      <c r="AR160" s="13" t="str">
        <f t="shared" si="186"/>
        <v>O</v>
      </c>
      <c r="AS160" s="13" t="str">
        <f t="shared" si="187"/>
        <v>O</v>
      </c>
      <c r="AT160" s="13" t="s">
        <v>32</v>
      </c>
      <c r="AU160" s="13" t="str">
        <f t="shared" si="188"/>
        <v>X</v>
      </c>
      <c r="AV160" s="13" t="str">
        <f t="shared" si="189"/>
        <v>O</v>
      </c>
      <c r="AW160" s="13" t="str">
        <f t="shared" si="190"/>
        <v/>
      </c>
    </row>
    <row r="161" spans="1:49" x14ac:dyDescent="0.3">
      <c r="A161" s="5" t="s">
        <v>1546</v>
      </c>
      <c r="B161" s="14" t="s">
        <v>1547</v>
      </c>
      <c r="C161" s="25">
        <v>912</v>
      </c>
      <c r="D161" s="23">
        <v>139.5</v>
      </c>
      <c r="E161" s="21">
        <v>42</v>
      </c>
      <c r="F161" s="23">
        <v>117</v>
      </c>
      <c r="G161" s="24">
        <v>35</v>
      </c>
      <c r="H161" s="25">
        <v>1</v>
      </c>
      <c r="I161" s="29"/>
      <c r="J161" s="106"/>
      <c r="K161" s="29"/>
      <c r="L161" s="106"/>
      <c r="M161" s="6">
        <f t="shared" si="168"/>
        <v>0</v>
      </c>
      <c r="N161" s="7" t="str">
        <f t="shared" si="169"/>
        <v/>
      </c>
      <c r="O161" s="12">
        <f t="shared" si="170"/>
        <v>0</v>
      </c>
      <c r="P161" s="12">
        <f t="shared" si="171"/>
        <v>0</v>
      </c>
      <c r="Q161" s="13">
        <v>3</v>
      </c>
      <c r="R161" s="13">
        <v>2</v>
      </c>
      <c r="S161" s="13" t="s">
        <v>1356</v>
      </c>
      <c r="T161" s="8" t="s">
        <v>626</v>
      </c>
      <c r="U161" s="5"/>
      <c r="V161" s="5" t="s">
        <v>1564</v>
      </c>
      <c r="X161" s="23">
        <f t="shared" si="172"/>
        <v>139.5</v>
      </c>
      <c r="Y161" s="21">
        <f t="shared" si="173"/>
        <v>42</v>
      </c>
      <c r="Z161" s="28">
        <f t="shared" si="174"/>
        <v>1</v>
      </c>
      <c r="AA161" s="6">
        <f t="shared" si="175"/>
        <v>0</v>
      </c>
      <c r="AB161" s="6">
        <f t="shared" si="176"/>
        <v>0</v>
      </c>
      <c r="AC161" s="6">
        <f t="shared" si="177"/>
        <v>0</v>
      </c>
      <c r="AD161" s="7" t="str">
        <f t="shared" si="178"/>
        <v/>
      </c>
      <c r="AE161" s="12">
        <f t="shared" si="179"/>
        <v>0</v>
      </c>
      <c r="AF161" s="13" t="str">
        <f t="shared" si="180"/>
        <v>복</v>
      </c>
      <c r="AG161" s="13" t="str">
        <f t="shared" si="181"/>
        <v>3/2</v>
      </c>
      <c r="AI161" s="32" t="str">
        <f t="shared" si="192"/>
        <v>뉴타운1,2,3차</v>
      </c>
      <c r="AJ161" s="21">
        <f t="shared" si="191"/>
        <v>42</v>
      </c>
      <c r="AK161" s="13" t="str">
        <f t="shared" si="182"/>
        <v>A-</v>
      </c>
      <c r="AL161" s="13"/>
      <c r="AM161" s="13"/>
      <c r="AN161" s="13"/>
      <c r="AO161" s="13" t="str">
        <f t="shared" si="183"/>
        <v>C</v>
      </c>
      <c r="AP161" s="13" t="str">
        <f t="shared" si="184"/>
        <v/>
      </c>
      <c r="AQ161" s="13" t="str">
        <f t="shared" si="185"/>
        <v/>
      </c>
      <c r="AR161" s="13" t="str">
        <f t="shared" si="186"/>
        <v>O</v>
      </c>
      <c r="AS161" s="13" t="str">
        <f t="shared" si="187"/>
        <v>O</v>
      </c>
      <c r="AT161" s="13" t="s">
        <v>32</v>
      </c>
      <c r="AU161" s="13" t="str">
        <f t="shared" si="188"/>
        <v>X</v>
      </c>
      <c r="AV161" s="13" t="str">
        <f t="shared" si="189"/>
        <v>O</v>
      </c>
      <c r="AW161" s="13" t="str">
        <f t="shared" si="190"/>
        <v/>
      </c>
    </row>
    <row r="162" spans="1:49" x14ac:dyDescent="0.3">
      <c r="A162" s="5"/>
      <c r="B162" s="13"/>
      <c r="C162" s="9"/>
      <c r="D162" s="5"/>
      <c r="E162" s="18"/>
      <c r="F162" s="23"/>
      <c r="G162" s="5"/>
      <c r="H162" s="5"/>
      <c r="I162" s="5"/>
      <c r="J162" s="8"/>
      <c r="K162" s="5"/>
      <c r="L162" s="8"/>
      <c r="M162" s="5"/>
      <c r="N162" s="5"/>
      <c r="O162" s="12"/>
      <c r="P162" s="12"/>
      <c r="Q162" s="21"/>
      <c r="R162" s="21"/>
      <c r="S162" s="5"/>
      <c r="T162" s="59"/>
      <c r="U162" s="5"/>
      <c r="V162" s="5"/>
      <c r="X162" s="90" t="str">
        <f>$A$4&amp;" "&amp;A163&amp;"("&amp;B163&amp;","&amp;C163&amp;"^)"</f>
        <v>비산동 평촌래미안푸르지오('21.11,1199^)</v>
      </c>
      <c r="Y162" s="91"/>
      <c r="Z162" s="91"/>
      <c r="AA162" s="91"/>
      <c r="AB162" s="91"/>
      <c r="AC162" s="91"/>
      <c r="AD162" s="91"/>
      <c r="AE162" s="91"/>
      <c r="AF162" s="91"/>
      <c r="AG162" s="92"/>
      <c r="AI162" s="32" t="str">
        <f t="shared" si="192"/>
        <v/>
      </c>
      <c r="AJ162" s="33" t="str">
        <f t="shared" si="191"/>
        <v/>
      </c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</row>
    <row r="163" spans="1:49" x14ac:dyDescent="0.3">
      <c r="A163" s="5" t="s">
        <v>1565</v>
      </c>
      <c r="B163" s="14" t="s">
        <v>1566</v>
      </c>
      <c r="C163" s="25">
        <v>1199</v>
      </c>
      <c r="D163" s="23">
        <v>85.6</v>
      </c>
      <c r="E163" s="21">
        <v>26</v>
      </c>
      <c r="F163" s="23">
        <v>60</v>
      </c>
      <c r="G163" s="24">
        <v>18</v>
      </c>
      <c r="H163" s="25">
        <v>361</v>
      </c>
      <c r="I163" s="29">
        <v>89000</v>
      </c>
      <c r="J163" s="106" t="s">
        <v>2251</v>
      </c>
      <c r="K163" s="29">
        <v>50000</v>
      </c>
      <c r="L163" s="106" t="s">
        <v>2252</v>
      </c>
      <c r="M163" s="6">
        <f t="shared" ref="M163:M173" si="193">I163-K163</f>
        <v>39000</v>
      </c>
      <c r="N163" s="7">
        <f t="shared" ref="N163:N173" si="194">IF(ISERROR(K163/I163),"",K163/I163)</f>
        <v>0.5617977528089888</v>
      </c>
      <c r="O163" s="12">
        <f t="shared" ref="O163:O173" si="195">I163/E163</f>
        <v>3423.0769230769229</v>
      </c>
      <c r="P163" s="12">
        <f t="shared" ref="P163:P173" si="196">K163/E163</f>
        <v>1923.0769230769231</v>
      </c>
      <c r="Q163" s="13">
        <v>3</v>
      </c>
      <c r="R163" s="13">
        <v>2</v>
      </c>
      <c r="S163" s="13" t="s">
        <v>51</v>
      </c>
      <c r="T163" s="8" t="s">
        <v>628</v>
      </c>
      <c r="U163" s="5"/>
      <c r="V163" s="5" t="s">
        <v>1567</v>
      </c>
      <c r="X163" s="23">
        <f t="shared" ref="X163:X173" si="197">D163</f>
        <v>85.6</v>
      </c>
      <c r="Y163" s="21">
        <f t="shared" ref="Y163:Y173" si="198">E163</f>
        <v>26</v>
      </c>
      <c r="Z163" s="28">
        <f t="shared" ref="Z163:Z173" si="199">H163</f>
        <v>361</v>
      </c>
      <c r="AA163" s="6">
        <f t="shared" ref="AA163:AA173" si="200">I163</f>
        <v>89000</v>
      </c>
      <c r="AB163" s="6">
        <f t="shared" ref="AB163:AB173" si="201">K163</f>
        <v>50000</v>
      </c>
      <c r="AC163" s="6">
        <f t="shared" ref="AC163:AC173" si="202">M163</f>
        <v>39000</v>
      </c>
      <c r="AD163" s="7">
        <f t="shared" ref="AD163:AD173" si="203">N163</f>
        <v>0.5617977528089888</v>
      </c>
      <c r="AE163" s="12">
        <f t="shared" ref="AE163:AE173" si="204">O163</f>
        <v>3423.0769230769229</v>
      </c>
      <c r="AF163" s="13" t="str">
        <f t="shared" ref="AF163:AF173" si="205">S163</f>
        <v>계</v>
      </c>
      <c r="AG163" s="13" t="str">
        <f t="shared" ref="AG163:AG173" si="206">Q163&amp;"/"&amp;R163</f>
        <v>3/2</v>
      </c>
      <c r="AI163" s="32" t="str">
        <f t="shared" si="192"/>
        <v>평촌래미안푸르지오</v>
      </c>
      <c r="AJ163" s="21">
        <f t="shared" si="191"/>
        <v>26</v>
      </c>
      <c r="AK163" s="13" t="str">
        <f t="shared" ref="AK163:AK173" si="207">IF(AJ163="","",$AK$2)</f>
        <v>A-</v>
      </c>
      <c r="AL163" s="13"/>
      <c r="AM163" s="13"/>
      <c r="AN163" s="13"/>
      <c r="AO163" s="13" t="str">
        <f t="shared" ref="AO163:AO173" si="208">IF(AJ163="","",$AO$2)</f>
        <v>C</v>
      </c>
      <c r="AP163" s="13" t="str">
        <f t="shared" ref="AP163:AP173" si="209">IF(N163="","",IF(N163&gt;=$AP$1/100,"O","X"))</f>
        <v>X</v>
      </c>
      <c r="AQ163" s="13" t="str">
        <f t="shared" ref="AQ163:AQ173" si="210">IF(I163="","",IF(I163&lt;=$AQ$1,"O","X"))</f>
        <v>X</v>
      </c>
      <c r="AR163" s="13" t="str">
        <f t="shared" ref="AR163:AR173" si="211">IF(O163="","",IF(O163&lt;=$AR$1,"O","X"))</f>
        <v>X</v>
      </c>
      <c r="AS163" s="13" t="str">
        <f t="shared" ref="AS163:AS173" si="212">IF(M163="","",IF(M163&lt;=$AS$1,"O","X"))</f>
        <v>X</v>
      </c>
      <c r="AT163" s="13" t="s">
        <v>32</v>
      </c>
      <c r="AU163" s="13" t="str">
        <f t="shared" ref="AU163:AU173" si="213">IF(OR(F163="",AJ163=""),"",IF(AND((F163&lt;=85),(AJ163&gt;=15)),"O","X"))</f>
        <v>O</v>
      </c>
      <c r="AV163" s="13" t="str">
        <f t="shared" ref="AV163:AV173" si="214">IF(C163="","",IF(C163&gt;=$AV$1,"O","X"))</f>
        <v>O</v>
      </c>
      <c r="AW163" s="13" t="str">
        <f t="shared" ref="AW163:AW173" si="215">IF(AP163="","",IF(AND(AP163="O",AQ163="O",AS163="O",AU163="O",AV163="O"),"후보","X"))</f>
        <v>X</v>
      </c>
    </row>
    <row r="164" spans="1:49" x14ac:dyDescent="0.3">
      <c r="A164" s="5" t="s">
        <v>1565</v>
      </c>
      <c r="B164" s="14" t="s">
        <v>1566</v>
      </c>
      <c r="C164" s="25">
        <v>1199</v>
      </c>
      <c r="D164" s="23">
        <v>86.6</v>
      </c>
      <c r="E164" s="21">
        <v>26</v>
      </c>
      <c r="F164" s="23">
        <v>59.9</v>
      </c>
      <c r="G164" s="24">
        <v>18</v>
      </c>
      <c r="H164" s="25">
        <v>87</v>
      </c>
      <c r="I164" s="29"/>
      <c r="J164" s="106"/>
      <c r="K164" s="29"/>
      <c r="L164" s="106"/>
      <c r="M164" s="6">
        <f t="shared" si="193"/>
        <v>0</v>
      </c>
      <c r="N164" s="7" t="str">
        <f t="shared" si="194"/>
        <v/>
      </c>
      <c r="O164" s="12">
        <f t="shared" si="195"/>
        <v>0</v>
      </c>
      <c r="P164" s="12">
        <f t="shared" si="196"/>
        <v>0</v>
      </c>
      <c r="Q164" s="13">
        <v>3</v>
      </c>
      <c r="R164" s="13">
        <v>2</v>
      </c>
      <c r="S164" s="13" t="s">
        <v>51</v>
      </c>
      <c r="T164" s="8" t="s">
        <v>632</v>
      </c>
      <c r="U164" s="5"/>
      <c r="V164" s="5" t="s">
        <v>1568</v>
      </c>
      <c r="X164" s="23">
        <f t="shared" si="197"/>
        <v>86.6</v>
      </c>
      <c r="Y164" s="21">
        <f t="shared" si="198"/>
        <v>26</v>
      </c>
      <c r="Z164" s="28">
        <f t="shared" si="199"/>
        <v>87</v>
      </c>
      <c r="AA164" s="6">
        <f t="shared" si="200"/>
        <v>0</v>
      </c>
      <c r="AB164" s="6">
        <f t="shared" si="201"/>
        <v>0</v>
      </c>
      <c r="AC164" s="6">
        <f t="shared" si="202"/>
        <v>0</v>
      </c>
      <c r="AD164" s="7" t="str">
        <f t="shared" si="203"/>
        <v/>
      </c>
      <c r="AE164" s="12">
        <f t="shared" si="204"/>
        <v>0</v>
      </c>
      <c r="AF164" s="13" t="str">
        <f t="shared" si="205"/>
        <v>계</v>
      </c>
      <c r="AG164" s="13" t="str">
        <f t="shared" si="206"/>
        <v>3/2</v>
      </c>
      <c r="AI164" s="32" t="str">
        <f t="shared" si="192"/>
        <v>평촌래미안푸르지오</v>
      </c>
      <c r="AJ164" s="21">
        <f t="shared" si="191"/>
        <v>26</v>
      </c>
      <c r="AK164" s="13" t="str">
        <f t="shared" si="207"/>
        <v>A-</v>
      </c>
      <c r="AL164" s="13"/>
      <c r="AM164" s="13"/>
      <c r="AN164" s="13"/>
      <c r="AO164" s="13" t="str">
        <f t="shared" si="208"/>
        <v>C</v>
      </c>
      <c r="AP164" s="13" t="str">
        <f t="shared" si="209"/>
        <v/>
      </c>
      <c r="AQ164" s="13" t="str">
        <f t="shared" si="210"/>
        <v/>
      </c>
      <c r="AR164" s="13" t="str">
        <f t="shared" si="211"/>
        <v>O</v>
      </c>
      <c r="AS164" s="13" t="str">
        <f t="shared" si="212"/>
        <v>O</v>
      </c>
      <c r="AT164" s="13" t="s">
        <v>32</v>
      </c>
      <c r="AU164" s="13" t="str">
        <f t="shared" si="213"/>
        <v>O</v>
      </c>
      <c r="AV164" s="13" t="str">
        <f t="shared" si="214"/>
        <v>O</v>
      </c>
      <c r="AW164" s="13" t="str">
        <f t="shared" si="215"/>
        <v/>
      </c>
    </row>
    <row r="165" spans="1:49" x14ac:dyDescent="0.3">
      <c r="A165" s="5" t="s">
        <v>1565</v>
      </c>
      <c r="B165" s="14" t="s">
        <v>1566</v>
      </c>
      <c r="C165" s="25">
        <v>1199</v>
      </c>
      <c r="D165" s="23">
        <v>86.3</v>
      </c>
      <c r="E165" s="21">
        <v>26</v>
      </c>
      <c r="F165" s="23">
        <v>60</v>
      </c>
      <c r="G165" s="24">
        <v>18</v>
      </c>
      <c r="H165" s="25">
        <v>36</v>
      </c>
      <c r="I165" s="29"/>
      <c r="J165" s="106"/>
      <c r="K165" s="29"/>
      <c r="L165" s="106"/>
      <c r="M165" s="6">
        <f t="shared" si="193"/>
        <v>0</v>
      </c>
      <c r="N165" s="7" t="str">
        <f t="shared" si="194"/>
        <v/>
      </c>
      <c r="O165" s="12">
        <f t="shared" si="195"/>
        <v>0</v>
      </c>
      <c r="P165" s="12">
        <f t="shared" si="196"/>
        <v>0</v>
      </c>
      <c r="Q165" s="13">
        <v>3</v>
      </c>
      <c r="R165" s="13">
        <v>2</v>
      </c>
      <c r="S165" s="13" t="s">
        <v>51</v>
      </c>
      <c r="T165" s="8" t="s">
        <v>633</v>
      </c>
      <c r="U165" s="5"/>
      <c r="V165" s="5" t="s">
        <v>1567</v>
      </c>
      <c r="X165" s="23">
        <f t="shared" si="197"/>
        <v>86.3</v>
      </c>
      <c r="Y165" s="21">
        <f t="shared" si="198"/>
        <v>26</v>
      </c>
      <c r="Z165" s="28">
        <f t="shared" si="199"/>
        <v>36</v>
      </c>
      <c r="AA165" s="6">
        <f t="shared" si="200"/>
        <v>0</v>
      </c>
      <c r="AB165" s="6">
        <f t="shared" si="201"/>
        <v>0</v>
      </c>
      <c r="AC165" s="6">
        <f t="shared" si="202"/>
        <v>0</v>
      </c>
      <c r="AD165" s="7" t="str">
        <f t="shared" si="203"/>
        <v/>
      </c>
      <c r="AE165" s="12">
        <f t="shared" si="204"/>
        <v>0</v>
      </c>
      <c r="AF165" s="13" t="str">
        <f t="shared" si="205"/>
        <v>계</v>
      </c>
      <c r="AG165" s="13" t="str">
        <f t="shared" si="206"/>
        <v>3/2</v>
      </c>
      <c r="AI165" s="32" t="str">
        <f t="shared" si="192"/>
        <v>평촌래미안푸르지오</v>
      </c>
      <c r="AJ165" s="21">
        <f t="shared" si="191"/>
        <v>26</v>
      </c>
      <c r="AK165" s="13" t="str">
        <f t="shared" si="207"/>
        <v>A-</v>
      </c>
      <c r="AL165" s="13"/>
      <c r="AM165" s="13"/>
      <c r="AN165" s="13"/>
      <c r="AO165" s="13" t="str">
        <f t="shared" si="208"/>
        <v>C</v>
      </c>
      <c r="AP165" s="13" t="str">
        <f t="shared" si="209"/>
        <v/>
      </c>
      <c r="AQ165" s="13" t="str">
        <f t="shared" si="210"/>
        <v/>
      </c>
      <c r="AR165" s="13" t="str">
        <f t="shared" si="211"/>
        <v>O</v>
      </c>
      <c r="AS165" s="13" t="str">
        <f t="shared" si="212"/>
        <v>O</v>
      </c>
      <c r="AT165" s="13" t="s">
        <v>32</v>
      </c>
      <c r="AU165" s="13" t="str">
        <f t="shared" si="213"/>
        <v>O</v>
      </c>
      <c r="AV165" s="13" t="str">
        <f t="shared" si="214"/>
        <v>O</v>
      </c>
      <c r="AW165" s="13" t="str">
        <f t="shared" si="215"/>
        <v/>
      </c>
    </row>
    <row r="166" spans="1:49" x14ac:dyDescent="0.3">
      <c r="A166" s="5" t="s">
        <v>1565</v>
      </c>
      <c r="B166" s="14" t="s">
        <v>1566</v>
      </c>
      <c r="C166" s="25">
        <v>1199</v>
      </c>
      <c r="D166" s="23">
        <v>94.1</v>
      </c>
      <c r="E166" s="21">
        <v>28</v>
      </c>
      <c r="F166" s="23">
        <v>69</v>
      </c>
      <c r="G166" s="24">
        <v>21</v>
      </c>
      <c r="H166" s="25">
        <v>64</v>
      </c>
      <c r="I166" s="29">
        <v>108000</v>
      </c>
      <c r="J166" s="106" t="s">
        <v>2252</v>
      </c>
      <c r="K166" s="29">
        <v>50000</v>
      </c>
      <c r="L166" s="106" t="s">
        <v>2252</v>
      </c>
      <c r="M166" s="6">
        <f t="shared" si="193"/>
        <v>58000</v>
      </c>
      <c r="N166" s="7">
        <f t="shared" si="194"/>
        <v>0.46296296296296297</v>
      </c>
      <c r="O166" s="12">
        <f t="shared" si="195"/>
        <v>3857.1428571428573</v>
      </c>
      <c r="P166" s="12">
        <f t="shared" si="196"/>
        <v>1785.7142857142858</v>
      </c>
      <c r="Q166" s="13">
        <v>3</v>
      </c>
      <c r="R166" s="13">
        <v>2</v>
      </c>
      <c r="S166" s="13" t="s">
        <v>51</v>
      </c>
      <c r="T166" s="8">
        <v>94</v>
      </c>
      <c r="U166" s="5"/>
      <c r="V166" s="5" t="s">
        <v>1569</v>
      </c>
      <c r="X166" s="23">
        <f t="shared" si="197"/>
        <v>94.1</v>
      </c>
      <c r="Y166" s="21">
        <f t="shared" si="198"/>
        <v>28</v>
      </c>
      <c r="Z166" s="28">
        <f t="shared" si="199"/>
        <v>64</v>
      </c>
      <c r="AA166" s="6">
        <f t="shared" si="200"/>
        <v>108000</v>
      </c>
      <c r="AB166" s="6">
        <f t="shared" si="201"/>
        <v>50000</v>
      </c>
      <c r="AC166" s="6">
        <f t="shared" si="202"/>
        <v>58000</v>
      </c>
      <c r="AD166" s="7">
        <f t="shared" si="203"/>
        <v>0.46296296296296297</v>
      </c>
      <c r="AE166" s="12">
        <f t="shared" si="204"/>
        <v>3857.1428571428573</v>
      </c>
      <c r="AF166" s="13" t="str">
        <f t="shared" si="205"/>
        <v>계</v>
      </c>
      <c r="AG166" s="13" t="str">
        <f t="shared" si="206"/>
        <v>3/2</v>
      </c>
      <c r="AI166" s="32" t="str">
        <f t="shared" si="192"/>
        <v>평촌래미안푸르지오</v>
      </c>
      <c r="AJ166" s="21">
        <f t="shared" si="191"/>
        <v>28</v>
      </c>
      <c r="AK166" s="13" t="str">
        <f t="shared" si="207"/>
        <v>A-</v>
      </c>
      <c r="AL166" s="13"/>
      <c r="AM166" s="13"/>
      <c r="AN166" s="13"/>
      <c r="AO166" s="13" t="str">
        <f t="shared" si="208"/>
        <v>C</v>
      </c>
      <c r="AP166" s="13" t="str">
        <f t="shared" si="209"/>
        <v>X</v>
      </c>
      <c r="AQ166" s="13" t="str">
        <f t="shared" si="210"/>
        <v>X</v>
      </c>
      <c r="AR166" s="13" t="str">
        <f t="shared" si="211"/>
        <v>X</v>
      </c>
      <c r="AS166" s="13" t="str">
        <f t="shared" si="212"/>
        <v>X</v>
      </c>
      <c r="AT166" s="13" t="s">
        <v>32</v>
      </c>
      <c r="AU166" s="13" t="str">
        <f t="shared" si="213"/>
        <v>O</v>
      </c>
      <c r="AV166" s="13" t="str">
        <f t="shared" si="214"/>
        <v>O</v>
      </c>
      <c r="AW166" s="13" t="str">
        <f t="shared" si="215"/>
        <v>X</v>
      </c>
    </row>
    <row r="167" spans="1:49" x14ac:dyDescent="0.3">
      <c r="A167" s="5" t="s">
        <v>1565</v>
      </c>
      <c r="B167" s="14" t="s">
        <v>1566</v>
      </c>
      <c r="C167" s="25">
        <v>1199</v>
      </c>
      <c r="D167" s="23">
        <v>115.2</v>
      </c>
      <c r="E167" s="21">
        <v>35</v>
      </c>
      <c r="F167" s="23">
        <v>84.9</v>
      </c>
      <c r="G167" s="24">
        <v>26</v>
      </c>
      <c r="H167" s="25">
        <v>283</v>
      </c>
      <c r="I167" s="29"/>
      <c r="J167" s="106"/>
      <c r="K167" s="29"/>
      <c r="L167" s="106"/>
      <c r="M167" s="6">
        <f t="shared" si="193"/>
        <v>0</v>
      </c>
      <c r="N167" s="7" t="str">
        <f t="shared" si="194"/>
        <v/>
      </c>
      <c r="O167" s="12">
        <f t="shared" si="195"/>
        <v>0</v>
      </c>
      <c r="P167" s="12">
        <f t="shared" si="196"/>
        <v>0</v>
      </c>
      <c r="Q167" s="13">
        <v>3</v>
      </c>
      <c r="R167" s="13">
        <v>2</v>
      </c>
      <c r="S167" s="13" t="s">
        <v>51</v>
      </c>
      <c r="T167" s="8" t="s">
        <v>549</v>
      </c>
      <c r="U167" s="5"/>
      <c r="V167" s="5" t="s">
        <v>1570</v>
      </c>
      <c r="X167" s="23">
        <f t="shared" si="197"/>
        <v>115.2</v>
      </c>
      <c r="Y167" s="21">
        <f t="shared" si="198"/>
        <v>35</v>
      </c>
      <c r="Z167" s="28">
        <f t="shared" si="199"/>
        <v>283</v>
      </c>
      <c r="AA167" s="6">
        <f t="shared" si="200"/>
        <v>0</v>
      </c>
      <c r="AB167" s="6">
        <f t="shared" si="201"/>
        <v>0</v>
      </c>
      <c r="AC167" s="6">
        <f t="shared" si="202"/>
        <v>0</v>
      </c>
      <c r="AD167" s="7" t="str">
        <f t="shared" si="203"/>
        <v/>
      </c>
      <c r="AE167" s="12">
        <f t="shared" si="204"/>
        <v>0</v>
      </c>
      <c r="AF167" s="13" t="str">
        <f t="shared" si="205"/>
        <v>계</v>
      </c>
      <c r="AG167" s="13" t="str">
        <f t="shared" si="206"/>
        <v>3/2</v>
      </c>
      <c r="AI167" s="32" t="str">
        <f t="shared" si="192"/>
        <v>평촌래미안푸르지오</v>
      </c>
      <c r="AJ167" s="21">
        <f t="shared" si="191"/>
        <v>35</v>
      </c>
      <c r="AK167" s="13" t="str">
        <f t="shared" si="207"/>
        <v>A-</v>
      </c>
      <c r="AL167" s="13"/>
      <c r="AM167" s="13"/>
      <c r="AN167" s="13"/>
      <c r="AO167" s="13" t="str">
        <f t="shared" si="208"/>
        <v>C</v>
      </c>
      <c r="AP167" s="13" t="str">
        <f t="shared" si="209"/>
        <v/>
      </c>
      <c r="AQ167" s="13" t="str">
        <f t="shared" si="210"/>
        <v/>
      </c>
      <c r="AR167" s="13" t="str">
        <f t="shared" si="211"/>
        <v>O</v>
      </c>
      <c r="AS167" s="13" t="str">
        <f t="shared" si="212"/>
        <v>O</v>
      </c>
      <c r="AT167" s="13" t="s">
        <v>32</v>
      </c>
      <c r="AU167" s="13" t="str">
        <f t="shared" si="213"/>
        <v>O</v>
      </c>
      <c r="AV167" s="13" t="str">
        <f t="shared" si="214"/>
        <v>O</v>
      </c>
      <c r="AW167" s="13" t="str">
        <f t="shared" si="215"/>
        <v/>
      </c>
    </row>
    <row r="168" spans="1:49" x14ac:dyDescent="0.3">
      <c r="A168" s="5" t="s">
        <v>1565</v>
      </c>
      <c r="B168" s="14" t="s">
        <v>1566</v>
      </c>
      <c r="C168" s="25">
        <v>1199</v>
      </c>
      <c r="D168" s="23">
        <v>115.9</v>
      </c>
      <c r="E168" s="21">
        <v>35</v>
      </c>
      <c r="F168" s="23">
        <v>85</v>
      </c>
      <c r="G168" s="24">
        <v>26</v>
      </c>
      <c r="H168" s="25">
        <v>147</v>
      </c>
      <c r="I168" s="29">
        <v>0</v>
      </c>
      <c r="J168" s="106" t="s">
        <v>2248</v>
      </c>
      <c r="K168" s="29">
        <v>65000</v>
      </c>
      <c r="L168" s="106" t="s">
        <v>2253</v>
      </c>
      <c r="M168" s="6">
        <f t="shared" si="193"/>
        <v>-65000</v>
      </c>
      <c r="N168" s="7" t="str">
        <f t="shared" si="194"/>
        <v/>
      </c>
      <c r="O168" s="12">
        <f t="shared" si="195"/>
        <v>0</v>
      </c>
      <c r="P168" s="12">
        <f t="shared" si="196"/>
        <v>1857.1428571428571</v>
      </c>
      <c r="Q168" s="13">
        <v>3</v>
      </c>
      <c r="R168" s="13">
        <v>2</v>
      </c>
      <c r="S168" s="13" t="s">
        <v>51</v>
      </c>
      <c r="T168" s="8" t="s">
        <v>634</v>
      </c>
      <c r="U168" s="5"/>
      <c r="V168" s="5" t="s">
        <v>1571</v>
      </c>
      <c r="X168" s="23">
        <f t="shared" si="197"/>
        <v>115.9</v>
      </c>
      <c r="Y168" s="21">
        <f t="shared" si="198"/>
        <v>35</v>
      </c>
      <c r="Z168" s="28">
        <f t="shared" si="199"/>
        <v>147</v>
      </c>
      <c r="AA168" s="6">
        <f t="shared" si="200"/>
        <v>0</v>
      </c>
      <c r="AB168" s="6">
        <f t="shared" si="201"/>
        <v>65000</v>
      </c>
      <c r="AC168" s="6">
        <f t="shared" si="202"/>
        <v>-65000</v>
      </c>
      <c r="AD168" s="7" t="str">
        <f t="shared" si="203"/>
        <v/>
      </c>
      <c r="AE168" s="12">
        <f t="shared" si="204"/>
        <v>0</v>
      </c>
      <c r="AF168" s="13" t="str">
        <f t="shared" si="205"/>
        <v>계</v>
      </c>
      <c r="AG168" s="13" t="str">
        <f t="shared" si="206"/>
        <v>3/2</v>
      </c>
      <c r="AI168" s="32" t="str">
        <f t="shared" si="192"/>
        <v>평촌래미안푸르지오</v>
      </c>
      <c r="AJ168" s="21">
        <f t="shared" si="191"/>
        <v>35</v>
      </c>
      <c r="AK168" s="13" t="str">
        <f t="shared" si="207"/>
        <v>A-</v>
      </c>
      <c r="AL168" s="13"/>
      <c r="AM168" s="13"/>
      <c r="AN168" s="13"/>
      <c r="AO168" s="13" t="str">
        <f t="shared" si="208"/>
        <v>C</v>
      </c>
      <c r="AP168" s="13" t="str">
        <f t="shared" si="209"/>
        <v/>
      </c>
      <c r="AQ168" s="13" t="str">
        <f t="shared" si="210"/>
        <v>O</v>
      </c>
      <c r="AR168" s="13" t="str">
        <f t="shared" si="211"/>
        <v>O</v>
      </c>
      <c r="AS168" s="13" t="str">
        <f t="shared" si="212"/>
        <v>O</v>
      </c>
      <c r="AT168" s="13" t="s">
        <v>32</v>
      </c>
      <c r="AU168" s="13" t="str">
        <f t="shared" si="213"/>
        <v>O</v>
      </c>
      <c r="AV168" s="13" t="str">
        <f t="shared" si="214"/>
        <v>O</v>
      </c>
      <c r="AW168" s="13" t="str">
        <f t="shared" si="215"/>
        <v/>
      </c>
    </row>
    <row r="169" spans="1:49" x14ac:dyDescent="0.3">
      <c r="A169" s="5" t="s">
        <v>1565</v>
      </c>
      <c r="B169" s="14" t="s">
        <v>1566</v>
      </c>
      <c r="C169" s="25">
        <v>1199</v>
      </c>
      <c r="D169" s="23">
        <v>115.7</v>
      </c>
      <c r="E169" s="21">
        <v>35</v>
      </c>
      <c r="F169" s="23">
        <v>84.9</v>
      </c>
      <c r="G169" s="24">
        <v>26</v>
      </c>
      <c r="H169" s="25">
        <v>73</v>
      </c>
      <c r="I169" s="29"/>
      <c r="J169" s="106"/>
      <c r="K169" s="29"/>
      <c r="L169" s="106"/>
      <c r="M169" s="6">
        <f t="shared" si="193"/>
        <v>0</v>
      </c>
      <c r="N169" s="7" t="str">
        <f t="shared" si="194"/>
        <v/>
      </c>
      <c r="O169" s="12">
        <f t="shared" si="195"/>
        <v>0</v>
      </c>
      <c r="P169" s="12">
        <f t="shared" si="196"/>
        <v>0</v>
      </c>
      <c r="Q169" s="13">
        <v>3</v>
      </c>
      <c r="R169" s="13">
        <v>2</v>
      </c>
      <c r="S169" s="13" t="s">
        <v>51</v>
      </c>
      <c r="T169" s="8" t="s">
        <v>635</v>
      </c>
      <c r="U169" s="5"/>
      <c r="V169" s="5" t="s">
        <v>1571</v>
      </c>
      <c r="X169" s="23">
        <f t="shared" si="197"/>
        <v>115.7</v>
      </c>
      <c r="Y169" s="21">
        <f t="shared" si="198"/>
        <v>35</v>
      </c>
      <c r="Z169" s="28">
        <f t="shared" si="199"/>
        <v>73</v>
      </c>
      <c r="AA169" s="6">
        <f t="shared" si="200"/>
        <v>0</v>
      </c>
      <c r="AB169" s="6">
        <f t="shared" si="201"/>
        <v>0</v>
      </c>
      <c r="AC169" s="6">
        <f t="shared" si="202"/>
        <v>0</v>
      </c>
      <c r="AD169" s="7" t="str">
        <f t="shared" si="203"/>
        <v/>
      </c>
      <c r="AE169" s="12">
        <f t="shared" si="204"/>
        <v>0</v>
      </c>
      <c r="AF169" s="13" t="str">
        <f t="shared" si="205"/>
        <v>계</v>
      </c>
      <c r="AG169" s="13" t="str">
        <f t="shared" si="206"/>
        <v>3/2</v>
      </c>
      <c r="AI169" s="32" t="str">
        <f t="shared" si="192"/>
        <v>평촌래미안푸르지오</v>
      </c>
      <c r="AJ169" s="21">
        <f t="shared" si="191"/>
        <v>35</v>
      </c>
      <c r="AK169" s="13" t="str">
        <f t="shared" si="207"/>
        <v>A-</v>
      </c>
      <c r="AL169" s="13"/>
      <c r="AM169" s="13"/>
      <c r="AN169" s="13"/>
      <c r="AO169" s="13" t="str">
        <f t="shared" si="208"/>
        <v>C</v>
      </c>
      <c r="AP169" s="13" t="str">
        <f t="shared" si="209"/>
        <v/>
      </c>
      <c r="AQ169" s="13" t="str">
        <f t="shared" si="210"/>
        <v/>
      </c>
      <c r="AR169" s="13" t="str">
        <f t="shared" si="211"/>
        <v>O</v>
      </c>
      <c r="AS169" s="13" t="str">
        <f t="shared" si="212"/>
        <v>O</v>
      </c>
      <c r="AT169" s="13" t="s">
        <v>32</v>
      </c>
      <c r="AU169" s="13" t="str">
        <f t="shared" si="213"/>
        <v>O</v>
      </c>
      <c r="AV169" s="13" t="str">
        <f t="shared" si="214"/>
        <v>O</v>
      </c>
      <c r="AW169" s="13" t="str">
        <f t="shared" si="215"/>
        <v/>
      </c>
    </row>
    <row r="170" spans="1:49" x14ac:dyDescent="0.3">
      <c r="A170" s="5" t="s">
        <v>1565</v>
      </c>
      <c r="B170" s="14" t="s">
        <v>1566</v>
      </c>
      <c r="C170" s="25">
        <v>1199</v>
      </c>
      <c r="D170" s="23">
        <v>128.69999999999999</v>
      </c>
      <c r="E170" s="21">
        <v>39</v>
      </c>
      <c r="F170" s="23">
        <v>98</v>
      </c>
      <c r="G170" s="24">
        <v>30</v>
      </c>
      <c r="H170" s="25">
        <v>37</v>
      </c>
      <c r="I170" s="29"/>
      <c r="J170" s="106"/>
      <c r="K170" s="29"/>
      <c r="L170" s="106"/>
      <c r="M170" s="6">
        <f t="shared" si="193"/>
        <v>0</v>
      </c>
      <c r="N170" s="7" t="str">
        <f t="shared" si="194"/>
        <v/>
      </c>
      <c r="O170" s="12">
        <f t="shared" si="195"/>
        <v>0</v>
      </c>
      <c r="P170" s="12">
        <f t="shared" si="196"/>
        <v>0</v>
      </c>
      <c r="Q170" s="13">
        <v>4</v>
      </c>
      <c r="R170" s="13">
        <v>2</v>
      </c>
      <c r="S170" s="13" t="s">
        <v>51</v>
      </c>
      <c r="T170" s="8" t="s">
        <v>636</v>
      </c>
      <c r="U170" s="5"/>
      <c r="V170" s="5" t="s">
        <v>1572</v>
      </c>
      <c r="X170" s="23">
        <f t="shared" si="197"/>
        <v>128.69999999999999</v>
      </c>
      <c r="Y170" s="21">
        <f t="shared" si="198"/>
        <v>39</v>
      </c>
      <c r="Z170" s="28">
        <f t="shared" si="199"/>
        <v>37</v>
      </c>
      <c r="AA170" s="6">
        <f t="shared" si="200"/>
        <v>0</v>
      </c>
      <c r="AB170" s="6">
        <f t="shared" si="201"/>
        <v>0</v>
      </c>
      <c r="AC170" s="6">
        <f t="shared" si="202"/>
        <v>0</v>
      </c>
      <c r="AD170" s="7" t="str">
        <f t="shared" si="203"/>
        <v/>
      </c>
      <c r="AE170" s="12">
        <f t="shared" si="204"/>
        <v>0</v>
      </c>
      <c r="AF170" s="13" t="str">
        <f t="shared" si="205"/>
        <v>계</v>
      </c>
      <c r="AG170" s="13" t="str">
        <f t="shared" si="206"/>
        <v>4/2</v>
      </c>
      <c r="AI170" s="32" t="str">
        <f t="shared" si="192"/>
        <v>평촌래미안푸르지오</v>
      </c>
      <c r="AJ170" s="21">
        <f t="shared" si="191"/>
        <v>39</v>
      </c>
      <c r="AK170" s="13" t="str">
        <f t="shared" si="207"/>
        <v>A-</v>
      </c>
      <c r="AL170" s="13"/>
      <c r="AM170" s="13"/>
      <c r="AN170" s="13"/>
      <c r="AO170" s="13" t="str">
        <f t="shared" si="208"/>
        <v>C</v>
      </c>
      <c r="AP170" s="13" t="str">
        <f t="shared" si="209"/>
        <v/>
      </c>
      <c r="AQ170" s="13" t="str">
        <f t="shared" si="210"/>
        <v/>
      </c>
      <c r="AR170" s="13" t="str">
        <f t="shared" si="211"/>
        <v>O</v>
      </c>
      <c r="AS170" s="13" t="str">
        <f t="shared" si="212"/>
        <v>O</v>
      </c>
      <c r="AT170" s="13" t="s">
        <v>32</v>
      </c>
      <c r="AU170" s="13" t="str">
        <f t="shared" si="213"/>
        <v>X</v>
      </c>
      <c r="AV170" s="13" t="str">
        <f t="shared" si="214"/>
        <v>O</v>
      </c>
      <c r="AW170" s="13" t="str">
        <f t="shared" si="215"/>
        <v/>
      </c>
    </row>
    <row r="171" spans="1:49" x14ac:dyDescent="0.3">
      <c r="A171" s="5" t="s">
        <v>1565</v>
      </c>
      <c r="B171" s="14" t="s">
        <v>1566</v>
      </c>
      <c r="C171" s="25">
        <v>1199</v>
      </c>
      <c r="D171" s="23">
        <v>128.9</v>
      </c>
      <c r="E171" s="21">
        <v>39</v>
      </c>
      <c r="F171" s="23">
        <v>97.9</v>
      </c>
      <c r="G171" s="24">
        <v>30</v>
      </c>
      <c r="H171" s="25">
        <v>37</v>
      </c>
      <c r="I171" s="29"/>
      <c r="J171" s="106"/>
      <c r="K171" s="29"/>
      <c r="L171" s="106"/>
      <c r="M171" s="6">
        <f t="shared" si="193"/>
        <v>0</v>
      </c>
      <c r="N171" s="7" t="str">
        <f t="shared" si="194"/>
        <v/>
      </c>
      <c r="O171" s="12">
        <f t="shared" si="195"/>
        <v>0</v>
      </c>
      <c r="P171" s="12">
        <f t="shared" si="196"/>
        <v>0</v>
      </c>
      <c r="Q171" s="13">
        <v>3</v>
      </c>
      <c r="R171" s="13">
        <v>2</v>
      </c>
      <c r="S171" s="13" t="s">
        <v>51</v>
      </c>
      <c r="T171" s="8" t="s">
        <v>637</v>
      </c>
      <c r="U171" s="5"/>
      <c r="V171" s="5" t="s">
        <v>1572</v>
      </c>
      <c r="X171" s="23">
        <f t="shared" si="197"/>
        <v>128.9</v>
      </c>
      <c r="Y171" s="21">
        <f t="shared" si="198"/>
        <v>39</v>
      </c>
      <c r="Z171" s="28">
        <f t="shared" si="199"/>
        <v>37</v>
      </c>
      <c r="AA171" s="6">
        <f t="shared" si="200"/>
        <v>0</v>
      </c>
      <c r="AB171" s="6">
        <f t="shared" si="201"/>
        <v>0</v>
      </c>
      <c r="AC171" s="6">
        <f t="shared" si="202"/>
        <v>0</v>
      </c>
      <c r="AD171" s="7" t="str">
        <f t="shared" si="203"/>
        <v/>
      </c>
      <c r="AE171" s="12">
        <f t="shared" si="204"/>
        <v>0</v>
      </c>
      <c r="AF171" s="13" t="str">
        <f t="shared" si="205"/>
        <v>계</v>
      </c>
      <c r="AG171" s="13" t="str">
        <f t="shared" si="206"/>
        <v>3/2</v>
      </c>
      <c r="AI171" s="32" t="str">
        <f t="shared" si="192"/>
        <v>평촌래미안푸르지오</v>
      </c>
      <c r="AJ171" s="21">
        <f t="shared" si="191"/>
        <v>39</v>
      </c>
      <c r="AK171" s="13" t="str">
        <f t="shared" si="207"/>
        <v>A-</v>
      </c>
      <c r="AL171" s="13"/>
      <c r="AM171" s="13"/>
      <c r="AN171" s="13"/>
      <c r="AO171" s="13" t="str">
        <f t="shared" si="208"/>
        <v>C</v>
      </c>
      <c r="AP171" s="13" t="str">
        <f t="shared" si="209"/>
        <v/>
      </c>
      <c r="AQ171" s="13" t="str">
        <f t="shared" si="210"/>
        <v/>
      </c>
      <c r="AR171" s="13" t="str">
        <f t="shared" si="211"/>
        <v>O</v>
      </c>
      <c r="AS171" s="13" t="str">
        <f t="shared" si="212"/>
        <v>O</v>
      </c>
      <c r="AT171" s="13" t="s">
        <v>32</v>
      </c>
      <c r="AU171" s="13" t="str">
        <f t="shared" si="213"/>
        <v>X</v>
      </c>
      <c r="AV171" s="13" t="str">
        <f t="shared" si="214"/>
        <v>O</v>
      </c>
      <c r="AW171" s="13" t="str">
        <f t="shared" si="215"/>
        <v/>
      </c>
    </row>
    <row r="172" spans="1:49" x14ac:dyDescent="0.3">
      <c r="A172" s="5" t="s">
        <v>1565</v>
      </c>
      <c r="B172" s="14" t="s">
        <v>1566</v>
      </c>
      <c r="C172" s="25">
        <v>1199</v>
      </c>
      <c r="D172" s="23">
        <v>138</v>
      </c>
      <c r="E172" s="21">
        <v>42</v>
      </c>
      <c r="F172" s="23">
        <v>105.9</v>
      </c>
      <c r="G172" s="24">
        <v>32</v>
      </c>
      <c r="H172" s="25">
        <v>37</v>
      </c>
      <c r="I172" s="29"/>
      <c r="J172" s="106"/>
      <c r="K172" s="29"/>
      <c r="L172" s="106"/>
      <c r="M172" s="6">
        <f t="shared" si="193"/>
        <v>0</v>
      </c>
      <c r="N172" s="7" t="str">
        <f t="shared" si="194"/>
        <v/>
      </c>
      <c r="O172" s="12">
        <f t="shared" si="195"/>
        <v>0</v>
      </c>
      <c r="P172" s="12">
        <f t="shared" si="196"/>
        <v>0</v>
      </c>
      <c r="Q172" s="13">
        <v>4</v>
      </c>
      <c r="R172" s="13">
        <v>2</v>
      </c>
      <c r="S172" s="13" t="s">
        <v>51</v>
      </c>
      <c r="T172" s="8" t="s">
        <v>638</v>
      </c>
      <c r="U172" s="5"/>
      <c r="V172" s="5" t="s">
        <v>1573</v>
      </c>
      <c r="X172" s="23">
        <f t="shared" si="197"/>
        <v>138</v>
      </c>
      <c r="Y172" s="21">
        <f t="shared" si="198"/>
        <v>42</v>
      </c>
      <c r="Z172" s="28">
        <f t="shared" si="199"/>
        <v>37</v>
      </c>
      <c r="AA172" s="6">
        <f t="shared" si="200"/>
        <v>0</v>
      </c>
      <c r="AB172" s="6">
        <f t="shared" si="201"/>
        <v>0</v>
      </c>
      <c r="AC172" s="6">
        <f t="shared" si="202"/>
        <v>0</v>
      </c>
      <c r="AD172" s="7" t="str">
        <f t="shared" si="203"/>
        <v/>
      </c>
      <c r="AE172" s="12">
        <f t="shared" si="204"/>
        <v>0</v>
      </c>
      <c r="AF172" s="13" t="str">
        <f t="shared" si="205"/>
        <v>계</v>
      </c>
      <c r="AG172" s="13" t="str">
        <f t="shared" si="206"/>
        <v>4/2</v>
      </c>
      <c r="AI172" s="32" t="str">
        <f t="shared" si="192"/>
        <v>평촌래미안푸르지오</v>
      </c>
      <c r="AJ172" s="21">
        <f t="shared" si="191"/>
        <v>42</v>
      </c>
      <c r="AK172" s="13" t="str">
        <f t="shared" si="207"/>
        <v>A-</v>
      </c>
      <c r="AL172" s="13"/>
      <c r="AM172" s="13"/>
      <c r="AN172" s="13"/>
      <c r="AO172" s="13" t="str">
        <f t="shared" si="208"/>
        <v>C</v>
      </c>
      <c r="AP172" s="13" t="str">
        <f t="shared" si="209"/>
        <v/>
      </c>
      <c r="AQ172" s="13" t="str">
        <f t="shared" si="210"/>
        <v/>
      </c>
      <c r="AR172" s="13" t="str">
        <f t="shared" si="211"/>
        <v>O</v>
      </c>
      <c r="AS172" s="13" t="str">
        <f t="shared" si="212"/>
        <v>O</v>
      </c>
      <c r="AT172" s="13" t="s">
        <v>32</v>
      </c>
      <c r="AU172" s="13" t="str">
        <f t="shared" si="213"/>
        <v>X</v>
      </c>
      <c r="AV172" s="13" t="str">
        <f t="shared" si="214"/>
        <v>O</v>
      </c>
      <c r="AW172" s="13" t="str">
        <f t="shared" si="215"/>
        <v/>
      </c>
    </row>
    <row r="173" spans="1:49" x14ac:dyDescent="0.3">
      <c r="A173" s="5" t="s">
        <v>1565</v>
      </c>
      <c r="B173" s="14" t="s">
        <v>1566</v>
      </c>
      <c r="C173" s="25">
        <v>1199</v>
      </c>
      <c r="D173" s="23">
        <v>138.19999999999999</v>
      </c>
      <c r="E173" s="21">
        <v>42</v>
      </c>
      <c r="F173" s="23">
        <v>106</v>
      </c>
      <c r="G173" s="24">
        <v>32</v>
      </c>
      <c r="H173" s="25">
        <v>37</v>
      </c>
      <c r="I173" s="29"/>
      <c r="J173" s="106"/>
      <c r="K173" s="29"/>
      <c r="L173" s="106"/>
      <c r="M173" s="6">
        <f t="shared" si="193"/>
        <v>0</v>
      </c>
      <c r="N173" s="7" t="str">
        <f t="shared" si="194"/>
        <v/>
      </c>
      <c r="O173" s="12">
        <f t="shared" si="195"/>
        <v>0</v>
      </c>
      <c r="P173" s="12">
        <f t="shared" si="196"/>
        <v>0</v>
      </c>
      <c r="Q173" s="13">
        <v>4</v>
      </c>
      <c r="R173" s="13">
        <v>2</v>
      </c>
      <c r="S173" s="13" t="s">
        <v>51</v>
      </c>
      <c r="T173" s="8" t="s">
        <v>639</v>
      </c>
      <c r="U173" s="5"/>
      <c r="V173" s="5" t="s">
        <v>1573</v>
      </c>
      <c r="X173" s="23">
        <f t="shared" si="197"/>
        <v>138.19999999999999</v>
      </c>
      <c r="Y173" s="21">
        <f t="shared" si="198"/>
        <v>42</v>
      </c>
      <c r="Z173" s="28">
        <f t="shared" si="199"/>
        <v>37</v>
      </c>
      <c r="AA173" s="6">
        <f t="shared" si="200"/>
        <v>0</v>
      </c>
      <c r="AB173" s="6">
        <f t="shared" si="201"/>
        <v>0</v>
      </c>
      <c r="AC173" s="6">
        <f t="shared" si="202"/>
        <v>0</v>
      </c>
      <c r="AD173" s="7" t="str">
        <f t="shared" si="203"/>
        <v/>
      </c>
      <c r="AE173" s="12">
        <f t="shared" si="204"/>
        <v>0</v>
      </c>
      <c r="AF173" s="13" t="str">
        <f t="shared" si="205"/>
        <v>계</v>
      </c>
      <c r="AG173" s="13" t="str">
        <f t="shared" si="206"/>
        <v>4/2</v>
      </c>
      <c r="AI173" s="32" t="str">
        <f t="shared" si="192"/>
        <v>평촌래미안푸르지오</v>
      </c>
      <c r="AJ173" s="21">
        <f t="shared" si="191"/>
        <v>42</v>
      </c>
      <c r="AK173" s="13" t="str">
        <f t="shared" si="207"/>
        <v>A-</v>
      </c>
      <c r="AL173" s="13"/>
      <c r="AM173" s="13"/>
      <c r="AN173" s="13"/>
      <c r="AO173" s="13" t="str">
        <f t="shared" si="208"/>
        <v>C</v>
      </c>
      <c r="AP173" s="13" t="str">
        <f t="shared" si="209"/>
        <v/>
      </c>
      <c r="AQ173" s="13" t="str">
        <f t="shared" si="210"/>
        <v/>
      </c>
      <c r="AR173" s="13" t="str">
        <f t="shared" si="211"/>
        <v>O</v>
      </c>
      <c r="AS173" s="13" t="str">
        <f t="shared" si="212"/>
        <v>O</v>
      </c>
      <c r="AT173" s="13" t="s">
        <v>32</v>
      </c>
      <c r="AU173" s="13" t="str">
        <f t="shared" si="213"/>
        <v>X</v>
      </c>
      <c r="AV173" s="13" t="str">
        <f t="shared" si="214"/>
        <v>O</v>
      </c>
      <c r="AW173" s="13" t="str">
        <f t="shared" si="215"/>
        <v/>
      </c>
    </row>
    <row r="174" spans="1:49" x14ac:dyDescent="0.3">
      <c r="A174" s="5"/>
      <c r="B174" s="13"/>
      <c r="C174" s="9"/>
      <c r="D174" s="5"/>
      <c r="E174" s="18"/>
      <c r="F174" s="23"/>
      <c r="G174" s="5"/>
      <c r="H174" s="5"/>
      <c r="I174" s="5"/>
      <c r="J174" s="8"/>
      <c r="K174" s="5"/>
      <c r="L174" s="8"/>
      <c r="M174" s="5"/>
      <c r="N174" s="5"/>
      <c r="O174" s="12"/>
      <c r="P174" s="12"/>
      <c r="Q174" s="21"/>
      <c r="R174" s="21"/>
      <c r="S174" s="5"/>
      <c r="T174" s="59"/>
      <c r="U174" s="5"/>
      <c r="V174" s="5"/>
      <c r="X174" s="90" t="str">
        <f>$A$4&amp;" "&amp;A175&amp;"("&amp;B175&amp;","&amp;C175&amp;"^)"</f>
        <v>비산동 비산한화꿈에그린('09.11,774^)</v>
      </c>
      <c r="Y174" s="91"/>
      <c r="Z174" s="91"/>
      <c r="AA174" s="91"/>
      <c r="AB174" s="91"/>
      <c r="AC174" s="91"/>
      <c r="AD174" s="91"/>
      <c r="AE174" s="91"/>
      <c r="AF174" s="91"/>
      <c r="AG174" s="92"/>
      <c r="AI174" s="32" t="str">
        <f t="shared" si="192"/>
        <v/>
      </c>
      <c r="AJ174" s="33" t="str">
        <f t="shared" si="191"/>
        <v/>
      </c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</row>
    <row r="175" spans="1:49" x14ac:dyDescent="0.3">
      <c r="A175" s="5" t="s">
        <v>1574</v>
      </c>
      <c r="B175" s="14" t="s">
        <v>1575</v>
      </c>
      <c r="C175" s="25">
        <v>774</v>
      </c>
      <c r="D175" s="23">
        <v>83.2</v>
      </c>
      <c r="E175" s="21">
        <v>25</v>
      </c>
      <c r="F175" s="23">
        <v>60</v>
      </c>
      <c r="G175" s="24">
        <v>18</v>
      </c>
      <c r="H175" s="25">
        <v>175</v>
      </c>
      <c r="I175" s="29">
        <v>63000</v>
      </c>
      <c r="J175" s="106" t="s">
        <v>2254</v>
      </c>
      <c r="K175" s="29">
        <v>39000</v>
      </c>
      <c r="L175" s="106" t="s">
        <v>2255</v>
      </c>
      <c r="M175" s="6">
        <f>I175-K175</f>
        <v>24000</v>
      </c>
      <c r="N175" s="7">
        <f>IF(ISERROR(K175/I175),"",K175/I175)</f>
        <v>0.61904761904761907</v>
      </c>
      <c r="O175" s="12">
        <f>I175/E175</f>
        <v>2520</v>
      </c>
      <c r="P175" s="12">
        <f>K175/E175</f>
        <v>1560</v>
      </c>
      <c r="Q175" s="13">
        <v>3</v>
      </c>
      <c r="R175" s="13">
        <v>2</v>
      </c>
      <c r="S175" s="13" t="s">
        <v>51</v>
      </c>
      <c r="T175" s="8">
        <v>83</v>
      </c>
      <c r="U175" s="5"/>
      <c r="V175" s="5" t="s">
        <v>1576</v>
      </c>
      <c r="X175" s="23">
        <f t="shared" ref="X175:Y178" si="216">D175</f>
        <v>83.2</v>
      </c>
      <c r="Y175" s="21">
        <f t="shared" si="216"/>
        <v>25</v>
      </c>
      <c r="Z175" s="28">
        <f t="shared" ref="Z175:AA178" si="217">H175</f>
        <v>175</v>
      </c>
      <c r="AA175" s="6">
        <f t="shared" si="217"/>
        <v>63000</v>
      </c>
      <c r="AB175" s="6">
        <f>K175</f>
        <v>39000</v>
      </c>
      <c r="AC175" s="6">
        <f t="shared" ref="AC175:AE178" si="218">M175</f>
        <v>24000</v>
      </c>
      <c r="AD175" s="7">
        <f t="shared" si="218"/>
        <v>0.61904761904761907</v>
      </c>
      <c r="AE175" s="12">
        <f t="shared" si="218"/>
        <v>2520</v>
      </c>
      <c r="AF175" s="13" t="str">
        <f>S175</f>
        <v>계</v>
      </c>
      <c r="AG175" s="13" t="str">
        <f>Q175&amp;"/"&amp;R175</f>
        <v>3/2</v>
      </c>
      <c r="AI175" s="32" t="str">
        <f t="shared" si="192"/>
        <v>비산한화꿈에그린</v>
      </c>
      <c r="AJ175" s="21">
        <f t="shared" si="191"/>
        <v>25</v>
      </c>
      <c r="AK175" s="13" t="str">
        <f>IF(AJ175="","",$AK$2)</f>
        <v>A-</v>
      </c>
      <c r="AL175" s="13"/>
      <c r="AM175" s="13"/>
      <c r="AN175" s="13"/>
      <c r="AO175" s="13" t="str">
        <f>IF(AJ175="","",$AO$2)</f>
        <v>C</v>
      </c>
      <c r="AP175" s="13" t="str">
        <f>IF(N175="","",IF(N175&gt;=$AP$1/100,"O","X"))</f>
        <v>X</v>
      </c>
      <c r="AQ175" s="13" t="str">
        <f>IF(I175="","",IF(I175&lt;=$AQ$1,"O","X"))</f>
        <v>X</v>
      </c>
      <c r="AR175" s="13" t="str">
        <f>IF(O175="","",IF(O175&lt;=$AR$1,"O","X"))</f>
        <v>X</v>
      </c>
      <c r="AS175" s="13" t="str">
        <f>IF(M175="","",IF(M175&lt;=$AS$1,"O","X"))</f>
        <v>X</v>
      </c>
      <c r="AT175" s="13" t="s">
        <v>32</v>
      </c>
      <c r="AU175" s="13" t="str">
        <f>IF(OR(F175="",AJ175=""),"",IF(AND((F175&lt;=85),(AJ175&gt;=15)),"O","X"))</f>
        <v>O</v>
      </c>
      <c r="AV175" s="13" t="str">
        <f>IF(C175="","",IF(C175&gt;=$AV$1,"O","X"))</f>
        <v>O</v>
      </c>
      <c r="AW175" s="13" t="str">
        <f>IF(AP175="","",IF(AND(AP175="O",AQ175="O",AS175="O",AU175="O",AV175="O"),"후보","X"))</f>
        <v>X</v>
      </c>
    </row>
    <row r="176" spans="1:49" x14ac:dyDescent="0.3">
      <c r="A176" s="5" t="s">
        <v>1574</v>
      </c>
      <c r="B176" s="14" t="s">
        <v>1575</v>
      </c>
      <c r="C176" s="25">
        <v>774</v>
      </c>
      <c r="D176" s="23">
        <v>109.3</v>
      </c>
      <c r="E176" s="21">
        <v>33</v>
      </c>
      <c r="F176" s="23">
        <v>85</v>
      </c>
      <c r="G176" s="24">
        <v>26</v>
      </c>
      <c r="H176" s="25">
        <v>379</v>
      </c>
      <c r="I176" s="29">
        <v>73000</v>
      </c>
      <c r="J176" s="106" t="s">
        <v>2256</v>
      </c>
      <c r="K176" s="29">
        <v>45000</v>
      </c>
      <c r="L176" s="106" t="s">
        <v>2249</v>
      </c>
      <c r="M176" s="6">
        <f>I176-K176</f>
        <v>28000</v>
      </c>
      <c r="N176" s="7">
        <f>IF(ISERROR(K176/I176),"",K176/I176)</f>
        <v>0.61643835616438358</v>
      </c>
      <c r="O176" s="12">
        <f>I176/E176</f>
        <v>2212.121212121212</v>
      </c>
      <c r="P176" s="12">
        <f>K176/E176</f>
        <v>1363.6363636363637</v>
      </c>
      <c r="Q176" s="13">
        <v>3</v>
      </c>
      <c r="R176" s="13">
        <v>2</v>
      </c>
      <c r="S176" s="13" t="s">
        <v>51</v>
      </c>
      <c r="T176" s="8">
        <v>109</v>
      </c>
      <c r="U176" s="5"/>
      <c r="V176" s="5" t="s">
        <v>1577</v>
      </c>
      <c r="X176" s="23">
        <f t="shared" si="216"/>
        <v>109.3</v>
      </c>
      <c r="Y176" s="21">
        <f t="shared" si="216"/>
        <v>33</v>
      </c>
      <c r="Z176" s="28">
        <f t="shared" si="217"/>
        <v>379</v>
      </c>
      <c r="AA176" s="6">
        <f t="shared" si="217"/>
        <v>73000</v>
      </c>
      <c r="AB176" s="6">
        <f>K176</f>
        <v>45000</v>
      </c>
      <c r="AC176" s="6">
        <f t="shared" si="218"/>
        <v>28000</v>
      </c>
      <c r="AD176" s="7">
        <f t="shared" si="218"/>
        <v>0.61643835616438358</v>
      </c>
      <c r="AE176" s="12">
        <f t="shared" si="218"/>
        <v>2212.121212121212</v>
      </c>
      <c r="AF176" s="13" t="str">
        <f>S176</f>
        <v>계</v>
      </c>
      <c r="AG176" s="13" t="str">
        <f>Q176&amp;"/"&amp;R176</f>
        <v>3/2</v>
      </c>
      <c r="AI176" s="32" t="str">
        <f t="shared" si="192"/>
        <v>비산한화꿈에그린</v>
      </c>
      <c r="AJ176" s="21">
        <f t="shared" si="191"/>
        <v>33</v>
      </c>
      <c r="AK176" s="13" t="str">
        <f>IF(AJ176="","",$AK$2)</f>
        <v>A-</v>
      </c>
      <c r="AL176" s="13"/>
      <c r="AM176" s="13"/>
      <c r="AN176" s="13"/>
      <c r="AO176" s="13" t="str">
        <f>IF(AJ176="","",$AO$2)</f>
        <v>C</v>
      </c>
      <c r="AP176" s="13" t="str">
        <f>IF(N176="","",IF(N176&gt;=$AP$1/100,"O","X"))</f>
        <v>X</v>
      </c>
      <c r="AQ176" s="13" t="str">
        <f>IF(I176="","",IF(I176&lt;=$AQ$1,"O","X"))</f>
        <v>X</v>
      </c>
      <c r="AR176" s="13" t="str">
        <f>IF(O176="","",IF(O176&lt;=$AR$1,"O","X"))</f>
        <v>X</v>
      </c>
      <c r="AS176" s="13" t="str">
        <f>IF(M176="","",IF(M176&lt;=$AS$1,"O","X"))</f>
        <v>X</v>
      </c>
      <c r="AT176" s="13" t="s">
        <v>32</v>
      </c>
      <c r="AU176" s="13" t="str">
        <f>IF(OR(F176="",AJ176=""),"",IF(AND((F176&lt;=85),(AJ176&gt;=15)),"O","X"))</f>
        <v>O</v>
      </c>
      <c r="AV176" s="13" t="str">
        <f>IF(C176="","",IF(C176&gt;=$AV$1,"O","X"))</f>
        <v>O</v>
      </c>
      <c r="AW176" s="13" t="str">
        <f>IF(AP176="","",IF(AND(AP176="O",AQ176="O",AS176="O",AU176="O",AV176="O"),"후보","X"))</f>
        <v>X</v>
      </c>
    </row>
    <row r="177" spans="1:49" x14ac:dyDescent="0.3">
      <c r="A177" s="5" t="s">
        <v>1574</v>
      </c>
      <c r="B177" s="14" t="s">
        <v>1575</v>
      </c>
      <c r="C177" s="25">
        <v>774</v>
      </c>
      <c r="D177" s="23">
        <v>141.6</v>
      </c>
      <c r="E177" s="21">
        <v>43</v>
      </c>
      <c r="F177" s="23">
        <v>111.5</v>
      </c>
      <c r="G177" s="24">
        <v>34</v>
      </c>
      <c r="H177" s="25">
        <v>170</v>
      </c>
      <c r="I177" s="29"/>
      <c r="J177" s="106"/>
      <c r="K177" s="29"/>
      <c r="L177" s="106"/>
      <c r="M177" s="6">
        <f>I177-K177</f>
        <v>0</v>
      </c>
      <c r="N177" s="7" t="str">
        <f>IF(ISERROR(K177/I177),"",K177/I177)</f>
        <v/>
      </c>
      <c r="O177" s="12">
        <f>I177/E177</f>
        <v>0</v>
      </c>
      <c r="P177" s="12">
        <f>K177/E177</f>
        <v>0</v>
      </c>
      <c r="Q177" s="13">
        <v>4</v>
      </c>
      <c r="R177" s="13">
        <v>2</v>
      </c>
      <c r="S177" s="13" t="s">
        <v>51</v>
      </c>
      <c r="T177" s="8">
        <v>141</v>
      </c>
      <c r="U177" s="5"/>
      <c r="V177" s="5" t="s">
        <v>1578</v>
      </c>
      <c r="X177" s="23">
        <f t="shared" si="216"/>
        <v>141.6</v>
      </c>
      <c r="Y177" s="21">
        <f t="shared" si="216"/>
        <v>43</v>
      </c>
      <c r="Z177" s="28">
        <f t="shared" si="217"/>
        <v>170</v>
      </c>
      <c r="AA177" s="6">
        <f t="shared" si="217"/>
        <v>0</v>
      </c>
      <c r="AB177" s="6">
        <f>K177</f>
        <v>0</v>
      </c>
      <c r="AC177" s="6">
        <f t="shared" si="218"/>
        <v>0</v>
      </c>
      <c r="AD177" s="7" t="str">
        <f t="shared" si="218"/>
        <v/>
      </c>
      <c r="AE177" s="12">
        <f t="shared" si="218"/>
        <v>0</v>
      </c>
      <c r="AF177" s="13" t="str">
        <f>S177</f>
        <v>계</v>
      </c>
      <c r="AG177" s="13" t="str">
        <f>Q177&amp;"/"&amp;R177</f>
        <v>4/2</v>
      </c>
      <c r="AI177" s="32" t="str">
        <f t="shared" si="192"/>
        <v>비산한화꿈에그린</v>
      </c>
      <c r="AJ177" s="21">
        <f t="shared" si="191"/>
        <v>43</v>
      </c>
      <c r="AK177" s="13" t="str">
        <f>IF(AJ177="","",$AK$2)</f>
        <v>A-</v>
      </c>
      <c r="AL177" s="13"/>
      <c r="AM177" s="13"/>
      <c r="AN177" s="13"/>
      <c r="AO177" s="13" t="str">
        <f>IF(AJ177="","",$AO$2)</f>
        <v>C</v>
      </c>
      <c r="AP177" s="13" t="str">
        <f>IF(N177="","",IF(N177&gt;=$AP$1/100,"O","X"))</f>
        <v/>
      </c>
      <c r="AQ177" s="13" t="str">
        <f>IF(I177="","",IF(I177&lt;=$AQ$1,"O","X"))</f>
        <v/>
      </c>
      <c r="AR177" s="13" t="str">
        <f>IF(O177="","",IF(O177&lt;=$AR$1,"O","X"))</f>
        <v>O</v>
      </c>
      <c r="AS177" s="13" t="str">
        <f>IF(M177="","",IF(M177&lt;=$AS$1,"O","X"))</f>
        <v>O</v>
      </c>
      <c r="AT177" s="13" t="s">
        <v>32</v>
      </c>
      <c r="AU177" s="13" t="str">
        <f>IF(OR(F177="",AJ177=""),"",IF(AND((F177&lt;=85),(AJ177&gt;=15)),"O","X"))</f>
        <v>X</v>
      </c>
      <c r="AV177" s="13" t="str">
        <f>IF(C177="","",IF(C177&gt;=$AV$1,"O","X"))</f>
        <v>O</v>
      </c>
      <c r="AW177" s="13" t="str">
        <f>IF(AP177="","",IF(AND(AP177="O",AQ177="O",AS177="O",AU177="O",AV177="O"),"후보","X"))</f>
        <v/>
      </c>
    </row>
    <row r="178" spans="1:49" x14ac:dyDescent="0.3">
      <c r="A178" s="5" t="s">
        <v>1574</v>
      </c>
      <c r="B178" s="14" t="s">
        <v>1575</v>
      </c>
      <c r="C178" s="25">
        <v>774</v>
      </c>
      <c r="D178" s="23">
        <v>162.69999999999999</v>
      </c>
      <c r="E178" s="21">
        <v>49</v>
      </c>
      <c r="F178" s="23">
        <v>132.1</v>
      </c>
      <c r="G178" s="24">
        <v>40</v>
      </c>
      <c r="H178" s="25">
        <v>50</v>
      </c>
      <c r="I178" s="29"/>
      <c r="J178" s="106"/>
      <c r="K178" s="29"/>
      <c r="L178" s="106"/>
      <c r="M178" s="6">
        <f>I178-K178</f>
        <v>0</v>
      </c>
      <c r="N178" s="7" t="str">
        <f>IF(ISERROR(K178/I178),"",K178/I178)</f>
        <v/>
      </c>
      <c r="O178" s="12">
        <f>I178/E178</f>
        <v>0</v>
      </c>
      <c r="P178" s="12">
        <f>K178/E178</f>
        <v>0</v>
      </c>
      <c r="Q178" s="13">
        <v>5</v>
      </c>
      <c r="R178" s="13">
        <v>2</v>
      </c>
      <c r="S178" s="13" t="s">
        <v>51</v>
      </c>
      <c r="T178" s="8">
        <v>162</v>
      </c>
      <c r="U178" s="5"/>
      <c r="V178" s="5" t="s">
        <v>1579</v>
      </c>
      <c r="X178" s="23">
        <f t="shared" si="216"/>
        <v>162.69999999999999</v>
      </c>
      <c r="Y178" s="21">
        <f t="shared" si="216"/>
        <v>49</v>
      </c>
      <c r="Z178" s="28">
        <f t="shared" si="217"/>
        <v>50</v>
      </c>
      <c r="AA178" s="6">
        <f t="shared" si="217"/>
        <v>0</v>
      </c>
      <c r="AB178" s="6">
        <f>K178</f>
        <v>0</v>
      </c>
      <c r="AC178" s="6">
        <f t="shared" si="218"/>
        <v>0</v>
      </c>
      <c r="AD178" s="7" t="str">
        <f t="shared" si="218"/>
        <v/>
      </c>
      <c r="AE178" s="12">
        <f t="shared" si="218"/>
        <v>0</v>
      </c>
      <c r="AF178" s="13" t="str">
        <f>S178</f>
        <v>계</v>
      </c>
      <c r="AG178" s="13" t="str">
        <f>Q178&amp;"/"&amp;R178</f>
        <v>5/2</v>
      </c>
      <c r="AI178" s="32" t="str">
        <f t="shared" si="192"/>
        <v>비산한화꿈에그린</v>
      </c>
      <c r="AJ178" s="21">
        <f t="shared" si="191"/>
        <v>49</v>
      </c>
      <c r="AK178" s="13" t="str">
        <f>IF(AJ178="","",$AK$2)</f>
        <v>A-</v>
      </c>
      <c r="AL178" s="13"/>
      <c r="AM178" s="13"/>
      <c r="AN178" s="13"/>
      <c r="AO178" s="13" t="str">
        <f>IF(AJ178="","",$AO$2)</f>
        <v>C</v>
      </c>
      <c r="AP178" s="13" t="str">
        <f>IF(N178="","",IF(N178&gt;=$AP$1/100,"O","X"))</f>
        <v/>
      </c>
      <c r="AQ178" s="13" t="str">
        <f>IF(I178="","",IF(I178&lt;=$AQ$1,"O","X"))</f>
        <v/>
      </c>
      <c r="AR178" s="13" t="str">
        <f>IF(O178="","",IF(O178&lt;=$AR$1,"O","X"))</f>
        <v>O</v>
      </c>
      <c r="AS178" s="13" t="str">
        <f>IF(M178="","",IF(M178&lt;=$AS$1,"O","X"))</f>
        <v>O</v>
      </c>
      <c r="AT178" s="13" t="s">
        <v>32</v>
      </c>
      <c r="AU178" s="13" t="str">
        <f>IF(OR(F178="",AJ178=""),"",IF(AND((F178&lt;=85),(AJ178&gt;=15)),"O","X"))</f>
        <v>X</v>
      </c>
      <c r="AV178" s="13" t="str">
        <f>IF(C178="","",IF(C178&gt;=$AV$1,"O","X"))</f>
        <v>O</v>
      </c>
      <c r="AW178" s="13" t="str">
        <f>IF(AP178="","",IF(AND(AP178="O",AQ178="O",AS178="O",AU178="O",AV178="O"),"후보","X"))</f>
        <v/>
      </c>
    </row>
    <row r="179" spans="1:49" x14ac:dyDescent="0.3">
      <c r="A179" s="5"/>
      <c r="B179" s="13"/>
      <c r="C179" s="9"/>
      <c r="D179" s="5"/>
      <c r="E179" s="18"/>
      <c r="F179" s="23"/>
      <c r="G179" s="5"/>
      <c r="H179" s="5"/>
      <c r="I179" s="5"/>
      <c r="J179" s="8"/>
      <c r="K179" s="5"/>
      <c r="L179" s="8"/>
      <c r="M179" s="5"/>
      <c r="N179" s="5"/>
      <c r="O179" s="12"/>
      <c r="P179" s="12"/>
      <c r="Q179" s="21"/>
      <c r="R179" s="21"/>
      <c r="S179" s="5"/>
      <c r="T179" s="59"/>
      <c r="U179" s="5"/>
      <c r="V179" s="5"/>
      <c r="X179" s="90" t="str">
        <f>$A$4&amp;" "&amp;A180&amp;"("&amp;B180&amp;","&amp;C180&amp;"^)"</f>
        <v>비산동 한양수자인평촌리버뷰('21.11,304^)</v>
      </c>
      <c r="Y179" s="91"/>
      <c r="Z179" s="91"/>
      <c r="AA179" s="91"/>
      <c r="AB179" s="91"/>
      <c r="AC179" s="91"/>
      <c r="AD179" s="91"/>
      <c r="AE179" s="91"/>
      <c r="AF179" s="91"/>
      <c r="AG179" s="92"/>
      <c r="AI179" s="32" t="str">
        <f t="shared" si="192"/>
        <v/>
      </c>
      <c r="AJ179" s="33" t="str">
        <f t="shared" si="191"/>
        <v/>
      </c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</row>
    <row r="180" spans="1:49" x14ac:dyDescent="0.3">
      <c r="A180" s="5" t="s">
        <v>1580</v>
      </c>
      <c r="B180" s="14" t="s">
        <v>1566</v>
      </c>
      <c r="C180" s="25">
        <v>304</v>
      </c>
      <c r="D180" s="23">
        <v>63.6</v>
      </c>
      <c r="E180" s="21">
        <v>19</v>
      </c>
      <c r="F180" s="23">
        <v>47.4</v>
      </c>
      <c r="G180" s="24">
        <v>14</v>
      </c>
      <c r="H180" s="25">
        <v>30</v>
      </c>
      <c r="I180" s="29">
        <v>55000</v>
      </c>
      <c r="J180" s="106"/>
      <c r="K180" s="29">
        <v>32000</v>
      </c>
      <c r="L180" s="106" t="s">
        <v>2259</v>
      </c>
      <c r="M180" s="6">
        <f>I180-K180</f>
        <v>23000</v>
      </c>
      <c r="N180" s="7">
        <f>IF(ISERROR(K180/I180),"",K180/I180)</f>
        <v>0.58181818181818179</v>
      </c>
      <c r="O180" s="12">
        <f>I180/E180</f>
        <v>2894.7368421052633</v>
      </c>
      <c r="P180" s="12">
        <f>K180/E180</f>
        <v>1684.2105263157894</v>
      </c>
      <c r="Q180" s="13">
        <v>2</v>
      </c>
      <c r="R180" s="13">
        <v>1</v>
      </c>
      <c r="S180" s="13" t="s">
        <v>51</v>
      </c>
      <c r="T180" s="8">
        <v>63</v>
      </c>
      <c r="U180" s="5" t="s">
        <v>2260</v>
      </c>
      <c r="V180" s="5" t="s">
        <v>1581</v>
      </c>
      <c r="X180" s="23">
        <f t="shared" ref="X180:Y184" si="219">D180</f>
        <v>63.6</v>
      </c>
      <c r="Y180" s="21">
        <f t="shared" si="219"/>
        <v>19</v>
      </c>
      <c r="Z180" s="28">
        <f t="shared" ref="Z180:AA184" si="220">H180</f>
        <v>30</v>
      </c>
      <c r="AA180" s="6">
        <f t="shared" si="220"/>
        <v>55000</v>
      </c>
      <c r="AB180" s="6">
        <f>K180</f>
        <v>32000</v>
      </c>
      <c r="AC180" s="6">
        <f t="shared" ref="AC180:AE184" si="221">M180</f>
        <v>23000</v>
      </c>
      <c r="AD180" s="7">
        <f t="shared" si="221"/>
        <v>0.58181818181818179</v>
      </c>
      <c r="AE180" s="12">
        <f t="shared" si="221"/>
        <v>2894.7368421052633</v>
      </c>
      <c r="AF180" s="13" t="str">
        <f>S180</f>
        <v>계</v>
      </c>
      <c r="AG180" s="13" t="str">
        <f>Q180&amp;"/"&amp;R180</f>
        <v>2/1</v>
      </c>
      <c r="AI180" s="32" t="str">
        <f t="shared" si="192"/>
        <v>한양수자인평촌리버뷰</v>
      </c>
      <c r="AJ180" s="21">
        <f t="shared" si="191"/>
        <v>19</v>
      </c>
      <c r="AK180" s="13" t="str">
        <f>IF(AJ180="","",$AK$2)</f>
        <v>A-</v>
      </c>
      <c r="AL180" s="13"/>
      <c r="AM180" s="13"/>
      <c r="AN180" s="13"/>
      <c r="AO180" s="13" t="str">
        <f>IF(AJ180="","",$AO$2)</f>
        <v>C</v>
      </c>
      <c r="AP180" s="13" t="str">
        <f>IF(N180="","",IF(N180&gt;=$AP$1/100,"O","X"))</f>
        <v>X</v>
      </c>
      <c r="AQ180" s="13" t="str">
        <f>IF(I180="","",IF(I180&lt;=$AQ$1,"O","X"))</f>
        <v>X</v>
      </c>
      <c r="AR180" s="13" t="str">
        <f>IF(O180="","",IF(O180&lt;=$AR$1,"O","X"))</f>
        <v>X</v>
      </c>
      <c r="AS180" s="13" t="str">
        <f>IF(M180="","",IF(M180&lt;=$AS$1,"O","X"))</f>
        <v>X</v>
      </c>
      <c r="AT180" s="13" t="s">
        <v>32</v>
      </c>
      <c r="AU180" s="13" t="str">
        <f>IF(OR(F180="",AJ180=""),"",IF(AND((F180&lt;=85),(AJ180&gt;=15)),"O","X"))</f>
        <v>O</v>
      </c>
      <c r="AV180" s="13" t="str">
        <f>IF(C180="","",IF(C180&gt;=$AV$1,"O","X"))</f>
        <v>O</v>
      </c>
      <c r="AW180" s="13" t="str">
        <f>IF(AP180="","",IF(AND(AP180="O",AQ180="O",AS180="O",AU180="O",AV180="O"),"후보","X"))</f>
        <v>X</v>
      </c>
    </row>
    <row r="181" spans="1:49" x14ac:dyDescent="0.3">
      <c r="A181" s="5" t="s">
        <v>1580</v>
      </c>
      <c r="B181" s="14" t="s">
        <v>1566</v>
      </c>
      <c r="C181" s="25">
        <v>304</v>
      </c>
      <c r="D181" s="23">
        <v>73.2</v>
      </c>
      <c r="E181" s="21">
        <v>22</v>
      </c>
      <c r="F181" s="23">
        <v>51.9</v>
      </c>
      <c r="G181" s="24">
        <v>16</v>
      </c>
      <c r="H181" s="25">
        <v>162</v>
      </c>
      <c r="I181" s="29">
        <v>60000</v>
      </c>
      <c r="J181" s="106" t="s">
        <v>2251</v>
      </c>
      <c r="K181" s="29">
        <v>38000</v>
      </c>
      <c r="L181" s="106" t="s">
        <v>2255</v>
      </c>
      <c r="M181" s="6">
        <f>I181-K181</f>
        <v>22000</v>
      </c>
      <c r="N181" s="7">
        <f>IF(ISERROR(K181/I181),"",K181/I181)</f>
        <v>0.6333333333333333</v>
      </c>
      <c r="O181" s="12">
        <f>I181/E181</f>
        <v>2727.2727272727275</v>
      </c>
      <c r="P181" s="12">
        <f>K181/E181</f>
        <v>1727.2727272727273</v>
      </c>
      <c r="Q181" s="13">
        <v>2</v>
      </c>
      <c r="R181" s="13">
        <v>2</v>
      </c>
      <c r="S181" s="13" t="s">
        <v>51</v>
      </c>
      <c r="T181" s="8" t="s">
        <v>322</v>
      </c>
      <c r="U181" s="5"/>
      <c r="V181" s="5" t="s">
        <v>1582</v>
      </c>
      <c r="X181" s="23">
        <f t="shared" si="219"/>
        <v>73.2</v>
      </c>
      <c r="Y181" s="21">
        <f t="shared" si="219"/>
        <v>22</v>
      </c>
      <c r="Z181" s="28">
        <f t="shared" si="220"/>
        <v>162</v>
      </c>
      <c r="AA181" s="6">
        <f t="shared" si="220"/>
        <v>60000</v>
      </c>
      <c r="AB181" s="6">
        <f>K181</f>
        <v>38000</v>
      </c>
      <c r="AC181" s="6">
        <f t="shared" si="221"/>
        <v>22000</v>
      </c>
      <c r="AD181" s="7">
        <f t="shared" si="221"/>
        <v>0.6333333333333333</v>
      </c>
      <c r="AE181" s="12">
        <f t="shared" si="221"/>
        <v>2727.2727272727275</v>
      </c>
      <c r="AF181" s="13" t="str">
        <f>S181</f>
        <v>계</v>
      </c>
      <c r="AG181" s="13" t="str">
        <f>Q181&amp;"/"&amp;R181</f>
        <v>2/2</v>
      </c>
      <c r="AI181" s="32" t="str">
        <f t="shared" si="192"/>
        <v>한양수자인평촌리버뷰</v>
      </c>
      <c r="AJ181" s="21">
        <f t="shared" si="191"/>
        <v>22</v>
      </c>
      <c r="AK181" s="13" t="str">
        <f>IF(AJ181="","",$AK$2)</f>
        <v>A-</v>
      </c>
      <c r="AL181" s="13"/>
      <c r="AM181" s="13"/>
      <c r="AN181" s="13"/>
      <c r="AO181" s="13" t="str">
        <f>IF(AJ181="","",$AO$2)</f>
        <v>C</v>
      </c>
      <c r="AP181" s="13" t="str">
        <f>IF(N181="","",IF(N181&gt;=$AP$1/100,"O","X"))</f>
        <v>X</v>
      </c>
      <c r="AQ181" s="13" t="str">
        <f>IF(I181="","",IF(I181&lt;=$AQ$1,"O","X"))</f>
        <v>X</v>
      </c>
      <c r="AR181" s="13" t="str">
        <f>IF(O181="","",IF(O181&lt;=$AR$1,"O","X"))</f>
        <v>X</v>
      </c>
      <c r="AS181" s="13" t="str">
        <f>IF(M181="","",IF(M181&lt;=$AS$1,"O","X"))</f>
        <v>X</v>
      </c>
      <c r="AT181" s="13" t="s">
        <v>32</v>
      </c>
      <c r="AU181" s="13" t="str">
        <f>IF(OR(F181="",AJ181=""),"",IF(AND((F181&lt;=85),(AJ181&gt;=15)),"O","X"))</f>
        <v>O</v>
      </c>
      <c r="AV181" s="13" t="str">
        <f>IF(C181="","",IF(C181&gt;=$AV$1,"O","X"))</f>
        <v>O</v>
      </c>
      <c r="AW181" s="13" t="str">
        <f>IF(AP181="","",IF(AND(AP181="O",AQ181="O",AS181="O",AU181="O",AV181="O"),"후보","X"))</f>
        <v>X</v>
      </c>
    </row>
    <row r="182" spans="1:49" x14ac:dyDescent="0.3">
      <c r="A182" s="5" t="s">
        <v>1580</v>
      </c>
      <c r="B182" s="14" t="s">
        <v>1566</v>
      </c>
      <c r="C182" s="25">
        <v>304</v>
      </c>
      <c r="D182" s="23">
        <v>73.2</v>
      </c>
      <c r="E182" s="21">
        <v>22</v>
      </c>
      <c r="F182" s="23">
        <v>51.4</v>
      </c>
      <c r="G182" s="24">
        <v>16</v>
      </c>
      <c r="H182" s="25">
        <v>19</v>
      </c>
      <c r="I182" s="29">
        <v>60000</v>
      </c>
      <c r="J182" s="106" t="s">
        <v>2250</v>
      </c>
      <c r="K182" s="29">
        <v>35000</v>
      </c>
      <c r="L182" s="106" t="s">
        <v>2255</v>
      </c>
      <c r="M182" s="6">
        <f>I182-K182</f>
        <v>25000</v>
      </c>
      <c r="N182" s="7">
        <f>IF(ISERROR(K182/I182),"",K182/I182)</f>
        <v>0.58333333333333337</v>
      </c>
      <c r="O182" s="12">
        <f>I182/E182</f>
        <v>2727.2727272727275</v>
      </c>
      <c r="P182" s="12">
        <f>K182/E182</f>
        <v>1590.909090909091</v>
      </c>
      <c r="Q182" s="13">
        <v>2</v>
      </c>
      <c r="R182" s="13">
        <v>2</v>
      </c>
      <c r="S182" s="13" t="s">
        <v>51</v>
      </c>
      <c r="T182" s="8" t="s">
        <v>100</v>
      </c>
      <c r="U182" s="5"/>
      <c r="V182" s="5" t="s">
        <v>1582</v>
      </c>
      <c r="X182" s="23">
        <f t="shared" si="219"/>
        <v>73.2</v>
      </c>
      <c r="Y182" s="21">
        <f t="shared" si="219"/>
        <v>22</v>
      </c>
      <c r="Z182" s="28">
        <f t="shared" si="220"/>
        <v>19</v>
      </c>
      <c r="AA182" s="6">
        <f t="shared" si="220"/>
        <v>60000</v>
      </c>
      <c r="AB182" s="6">
        <f>K182</f>
        <v>35000</v>
      </c>
      <c r="AC182" s="6">
        <f t="shared" si="221"/>
        <v>25000</v>
      </c>
      <c r="AD182" s="7">
        <f t="shared" si="221"/>
        <v>0.58333333333333337</v>
      </c>
      <c r="AE182" s="12">
        <f t="shared" si="221"/>
        <v>2727.2727272727275</v>
      </c>
      <c r="AF182" s="13" t="str">
        <f>S182</f>
        <v>계</v>
      </c>
      <c r="AG182" s="13" t="str">
        <f>Q182&amp;"/"&amp;R182</f>
        <v>2/2</v>
      </c>
      <c r="AI182" s="32" t="str">
        <f t="shared" si="192"/>
        <v>한양수자인평촌리버뷰</v>
      </c>
      <c r="AJ182" s="21">
        <f t="shared" si="191"/>
        <v>22</v>
      </c>
      <c r="AK182" s="13" t="str">
        <f>IF(AJ182="","",$AK$2)</f>
        <v>A-</v>
      </c>
      <c r="AL182" s="13"/>
      <c r="AM182" s="13"/>
      <c r="AN182" s="13"/>
      <c r="AO182" s="13" t="str">
        <f>IF(AJ182="","",$AO$2)</f>
        <v>C</v>
      </c>
      <c r="AP182" s="13" t="str">
        <f>IF(N182="","",IF(N182&gt;=$AP$1/100,"O","X"))</f>
        <v>X</v>
      </c>
      <c r="AQ182" s="13" t="str">
        <f>IF(I182="","",IF(I182&lt;=$AQ$1,"O","X"))</f>
        <v>X</v>
      </c>
      <c r="AR182" s="13" t="str">
        <f>IF(O182="","",IF(O182&lt;=$AR$1,"O","X"))</f>
        <v>X</v>
      </c>
      <c r="AS182" s="13" t="str">
        <f>IF(M182="","",IF(M182&lt;=$AS$1,"O","X"))</f>
        <v>X</v>
      </c>
      <c r="AT182" s="13" t="s">
        <v>32</v>
      </c>
      <c r="AU182" s="13" t="str">
        <f>IF(OR(F182="",AJ182=""),"",IF(AND((F182&lt;=85),(AJ182&gt;=15)),"O","X"))</f>
        <v>O</v>
      </c>
      <c r="AV182" s="13" t="str">
        <f>IF(C182="","",IF(C182&gt;=$AV$1,"O","X"))</f>
        <v>O</v>
      </c>
      <c r="AW182" s="13" t="str">
        <f>IF(AP182="","",IF(AND(AP182="O",AQ182="O",AS182="O",AU182="O",AV182="O"),"후보","X"))</f>
        <v>X</v>
      </c>
    </row>
    <row r="183" spans="1:49" x14ac:dyDescent="0.3">
      <c r="A183" s="5" t="s">
        <v>1580</v>
      </c>
      <c r="B183" s="14" t="s">
        <v>1566</v>
      </c>
      <c r="C183" s="25">
        <v>304</v>
      </c>
      <c r="D183" s="23">
        <v>83</v>
      </c>
      <c r="E183" s="21">
        <v>25</v>
      </c>
      <c r="F183" s="23">
        <v>60</v>
      </c>
      <c r="G183" s="24">
        <v>18</v>
      </c>
      <c r="H183" s="25">
        <v>76</v>
      </c>
      <c r="I183" s="29">
        <v>80000</v>
      </c>
      <c r="J183" s="106" t="s">
        <v>2251</v>
      </c>
      <c r="K183" s="29">
        <v>46000</v>
      </c>
      <c r="L183" s="106" t="s">
        <v>2255</v>
      </c>
      <c r="M183" s="6">
        <f>I183-K183</f>
        <v>34000</v>
      </c>
      <c r="N183" s="7">
        <f>IF(ISERROR(K183/I183),"",K183/I183)</f>
        <v>0.57499999999999996</v>
      </c>
      <c r="O183" s="12">
        <f>I183/E183</f>
        <v>3200</v>
      </c>
      <c r="P183" s="12">
        <f>K183/E183</f>
        <v>1840</v>
      </c>
      <c r="Q183" s="13">
        <v>3</v>
      </c>
      <c r="R183" s="13">
        <v>2</v>
      </c>
      <c r="S183" s="13" t="s">
        <v>51</v>
      </c>
      <c r="T183" s="8" t="s">
        <v>519</v>
      </c>
      <c r="U183" s="5"/>
      <c r="V183" s="5" t="s">
        <v>1583</v>
      </c>
      <c r="X183" s="23">
        <f t="shared" si="219"/>
        <v>83</v>
      </c>
      <c r="Y183" s="21">
        <f t="shared" si="219"/>
        <v>25</v>
      </c>
      <c r="Z183" s="28">
        <f t="shared" si="220"/>
        <v>76</v>
      </c>
      <c r="AA183" s="6">
        <f t="shared" si="220"/>
        <v>80000</v>
      </c>
      <c r="AB183" s="6">
        <f>K183</f>
        <v>46000</v>
      </c>
      <c r="AC183" s="6">
        <f t="shared" si="221"/>
        <v>34000</v>
      </c>
      <c r="AD183" s="7">
        <f t="shared" si="221"/>
        <v>0.57499999999999996</v>
      </c>
      <c r="AE183" s="12">
        <f t="shared" si="221"/>
        <v>3200</v>
      </c>
      <c r="AF183" s="13" t="str">
        <f>S183</f>
        <v>계</v>
      </c>
      <c r="AG183" s="13" t="str">
        <f>Q183&amp;"/"&amp;R183</f>
        <v>3/2</v>
      </c>
      <c r="AI183" s="32" t="str">
        <f t="shared" si="192"/>
        <v>한양수자인평촌리버뷰</v>
      </c>
      <c r="AJ183" s="21">
        <f t="shared" si="191"/>
        <v>25</v>
      </c>
      <c r="AK183" s="13" t="str">
        <f>IF(AJ183="","",$AK$2)</f>
        <v>A-</v>
      </c>
      <c r="AL183" s="13"/>
      <c r="AM183" s="13"/>
      <c r="AN183" s="13"/>
      <c r="AO183" s="13" t="str">
        <f>IF(AJ183="","",$AO$2)</f>
        <v>C</v>
      </c>
      <c r="AP183" s="13" t="str">
        <f>IF(N183="","",IF(N183&gt;=$AP$1/100,"O","X"))</f>
        <v>X</v>
      </c>
      <c r="AQ183" s="13" t="str">
        <f>IF(I183="","",IF(I183&lt;=$AQ$1,"O","X"))</f>
        <v>X</v>
      </c>
      <c r="AR183" s="13" t="str">
        <f>IF(O183="","",IF(O183&lt;=$AR$1,"O","X"))</f>
        <v>X</v>
      </c>
      <c r="AS183" s="13" t="str">
        <f>IF(M183="","",IF(M183&lt;=$AS$1,"O","X"))</f>
        <v>X</v>
      </c>
      <c r="AT183" s="13" t="s">
        <v>32</v>
      </c>
      <c r="AU183" s="13" t="str">
        <f>IF(OR(F183="",AJ183=""),"",IF(AND((F183&lt;=85),(AJ183&gt;=15)),"O","X"))</f>
        <v>O</v>
      </c>
      <c r="AV183" s="13" t="str">
        <f>IF(C183="","",IF(C183&gt;=$AV$1,"O","X"))</f>
        <v>O</v>
      </c>
      <c r="AW183" s="13" t="str">
        <f>IF(AP183="","",IF(AND(AP183="O",AQ183="O",AS183="O",AU183="O",AV183="O"),"후보","X"))</f>
        <v>X</v>
      </c>
    </row>
    <row r="184" spans="1:49" x14ac:dyDescent="0.3">
      <c r="A184" s="5" t="s">
        <v>1580</v>
      </c>
      <c r="B184" s="14" t="s">
        <v>1566</v>
      </c>
      <c r="C184" s="25">
        <v>304</v>
      </c>
      <c r="D184" s="23">
        <v>84</v>
      </c>
      <c r="E184" s="21">
        <v>25</v>
      </c>
      <c r="F184" s="23">
        <v>59.4</v>
      </c>
      <c r="G184" s="24">
        <v>18</v>
      </c>
      <c r="H184" s="25">
        <v>17</v>
      </c>
      <c r="I184" s="29">
        <v>65000</v>
      </c>
      <c r="J184" s="106" t="s">
        <v>2257</v>
      </c>
      <c r="K184" s="29">
        <v>0</v>
      </c>
      <c r="L184" s="106" t="s">
        <v>2248</v>
      </c>
      <c r="M184" s="6">
        <f>I184-K184</f>
        <v>65000</v>
      </c>
      <c r="N184" s="7">
        <f>IF(ISERROR(K184/I184),"",K184/I184)</f>
        <v>0</v>
      </c>
      <c r="O184" s="12">
        <f>I184/E184</f>
        <v>2600</v>
      </c>
      <c r="P184" s="12">
        <f>K184/E184</f>
        <v>0</v>
      </c>
      <c r="Q184" s="13">
        <v>3</v>
      </c>
      <c r="R184" s="13">
        <v>2</v>
      </c>
      <c r="S184" s="13" t="s">
        <v>51</v>
      </c>
      <c r="T184" s="8" t="s">
        <v>108</v>
      </c>
      <c r="U184" s="5"/>
      <c r="V184" s="5" t="s">
        <v>1584</v>
      </c>
      <c r="X184" s="23">
        <f t="shared" si="219"/>
        <v>84</v>
      </c>
      <c r="Y184" s="21">
        <f t="shared" si="219"/>
        <v>25</v>
      </c>
      <c r="Z184" s="28">
        <f t="shared" si="220"/>
        <v>17</v>
      </c>
      <c r="AA184" s="6">
        <f t="shared" si="220"/>
        <v>65000</v>
      </c>
      <c r="AB184" s="6">
        <f>K184</f>
        <v>0</v>
      </c>
      <c r="AC184" s="6">
        <f t="shared" si="221"/>
        <v>65000</v>
      </c>
      <c r="AD184" s="7">
        <f t="shared" si="221"/>
        <v>0</v>
      </c>
      <c r="AE184" s="12">
        <f t="shared" si="221"/>
        <v>2600</v>
      </c>
      <c r="AF184" s="13" t="str">
        <f>S184</f>
        <v>계</v>
      </c>
      <c r="AG184" s="13" t="str">
        <f>Q184&amp;"/"&amp;R184</f>
        <v>3/2</v>
      </c>
      <c r="AI184" s="32" t="str">
        <f t="shared" si="192"/>
        <v>한양수자인평촌리버뷰</v>
      </c>
      <c r="AJ184" s="21">
        <f t="shared" si="191"/>
        <v>25</v>
      </c>
      <c r="AK184" s="13" t="str">
        <f>IF(AJ184="","",$AK$2)</f>
        <v>A-</v>
      </c>
      <c r="AL184" s="13"/>
      <c r="AM184" s="13"/>
      <c r="AN184" s="13"/>
      <c r="AO184" s="13" t="str">
        <f>IF(AJ184="","",$AO$2)</f>
        <v>C</v>
      </c>
      <c r="AP184" s="13" t="str">
        <f>IF(N184="","",IF(N184&gt;=$AP$1/100,"O","X"))</f>
        <v>X</v>
      </c>
      <c r="AQ184" s="13" t="str">
        <f>IF(I184="","",IF(I184&lt;=$AQ$1,"O","X"))</f>
        <v>X</v>
      </c>
      <c r="AR184" s="13" t="str">
        <f>IF(O184="","",IF(O184&lt;=$AR$1,"O","X"))</f>
        <v>X</v>
      </c>
      <c r="AS184" s="13" t="str">
        <f>IF(M184="","",IF(M184&lt;=$AS$1,"O","X"))</f>
        <v>X</v>
      </c>
      <c r="AT184" s="13" t="s">
        <v>32</v>
      </c>
      <c r="AU184" s="13" t="str">
        <f>IF(OR(F184="",AJ184=""),"",IF(AND((F184&lt;=85),(AJ184&gt;=15)),"O","X"))</f>
        <v>O</v>
      </c>
      <c r="AV184" s="13" t="str">
        <f>IF(C184="","",IF(C184&gt;=$AV$1,"O","X"))</f>
        <v>O</v>
      </c>
      <c r="AW184" s="13" t="str">
        <f>IF(AP184="","",IF(AND(AP184="O",AQ184="O",AS184="O",AU184="O",AV184="O"),"후보","X"))</f>
        <v>X</v>
      </c>
    </row>
    <row r="185" spans="1:49" x14ac:dyDescent="0.3">
      <c r="A185" s="5"/>
      <c r="B185" s="13"/>
      <c r="C185" s="9"/>
      <c r="D185" s="5"/>
      <c r="E185" s="18"/>
      <c r="F185" s="23"/>
      <c r="G185" s="5"/>
      <c r="H185" s="5"/>
      <c r="I185" s="5"/>
      <c r="J185" s="8"/>
      <c r="K185" s="5"/>
      <c r="L185" s="8"/>
      <c r="M185" s="5"/>
      <c r="N185" s="5"/>
      <c r="O185" s="12"/>
      <c r="P185" s="12"/>
      <c r="Q185" s="21"/>
      <c r="R185" s="21"/>
      <c r="S185" s="5"/>
      <c r="T185" s="59"/>
      <c r="U185" s="5"/>
      <c r="V185" s="5"/>
      <c r="X185" s="90" t="str">
        <f>$A$4&amp;" "&amp;A186&amp;"("&amp;B186&amp;","&amp;C186&amp;"^)"</f>
        <v>비산동 관악(동성,현대,청구)('92.11,1800^)</v>
      </c>
      <c r="Y185" s="91"/>
      <c r="Z185" s="91"/>
      <c r="AA185" s="91"/>
      <c r="AB185" s="91"/>
      <c r="AC185" s="91"/>
      <c r="AD185" s="91"/>
      <c r="AE185" s="91"/>
      <c r="AF185" s="91"/>
      <c r="AG185" s="92"/>
      <c r="AI185" s="32" t="str">
        <f t="shared" si="192"/>
        <v/>
      </c>
      <c r="AJ185" s="33" t="str">
        <f t="shared" si="191"/>
        <v/>
      </c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</row>
    <row r="186" spans="1:49" x14ac:dyDescent="0.3">
      <c r="A186" s="5" t="s">
        <v>1585</v>
      </c>
      <c r="B186" s="14" t="s">
        <v>1366</v>
      </c>
      <c r="C186" s="25">
        <v>1800</v>
      </c>
      <c r="D186" s="23">
        <v>76.7</v>
      </c>
      <c r="E186" s="21">
        <v>23</v>
      </c>
      <c r="F186" s="23">
        <v>59.4</v>
      </c>
      <c r="G186" s="24">
        <v>18</v>
      </c>
      <c r="H186" s="25">
        <v>360</v>
      </c>
      <c r="I186" s="29">
        <v>56000</v>
      </c>
      <c r="J186" s="106" t="s">
        <v>2252</v>
      </c>
      <c r="K186" s="29">
        <v>33000</v>
      </c>
      <c r="L186" s="106" t="s">
        <v>2261</v>
      </c>
      <c r="M186" s="6">
        <f>I186-K186</f>
        <v>23000</v>
      </c>
      <c r="N186" s="7">
        <f>IF(ISERROR(K186/I186),"",K186/I186)</f>
        <v>0.5892857142857143</v>
      </c>
      <c r="O186" s="12">
        <f>I186/E186</f>
        <v>2434.782608695652</v>
      </c>
      <c r="P186" s="12">
        <f>K186/E186</f>
        <v>1434.7826086956522</v>
      </c>
      <c r="Q186" s="13">
        <v>3</v>
      </c>
      <c r="R186" s="13">
        <v>1</v>
      </c>
      <c r="S186" s="13" t="s">
        <v>1356</v>
      </c>
      <c r="T186" s="8">
        <v>76</v>
      </c>
      <c r="U186" s="5"/>
      <c r="V186" s="5" t="s">
        <v>1586</v>
      </c>
      <c r="X186" s="23">
        <f t="shared" ref="X186:Y190" si="222">D186</f>
        <v>76.7</v>
      </c>
      <c r="Y186" s="21">
        <f t="shared" si="222"/>
        <v>23</v>
      </c>
      <c r="Z186" s="28">
        <f t="shared" ref="Z186:AA190" si="223">H186</f>
        <v>360</v>
      </c>
      <c r="AA186" s="6">
        <f t="shared" si="223"/>
        <v>56000</v>
      </c>
      <c r="AB186" s="6">
        <f>K186</f>
        <v>33000</v>
      </c>
      <c r="AC186" s="6">
        <f t="shared" ref="AC186:AE190" si="224">M186</f>
        <v>23000</v>
      </c>
      <c r="AD186" s="7">
        <f t="shared" si="224"/>
        <v>0.5892857142857143</v>
      </c>
      <c r="AE186" s="12">
        <f t="shared" si="224"/>
        <v>2434.782608695652</v>
      </c>
      <c r="AF186" s="13" t="str">
        <f>S186</f>
        <v>복</v>
      </c>
      <c r="AG186" s="13" t="str">
        <f>Q186&amp;"/"&amp;R186</f>
        <v>3/1</v>
      </c>
      <c r="AI186" s="32" t="str">
        <f t="shared" si="192"/>
        <v>관악(동성,현대,청구)</v>
      </c>
      <c r="AJ186" s="21">
        <f t="shared" si="191"/>
        <v>23</v>
      </c>
      <c r="AK186" s="13" t="str">
        <f>IF(AJ186="","",$AK$2)</f>
        <v>A-</v>
      </c>
      <c r="AL186" s="13"/>
      <c r="AM186" s="13"/>
      <c r="AN186" s="13"/>
      <c r="AO186" s="13" t="str">
        <f>IF(AJ186="","",$AO$2)</f>
        <v>C</v>
      </c>
      <c r="AP186" s="13" t="str">
        <f>IF(N186="","",IF(N186&gt;=$AP$1/100,"O","X"))</f>
        <v>X</v>
      </c>
      <c r="AQ186" s="13" t="str">
        <f>IF(I186="","",IF(I186&lt;=$AQ$1,"O","X"))</f>
        <v>X</v>
      </c>
      <c r="AR186" s="13" t="str">
        <f>IF(O186="","",IF(O186&lt;=$AR$1,"O","X"))</f>
        <v>X</v>
      </c>
      <c r="AS186" s="13" t="str">
        <f>IF(M186="","",IF(M186&lt;=$AS$1,"O","X"))</f>
        <v>X</v>
      </c>
      <c r="AT186" s="13" t="s">
        <v>32</v>
      </c>
      <c r="AU186" s="13" t="str">
        <f>IF(OR(F186="",AJ186=""),"",IF(AND((F186&lt;=85),(AJ186&gt;=15)),"O","X"))</f>
        <v>O</v>
      </c>
      <c r="AV186" s="13" t="str">
        <f>IF(C186="","",IF(C186&gt;=$AV$1,"O","X"))</f>
        <v>O</v>
      </c>
      <c r="AW186" s="13" t="str">
        <f>IF(AP186="","",IF(AND(AP186="O",AQ186="O",AS186="O",AU186="O",AV186="O"),"후보","X"))</f>
        <v>X</v>
      </c>
    </row>
    <row r="187" spans="1:49" x14ac:dyDescent="0.3">
      <c r="A187" s="5" t="s">
        <v>1585</v>
      </c>
      <c r="B187" s="14" t="s">
        <v>1366</v>
      </c>
      <c r="C187" s="25">
        <v>1800</v>
      </c>
      <c r="D187" s="23">
        <v>88.2</v>
      </c>
      <c r="E187" s="21">
        <v>27</v>
      </c>
      <c r="F187" s="23">
        <v>71.2</v>
      </c>
      <c r="G187" s="24">
        <v>22</v>
      </c>
      <c r="H187" s="25">
        <v>180</v>
      </c>
      <c r="I187" s="29">
        <v>65000</v>
      </c>
      <c r="J187" s="106" t="s">
        <v>2249</v>
      </c>
      <c r="K187" s="29">
        <v>40000</v>
      </c>
      <c r="L187" s="106" t="s">
        <v>2261</v>
      </c>
      <c r="M187" s="6">
        <f>I187-K187</f>
        <v>25000</v>
      </c>
      <c r="N187" s="7">
        <f>IF(ISERROR(K187/I187),"",K187/I187)</f>
        <v>0.61538461538461542</v>
      </c>
      <c r="O187" s="12">
        <f>I187/E187</f>
        <v>2407.4074074074074</v>
      </c>
      <c r="P187" s="12">
        <f>K187/E187</f>
        <v>1481.4814814814815</v>
      </c>
      <c r="Q187" s="13">
        <v>3</v>
      </c>
      <c r="R187" s="13">
        <v>1</v>
      </c>
      <c r="S187" s="13" t="s">
        <v>51</v>
      </c>
      <c r="T187" s="8">
        <v>88</v>
      </c>
      <c r="U187" s="5"/>
      <c r="V187" s="5" t="s">
        <v>1587</v>
      </c>
      <c r="X187" s="23">
        <f t="shared" si="222"/>
        <v>88.2</v>
      </c>
      <c r="Y187" s="21">
        <f t="shared" si="222"/>
        <v>27</v>
      </c>
      <c r="Z187" s="28">
        <f t="shared" si="223"/>
        <v>180</v>
      </c>
      <c r="AA187" s="6">
        <f t="shared" si="223"/>
        <v>65000</v>
      </c>
      <c r="AB187" s="6">
        <f>K187</f>
        <v>40000</v>
      </c>
      <c r="AC187" s="6">
        <f t="shared" si="224"/>
        <v>25000</v>
      </c>
      <c r="AD187" s="7">
        <f t="shared" si="224"/>
        <v>0.61538461538461542</v>
      </c>
      <c r="AE187" s="12">
        <f t="shared" si="224"/>
        <v>2407.4074074074074</v>
      </c>
      <c r="AF187" s="13" t="str">
        <f>S187</f>
        <v>계</v>
      </c>
      <c r="AG187" s="13" t="str">
        <f>Q187&amp;"/"&amp;R187</f>
        <v>3/1</v>
      </c>
      <c r="AI187" s="32" t="str">
        <f t="shared" si="192"/>
        <v>관악(동성,현대,청구)</v>
      </c>
      <c r="AJ187" s="21">
        <f t="shared" si="191"/>
        <v>27</v>
      </c>
      <c r="AK187" s="13" t="str">
        <f>IF(AJ187="","",$AK$2)</f>
        <v>A-</v>
      </c>
      <c r="AL187" s="13"/>
      <c r="AM187" s="13"/>
      <c r="AN187" s="13"/>
      <c r="AO187" s="13" t="str">
        <f>IF(AJ187="","",$AO$2)</f>
        <v>C</v>
      </c>
      <c r="AP187" s="13" t="str">
        <f>IF(N187="","",IF(N187&gt;=$AP$1/100,"O","X"))</f>
        <v>X</v>
      </c>
      <c r="AQ187" s="13" t="str">
        <f>IF(I187="","",IF(I187&lt;=$AQ$1,"O","X"))</f>
        <v>X</v>
      </c>
      <c r="AR187" s="13" t="str">
        <f>IF(O187="","",IF(O187&lt;=$AR$1,"O","X"))</f>
        <v>X</v>
      </c>
      <c r="AS187" s="13" t="str">
        <f>IF(M187="","",IF(M187&lt;=$AS$1,"O","X"))</f>
        <v>X</v>
      </c>
      <c r="AT187" s="13" t="s">
        <v>32</v>
      </c>
      <c r="AU187" s="13" t="str">
        <f>IF(OR(F187="",AJ187=""),"",IF(AND((F187&lt;=85),(AJ187&gt;=15)),"O","X"))</f>
        <v>O</v>
      </c>
      <c r="AV187" s="13" t="str">
        <f>IF(C187="","",IF(C187&gt;=$AV$1,"O","X"))</f>
        <v>O</v>
      </c>
      <c r="AW187" s="13" t="str">
        <f>IF(AP187="","",IF(AND(AP187="O",AQ187="O",AS187="O",AU187="O",AV187="O"),"후보","X"))</f>
        <v>X</v>
      </c>
    </row>
    <row r="188" spans="1:49" x14ac:dyDescent="0.3">
      <c r="A188" s="5" t="s">
        <v>1585</v>
      </c>
      <c r="B188" s="14" t="s">
        <v>1366</v>
      </c>
      <c r="C188" s="25">
        <v>1800</v>
      </c>
      <c r="D188" s="23">
        <v>105.7</v>
      </c>
      <c r="E188" s="21">
        <v>32</v>
      </c>
      <c r="F188" s="23">
        <v>84.9</v>
      </c>
      <c r="G188" s="24">
        <v>26</v>
      </c>
      <c r="H188" s="25">
        <v>948</v>
      </c>
      <c r="I188" s="29">
        <v>75000</v>
      </c>
      <c r="J188" s="106" t="s">
        <v>2261</v>
      </c>
      <c r="K188" s="29">
        <v>45000</v>
      </c>
      <c r="L188" s="106" t="s">
        <v>2252</v>
      </c>
      <c r="M188" s="6">
        <f>I188-K188</f>
        <v>30000</v>
      </c>
      <c r="N188" s="7">
        <f>IF(ISERROR(K188/I188),"",K188/I188)</f>
        <v>0.6</v>
      </c>
      <c r="O188" s="12">
        <f>I188/E188</f>
        <v>2343.75</v>
      </c>
      <c r="P188" s="12">
        <f>K188/E188</f>
        <v>1406.25</v>
      </c>
      <c r="Q188" s="13">
        <v>3</v>
      </c>
      <c r="R188" s="13">
        <v>2</v>
      </c>
      <c r="S188" s="13" t="s">
        <v>51</v>
      </c>
      <c r="T188" s="8" t="s">
        <v>620</v>
      </c>
      <c r="U188" s="5"/>
      <c r="V188" s="5" t="s">
        <v>1588</v>
      </c>
      <c r="X188" s="23">
        <f t="shared" si="222"/>
        <v>105.7</v>
      </c>
      <c r="Y188" s="21">
        <f t="shared" si="222"/>
        <v>32</v>
      </c>
      <c r="Z188" s="28">
        <f t="shared" si="223"/>
        <v>948</v>
      </c>
      <c r="AA188" s="6">
        <f t="shared" si="223"/>
        <v>75000</v>
      </c>
      <c r="AB188" s="6">
        <f>K188</f>
        <v>45000</v>
      </c>
      <c r="AC188" s="6">
        <f t="shared" si="224"/>
        <v>30000</v>
      </c>
      <c r="AD188" s="7">
        <f t="shared" si="224"/>
        <v>0.6</v>
      </c>
      <c r="AE188" s="12">
        <f t="shared" si="224"/>
        <v>2343.75</v>
      </c>
      <c r="AF188" s="13" t="str">
        <f>S188</f>
        <v>계</v>
      </c>
      <c r="AG188" s="13" t="str">
        <f>Q188&amp;"/"&amp;R188</f>
        <v>3/2</v>
      </c>
      <c r="AI188" s="32" t="str">
        <f t="shared" si="192"/>
        <v>관악(동성,현대,청구)</v>
      </c>
      <c r="AJ188" s="21">
        <f t="shared" si="191"/>
        <v>32</v>
      </c>
      <c r="AK188" s="13" t="str">
        <f>IF(AJ188="","",$AK$2)</f>
        <v>A-</v>
      </c>
      <c r="AL188" s="13"/>
      <c r="AM188" s="13"/>
      <c r="AN188" s="13"/>
      <c r="AO188" s="13" t="str">
        <f>IF(AJ188="","",$AO$2)</f>
        <v>C</v>
      </c>
      <c r="AP188" s="13" t="str">
        <f>IF(N188="","",IF(N188&gt;=$AP$1/100,"O","X"))</f>
        <v>X</v>
      </c>
      <c r="AQ188" s="13" t="str">
        <f>IF(I188="","",IF(I188&lt;=$AQ$1,"O","X"))</f>
        <v>X</v>
      </c>
      <c r="AR188" s="13" t="str">
        <f>IF(O188="","",IF(O188&lt;=$AR$1,"O","X"))</f>
        <v>X</v>
      </c>
      <c r="AS188" s="13" t="str">
        <f>IF(M188="","",IF(M188&lt;=$AS$1,"O","X"))</f>
        <v>X</v>
      </c>
      <c r="AT188" s="13" t="s">
        <v>32</v>
      </c>
      <c r="AU188" s="13" t="str">
        <f>IF(OR(F188="",AJ188=""),"",IF(AND((F188&lt;=85),(AJ188&gt;=15)),"O","X"))</f>
        <v>O</v>
      </c>
      <c r="AV188" s="13" t="str">
        <f>IF(C188="","",IF(C188&gt;=$AV$1,"O","X"))</f>
        <v>O</v>
      </c>
      <c r="AW188" s="13" t="str">
        <f>IF(AP188="","",IF(AND(AP188="O",AQ188="O",AS188="O",AU188="O",AV188="O"),"후보","X"))</f>
        <v>X</v>
      </c>
    </row>
    <row r="189" spans="1:49" x14ac:dyDescent="0.3">
      <c r="A189" s="5" t="s">
        <v>1585</v>
      </c>
      <c r="B189" s="14" t="s">
        <v>1366</v>
      </c>
      <c r="C189" s="25">
        <v>1800</v>
      </c>
      <c r="D189" s="23">
        <v>105.6</v>
      </c>
      <c r="E189" s="21">
        <v>32</v>
      </c>
      <c r="F189" s="23">
        <v>84.9</v>
      </c>
      <c r="G189" s="24">
        <v>26</v>
      </c>
      <c r="H189" s="25">
        <v>156</v>
      </c>
      <c r="I189" s="29">
        <v>72000</v>
      </c>
      <c r="J189" s="106" t="s">
        <v>2252</v>
      </c>
      <c r="K189" s="29">
        <v>42000</v>
      </c>
      <c r="L189" s="106" t="s">
        <v>2258</v>
      </c>
      <c r="M189" s="6">
        <f>I189-K189</f>
        <v>30000</v>
      </c>
      <c r="N189" s="7">
        <f>IF(ISERROR(K189/I189),"",K189/I189)</f>
        <v>0.58333333333333337</v>
      </c>
      <c r="O189" s="12">
        <f>I189/E189</f>
        <v>2250</v>
      </c>
      <c r="P189" s="12">
        <f>K189/E189</f>
        <v>1312.5</v>
      </c>
      <c r="Q189" s="13">
        <v>3</v>
      </c>
      <c r="R189" s="13">
        <v>2</v>
      </c>
      <c r="S189" s="13" t="s">
        <v>51</v>
      </c>
      <c r="T189" s="8" t="s">
        <v>487</v>
      </c>
      <c r="U189" s="5"/>
      <c r="V189" s="5" t="s">
        <v>1588</v>
      </c>
      <c r="X189" s="23">
        <f t="shared" si="222"/>
        <v>105.6</v>
      </c>
      <c r="Y189" s="21">
        <f t="shared" si="222"/>
        <v>32</v>
      </c>
      <c r="Z189" s="28">
        <f t="shared" si="223"/>
        <v>156</v>
      </c>
      <c r="AA189" s="6">
        <f t="shared" si="223"/>
        <v>72000</v>
      </c>
      <c r="AB189" s="6">
        <f>K189</f>
        <v>42000</v>
      </c>
      <c r="AC189" s="6">
        <f t="shared" si="224"/>
        <v>30000</v>
      </c>
      <c r="AD189" s="7">
        <f t="shared" si="224"/>
        <v>0.58333333333333337</v>
      </c>
      <c r="AE189" s="12">
        <f t="shared" si="224"/>
        <v>2250</v>
      </c>
      <c r="AF189" s="13" t="str">
        <f>S189</f>
        <v>계</v>
      </c>
      <c r="AG189" s="13" t="str">
        <f>Q189&amp;"/"&amp;R189</f>
        <v>3/2</v>
      </c>
      <c r="AI189" s="32" t="str">
        <f t="shared" si="192"/>
        <v>관악(동성,현대,청구)</v>
      </c>
      <c r="AJ189" s="21">
        <f t="shared" si="191"/>
        <v>32</v>
      </c>
      <c r="AK189" s="13" t="str">
        <f>IF(AJ189="","",$AK$2)</f>
        <v>A-</v>
      </c>
      <c r="AL189" s="13"/>
      <c r="AM189" s="13"/>
      <c r="AN189" s="13"/>
      <c r="AO189" s="13" t="str">
        <f>IF(AJ189="","",$AO$2)</f>
        <v>C</v>
      </c>
      <c r="AP189" s="13" t="str">
        <f>IF(N189="","",IF(N189&gt;=$AP$1/100,"O","X"))</f>
        <v>X</v>
      </c>
      <c r="AQ189" s="13" t="str">
        <f>IF(I189="","",IF(I189&lt;=$AQ$1,"O","X"))</f>
        <v>X</v>
      </c>
      <c r="AR189" s="13" t="str">
        <f>IF(O189="","",IF(O189&lt;=$AR$1,"O","X"))</f>
        <v>X</v>
      </c>
      <c r="AS189" s="13" t="str">
        <f>IF(M189="","",IF(M189&lt;=$AS$1,"O","X"))</f>
        <v>X</v>
      </c>
      <c r="AT189" s="13" t="s">
        <v>32</v>
      </c>
      <c r="AU189" s="13" t="str">
        <f>IF(OR(F189="",AJ189=""),"",IF(AND((F189&lt;=85),(AJ189&gt;=15)),"O","X"))</f>
        <v>O</v>
      </c>
      <c r="AV189" s="13" t="str">
        <f>IF(C189="","",IF(C189&gt;=$AV$1,"O","X"))</f>
        <v>O</v>
      </c>
      <c r="AW189" s="13" t="str">
        <f>IF(AP189="","",IF(AND(AP189="O",AQ189="O",AS189="O",AU189="O",AV189="O"),"후보","X"))</f>
        <v>X</v>
      </c>
    </row>
    <row r="190" spans="1:49" x14ac:dyDescent="0.3">
      <c r="A190" s="5" t="s">
        <v>1585</v>
      </c>
      <c r="B190" s="14" t="s">
        <v>1366</v>
      </c>
      <c r="C190" s="25">
        <v>1800</v>
      </c>
      <c r="D190" s="23">
        <v>105.4</v>
      </c>
      <c r="E190" s="21">
        <v>32</v>
      </c>
      <c r="F190" s="23">
        <v>84.7</v>
      </c>
      <c r="G190" s="24">
        <v>26</v>
      </c>
      <c r="H190" s="25">
        <v>156</v>
      </c>
      <c r="I190" s="29">
        <v>68000</v>
      </c>
      <c r="J190" s="106" t="s">
        <v>2262</v>
      </c>
      <c r="K190" s="29">
        <v>40000</v>
      </c>
      <c r="L190" s="106" t="s">
        <v>2255</v>
      </c>
      <c r="M190" s="6">
        <f>I190-K190</f>
        <v>28000</v>
      </c>
      <c r="N190" s="7">
        <f>IF(ISERROR(K190/I190),"",K190/I190)</f>
        <v>0.58823529411764708</v>
      </c>
      <c r="O190" s="12">
        <f>I190/E190</f>
        <v>2125</v>
      </c>
      <c r="P190" s="12">
        <f>K190/E190</f>
        <v>1250</v>
      </c>
      <c r="Q190" s="13">
        <v>3</v>
      </c>
      <c r="R190" s="13">
        <v>2</v>
      </c>
      <c r="S190" s="13" t="s">
        <v>51</v>
      </c>
      <c r="T190" s="8" t="s">
        <v>621</v>
      </c>
      <c r="U190" s="5"/>
      <c r="V190" s="5" t="s">
        <v>1589</v>
      </c>
      <c r="X190" s="23">
        <f t="shared" si="222"/>
        <v>105.4</v>
      </c>
      <c r="Y190" s="21">
        <f t="shared" si="222"/>
        <v>32</v>
      </c>
      <c r="Z190" s="28">
        <f t="shared" si="223"/>
        <v>156</v>
      </c>
      <c r="AA190" s="6">
        <f t="shared" si="223"/>
        <v>68000</v>
      </c>
      <c r="AB190" s="6">
        <f>K190</f>
        <v>40000</v>
      </c>
      <c r="AC190" s="6">
        <f t="shared" si="224"/>
        <v>28000</v>
      </c>
      <c r="AD190" s="7">
        <f t="shared" si="224"/>
        <v>0.58823529411764708</v>
      </c>
      <c r="AE190" s="12">
        <f t="shared" si="224"/>
        <v>2125</v>
      </c>
      <c r="AF190" s="13" t="str">
        <f>S190</f>
        <v>계</v>
      </c>
      <c r="AG190" s="13" t="str">
        <f>Q190&amp;"/"&amp;R190</f>
        <v>3/2</v>
      </c>
      <c r="AI190" s="32" t="str">
        <f t="shared" si="192"/>
        <v>관악(동성,현대,청구)</v>
      </c>
      <c r="AJ190" s="21">
        <f t="shared" si="191"/>
        <v>32</v>
      </c>
      <c r="AK190" s="13" t="str">
        <f>IF(AJ190="","",$AK$2)</f>
        <v>A-</v>
      </c>
      <c r="AL190" s="13"/>
      <c r="AM190" s="13"/>
      <c r="AN190" s="13"/>
      <c r="AO190" s="13" t="str">
        <f>IF(AJ190="","",$AO$2)</f>
        <v>C</v>
      </c>
      <c r="AP190" s="13" t="str">
        <f>IF(N190="","",IF(N190&gt;=$AP$1/100,"O","X"))</f>
        <v>X</v>
      </c>
      <c r="AQ190" s="13" t="str">
        <f>IF(I190="","",IF(I190&lt;=$AQ$1,"O","X"))</f>
        <v>X</v>
      </c>
      <c r="AR190" s="13" t="str">
        <f>IF(O190="","",IF(O190&lt;=$AR$1,"O","X"))</f>
        <v>X</v>
      </c>
      <c r="AS190" s="13" t="str">
        <f>IF(M190="","",IF(M190&lt;=$AS$1,"O","X"))</f>
        <v>X</v>
      </c>
      <c r="AT190" s="13" t="s">
        <v>32</v>
      </c>
      <c r="AU190" s="13" t="str">
        <f>IF(OR(F190="",AJ190=""),"",IF(AND((F190&lt;=85),(AJ190&gt;=15)),"O","X"))</f>
        <v>O</v>
      </c>
      <c r="AV190" s="13" t="str">
        <f>IF(C190="","",IF(C190&gt;=$AV$1,"O","X"))</f>
        <v>O</v>
      </c>
      <c r="AW190" s="13" t="str">
        <f>IF(AP190="","",IF(AND(AP190="O",AQ190="O",AS190="O",AU190="O",AV190="O"),"후보","X"))</f>
        <v>X</v>
      </c>
    </row>
    <row r="191" spans="1:49" x14ac:dyDescent="0.3">
      <c r="A191" s="5"/>
      <c r="B191" s="13"/>
      <c r="C191" s="9"/>
      <c r="D191" s="5"/>
      <c r="E191" s="18"/>
      <c r="F191" s="23"/>
      <c r="G191" s="5"/>
      <c r="H191" s="5"/>
      <c r="I191" s="5"/>
      <c r="J191" s="8"/>
      <c r="K191" s="5"/>
      <c r="L191" s="8"/>
      <c r="M191" s="5"/>
      <c r="N191" s="5"/>
      <c r="O191" s="12"/>
      <c r="P191" s="12"/>
      <c r="Q191" s="21"/>
      <c r="R191" s="21"/>
      <c r="S191" s="5"/>
      <c r="T191" s="59"/>
      <c r="U191" s="5"/>
      <c r="V191" s="5"/>
      <c r="X191" s="90" t="str">
        <f>$A$4&amp;" "&amp;A192&amp;"("&amp;B192&amp;","&amp;C192&amp;"^)"</f>
        <v>비산동 더포레스트힐('03.03,2044^)</v>
      </c>
      <c r="Y191" s="91"/>
      <c r="Z191" s="91"/>
      <c r="AA191" s="91"/>
      <c r="AB191" s="91"/>
      <c r="AC191" s="91"/>
      <c r="AD191" s="91"/>
      <c r="AE191" s="91"/>
      <c r="AF191" s="91"/>
      <c r="AG191" s="92"/>
      <c r="AI191" s="32" t="str">
        <f t="shared" si="192"/>
        <v/>
      </c>
      <c r="AJ191" s="33" t="str">
        <f t="shared" si="191"/>
        <v/>
      </c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</row>
    <row r="192" spans="1:49" x14ac:dyDescent="0.3">
      <c r="A192" s="5" t="s">
        <v>1590</v>
      </c>
      <c r="B192" s="14" t="s">
        <v>1591</v>
      </c>
      <c r="C192" s="25">
        <v>2044</v>
      </c>
      <c r="D192" s="23">
        <v>60</v>
      </c>
      <c r="E192" s="21">
        <v>18</v>
      </c>
      <c r="F192" s="23">
        <v>39.700000000000003</v>
      </c>
      <c r="G192" s="24">
        <v>12</v>
      </c>
      <c r="H192" s="25">
        <v>211</v>
      </c>
      <c r="I192" s="29">
        <v>27000</v>
      </c>
      <c r="J192" s="106" t="s">
        <v>2263</v>
      </c>
      <c r="K192" s="29">
        <v>19000</v>
      </c>
      <c r="L192" s="106" t="s">
        <v>2264</v>
      </c>
      <c r="M192" s="6">
        <f t="shared" ref="M192:M211" si="225">I192-K192</f>
        <v>8000</v>
      </c>
      <c r="N192" s="7">
        <f t="shared" ref="N192:N211" si="226">IF(ISERROR(K192/I192),"",K192/I192)</f>
        <v>0.70370370370370372</v>
      </c>
      <c r="O192" s="12">
        <f t="shared" ref="O192:O211" si="227">I192/E192</f>
        <v>1500</v>
      </c>
      <c r="P192" s="12">
        <f t="shared" ref="P192:P211" si="228">K192/E192</f>
        <v>1055.5555555555557</v>
      </c>
      <c r="Q192" s="13">
        <v>2</v>
      </c>
      <c r="R192" s="13">
        <v>1</v>
      </c>
      <c r="S192" s="13" t="s">
        <v>1356</v>
      </c>
      <c r="T192" s="8">
        <v>59</v>
      </c>
      <c r="U192" s="5"/>
      <c r="V192" s="5" t="s">
        <v>1592</v>
      </c>
      <c r="X192" s="23">
        <f t="shared" ref="X192:X211" si="229">D192</f>
        <v>60</v>
      </c>
      <c r="Y192" s="21">
        <f t="shared" ref="Y192:Y211" si="230">E192</f>
        <v>18</v>
      </c>
      <c r="Z192" s="28">
        <f t="shared" ref="Z192:Z211" si="231">H192</f>
        <v>211</v>
      </c>
      <c r="AA192" s="6">
        <f t="shared" ref="AA192:AA211" si="232">I192</f>
        <v>27000</v>
      </c>
      <c r="AB192" s="6">
        <f t="shared" ref="AB192:AB211" si="233">K192</f>
        <v>19000</v>
      </c>
      <c r="AC192" s="6">
        <f t="shared" ref="AC192:AC211" si="234">M192</f>
        <v>8000</v>
      </c>
      <c r="AD192" s="7">
        <f t="shared" ref="AD192:AD211" si="235">N192</f>
        <v>0.70370370370370372</v>
      </c>
      <c r="AE192" s="12">
        <f t="shared" ref="AE192:AE211" si="236">O192</f>
        <v>1500</v>
      </c>
      <c r="AF192" s="13" t="str">
        <f t="shared" ref="AF192:AF211" si="237">S192</f>
        <v>복</v>
      </c>
      <c r="AG192" s="13" t="str">
        <f t="shared" ref="AG192:AG211" si="238">Q192&amp;"/"&amp;R192</f>
        <v>2/1</v>
      </c>
      <c r="AI192" s="32" t="str">
        <f t="shared" si="192"/>
        <v>더포레스트힐</v>
      </c>
      <c r="AJ192" s="21">
        <f t="shared" si="191"/>
        <v>18</v>
      </c>
      <c r="AK192" s="13" t="str">
        <f t="shared" ref="AK192:AK211" si="239">IF(AJ192="","",$AK$2)</f>
        <v>A-</v>
      </c>
      <c r="AL192" s="13"/>
      <c r="AM192" s="13"/>
      <c r="AN192" s="13"/>
      <c r="AO192" s="13" t="str">
        <f t="shared" ref="AO192:AO211" si="240">IF(AJ192="","",$AO$2)</f>
        <v>C</v>
      </c>
      <c r="AP192" s="13" t="str">
        <f t="shared" ref="AP192:AP211" si="241">IF(N192="","",IF(N192&gt;=$AP$1/100,"O","X"))</f>
        <v>X</v>
      </c>
      <c r="AQ192" s="13" t="str">
        <f t="shared" ref="AQ192:AQ211" si="242">IF(I192="","",IF(I192&lt;=$AQ$1,"O","X"))</f>
        <v>O</v>
      </c>
      <c r="AR192" s="13" t="str">
        <f t="shared" ref="AR192:AR211" si="243">IF(O192="","",IF(O192&lt;=$AR$1,"O","X"))</f>
        <v>X</v>
      </c>
      <c r="AS192" s="13" t="str">
        <f t="shared" ref="AS192:AS211" si="244">IF(M192="","",IF(M192&lt;=$AS$1,"O","X"))</f>
        <v>X</v>
      </c>
      <c r="AT192" s="13" t="s">
        <v>32</v>
      </c>
      <c r="AU192" s="13" t="str">
        <f t="shared" ref="AU192:AU211" si="245">IF(OR(F192="",AJ192=""),"",IF(AND((F192&lt;=85),(AJ192&gt;=15)),"O","X"))</f>
        <v>O</v>
      </c>
      <c r="AV192" s="13" t="str">
        <f t="shared" ref="AV192:AV211" si="246">IF(C192="","",IF(C192&gt;=$AV$1,"O","X"))</f>
        <v>O</v>
      </c>
      <c r="AW192" s="13" t="str">
        <f t="shared" ref="AW192:AW211" si="247">IF(AP192="","",IF(AND(AP192="O",AQ192="O",AS192="O",AU192="O",AV192="O"),"후보","X"))</f>
        <v>X</v>
      </c>
    </row>
    <row r="193" spans="1:49" x14ac:dyDescent="0.3">
      <c r="A193" s="5" t="s">
        <v>1590</v>
      </c>
      <c r="B193" s="14" t="s">
        <v>1591</v>
      </c>
      <c r="C193" s="25">
        <v>2044</v>
      </c>
      <c r="D193" s="23">
        <v>74.8</v>
      </c>
      <c r="E193" s="21">
        <v>23</v>
      </c>
      <c r="F193" s="23">
        <v>49.5</v>
      </c>
      <c r="G193" s="24">
        <v>15</v>
      </c>
      <c r="H193" s="25">
        <v>458</v>
      </c>
      <c r="I193" s="29">
        <v>33000</v>
      </c>
      <c r="J193" s="106" t="s">
        <v>2265</v>
      </c>
      <c r="K193" s="29">
        <v>23500</v>
      </c>
      <c r="L193" s="106" t="s">
        <v>2266</v>
      </c>
      <c r="M193" s="6">
        <f t="shared" si="225"/>
        <v>9500</v>
      </c>
      <c r="N193" s="7">
        <f t="shared" si="226"/>
        <v>0.71212121212121215</v>
      </c>
      <c r="O193" s="12">
        <f t="shared" si="227"/>
        <v>1434.7826086956522</v>
      </c>
      <c r="P193" s="12">
        <f t="shared" si="228"/>
        <v>1021.7391304347826</v>
      </c>
      <c r="Q193" s="13">
        <v>2</v>
      </c>
      <c r="R193" s="13">
        <v>1</v>
      </c>
      <c r="S193" s="13" t="s">
        <v>1356</v>
      </c>
      <c r="T193" s="8" t="s">
        <v>281</v>
      </c>
      <c r="U193" s="5"/>
      <c r="V193" s="5" t="s">
        <v>1593</v>
      </c>
      <c r="X193" s="23">
        <f t="shared" si="229"/>
        <v>74.8</v>
      </c>
      <c r="Y193" s="21">
        <f t="shared" si="230"/>
        <v>23</v>
      </c>
      <c r="Z193" s="28">
        <f t="shared" si="231"/>
        <v>458</v>
      </c>
      <c r="AA193" s="6">
        <f t="shared" si="232"/>
        <v>33000</v>
      </c>
      <c r="AB193" s="6">
        <f t="shared" si="233"/>
        <v>23500</v>
      </c>
      <c r="AC193" s="6">
        <f t="shared" si="234"/>
        <v>9500</v>
      </c>
      <c r="AD193" s="7">
        <f t="shared" si="235"/>
        <v>0.71212121212121215</v>
      </c>
      <c r="AE193" s="12">
        <f t="shared" si="236"/>
        <v>1434.7826086956522</v>
      </c>
      <c r="AF193" s="13" t="str">
        <f t="shared" si="237"/>
        <v>복</v>
      </c>
      <c r="AG193" s="13" t="str">
        <f t="shared" si="238"/>
        <v>2/1</v>
      </c>
      <c r="AI193" s="32" t="str">
        <f t="shared" si="192"/>
        <v>더포레스트힐</v>
      </c>
      <c r="AJ193" s="21">
        <f t="shared" si="191"/>
        <v>23</v>
      </c>
      <c r="AK193" s="13" t="str">
        <f t="shared" si="239"/>
        <v>A-</v>
      </c>
      <c r="AL193" s="13"/>
      <c r="AM193" s="13"/>
      <c r="AN193" s="13"/>
      <c r="AO193" s="13" t="str">
        <f t="shared" si="240"/>
        <v>C</v>
      </c>
      <c r="AP193" s="13" t="str">
        <f t="shared" si="241"/>
        <v>X</v>
      </c>
      <c r="AQ193" s="13" t="str">
        <f t="shared" si="242"/>
        <v>O</v>
      </c>
      <c r="AR193" s="13" t="str">
        <f t="shared" si="243"/>
        <v>X</v>
      </c>
      <c r="AS193" s="13" t="str">
        <f t="shared" si="244"/>
        <v>X</v>
      </c>
      <c r="AT193" s="13" t="s">
        <v>32</v>
      </c>
      <c r="AU193" s="13" t="str">
        <f t="shared" si="245"/>
        <v>O</v>
      </c>
      <c r="AV193" s="13" t="str">
        <f t="shared" si="246"/>
        <v>O</v>
      </c>
      <c r="AW193" s="13" t="str">
        <f t="shared" si="247"/>
        <v>X</v>
      </c>
    </row>
    <row r="194" spans="1:49" x14ac:dyDescent="0.3">
      <c r="A194" s="5" t="s">
        <v>1590</v>
      </c>
      <c r="B194" s="14" t="s">
        <v>1591</v>
      </c>
      <c r="C194" s="25">
        <v>2044</v>
      </c>
      <c r="D194" s="23">
        <v>74.900000000000006</v>
      </c>
      <c r="E194" s="21">
        <v>23</v>
      </c>
      <c r="F194" s="23">
        <v>49.5</v>
      </c>
      <c r="G194" s="24">
        <v>15</v>
      </c>
      <c r="H194" s="25">
        <v>25</v>
      </c>
      <c r="I194" s="29">
        <v>35000</v>
      </c>
      <c r="J194" s="106" t="s">
        <v>2251</v>
      </c>
      <c r="K194" s="29">
        <v>0</v>
      </c>
      <c r="L194" s="106" t="s">
        <v>2248</v>
      </c>
      <c r="M194" s="6">
        <f t="shared" si="225"/>
        <v>35000</v>
      </c>
      <c r="N194" s="7">
        <f t="shared" si="226"/>
        <v>0</v>
      </c>
      <c r="O194" s="12">
        <f t="shared" si="227"/>
        <v>1521.7391304347825</v>
      </c>
      <c r="P194" s="12">
        <f t="shared" si="228"/>
        <v>0</v>
      </c>
      <c r="Q194" s="13">
        <v>2</v>
      </c>
      <c r="R194" s="13">
        <v>1</v>
      </c>
      <c r="S194" s="13" t="s">
        <v>51</v>
      </c>
      <c r="T194" s="8" t="s">
        <v>136</v>
      </c>
      <c r="U194" s="5"/>
      <c r="V194" s="5" t="s">
        <v>1593</v>
      </c>
      <c r="X194" s="23">
        <f t="shared" si="229"/>
        <v>74.900000000000006</v>
      </c>
      <c r="Y194" s="21">
        <f t="shared" si="230"/>
        <v>23</v>
      </c>
      <c r="Z194" s="28">
        <f t="shared" si="231"/>
        <v>25</v>
      </c>
      <c r="AA194" s="6">
        <f t="shared" si="232"/>
        <v>35000</v>
      </c>
      <c r="AB194" s="6">
        <f t="shared" si="233"/>
        <v>0</v>
      </c>
      <c r="AC194" s="6">
        <f t="shared" si="234"/>
        <v>35000</v>
      </c>
      <c r="AD194" s="7">
        <f t="shared" si="235"/>
        <v>0</v>
      </c>
      <c r="AE194" s="12">
        <f t="shared" si="236"/>
        <v>1521.7391304347825</v>
      </c>
      <c r="AF194" s="13" t="str">
        <f t="shared" si="237"/>
        <v>계</v>
      </c>
      <c r="AG194" s="13" t="str">
        <f t="shared" si="238"/>
        <v>2/1</v>
      </c>
      <c r="AI194" s="32" t="str">
        <f t="shared" si="192"/>
        <v>더포레스트힐</v>
      </c>
      <c r="AJ194" s="21">
        <f t="shared" si="191"/>
        <v>23</v>
      </c>
      <c r="AK194" s="13" t="str">
        <f t="shared" si="239"/>
        <v>A-</v>
      </c>
      <c r="AL194" s="13"/>
      <c r="AM194" s="13"/>
      <c r="AN194" s="13"/>
      <c r="AO194" s="13" t="str">
        <f t="shared" si="240"/>
        <v>C</v>
      </c>
      <c r="AP194" s="13" t="str">
        <f t="shared" si="241"/>
        <v>X</v>
      </c>
      <c r="AQ194" s="13" t="str">
        <f t="shared" si="242"/>
        <v>O</v>
      </c>
      <c r="AR194" s="13" t="str">
        <f t="shared" si="243"/>
        <v>X</v>
      </c>
      <c r="AS194" s="13" t="str">
        <f t="shared" si="244"/>
        <v>X</v>
      </c>
      <c r="AT194" s="13" t="s">
        <v>32</v>
      </c>
      <c r="AU194" s="13" t="str">
        <f t="shared" si="245"/>
        <v>O</v>
      </c>
      <c r="AV194" s="13" t="str">
        <f t="shared" si="246"/>
        <v>O</v>
      </c>
      <c r="AW194" s="13" t="str">
        <f t="shared" si="247"/>
        <v>X</v>
      </c>
    </row>
    <row r="195" spans="1:49" x14ac:dyDescent="0.3">
      <c r="A195" s="5" t="s">
        <v>1590</v>
      </c>
      <c r="B195" s="14" t="s">
        <v>1591</v>
      </c>
      <c r="C195" s="25">
        <v>2044</v>
      </c>
      <c r="D195" s="23">
        <v>78.3</v>
      </c>
      <c r="E195" s="21">
        <v>24</v>
      </c>
      <c r="F195" s="23">
        <v>59.9</v>
      </c>
      <c r="G195" s="24">
        <v>18</v>
      </c>
      <c r="H195" s="25">
        <v>182</v>
      </c>
      <c r="I195" s="29">
        <v>47000</v>
      </c>
      <c r="J195" s="106" t="s">
        <v>2267</v>
      </c>
      <c r="K195" s="29">
        <v>28000</v>
      </c>
      <c r="L195" s="106" t="s">
        <v>2257</v>
      </c>
      <c r="M195" s="6">
        <f t="shared" si="225"/>
        <v>19000</v>
      </c>
      <c r="N195" s="7">
        <f t="shared" si="226"/>
        <v>0.5957446808510638</v>
      </c>
      <c r="O195" s="12">
        <f t="shared" si="227"/>
        <v>1958.3333333333333</v>
      </c>
      <c r="P195" s="12">
        <f t="shared" si="228"/>
        <v>1166.6666666666667</v>
      </c>
      <c r="Q195" s="13">
        <v>3</v>
      </c>
      <c r="R195" s="13">
        <v>1</v>
      </c>
      <c r="S195" s="13" t="s">
        <v>51</v>
      </c>
      <c r="T195" s="8" t="s">
        <v>343</v>
      </c>
      <c r="U195" s="5"/>
      <c r="V195" s="5" t="s">
        <v>1594</v>
      </c>
      <c r="X195" s="23">
        <f t="shared" si="229"/>
        <v>78.3</v>
      </c>
      <c r="Y195" s="21">
        <f t="shared" si="230"/>
        <v>24</v>
      </c>
      <c r="Z195" s="28">
        <f t="shared" si="231"/>
        <v>182</v>
      </c>
      <c r="AA195" s="6">
        <f t="shared" si="232"/>
        <v>47000</v>
      </c>
      <c r="AB195" s="6">
        <f t="shared" si="233"/>
        <v>28000</v>
      </c>
      <c r="AC195" s="6">
        <f t="shared" si="234"/>
        <v>19000</v>
      </c>
      <c r="AD195" s="7">
        <f t="shared" si="235"/>
        <v>0.5957446808510638</v>
      </c>
      <c r="AE195" s="12">
        <f t="shared" si="236"/>
        <v>1958.3333333333333</v>
      </c>
      <c r="AF195" s="13" t="str">
        <f t="shared" si="237"/>
        <v>계</v>
      </c>
      <c r="AG195" s="13" t="str">
        <f t="shared" si="238"/>
        <v>3/1</v>
      </c>
      <c r="AI195" s="32" t="str">
        <f t="shared" si="192"/>
        <v>더포레스트힐</v>
      </c>
      <c r="AJ195" s="21">
        <f t="shared" si="191"/>
        <v>24</v>
      </c>
      <c r="AK195" s="13" t="str">
        <f t="shared" si="239"/>
        <v>A-</v>
      </c>
      <c r="AL195" s="13"/>
      <c r="AM195" s="13"/>
      <c r="AN195" s="13"/>
      <c r="AO195" s="13" t="str">
        <f t="shared" si="240"/>
        <v>C</v>
      </c>
      <c r="AP195" s="13" t="str">
        <f t="shared" si="241"/>
        <v>X</v>
      </c>
      <c r="AQ195" s="13" t="str">
        <f t="shared" si="242"/>
        <v>X</v>
      </c>
      <c r="AR195" s="13" t="str">
        <f t="shared" si="243"/>
        <v>X</v>
      </c>
      <c r="AS195" s="13" t="str">
        <f t="shared" si="244"/>
        <v>X</v>
      </c>
      <c r="AT195" s="13" t="s">
        <v>32</v>
      </c>
      <c r="AU195" s="13" t="str">
        <f t="shared" si="245"/>
        <v>O</v>
      </c>
      <c r="AV195" s="13" t="str">
        <f t="shared" si="246"/>
        <v>O</v>
      </c>
      <c r="AW195" s="13" t="str">
        <f t="shared" si="247"/>
        <v>X</v>
      </c>
    </row>
    <row r="196" spans="1:49" x14ac:dyDescent="0.3">
      <c r="A196" s="5" t="s">
        <v>1590</v>
      </c>
      <c r="B196" s="14" t="s">
        <v>1591</v>
      </c>
      <c r="C196" s="25">
        <v>2044</v>
      </c>
      <c r="D196" s="23">
        <v>78.3</v>
      </c>
      <c r="E196" s="21">
        <v>24</v>
      </c>
      <c r="F196" s="23">
        <v>59.9</v>
      </c>
      <c r="G196" s="24">
        <v>18</v>
      </c>
      <c r="H196" s="25">
        <v>112</v>
      </c>
      <c r="I196" s="29">
        <v>51000</v>
      </c>
      <c r="J196" s="106" t="s">
        <v>2264</v>
      </c>
      <c r="K196" s="29">
        <v>0</v>
      </c>
      <c r="L196" s="106" t="s">
        <v>2248</v>
      </c>
      <c r="M196" s="6">
        <f t="shared" si="225"/>
        <v>51000</v>
      </c>
      <c r="N196" s="7">
        <f t="shared" si="226"/>
        <v>0</v>
      </c>
      <c r="O196" s="12">
        <f t="shared" si="227"/>
        <v>2125</v>
      </c>
      <c r="P196" s="12">
        <f t="shared" si="228"/>
        <v>0</v>
      </c>
      <c r="Q196" s="13">
        <v>3</v>
      </c>
      <c r="R196" s="13">
        <v>1</v>
      </c>
      <c r="S196" s="13" t="s">
        <v>51</v>
      </c>
      <c r="T196" s="8" t="s">
        <v>344</v>
      </c>
      <c r="U196" s="5"/>
      <c r="V196" s="5" t="s">
        <v>1594</v>
      </c>
      <c r="X196" s="23">
        <f t="shared" si="229"/>
        <v>78.3</v>
      </c>
      <c r="Y196" s="21">
        <f t="shared" si="230"/>
        <v>24</v>
      </c>
      <c r="Z196" s="28">
        <f t="shared" si="231"/>
        <v>112</v>
      </c>
      <c r="AA196" s="6">
        <f t="shared" si="232"/>
        <v>51000</v>
      </c>
      <c r="AB196" s="6">
        <f t="shared" si="233"/>
        <v>0</v>
      </c>
      <c r="AC196" s="6">
        <f t="shared" si="234"/>
        <v>51000</v>
      </c>
      <c r="AD196" s="7">
        <f t="shared" si="235"/>
        <v>0</v>
      </c>
      <c r="AE196" s="12">
        <f t="shared" si="236"/>
        <v>2125</v>
      </c>
      <c r="AF196" s="13" t="str">
        <f t="shared" si="237"/>
        <v>계</v>
      </c>
      <c r="AG196" s="13" t="str">
        <f t="shared" si="238"/>
        <v>3/1</v>
      </c>
      <c r="AI196" s="32" t="str">
        <f t="shared" si="192"/>
        <v>더포레스트힐</v>
      </c>
      <c r="AJ196" s="21">
        <f t="shared" ref="AJ196:AJ242" si="248">IF(E196="","",E196)</f>
        <v>24</v>
      </c>
      <c r="AK196" s="13" t="str">
        <f t="shared" si="239"/>
        <v>A-</v>
      </c>
      <c r="AL196" s="13"/>
      <c r="AM196" s="13"/>
      <c r="AN196" s="13"/>
      <c r="AO196" s="13" t="str">
        <f t="shared" si="240"/>
        <v>C</v>
      </c>
      <c r="AP196" s="13" t="str">
        <f t="shared" si="241"/>
        <v>X</v>
      </c>
      <c r="AQ196" s="13" t="str">
        <f t="shared" si="242"/>
        <v>X</v>
      </c>
      <c r="AR196" s="13" t="str">
        <f t="shared" si="243"/>
        <v>X</v>
      </c>
      <c r="AS196" s="13" t="str">
        <f t="shared" si="244"/>
        <v>X</v>
      </c>
      <c r="AT196" s="13" t="s">
        <v>32</v>
      </c>
      <c r="AU196" s="13" t="str">
        <f t="shared" si="245"/>
        <v>O</v>
      </c>
      <c r="AV196" s="13" t="str">
        <f t="shared" si="246"/>
        <v>O</v>
      </c>
      <c r="AW196" s="13" t="str">
        <f t="shared" si="247"/>
        <v>X</v>
      </c>
    </row>
    <row r="197" spans="1:49" x14ac:dyDescent="0.3">
      <c r="A197" s="5" t="s">
        <v>1590</v>
      </c>
      <c r="B197" s="14" t="s">
        <v>1591</v>
      </c>
      <c r="C197" s="25">
        <v>2044</v>
      </c>
      <c r="D197" s="23">
        <v>78.3</v>
      </c>
      <c r="E197" s="21">
        <v>24</v>
      </c>
      <c r="F197" s="23">
        <v>59.9</v>
      </c>
      <c r="G197" s="24">
        <v>18</v>
      </c>
      <c r="H197" s="25">
        <v>76</v>
      </c>
      <c r="I197" s="29">
        <v>50000</v>
      </c>
      <c r="J197" s="106" t="s">
        <v>2251</v>
      </c>
      <c r="K197" s="29">
        <v>0</v>
      </c>
      <c r="L197" s="106" t="s">
        <v>2248</v>
      </c>
      <c r="M197" s="6">
        <f t="shared" si="225"/>
        <v>50000</v>
      </c>
      <c r="N197" s="7">
        <f t="shared" si="226"/>
        <v>0</v>
      </c>
      <c r="O197" s="12">
        <f t="shared" si="227"/>
        <v>2083.3333333333335</v>
      </c>
      <c r="P197" s="12">
        <f t="shared" si="228"/>
        <v>0</v>
      </c>
      <c r="Q197" s="13">
        <v>3</v>
      </c>
      <c r="R197" s="13">
        <v>1</v>
      </c>
      <c r="S197" s="13" t="s">
        <v>51</v>
      </c>
      <c r="T197" s="8" t="s">
        <v>107</v>
      </c>
      <c r="U197" s="5"/>
      <c r="V197" s="5" t="s">
        <v>1594</v>
      </c>
      <c r="X197" s="23">
        <f t="shared" si="229"/>
        <v>78.3</v>
      </c>
      <c r="Y197" s="21">
        <f t="shared" si="230"/>
        <v>24</v>
      </c>
      <c r="Z197" s="28">
        <f t="shared" si="231"/>
        <v>76</v>
      </c>
      <c r="AA197" s="6">
        <f t="shared" si="232"/>
        <v>50000</v>
      </c>
      <c r="AB197" s="6">
        <f t="shared" si="233"/>
        <v>0</v>
      </c>
      <c r="AC197" s="6">
        <f t="shared" si="234"/>
        <v>50000</v>
      </c>
      <c r="AD197" s="7">
        <f t="shared" si="235"/>
        <v>0</v>
      </c>
      <c r="AE197" s="12">
        <f t="shared" si="236"/>
        <v>2083.3333333333335</v>
      </c>
      <c r="AF197" s="13" t="str">
        <f t="shared" si="237"/>
        <v>계</v>
      </c>
      <c r="AG197" s="13" t="str">
        <f t="shared" si="238"/>
        <v>3/1</v>
      </c>
      <c r="AI197" s="32" t="str">
        <f t="shared" si="192"/>
        <v>더포레스트힐</v>
      </c>
      <c r="AJ197" s="21">
        <f t="shared" si="248"/>
        <v>24</v>
      </c>
      <c r="AK197" s="13" t="str">
        <f t="shared" si="239"/>
        <v>A-</v>
      </c>
      <c r="AL197" s="13"/>
      <c r="AM197" s="13"/>
      <c r="AN197" s="13"/>
      <c r="AO197" s="13" t="str">
        <f t="shared" si="240"/>
        <v>C</v>
      </c>
      <c r="AP197" s="13" t="str">
        <f t="shared" si="241"/>
        <v>X</v>
      </c>
      <c r="AQ197" s="13" t="str">
        <f t="shared" si="242"/>
        <v>X</v>
      </c>
      <c r="AR197" s="13" t="str">
        <f t="shared" si="243"/>
        <v>X</v>
      </c>
      <c r="AS197" s="13" t="str">
        <f t="shared" si="244"/>
        <v>X</v>
      </c>
      <c r="AT197" s="13" t="s">
        <v>32</v>
      </c>
      <c r="AU197" s="13" t="str">
        <f t="shared" si="245"/>
        <v>O</v>
      </c>
      <c r="AV197" s="13" t="str">
        <f t="shared" si="246"/>
        <v>O</v>
      </c>
      <c r="AW197" s="13" t="str">
        <f t="shared" si="247"/>
        <v>X</v>
      </c>
    </row>
    <row r="198" spans="1:49" x14ac:dyDescent="0.3">
      <c r="A198" s="5" t="s">
        <v>1590</v>
      </c>
      <c r="B198" s="14" t="s">
        <v>1591</v>
      </c>
      <c r="C198" s="25">
        <v>2044</v>
      </c>
      <c r="D198" s="23">
        <v>78.3</v>
      </c>
      <c r="E198" s="21">
        <v>24</v>
      </c>
      <c r="F198" s="23">
        <v>60</v>
      </c>
      <c r="G198" s="24">
        <v>18</v>
      </c>
      <c r="H198" s="25">
        <v>66</v>
      </c>
      <c r="I198" s="29">
        <v>47000</v>
      </c>
      <c r="J198" s="106" t="s">
        <v>2247</v>
      </c>
      <c r="K198" s="29">
        <v>0</v>
      </c>
      <c r="L198" s="106" t="s">
        <v>2248</v>
      </c>
      <c r="M198" s="6">
        <f t="shared" si="225"/>
        <v>47000</v>
      </c>
      <c r="N198" s="7">
        <f t="shared" si="226"/>
        <v>0</v>
      </c>
      <c r="O198" s="12">
        <f t="shared" si="227"/>
        <v>1958.3333333333333</v>
      </c>
      <c r="P198" s="12">
        <f t="shared" si="228"/>
        <v>0</v>
      </c>
      <c r="Q198" s="13">
        <v>3</v>
      </c>
      <c r="R198" s="13">
        <v>1</v>
      </c>
      <c r="S198" s="13" t="s">
        <v>51</v>
      </c>
      <c r="T198" s="8" t="s">
        <v>656</v>
      </c>
      <c r="U198" s="5"/>
      <c r="V198" s="5" t="s">
        <v>1594</v>
      </c>
      <c r="X198" s="23">
        <f t="shared" si="229"/>
        <v>78.3</v>
      </c>
      <c r="Y198" s="21">
        <f t="shared" si="230"/>
        <v>24</v>
      </c>
      <c r="Z198" s="28">
        <f t="shared" si="231"/>
        <v>66</v>
      </c>
      <c r="AA198" s="6">
        <f t="shared" si="232"/>
        <v>47000</v>
      </c>
      <c r="AB198" s="6">
        <f t="shared" si="233"/>
        <v>0</v>
      </c>
      <c r="AC198" s="6">
        <f t="shared" si="234"/>
        <v>47000</v>
      </c>
      <c r="AD198" s="7">
        <f t="shared" si="235"/>
        <v>0</v>
      </c>
      <c r="AE198" s="12">
        <f t="shared" si="236"/>
        <v>1958.3333333333333</v>
      </c>
      <c r="AF198" s="13" t="str">
        <f t="shared" si="237"/>
        <v>계</v>
      </c>
      <c r="AG198" s="13" t="str">
        <f t="shared" si="238"/>
        <v>3/1</v>
      </c>
      <c r="AI198" s="32" t="str">
        <f t="shared" ref="AI198:AI242" si="249">IF(A198="","",A198)</f>
        <v>더포레스트힐</v>
      </c>
      <c r="AJ198" s="21">
        <f t="shared" si="248"/>
        <v>24</v>
      </c>
      <c r="AK198" s="13" t="str">
        <f t="shared" si="239"/>
        <v>A-</v>
      </c>
      <c r="AL198" s="13"/>
      <c r="AM198" s="13"/>
      <c r="AN198" s="13"/>
      <c r="AO198" s="13" t="str">
        <f t="shared" si="240"/>
        <v>C</v>
      </c>
      <c r="AP198" s="13" t="str">
        <f t="shared" si="241"/>
        <v>X</v>
      </c>
      <c r="AQ198" s="13" t="str">
        <f t="shared" si="242"/>
        <v>X</v>
      </c>
      <c r="AR198" s="13" t="str">
        <f t="shared" si="243"/>
        <v>X</v>
      </c>
      <c r="AS198" s="13" t="str">
        <f t="shared" si="244"/>
        <v>X</v>
      </c>
      <c r="AT198" s="13" t="s">
        <v>32</v>
      </c>
      <c r="AU198" s="13" t="str">
        <f t="shared" si="245"/>
        <v>O</v>
      </c>
      <c r="AV198" s="13" t="str">
        <f t="shared" si="246"/>
        <v>O</v>
      </c>
      <c r="AW198" s="13" t="str">
        <f t="shared" si="247"/>
        <v>X</v>
      </c>
    </row>
    <row r="199" spans="1:49" x14ac:dyDescent="0.3">
      <c r="A199" s="5" t="s">
        <v>1590</v>
      </c>
      <c r="B199" s="14" t="s">
        <v>1591</v>
      </c>
      <c r="C199" s="25">
        <v>2044</v>
      </c>
      <c r="D199" s="23">
        <v>78.3</v>
      </c>
      <c r="E199" s="21">
        <v>24</v>
      </c>
      <c r="F199" s="23">
        <v>59.9</v>
      </c>
      <c r="G199" s="24">
        <v>18</v>
      </c>
      <c r="H199" s="25">
        <v>66</v>
      </c>
      <c r="I199" s="29">
        <v>48000</v>
      </c>
      <c r="J199" s="106" t="s">
        <v>2265</v>
      </c>
      <c r="K199" s="29">
        <v>35000</v>
      </c>
      <c r="L199" s="106" t="s">
        <v>2255</v>
      </c>
      <c r="M199" s="6">
        <f t="shared" si="225"/>
        <v>13000</v>
      </c>
      <c r="N199" s="7">
        <f t="shared" si="226"/>
        <v>0.72916666666666663</v>
      </c>
      <c r="O199" s="12">
        <f t="shared" si="227"/>
        <v>2000</v>
      </c>
      <c r="P199" s="12">
        <f t="shared" si="228"/>
        <v>1458.3333333333333</v>
      </c>
      <c r="Q199" s="13">
        <v>3</v>
      </c>
      <c r="R199" s="13">
        <v>1</v>
      </c>
      <c r="S199" s="13" t="s">
        <v>51</v>
      </c>
      <c r="T199" s="8" t="s">
        <v>657</v>
      </c>
      <c r="U199" s="5"/>
      <c r="V199" s="5" t="s">
        <v>1594</v>
      </c>
      <c r="X199" s="23">
        <f t="shared" si="229"/>
        <v>78.3</v>
      </c>
      <c r="Y199" s="21">
        <f t="shared" si="230"/>
        <v>24</v>
      </c>
      <c r="Z199" s="28">
        <f t="shared" si="231"/>
        <v>66</v>
      </c>
      <c r="AA199" s="6">
        <f t="shared" si="232"/>
        <v>48000</v>
      </c>
      <c r="AB199" s="6">
        <f t="shared" si="233"/>
        <v>35000</v>
      </c>
      <c r="AC199" s="6">
        <f t="shared" si="234"/>
        <v>13000</v>
      </c>
      <c r="AD199" s="7">
        <f t="shared" si="235"/>
        <v>0.72916666666666663</v>
      </c>
      <c r="AE199" s="12">
        <f t="shared" si="236"/>
        <v>2000</v>
      </c>
      <c r="AF199" s="13" t="str">
        <f t="shared" si="237"/>
        <v>계</v>
      </c>
      <c r="AG199" s="13" t="str">
        <f t="shared" si="238"/>
        <v>3/1</v>
      </c>
      <c r="AI199" s="32" t="str">
        <f t="shared" si="249"/>
        <v>더포레스트힐</v>
      </c>
      <c r="AJ199" s="21">
        <f t="shared" si="248"/>
        <v>24</v>
      </c>
      <c r="AK199" s="13" t="str">
        <f t="shared" si="239"/>
        <v>A-</v>
      </c>
      <c r="AL199" s="13"/>
      <c r="AM199" s="13"/>
      <c r="AN199" s="13"/>
      <c r="AO199" s="13" t="str">
        <f t="shared" si="240"/>
        <v>C</v>
      </c>
      <c r="AP199" s="13" t="str">
        <f t="shared" si="241"/>
        <v>X</v>
      </c>
      <c r="AQ199" s="13" t="str">
        <f t="shared" si="242"/>
        <v>X</v>
      </c>
      <c r="AR199" s="13" t="str">
        <f t="shared" si="243"/>
        <v>X</v>
      </c>
      <c r="AS199" s="13" t="str">
        <f t="shared" si="244"/>
        <v>X</v>
      </c>
      <c r="AT199" s="13" t="s">
        <v>32</v>
      </c>
      <c r="AU199" s="13" t="str">
        <f t="shared" si="245"/>
        <v>O</v>
      </c>
      <c r="AV199" s="13" t="str">
        <f t="shared" si="246"/>
        <v>O</v>
      </c>
      <c r="AW199" s="13" t="str">
        <f t="shared" si="247"/>
        <v>X</v>
      </c>
    </row>
    <row r="200" spans="1:49" x14ac:dyDescent="0.3">
      <c r="A200" s="5" t="s">
        <v>1590</v>
      </c>
      <c r="B200" s="14" t="s">
        <v>1591</v>
      </c>
      <c r="C200" s="25">
        <v>2044</v>
      </c>
      <c r="D200" s="23">
        <v>78.3</v>
      </c>
      <c r="E200" s="21">
        <v>24</v>
      </c>
      <c r="F200" s="23">
        <v>59.9</v>
      </c>
      <c r="G200" s="24">
        <v>18</v>
      </c>
      <c r="H200" s="25">
        <v>66</v>
      </c>
      <c r="I200" s="29">
        <v>53000</v>
      </c>
      <c r="J200" s="106" t="s">
        <v>2265</v>
      </c>
      <c r="K200" s="29">
        <v>35000</v>
      </c>
      <c r="L200" s="106" t="s">
        <v>2265</v>
      </c>
      <c r="M200" s="6">
        <f t="shared" si="225"/>
        <v>18000</v>
      </c>
      <c r="N200" s="7">
        <f t="shared" si="226"/>
        <v>0.660377358490566</v>
      </c>
      <c r="O200" s="12">
        <f t="shared" si="227"/>
        <v>2208.3333333333335</v>
      </c>
      <c r="P200" s="12">
        <f t="shared" si="228"/>
        <v>1458.3333333333333</v>
      </c>
      <c r="Q200" s="13">
        <v>3</v>
      </c>
      <c r="R200" s="13">
        <v>1</v>
      </c>
      <c r="S200" s="13" t="s">
        <v>51</v>
      </c>
      <c r="T200" s="8" t="s">
        <v>658</v>
      </c>
      <c r="U200" s="5"/>
      <c r="V200" s="5" t="s">
        <v>1594</v>
      </c>
      <c r="X200" s="23">
        <f t="shared" si="229"/>
        <v>78.3</v>
      </c>
      <c r="Y200" s="21">
        <f t="shared" si="230"/>
        <v>24</v>
      </c>
      <c r="Z200" s="28">
        <f t="shared" si="231"/>
        <v>66</v>
      </c>
      <c r="AA200" s="6">
        <f t="shared" si="232"/>
        <v>53000</v>
      </c>
      <c r="AB200" s="6">
        <f t="shared" si="233"/>
        <v>35000</v>
      </c>
      <c r="AC200" s="6">
        <f t="shared" si="234"/>
        <v>18000</v>
      </c>
      <c r="AD200" s="7">
        <f t="shared" si="235"/>
        <v>0.660377358490566</v>
      </c>
      <c r="AE200" s="12">
        <f t="shared" si="236"/>
        <v>2208.3333333333335</v>
      </c>
      <c r="AF200" s="13" t="str">
        <f t="shared" si="237"/>
        <v>계</v>
      </c>
      <c r="AG200" s="13" t="str">
        <f t="shared" si="238"/>
        <v>3/1</v>
      </c>
      <c r="AI200" s="32" t="str">
        <f t="shared" si="249"/>
        <v>더포레스트힐</v>
      </c>
      <c r="AJ200" s="21">
        <f t="shared" si="248"/>
        <v>24</v>
      </c>
      <c r="AK200" s="13" t="str">
        <f t="shared" si="239"/>
        <v>A-</v>
      </c>
      <c r="AL200" s="13"/>
      <c r="AM200" s="13"/>
      <c r="AN200" s="13"/>
      <c r="AO200" s="13" t="str">
        <f t="shared" si="240"/>
        <v>C</v>
      </c>
      <c r="AP200" s="13" t="str">
        <f t="shared" si="241"/>
        <v>X</v>
      </c>
      <c r="AQ200" s="13" t="str">
        <f t="shared" si="242"/>
        <v>X</v>
      </c>
      <c r="AR200" s="13" t="str">
        <f t="shared" si="243"/>
        <v>X</v>
      </c>
      <c r="AS200" s="13" t="str">
        <f t="shared" si="244"/>
        <v>X</v>
      </c>
      <c r="AT200" s="13" t="s">
        <v>32</v>
      </c>
      <c r="AU200" s="13" t="str">
        <f t="shared" si="245"/>
        <v>O</v>
      </c>
      <c r="AV200" s="13" t="str">
        <f t="shared" si="246"/>
        <v>O</v>
      </c>
      <c r="AW200" s="13" t="str">
        <f t="shared" si="247"/>
        <v>X</v>
      </c>
    </row>
    <row r="201" spans="1:49" x14ac:dyDescent="0.3">
      <c r="A201" s="5" t="s">
        <v>1590</v>
      </c>
      <c r="B201" s="14" t="s">
        <v>1591</v>
      </c>
      <c r="C201" s="25">
        <v>2044</v>
      </c>
      <c r="D201" s="23">
        <v>78.3</v>
      </c>
      <c r="E201" s="21">
        <v>24</v>
      </c>
      <c r="F201" s="23">
        <v>59.9</v>
      </c>
      <c r="G201" s="24">
        <v>18</v>
      </c>
      <c r="H201" s="25">
        <v>36</v>
      </c>
      <c r="I201" s="29">
        <v>54000</v>
      </c>
      <c r="J201" s="106" t="s">
        <v>2252</v>
      </c>
      <c r="K201" s="29">
        <v>0</v>
      </c>
      <c r="L201" s="106" t="s">
        <v>2248</v>
      </c>
      <c r="M201" s="6">
        <f t="shared" si="225"/>
        <v>54000</v>
      </c>
      <c r="N201" s="7">
        <f t="shared" si="226"/>
        <v>0</v>
      </c>
      <c r="O201" s="12">
        <f t="shared" si="227"/>
        <v>2250</v>
      </c>
      <c r="P201" s="12">
        <f t="shared" si="228"/>
        <v>0</v>
      </c>
      <c r="Q201" s="13">
        <v>3</v>
      </c>
      <c r="R201" s="13">
        <v>1</v>
      </c>
      <c r="S201" s="13" t="s">
        <v>51</v>
      </c>
      <c r="T201" s="8" t="s">
        <v>659</v>
      </c>
      <c r="U201" s="5"/>
      <c r="V201" s="5" t="s">
        <v>1594</v>
      </c>
      <c r="X201" s="23">
        <f t="shared" si="229"/>
        <v>78.3</v>
      </c>
      <c r="Y201" s="21">
        <f t="shared" si="230"/>
        <v>24</v>
      </c>
      <c r="Z201" s="28">
        <f t="shared" si="231"/>
        <v>36</v>
      </c>
      <c r="AA201" s="6">
        <f t="shared" si="232"/>
        <v>54000</v>
      </c>
      <c r="AB201" s="6">
        <f t="shared" si="233"/>
        <v>0</v>
      </c>
      <c r="AC201" s="6">
        <f t="shared" si="234"/>
        <v>54000</v>
      </c>
      <c r="AD201" s="7">
        <f t="shared" si="235"/>
        <v>0</v>
      </c>
      <c r="AE201" s="12">
        <f t="shared" si="236"/>
        <v>2250</v>
      </c>
      <c r="AF201" s="13" t="str">
        <f t="shared" si="237"/>
        <v>계</v>
      </c>
      <c r="AG201" s="13" t="str">
        <f t="shared" si="238"/>
        <v>3/1</v>
      </c>
      <c r="AI201" s="32" t="str">
        <f t="shared" si="249"/>
        <v>더포레스트힐</v>
      </c>
      <c r="AJ201" s="21">
        <f t="shared" si="248"/>
        <v>24</v>
      </c>
      <c r="AK201" s="13" t="str">
        <f t="shared" si="239"/>
        <v>A-</v>
      </c>
      <c r="AL201" s="13"/>
      <c r="AM201" s="13"/>
      <c r="AN201" s="13"/>
      <c r="AO201" s="13" t="str">
        <f t="shared" si="240"/>
        <v>C</v>
      </c>
      <c r="AP201" s="13" t="str">
        <f t="shared" si="241"/>
        <v>X</v>
      </c>
      <c r="AQ201" s="13" t="str">
        <f t="shared" si="242"/>
        <v>X</v>
      </c>
      <c r="AR201" s="13" t="str">
        <f t="shared" si="243"/>
        <v>X</v>
      </c>
      <c r="AS201" s="13" t="str">
        <f t="shared" si="244"/>
        <v>X</v>
      </c>
      <c r="AT201" s="13" t="s">
        <v>32</v>
      </c>
      <c r="AU201" s="13" t="str">
        <f t="shared" si="245"/>
        <v>O</v>
      </c>
      <c r="AV201" s="13" t="str">
        <f t="shared" si="246"/>
        <v>O</v>
      </c>
      <c r="AW201" s="13" t="str">
        <f t="shared" si="247"/>
        <v>X</v>
      </c>
    </row>
    <row r="202" spans="1:49" x14ac:dyDescent="0.3">
      <c r="A202" s="5" t="s">
        <v>1590</v>
      </c>
      <c r="B202" s="14" t="s">
        <v>1591</v>
      </c>
      <c r="C202" s="25">
        <v>2044</v>
      </c>
      <c r="D202" s="23">
        <v>110.7</v>
      </c>
      <c r="E202" s="21">
        <v>33</v>
      </c>
      <c r="F202" s="23">
        <v>84.8</v>
      </c>
      <c r="G202" s="24">
        <v>26</v>
      </c>
      <c r="H202" s="25">
        <v>116</v>
      </c>
      <c r="I202" s="29">
        <v>60000</v>
      </c>
      <c r="J202" s="106" t="s">
        <v>2254</v>
      </c>
      <c r="K202" s="29">
        <v>0</v>
      </c>
      <c r="L202" s="106" t="s">
        <v>2248</v>
      </c>
      <c r="M202" s="6">
        <f t="shared" si="225"/>
        <v>60000</v>
      </c>
      <c r="N202" s="7">
        <f t="shared" si="226"/>
        <v>0</v>
      </c>
      <c r="O202" s="12">
        <f t="shared" si="227"/>
        <v>1818.1818181818182</v>
      </c>
      <c r="P202" s="12">
        <f t="shared" si="228"/>
        <v>0</v>
      </c>
      <c r="Q202" s="13">
        <v>3</v>
      </c>
      <c r="R202" s="13">
        <v>2</v>
      </c>
      <c r="S202" s="13" t="s">
        <v>51</v>
      </c>
      <c r="T202" s="8" t="s">
        <v>660</v>
      </c>
      <c r="U202" s="5"/>
      <c r="V202" s="5" t="s">
        <v>1595</v>
      </c>
      <c r="X202" s="23">
        <f t="shared" si="229"/>
        <v>110.7</v>
      </c>
      <c r="Y202" s="21">
        <f t="shared" si="230"/>
        <v>33</v>
      </c>
      <c r="Z202" s="28">
        <f t="shared" si="231"/>
        <v>116</v>
      </c>
      <c r="AA202" s="6">
        <f t="shared" si="232"/>
        <v>60000</v>
      </c>
      <c r="AB202" s="6">
        <f t="shared" si="233"/>
        <v>0</v>
      </c>
      <c r="AC202" s="6">
        <f t="shared" si="234"/>
        <v>60000</v>
      </c>
      <c r="AD202" s="7">
        <f t="shared" si="235"/>
        <v>0</v>
      </c>
      <c r="AE202" s="12">
        <f t="shared" si="236"/>
        <v>1818.1818181818182</v>
      </c>
      <c r="AF202" s="13" t="str">
        <f t="shared" si="237"/>
        <v>계</v>
      </c>
      <c r="AG202" s="13" t="str">
        <f t="shared" si="238"/>
        <v>3/2</v>
      </c>
      <c r="AI202" s="32" t="str">
        <f t="shared" si="249"/>
        <v>더포레스트힐</v>
      </c>
      <c r="AJ202" s="21">
        <f t="shared" si="248"/>
        <v>33</v>
      </c>
      <c r="AK202" s="13" t="str">
        <f t="shared" si="239"/>
        <v>A-</v>
      </c>
      <c r="AL202" s="13"/>
      <c r="AM202" s="13"/>
      <c r="AN202" s="13"/>
      <c r="AO202" s="13" t="str">
        <f t="shared" si="240"/>
        <v>C</v>
      </c>
      <c r="AP202" s="13" t="str">
        <f t="shared" si="241"/>
        <v>X</v>
      </c>
      <c r="AQ202" s="13" t="str">
        <f t="shared" si="242"/>
        <v>X</v>
      </c>
      <c r="AR202" s="13" t="str">
        <f t="shared" si="243"/>
        <v>X</v>
      </c>
      <c r="AS202" s="13" t="str">
        <f t="shared" si="244"/>
        <v>X</v>
      </c>
      <c r="AT202" s="13" t="s">
        <v>32</v>
      </c>
      <c r="AU202" s="13" t="str">
        <f t="shared" si="245"/>
        <v>O</v>
      </c>
      <c r="AV202" s="13" t="str">
        <f t="shared" si="246"/>
        <v>O</v>
      </c>
      <c r="AW202" s="13" t="str">
        <f t="shared" si="247"/>
        <v>X</v>
      </c>
    </row>
    <row r="203" spans="1:49" x14ac:dyDescent="0.3">
      <c r="A203" s="5" t="s">
        <v>1590</v>
      </c>
      <c r="B203" s="14" t="s">
        <v>1591</v>
      </c>
      <c r="C203" s="25">
        <v>2044</v>
      </c>
      <c r="D203" s="23">
        <v>111</v>
      </c>
      <c r="E203" s="21">
        <v>34</v>
      </c>
      <c r="F203" s="23">
        <v>85</v>
      </c>
      <c r="G203" s="24">
        <v>26</v>
      </c>
      <c r="H203" s="25">
        <v>100</v>
      </c>
      <c r="I203" s="29">
        <v>56000</v>
      </c>
      <c r="J203" s="106" t="s">
        <v>2251</v>
      </c>
      <c r="K203" s="29">
        <v>0</v>
      </c>
      <c r="L203" s="106" t="s">
        <v>2248</v>
      </c>
      <c r="M203" s="6">
        <f t="shared" si="225"/>
        <v>56000</v>
      </c>
      <c r="N203" s="7">
        <f t="shared" si="226"/>
        <v>0</v>
      </c>
      <c r="O203" s="12">
        <f t="shared" si="227"/>
        <v>1647.0588235294117</v>
      </c>
      <c r="P203" s="12">
        <f t="shared" si="228"/>
        <v>0</v>
      </c>
      <c r="Q203" s="13">
        <v>3</v>
      </c>
      <c r="R203" s="13">
        <v>2</v>
      </c>
      <c r="S203" s="13" t="s">
        <v>51</v>
      </c>
      <c r="T203" s="8" t="s">
        <v>661</v>
      </c>
      <c r="U203" s="5"/>
      <c r="V203" s="5" t="s">
        <v>1595</v>
      </c>
      <c r="X203" s="23">
        <f t="shared" si="229"/>
        <v>111</v>
      </c>
      <c r="Y203" s="21">
        <f t="shared" si="230"/>
        <v>34</v>
      </c>
      <c r="Z203" s="28">
        <f t="shared" si="231"/>
        <v>100</v>
      </c>
      <c r="AA203" s="6">
        <f t="shared" si="232"/>
        <v>56000</v>
      </c>
      <c r="AB203" s="6">
        <f t="shared" si="233"/>
        <v>0</v>
      </c>
      <c r="AC203" s="6">
        <f t="shared" si="234"/>
        <v>56000</v>
      </c>
      <c r="AD203" s="7">
        <f t="shared" si="235"/>
        <v>0</v>
      </c>
      <c r="AE203" s="12">
        <f t="shared" si="236"/>
        <v>1647.0588235294117</v>
      </c>
      <c r="AF203" s="13" t="str">
        <f t="shared" si="237"/>
        <v>계</v>
      </c>
      <c r="AG203" s="13" t="str">
        <f t="shared" si="238"/>
        <v>3/2</v>
      </c>
      <c r="AI203" s="32" t="str">
        <f t="shared" si="249"/>
        <v>더포레스트힐</v>
      </c>
      <c r="AJ203" s="21">
        <f t="shared" si="248"/>
        <v>34</v>
      </c>
      <c r="AK203" s="13" t="str">
        <f t="shared" si="239"/>
        <v>A-</v>
      </c>
      <c r="AL203" s="13"/>
      <c r="AM203" s="13"/>
      <c r="AN203" s="13"/>
      <c r="AO203" s="13" t="str">
        <f t="shared" si="240"/>
        <v>C</v>
      </c>
      <c r="AP203" s="13" t="str">
        <f t="shared" si="241"/>
        <v>X</v>
      </c>
      <c r="AQ203" s="13" t="str">
        <f t="shared" si="242"/>
        <v>X</v>
      </c>
      <c r="AR203" s="13" t="str">
        <f t="shared" si="243"/>
        <v>X</v>
      </c>
      <c r="AS203" s="13" t="str">
        <f t="shared" si="244"/>
        <v>X</v>
      </c>
      <c r="AT203" s="13" t="s">
        <v>32</v>
      </c>
      <c r="AU203" s="13" t="str">
        <f t="shared" si="245"/>
        <v>O</v>
      </c>
      <c r="AV203" s="13" t="str">
        <f t="shared" si="246"/>
        <v>O</v>
      </c>
      <c r="AW203" s="13" t="str">
        <f t="shared" si="247"/>
        <v>X</v>
      </c>
    </row>
    <row r="204" spans="1:49" x14ac:dyDescent="0.3">
      <c r="A204" s="5" t="s">
        <v>1590</v>
      </c>
      <c r="B204" s="14" t="s">
        <v>1591</v>
      </c>
      <c r="C204" s="25">
        <v>2044</v>
      </c>
      <c r="D204" s="23">
        <v>110.7</v>
      </c>
      <c r="E204" s="21">
        <v>33</v>
      </c>
      <c r="F204" s="23">
        <v>84.8</v>
      </c>
      <c r="G204" s="24">
        <v>26</v>
      </c>
      <c r="H204" s="25">
        <v>98</v>
      </c>
      <c r="I204" s="29">
        <v>59000</v>
      </c>
      <c r="J204" s="106" t="s">
        <v>2250</v>
      </c>
      <c r="K204" s="29">
        <v>40000</v>
      </c>
      <c r="L204" s="106" t="s">
        <v>2268</v>
      </c>
      <c r="M204" s="6">
        <f t="shared" si="225"/>
        <v>19000</v>
      </c>
      <c r="N204" s="7">
        <f t="shared" si="226"/>
        <v>0.67796610169491522</v>
      </c>
      <c r="O204" s="12">
        <f t="shared" si="227"/>
        <v>1787.878787878788</v>
      </c>
      <c r="P204" s="12">
        <f t="shared" si="228"/>
        <v>1212.121212121212</v>
      </c>
      <c r="Q204" s="13">
        <v>3</v>
      </c>
      <c r="R204" s="13">
        <v>2</v>
      </c>
      <c r="S204" s="13" t="s">
        <v>51</v>
      </c>
      <c r="T204" s="8" t="s">
        <v>662</v>
      </c>
      <c r="U204" s="5"/>
      <c r="V204" s="5" t="s">
        <v>1595</v>
      </c>
      <c r="X204" s="23">
        <f t="shared" si="229"/>
        <v>110.7</v>
      </c>
      <c r="Y204" s="21">
        <f t="shared" si="230"/>
        <v>33</v>
      </c>
      <c r="Z204" s="28">
        <f t="shared" si="231"/>
        <v>98</v>
      </c>
      <c r="AA204" s="6">
        <f t="shared" si="232"/>
        <v>59000</v>
      </c>
      <c r="AB204" s="6">
        <f t="shared" si="233"/>
        <v>40000</v>
      </c>
      <c r="AC204" s="6">
        <f t="shared" si="234"/>
        <v>19000</v>
      </c>
      <c r="AD204" s="7">
        <f t="shared" si="235"/>
        <v>0.67796610169491522</v>
      </c>
      <c r="AE204" s="12">
        <f t="shared" si="236"/>
        <v>1787.878787878788</v>
      </c>
      <c r="AF204" s="13" t="str">
        <f t="shared" si="237"/>
        <v>계</v>
      </c>
      <c r="AG204" s="13" t="str">
        <f t="shared" si="238"/>
        <v>3/2</v>
      </c>
      <c r="AI204" s="32" t="str">
        <f t="shared" si="249"/>
        <v>더포레스트힐</v>
      </c>
      <c r="AJ204" s="21">
        <f t="shared" si="248"/>
        <v>33</v>
      </c>
      <c r="AK204" s="13" t="str">
        <f t="shared" si="239"/>
        <v>A-</v>
      </c>
      <c r="AL204" s="13"/>
      <c r="AM204" s="13"/>
      <c r="AN204" s="13"/>
      <c r="AO204" s="13" t="str">
        <f t="shared" si="240"/>
        <v>C</v>
      </c>
      <c r="AP204" s="13" t="str">
        <f t="shared" si="241"/>
        <v>X</v>
      </c>
      <c r="AQ204" s="13" t="str">
        <f t="shared" si="242"/>
        <v>X</v>
      </c>
      <c r="AR204" s="13" t="str">
        <f t="shared" si="243"/>
        <v>X</v>
      </c>
      <c r="AS204" s="13" t="str">
        <f t="shared" si="244"/>
        <v>X</v>
      </c>
      <c r="AT204" s="13" t="s">
        <v>32</v>
      </c>
      <c r="AU204" s="13" t="str">
        <f t="shared" si="245"/>
        <v>O</v>
      </c>
      <c r="AV204" s="13" t="str">
        <f t="shared" si="246"/>
        <v>O</v>
      </c>
      <c r="AW204" s="13" t="str">
        <f t="shared" si="247"/>
        <v>X</v>
      </c>
    </row>
    <row r="205" spans="1:49" x14ac:dyDescent="0.3">
      <c r="A205" s="5" t="s">
        <v>1590</v>
      </c>
      <c r="B205" s="14" t="s">
        <v>1591</v>
      </c>
      <c r="C205" s="25">
        <v>2044</v>
      </c>
      <c r="D205" s="23">
        <v>110.7</v>
      </c>
      <c r="E205" s="21">
        <v>33</v>
      </c>
      <c r="F205" s="23">
        <v>84.8</v>
      </c>
      <c r="G205" s="24">
        <v>26</v>
      </c>
      <c r="H205" s="25">
        <v>96</v>
      </c>
      <c r="I205" s="29">
        <v>60000</v>
      </c>
      <c r="J205" s="106" t="s">
        <v>2269</v>
      </c>
      <c r="K205" s="29">
        <v>0</v>
      </c>
      <c r="L205" s="106" t="s">
        <v>2248</v>
      </c>
      <c r="M205" s="6">
        <f t="shared" si="225"/>
        <v>60000</v>
      </c>
      <c r="N205" s="7">
        <f t="shared" si="226"/>
        <v>0</v>
      </c>
      <c r="O205" s="12">
        <f t="shared" si="227"/>
        <v>1818.1818181818182</v>
      </c>
      <c r="P205" s="12">
        <f t="shared" si="228"/>
        <v>0</v>
      </c>
      <c r="Q205" s="13">
        <v>3</v>
      </c>
      <c r="R205" s="13">
        <v>2</v>
      </c>
      <c r="S205" s="13" t="s">
        <v>51</v>
      </c>
      <c r="T205" s="8" t="s">
        <v>457</v>
      </c>
      <c r="U205" s="5"/>
      <c r="V205" s="5" t="s">
        <v>1595</v>
      </c>
      <c r="X205" s="23">
        <f t="shared" si="229"/>
        <v>110.7</v>
      </c>
      <c r="Y205" s="21">
        <f t="shared" si="230"/>
        <v>33</v>
      </c>
      <c r="Z205" s="28">
        <f t="shared" si="231"/>
        <v>96</v>
      </c>
      <c r="AA205" s="6">
        <f t="shared" si="232"/>
        <v>60000</v>
      </c>
      <c r="AB205" s="6">
        <f t="shared" si="233"/>
        <v>0</v>
      </c>
      <c r="AC205" s="6">
        <f t="shared" si="234"/>
        <v>60000</v>
      </c>
      <c r="AD205" s="7">
        <f t="shared" si="235"/>
        <v>0</v>
      </c>
      <c r="AE205" s="12">
        <f t="shared" si="236"/>
        <v>1818.1818181818182</v>
      </c>
      <c r="AF205" s="13" t="str">
        <f t="shared" si="237"/>
        <v>계</v>
      </c>
      <c r="AG205" s="13" t="str">
        <f t="shared" si="238"/>
        <v>3/2</v>
      </c>
      <c r="AI205" s="32" t="str">
        <f t="shared" si="249"/>
        <v>더포레스트힐</v>
      </c>
      <c r="AJ205" s="21">
        <f t="shared" si="248"/>
        <v>33</v>
      </c>
      <c r="AK205" s="13" t="str">
        <f t="shared" si="239"/>
        <v>A-</v>
      </c>
      <c r="AL205" s="13"/>
      <c r="AM205" s="13"/>
      <c r="AN205" s="13"/>
      <c r="AO205" s="13" t="str">
        <f t="shared" si="240"/>
        <v>C</v>
      </c>
      <c r="AP205" s="13" t="str">
        <f t="shared" si="241"/>
        <v>X</v>
      </c>
      <c r="AQ205" s="13" t="str">
        <f t="shared" si="242"/>
        <v>X</v>
      </c>
      <c r="AR205" s="13" t="str">
        <f t="shared" si="243"/>
        <v>X</v>
      </c>
      <c r="AS205" s="13" t="str">
        <f t="shared" si="244"/>
        <v>X</v>
      </c>
      <c r="AT205" s="13" t="s">
        <v>32</v>
      </c>
      <c r="AU205" s="13" t="str">
        <f t="shared" si="245"/>
        <v>O</v>
      </c>
      <c r="AV205" s="13" t="str">
        <f t="shared" si="246"/>
        <v>O</v>
      </c>
      <c r="AW205" s="13" t="str">
        <f t="shared" si="247"/>
        <v>X</v>
      </c>
    </row>
    <row r="206" spans="1:49" x14ac:dyDescent="0.3">
      <c r="A206" s="5" t="s">
        <v>1590</v>
      </c>
      <c r="B206" s="14" t="s">
        <v>1591</v>
      </c>
      <c r="C206" s="25">
        <v>2044</v>
      </c>
      <c r="D206" s="23">
        <v>111</v>
      </c>
      <c r="E206" s="21">
        <v>34</v>
      </c>
      <c r="F206" s="23">
        <v>85</v>
      </c>
      <c r="G206" s="24">
        <v>26</v>
      </c>
      <c r="H206" s="25">
        <v>75</v>
      </c>
      <c r="I206" s="29">
        <v>54000</v>
      </c>
      <c r="J206" s="106" t="s">
        <v>2251</v>
      </c>
      <c r="K206" s="29">
        <v>0</v>
      </c>
      <c r="L206" s="106" t="s">
        <v>2248</v>
      </c>
      <c r="M206" s="6">
        <f t="shared" si="225"/>
        <v>54000</v>
      </c>
      <c r="N206" s="7">
        <f t="shared" si="226"/>
        <v>0</v>
      </c>
      <c r="O206" s="12">
        <f t="shared" si="227"/>
        <v>1588.2352941176471</v>
      </c>
      <c r="P206" s="12">
        <f t="shared" si="228"/>
        <v>0</v>
      </c>
      <c r="Q206" s="13">
        <v>3</v>
      </c>
      <c r="R206" s="13">
        <v>2</v>
      </c>
      <c r="S206" s="13" t="s">
        <v>51</v>
      </c>
      <c r="T206" s="8" t="s">
        <v>663</v>
      </c>
      <c r="U206" s="5"/>
      <c r="V206" s="5" t="s">
        <v>1595</v>
      </c>
      <c r="X206" s="23">
        <f t="shared" si="229"/>
        <v>111</v>
      </c>
      <c r="Y206" s="21">
        <f t="shared" si="230"/>
        <v>34</v>
      </c>
      <c r="Z206" s="28">
        <f t="shared" si="231"/>
        <v>75</v>
      </c>
      <c r="AA206" s="6">
        <f t="shared" si="232"/>
        <v>54000</v>
      </c>
      <c r="AB206" s="6">
        <f t="shared" si="233"/>
        <v>0</v>
      </c>
      <c r="AC206" s="6">
        <f t="shared" si="234"/>
        <v>54000</v>
      </c>
      <c r="AD206" s="7">
        <f t="shared" si="235"/>
        <v>0</v>
      </c>
      <c r="AE206" s="12">
        <f t="shared" si="236"/>
        <v>1588.2352941176471</v>
      </c>
      <c r="AF206" s="13" t="str">
        <f t="shared" si="237"/>
        <v>계</v>
      </c>
      <c r="AG206" s="13" t="str">
        <f t="shared" si="238"/>
        <v>3/2</v>
      </c>
      <c r="AI206" s="32" t="str">
        <f t="shared" si="249"/>
        <v>더포레스트힐</v>
      </c>
      <c r="AJ206" s="21">
        <f t="shared" si="248"/>
        <v>34</v>
      </c>
      <c r="AK206" s="13" t="str">
        <f t="shared" si="239"/>
        <v>A-</v>
      </c>
      <c r="AL206" s="13"/>
      <c r="AM206" s="13"/>
      <c r="AN206" s="13"/>
      <c r="AO206" s="13" t="str">
        <f t="shared" si="240"/>
        <v>C</v>
      </c>
      <c r="AP206" s="13" t="str">
        <f t="shared" si="241"/>
        <v>X</v>
      </c>
      <c r="AQ206" s="13" t="str">
        <f t="shared" si="242"/>
        <v>X</v>
      </c>
      <c r="AR206" s="13" t="str">
        <f t="shared" si="243"/>
        <v>X</v>
      </c>
      <c r="AS206" s="13" t="str">
        <f t="shared" si="244"/>
        <v>X</v>
      </c>
      <c r="AT206" s="13" t="s">
        <v>32</v>
      </c>
      <c r="AU206" s="13" t="str">
        <f t="shared" si="245"/>
        <v>O</v>
      </c>
      <c r="AV206" s="13" t="str">
        <f t="shared" si="246"/>
        <v>O</v>
      </c>
      <c r="AW206" s="13" t="str">
        <f t="shared" si="247"/>
        <v>X</v>
      </c>
    </row>
    <row r="207" spans="1:49" x14ac:dyDescent="0.3">
      <c r="A207" s="5" t="s">
        <v>1590</v>
      </c>
      <c r="B207" s="14" t="s">
        <v>1591</v>
      </c>
      <c r="C207" s="25">
        <v>2044</v>
      </c>
      <c r="D207" s="23">
        <v>110.7</v>
      </c>
      <c r="E207" s="21">
        <v>33</v>
      </c>
      <c r="F207" s="23">
        <v>84.8</v>
      </c>
      <c r="G207" s="24">
        <v>26</v>
      </c>
      <c r="H207" s="25">
        <v>44</v>
      </c>
      <c r="I207" s="29">
        <v>57500</v>
      </c>
      <c r="J207" s="106" t="s">
        <v>2251</v>
      </c>
      <c r="K207" s="29">
        <v>42000</v>
      </c>
      <c r="L207" s="106" t="s">
        <v>2250</v>
      </c>
      <c r="M207" s="6">
        <f t="shared" si="225"/>
        <v>15500</v>
      </c>
      <c r="N207" s="7">
        <f t="shared" si="226"/>
        <v>0.73043478260869565</v>
      </c>
      <c r="O207" s="12">
        <f t="shared" si="227"/>
        <v>1742.4242424242425</v>
      </c>
      <c r="P207" s="12">
        <f t="shared" si="228"/>
        <v>1272.7272727272727</v>
      </c>
      <c r="Q207" s="13">
        <v>3</v>
      </c>
      <c r="R207" s="13">
        <v>2</v>
      </c>
      <c r="S207" s="13" t="s">
        <v>51</v>
      </c>
      <c r="T207" s="8" t="s">
        <v>459</v>
      </c>
      <c r="U207" s="5"/>
      <c r="V207" s="5" t="s">
        <v>1595</v>
      </c>
      <c r="X207" s="23">
        <f t="shared" si="229"/>
        <v>110.7</v>
      </c>
      <c r="Y207" s="21">
        <f t="shared" si="230"/>
        <v>33</v>
      </c>
      <c r="Z207" s="28">
        <f t="shared" si="231"/>
        <v>44</v>
      </c>
      <c r="AA207" s="6">
        <f t="shared" si="232"/>
        <v>57500</v>
      </c>
      <c r="AB207" s="6">
        <f t="shared" si="233"/>
        <v>42000</v>
      </c>
      <c r="AC207" s="6">
        <f t="shared" si="234"/>
        <v>15500</v>
      </c>
      <c r="AD207" s="7">
        <f t="shared" si="235"/>
        <v>0.73043478260869565</v>
      </c>
      <c r="AE207" s="12">
        <f t="shared" si="236"/>
        <v>1742.4242424242425</v>
      </c>
      <c r="AF207" s="13" t="str">
        <f t="shared" si="237"/>
        <v>계</v>
      </c>
      <c r="AG207" s="13" t="str">
        <f t="shared" si="238"/>
        <v>3/2</v>
      </c>
      <c r="AI207" s="32" t="str">
        <f t="shared" si="249"/>
        <v>더포레스트힐</v>
      </c>
      <c r="AJ207" s="21">
        <f t="shared" si="248"/>
        <v>33</v>
      </c>
      <c r="AK207" s="13" t="str">
        <f t="shared" si="239"/>
        <v>A-</v>
      </c>
      <c r="AL207" s="13"/>
      <c r="AM207" s="13"/>
      <c r="AN207" s="13"/>
      <c r="AO207" s="13" t="str">
        <f t="shared" si="240"/>
        <v>C</v>
      </c>
      <c r="AP207" s="13" t="str">
        <f t="shared" si="241"/>
        <v>X</v>
      </c>
      <c r="AQ207" s="13" t="str">
        <f t="shared" si="242"/>
        <v>X</v>
      </c>
      <c r="AR207" s="13" t="str">
        <f t="shared" si="243"/>
        <v>X</v>
      </c>
      <c r="AS207" s="13" t="str">
        <f t="shared" si="244"/>
        <v>X</v>
      </c>
      <c r="AT207" s="13" t="s">
        <v>32</v>
      </c>
      <c r="AU207" s="13" t="str">
        <f t="shared" si="245"/>
        <v>O</v>
      </c>
      <c r="AV207" s="13" t="str">
        <f t="shared" si="246"/>
        <v>O</v>
      </c>
      <c r="AW207" s="13" t="str">
        <f t="shared" si="247"/>
        <v>X</v>
      </c>
    </row>
    <row r="208" spans="1:49" x14ac:dyDescent="0.3">
      <c r="A208" s="5" t="s">
        <v>1590</v>
      </c>
      <c r="B208" s="14" t="s">
        <v>1591</v>
      </c>
      <c r="C208" s="25">
        <v>2044</v>
      </c>
      <c r="D208" s="23">
        <v>110.7</v>
      </c>
      <c r="E208" s="21">
        <v>33</v>
      </c>
      <c r="F208" s="23">
        <v>84.8</v>
      </c>
      <c r="G208" s="24">
        <v>26</v>
      </c>
      <c r="H208" s="25">
        <v>42</v>
      </c>
      <c r="I208" s="29">
        <v>28000</v>
      </c>
      <c r="J208" s="106" t="s">
        <v>2270</v>
      </c>
      <c r="K208" s="29">
        <v>19000</v>
      </c>
      <c r="L208" s="106" t="s">
        <v>2271</v>
      </c>
      <c r="M208" s="6">
        <f t="shared" si="225"/>
        <v>9000</v>
      </c>
      <c r="N208" s="7">
        <f t="shared" si="226"/>
        <v>0.6785714285714286</v>
      </c>
      <c r="O208" s="12">
        <f t="shared" si="227"/>
        <v>848.4848484848485</v>
      </c>
      <c r="P208" s="12">
        <f t="shared" si="228"/>
        <v>575.75757575757575</v>
      </c>
      <c r="Q208" s="13">
        <v>3</v>
      </c>
      <c r="R208" s="13">
        <v>2</v>
      </c>
      <c r="S208" s="13" t="s">
        <v>51</v>
      </c>
      <c r="T208" s="8" t="s">
        <v>458</v>
      </c>
      <c r="U208" s="5"/>
      <c r="V208" s="5" t="s">
        <v>1595</v>
      </c>
      <c r="X208" s="23">
        <f t="shared" si="229"/>
        <v>110.7</v>
      </c>
      <c r="Y208" s="21">
        <f t="shared" si="230"/>
        <v>33</v>
      </c>
      <c r="Z208" s="28">
        <f t="shared" si="231"/>
        <v>42</v>
      </c>
      <c r="AA208" s="6">
        <f t="shared" si="232"/>
        <v>28000</v>
      </c>
      <c r="AB208" s="6">
        <f t="shared" si="233"/>
        <v>19000</v>
      </c>
      <c r="AC208" s="6">
        <f t="shared" si="234"/>
        <v>9000</v>
      </c>
      <c r="AD208" s="7">
        <f t="shared" si="235"/>
        <v>0.6785714285714286</v>
      </c>
      <c r="AE208" s="12">
        <f t="shared" si="236"/>
        <v>848.4848484848485</v>
      </c>
      <c r="AF208" s="13" t="str">
        <f t="shared" si="237"/>
        <v>계</v>
      </c>
      <c r="AG208" s="13" t="str">
        <f t="shared" si="238"/>
        <v>3/2</v>
      </c>
      <c r="AI208" s="32" t="str">
        <f t="shared" si="249"/>
        <v>더포레스트힐</v>
      </c>
      <c r="AJ208" s="21">
        <f t="shared" si="248"/>
        <v>33</v>
      </c>
      <c r="AK208" s="13" t="str">
        <f t="shared" si="239"/>
        <v>A-</v>
      </c>
      <c r="AL208" s="13"/>
      <c r="AM208" s="13"/>
      <c r="AN208" s="13"/>
      <c r="AO208" s="13" t="str">
        <f t="shared" si="240"/>
        <v>C</v>
      </c>
      <c r="AP208" s="13" t="str">
        <f t="shared" si="241"/>
        <v>X</v>
      </c>
      <c r="AQ208" s="13" t="str">
        <f t="shared" si="242"/>
        <v>O</v>
      </c>
      <c r="AR208" s="13" t="str">
        <f t="shared" si="243"/>
        <v>O</v>
      </c>
      <c r="AS208" s="13" t="str">
        <f t="shared" si="244"/>
        <v>X</v>
      </c>
      <c r="AT208" s="13" t="s">
        <v>32</v>
      </c>
      <c r="AU208" s="13" t="str">
        <f t="shared" si="245"/>
        <v>O</v>
      </c>
      <c r="AV208" s="13" t="str">
        <f t="shared" si="246"/>
        <v>O</v>
      </c>
      <c r="AW208" s="13" t="str">
        <f t="shared" si="247"/>
        <v>X</v>
      </c>
    </row>
    <row r="209" spans="1:49" x14ac:dyDescent="0.3">
      <c r="A209" s="5" t="s">
        <v>1590</v>
      </c>
      <c r="B209" s="14" t="s">
        <v>1591</v>
      </c>
      <c r="C209" s="25">
        <v>2044</v>
      </c>
      <c r="D209" s="23">
        <v>111</v>
      </c>
      <c r="E209" s="21">
        <v>34</v>
      </c>
      <c r="F209" s="23">
        <v>85</v>
      </c>
      <c r="G209" s="24">
        <v>26</v>
      </c>
      <c r="H209" s="25">
        <v>25</v>
      </c>
      <c r="I209" s="29">
        <v>52700</v>
      </c>
      <c r="J209" s="106" t="s">
        <v>2272</v>
      </c>
      <c r="K209" s="29">
        <v>30000</v>
      </c>
      <c r="L209" s="106" t="s">
        <v>2274</v>
      </c>
      <c r="M209" s="6">
        <f t="shared" si="225"/>
        <v>22700</v>
      </c>
      <c r="N209" s="7">
        <f t="shared" si="226"/>
        <v>0.56925996204933582</v>
      </c>
      <c r="O209" s="12">
        <f t="shared" si="227"/>
        <v>1550</v>
      </c>
      <c r="P209" s="12">
        <f t="shared" si="228"/>
        <v>882.35294117647061</v>
      </c>
      <c r="Q209" s="13">
        <v>3</v>
      </c>
      <c r="R209" s="13">
        <v>2</v>
      </c>
      <c r="S209" s="13" t="s">
        <v>51</v>
      </c>
      <c r="T209" s="8" t="s">
        <v>117</v>
      </c>
      <c r="U209" s="5" t="s">
        <v>2273</v>
      </c>
      <c r="V209" s="5" t="s">
        <v>1595</v>
      </c>
      <c r="X209" s="23">
        <f t="shared" si="229"/>
        <v>111</v>
      </c>
      <c r="Y209" s="21">
        <f t="shared" si="230"/>
        <v>34</v>
      </c>
      <c r="Z209" s="28">
        <f t="shared" si="231"/>
        <v>25</v>
      </c>
      <c r="AA209" s="6">
        <f t="shared" si="232"/>
        <v>52700</v>
      </c>
      <c r="AB209" s="6">
        <f t="shared" si="233"/>
        <v>30000</v>
      </c>
      <c r="AC209" s="6">
        <f t="shared" si="234"/>
        <v>22700</v>
      </c>
      <c r="AD209" s="7">
        <f t="shared" si="235"/>
        <v>0.56925996204933582</v>
      </c>
      <c r="AE209" s="12">
        <f t="shared" si="236"/>
        <v>1550</v>
      </c>
      <c r="AF209" s="13" t="str">
        <f t="shared" si="237"/>
        <v>계</v>
      </c>
      <c r="AG209" s="13" t="str">
        <f t="shared" si="238"/>
        <v>3/2</v>
      </c>
      <c r="AI209" s="32" t="str">
        <f t="shared" si="249"/>
        <v>더포레스트힐</v>
      </c>
      <c r="AJ209" s="21">
        <f t="shared" si="248"/>
        <v>34</v>
      </c>
      <c r="AK209" s="13" t="str">
        <f t="shared" si="239"/>
        <v>A-</v>
      </c>
      <c r="AL209" s="13"/>
      <c r="AM209" s="13"/>
      <c r="AN209" s="13"/>
      <c r="AO209" s="13" t="str">
        <f t="shared" si="240"/>
        <v>C</v>
      </c>
      <c r="AP209" s="13" t="str">
        <f t="shared" si="241"/>
        <v>X</v>
      </c>
      <c r="AQ209" s="13" t="str">
        <f t="shared" si="242"/>
        <v>X</v>
      </c>
      <c r="AR209" s="13" t="str">
        <f t="shared" si="243"/>
        <v>X</v>
      </c>
      <c r="AS209" s="13" t="str">
        <f t="shared" si="244"/>
        <v>X</v>
      </c>
      <c r="AT209" s="13" t="s">
        <v>32</v>
      </c>
      <c r="AU209" s="13" t="str">
        <f t="shared" si="245"/>
        <v>O</v>
      </c>
      <c r="AV209" s="13" t="str">
        <f t="shared" si="246"/>
        <v>O</v>
      </c>
      <c r="AW209" s="13" t="str">
        <f t="shared" si="247"/>
        <v>X</v>
      </c>
    </row>
    <row r="210" spans="1:49" x14ac:dyDescent="0.3">
      <c r="A210" s="5" t="s">
        <v>1590</v>
      </c>
      <c r="B210" s="14" t="s">
        <v>1591</v>
      </c>
      <c r="C210" s="25">
        <v>2044</v>
      </c>
      <c r="D210" s="23">
        <v>150.1</v>
      </c>
      <c r="E210" s="21">
        <v>45</v>
      </c>
      <c r="F210" s="23">
        <v>115</v>
      </c>
      <c r="G210" s="24">
        <v>35</v>
      </c>
      <c r="H210" s="25">
        <v>100</v>
      </c>
      <c r="I210" s="29">
        <v>64500</v>
      </c>
      <c r="J210" s="106" t="s">
        <v>2277</v>
      </c>
      <c r="K210" s="29">
        <v>48000</v>
      </c>
      <c r="L210" s="106" t="s">
        <v>2278</v>
      </c>
      <c r="M210" s="6">
        <f t="shared" si="225"/>
        <v>16500</v>
      </c>
      <c r="N210" s="7">
        <f t="shared" si="226"/>
        <v>0.7441860465116279</v>
      </c>
      <c r="O210" s="12">
        <f t="shared" si="227"/>
        <v>1433.3333333333333</v>
      </c>
      <c r="P210" s="12">
        <f t="shared" si="228"/>
        <v>1066.6666666666667</v>
      </c>
      <c r="Q210" s="13">
        <v>4</v>
      </c>
      <c r="R210" s="13">
        <v>2</v>
      </c>
      <c r="S210" s="13" t="s">
        <v>51</v>
      </c>
      <c r="T210" s="8" t="s">
        <v>489</v>
      </c>
      <c r="U210" s="5"/>
      <c r="V210" s="5" t="s">
        <v>1596</v>
      </c>
      <c r="X210" s="23">
        <f t="shared" si="229"/>
        <v>150.1</v>
      </c>
      <c r="Y210" s="21">
        <f t="shared" si="230"/>
        <v>45</v>
      </c>
      <c r="Z210" s="28">
        <f t="shared" si="231"/>
        <v>100</v>
      </c>
      <c r="AA210" s="6">
        <f t="shared" si="232"/>
        <v>64500</v>
      </c>
      <c r="AB210" s="6">
        <f t="shared" si="233"/>
        <v>48000</v>
      </c>
      <c r="AC210" s="6">
        <f t="shared" si="234"/>
        <v>16500</v>
      </c>
      <c r="AD210" s="7">
        <f t="shared" si="235"/>
        <v>0.7441860465116279</v>
      </c>
      <c r="AE210" s="12">
        <f t="shared" si="236"/>
        <v>1433.3333333333333</v>
      </c>
      <c r="AF210" s="13" t="str">
        <f t="shared" si="237"/>
        <v>계</v>
      </c>
      <c r="AG210" s="13" t="str">
        <f t="shared" si="238"/>
        <v>4/2</v>
      </c>
      <c r="AI210" s="32" t="str">
        <f t="shared" si="249"/>
        <v>더포레스트힐</v>
      </c>
      <c r="AJ210" s="21">
        <f t="shared" si="248"/>
        <v>45</v>
      </c>
      <c r="AK210" s="13" t="str">
        <f t="shared" si="239"/>
        <v>A-</v>
      </c>
      <c r="AL210" s="13"/>
      <c r="AM210" s="13"/>
      <c r="AN210" s="13"/>
      <c r="AO210" s="13" t="str">
        <f t="shared" si="240"/>
        <v>C</v>
      </c>
      <c r="AP210" s="13" t="str">
        <f t="shared" si="241"/>
        <v>X</v>
      </c>
      <c r="AQ210" s="13" t="str">
        <f t="shared" si="242"/>
        <v>X</v>
      </c>
      <c r="AR210" s="13" t="str">
        <f t="shared" si="243"/>
        <v>X</v>
      </c>
      <c r="AS210" s="13" t="str">
        <f t="shared" si="244"/>
        <v>X</v>
      </c>
      <c r="AT210" s="13" t="s">
        <v>32</v>
      </c>
      <c r="AU210" s="13" t="str">
        <f t="shared" si="245"/>
        <v>X</v>
      </c>
      <c r="AV210" s="13" t="str">
        <f t="shared" si="246"/>
        <v>O</v>
      </c>
      <c r="AW210" s="13" t="str">
        <f t="shared" si="247"/>
        <v>X</v>
      </c>
    </row>
    <row r="211" spans="1:49" x14ac:dyDescent="0.3">
      <c r="A211" s="5" t="s">
        <v>1590</v>
      </c>
      <c r="B211" s="14" t="s">
        <v>1591</v>
      </c>
      <c r="C211" s="25">
        <v>2044</v>
      </c>
      <c r="D211" s="23">
        <v>150.1</v>
      </c>
      <c r="E211" s="21">
        <v>45</v>
      </c>
      <c r="F211" s="23">
        <v>115</v>
      </c>
      <c r="G211" s="24">
        <v>35</v>
      </c>
      <c r="H211" s="25">
        <v>50</v>
      </c>
      <c r="I211" s="29">
        <v>61000</v>
      </c>
      <c r="J211" s="106" t="s">
        <v>2280</v>
      </c>
      <c r="K211" s="29">
        <v>48000</v>
      </c>
      <c r="L211" s="106" t="s">
        <v>2279</v>
      </c>
      <c r="M211" s="6">
        <f t="shared" si="225"/>
        <v>13000</v>
      </c>
      <c r="N211" s="7">
        <f t="shared" si="226"/>
        <v>0.78688524590163933</v>
      </c>
      <c r="O211" s="12">
        <f t="shared" si="227"/>
        <v>1355.5555555555557</v>
      </c>
      <c r="P211" s="12">
        <f t="shared" si="228"/>
        <v>1066.6666666666667</v>
      </c>
      <c r="Q211" s="13">
        <v>4</v>
      </c>
      <c r="R211" s="13">
        <v>2</v>
      </c>
      <c r="S211" s="13" t="s">
        <v>51</v>
      </c>
      <c r="T211" s="8" t="s">
        <v>664</v>
      </c>
      <c r="U211" s="5"/>
      <c r="V211" s="5" t="s">
        <v>1596</v>
      </c>
      <c r="X211" s="23">
        <f t="shared" si="229"/>
        <v>150.1</v>
      </c>
      <c r="Y211" s="21">
        <f t="shared" si="230"/>
        <v>45</v>
      </c>
      <c r="Z211" s="28">
        <f t="shared" si="231"/>
        <v>50</v>
      </c>
      <c r="AA211" s="6">
        <f t="shared" si="232"/>
        <v>61000</v>
      </c>
      <c r="AB211" s="6">
        <f t="shared" si="233"/>
        <v>48000</v>
      </c>
      <c r="AC211" s="6">
        <f t="shared" si="234"/>
        <v>13000</v>
      </c>
      <c r="AD211" s="7">
        <f t="shared" si="235"/>
        <v>0.78688524590163933</v>
      </c>
      <c r="AE211" s="12">
        <f t="shared" si="236"/>
        <v>1355.5555555555557</v>
      </c>
      <c r="AF211" s="13" t="str">
        <f t="shared" si="237"/>
        <v>계</v>
      </c>
      <c r="AG211" s="13" t="str">
        <f t="shared" si="238"/>
        <v>4/2</v>
      </c>
      <c r="AI211" s="32" t="str">
        <f t="shared" si="249"/>
        <v>더포레스트힐</v>
      </c>
      <c r="AJ211" s="21">
        <f t="shared" si="248"/>
        <v>45</v>
      </c>
      <c r="AK211" s="13" t="str">
        <f t="shared" si="239"/>
        <v>A-</v>
      </c>
      <c r="AL211" s="13"/>
      <c r="AM211" s="13"/>
      <c r="AN211" s="13"/>
      <c r="AO211" s="13" t="str">
        <f t="shared" si="240"/>
        <v>C</v>
      </c>
      <c r="AP211" s="13" t="str">
        <f t="shared" si="241"/>
        <v>X</v>
      </c>
      <c r="AQ211" s="13" t="str">
        <f t="shared" si="242"/>
        <v>X</v>
      </c>
      <c r="AR211" s="13" t="str">
        <f t="shared" si="243"/>
        <v>X</v>
      </c>
      <c r="AS211" s="13" t="str">
        <f t="shared" si="244"/>
        <v>X</v>
      </c>
      <c r="AT211" s="13" t="s">
        <v>32</v>
      </c>
      <c r="AU211" s="13" t="str">
        <f t="shared" si="245"/>
        <v>X</v>
      </c>
      <c r="AV211" s="13" t="str">
        <f t="shared" si="246"/>
        <v>O</v>
      </c>
      <c r="AW211" s="13" t="str">
        <f t="shared" si="247"/>
        <v>X</v>
      </c>
    </row>
    <row r="212" spans="1:49" x14ac:dyDescent="0.3">
      <c r="A212" s="5"/>
      <c r="B212" s="13"/>
      <c r="C212" s="9"/>
      <c r="D212" s="5"/>
      <c r="E212" s="18"/>
      <c r="F212" s="23"/>
      <c r="G212" s="5"/>
      <c r="H212" s="5"/>
      <c r="I212" s="5"/>
      <c r="J212" s="8"/>
      <c r="K212" s="5"/>
      <c r="L212" s="8"/>
      <c r="M212" s="5"/>
      <c r="N212" s="5"/>
      <c r="O212" s="12"/>
      <c r="P212" s="12"/>
      <c r="Q212" s="21"/>
      <c r="R212" s="21"/>
      <c r="S212" s="5"/>
      <c r="T212" s="59"/>
      <c r="U212" s="5"/>
      <c r="V212" s="5"/>
      <c r="X212" s="90" t="str">
        <f>$A$4&amp;" "&amp;A213&amp;"("&amp;B213&amp;","&amp;C213&amp;"^)"</f>
        <v>비산동 관악(부영)('93.1,796^)</v>
      </c>
      <c r="Y212" s="91"/>
      <c r="Z212" s="91"/>
      <c r="AA212" s="91"/>
      <c r="AB212" s="91"/>
      <c r="AC212" s="91"/>
      <c r="AD212" s="91"/>
      <c r="AE212" s="91"/>
      <c r="AF212" s="91"/>
      <c r="AG212" s="92"/>
      <c r="AI212" s="32" t="str">
        <f t="shared" si="249"/>
        <v/>
      </c>
      <c r="AJ212" s="33" t="str">
        <f t="shared" si="248"/>
        <v/>
      </c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</row>
    <row r="213" spans="1:49" x14ac:dyDescent="0.3">
      <c r="A213" s="5" t="s">
        <v>1597</v>
      </c>
      <c r="B213" s="14" t="s">
        <v>1598</v>
      </c>
      <c r="C213" s="25">
        <v>796</v>
      </c>
      <c r="D213" s="23">
        <v>85</v>
      </c>
      <c r="E213" s="21">
        <v>26</v>
      </c>
      <c r="F213" s="23">
        <v>59.4</v>
      </c>
      <c r="G213" s="24">
        <v>18</v>
      </c>
      <c r="H213" s="25">
        <v>264</v>
      </c>
      <c r="I213" s="29">
        <v>58000</v>
      </c>
      <c r="J213" s="106" t="s">
        <v>2252</v>
      </c>
      <c r="K213" s="29">
        <v>33000</v>
      </c>
      <c r="L213" s="106" t="s">
        <v>2252</v>
      </c>
      <c r="M213" s="6">
        <f>I213-K213</f>
        <v>25000</v>
      </c>
      <c r="N213" s="7">
        <f>IF(ISERROR(K213/I213),"",K213/I213)</f>
        <v>0.56896551724137934</v>
      </c>
      <c r="O213" s="12">
        <f>I213/E213</f>
        <v>2230.7692307692309</v>
      </c>
      <c r="P213" s="12">
        <f>K213/E213</f>
        <v>1269.2307692307693</v>
      </c>
      <c r="Q213" s="13">
        <v>3</v>
      </c>
      <c r="R213" s="13">
        <v>1</v>
      </c>
      <c r="S213" s="13" t="s">
        <v>1356</v>
      </c>
      <c r="T213" s="8">
        <v>85</v>
      </c>
      <c r="U213" s="5"/>
      <c r="V213" s="5" t="s">
        <v>1599</v>
      </c>
      <c r="X213" s="23">
        <f>D213</f>
        <v>85</v>
      </c>
      <c r="Y213" s="21">
        <f>E213</f>
        <v>26</v>
      </c>
      <c r="Z213" s="28">
        <f>H213</f>
        <v>264</v>
      </c>
      <c r="AA213" s="6">
        <f>I213</f>
        <v>58000</v>
      </c>
      <c r="AB213" s="6">
        <f>K213</f>
        <v>33000</v>
      </c>
      <c r="AC213" s="6">
        <f t="shared" ref="AC213:AE214" si="250">M213</f>
        <v>25000</v>
      </c>
      <c r="AD213" s="7">
        <f t="shared" si="250"/>
        <v>0.56896551724137934</v>
      </c>
      <c r="AE213" s="12">
        <f t="shared" si="250"/>
        <v>2230.7692307692309</v>
      </c>
      <c r="AF213" s="13" t="str">
        <f>S213</f>
        <v>복</v>
      </c>
      <c r="AG213" s="13" t="str">
        <f>Q213&amp;"/"&amp;R213</f>
        <v>3/1</v>
      </c>
      <c r="AI213" s="32" t="str">
        <f t="shared" si="249"/>
        <v>관악(부영)</v>
      </c>
      <c r="AJ213" s="21">
        <f t="shared" si="248"/>
        <v>26</v>
      </c>
      <c r="AK213" s="13" t="str">
        <f>IF(AJ213="","",$AK$2)</f>
        <v>A-</v>
      </c>
      <c r="AL213" s="13"/>
      <c r="AM213" s="13"/>
      <c r="AN213" s="13"/>
      <c r="AO213" s="13" t="str">
        <f>IF(AJ213="","",$AO$2)</f>
        <v>C</v>
      </c>
      <c r="AP213" s="13" t="str">
        <f>IF(N213="","",IF(N213&gt;=$AP$1/100,"O","X"))</f>
        <v>X</v>
      </c>
      <c r="AQ213" s="13" t="str">
        <f>IF(I213="","",IF(I213&lt;=$AQ$1,"O","X"))</f>
        <v>X</v>
      </c>
      <c r="AR213" s="13" t="str">
        <f>IF(O213="","",IF(O213&lt;=$AR$1,"O","X"))</f>
        <v>X</v>
      </c>
      <c r="AS213" s="13" t="str">
        <f>IF(M213="","",IF(M213&lt;=$AS$1,"O","X"))</f>
        <v>X</v>
      </c>
      <c r="AT213" s="13" t="s">
        <v>32</v>
      </c>
      <c r="AU213" s="13" t="str">
        <f>IF(OR(F213="",AJ213=""),"",IF(AND((F213&lt;=85),(AJ213&gt;=15)),"O","X"))</f>
        <v>O</v>
      </c>
      <c r="AV213" s="13" t="str">
        <f>IF(C213="","",IF(C213&gt;=$AV$1,"O","X"))</f>
        <v>O</v>
      </c>
      <c r="AW213" s="13" t="str">
        <f>IF(AP213="","",IF(AND(AP213="O",AQ213="O",AS213="O",AU213="O",AV213="O"),"후보","X"))</f>
        <v>X</v>
      </c>
    </row>
    <row r="214" spans="1:49" x14ac:dyDescent="0.3">
      <c r="A214" s="5" t="s">
        <v>1597</v>
      </c>
      <c r="B214" s="14" t="s">
        <v>1598</v>
      </c>
      <c r="C214" s="25">
        <v>796</v>
      </c>
      <c r="D214" s="23">
        <v>103.9</v>
      </c>
      <c r="E214" s="21">
        <v>31</v>
      </c>
      <c r="F214" s="23">
        <v>84.6</v>
      </c>
      <c r="G214" s="24">
        <v>26</v>
      </c>
      <c r="H214" s="25">
        <v>532</v>
      </c>
      <c r="I214" s="29">
        <v>70000</v>
      </c>
      <c r="J214" s="106" t="s">
        <v>2252</v>
      </c>
      <c r="K214" s="29">
        <v>45000</v>
      </c>
      <c r="L214" s="106" t="s">
        <v>2255</v>
      </c>
      <c r="M214" s="6">
        <f>I214-K214</f>
        <v>25000</v>
      </c>
      <c r="N214" s="7">
        <f>IF(ISERROR(K214/I214),"",K214/I214)</f>
        <v>0.6428571428571429</v>
      </c>
      <c r="O214" s="12">
        <f>I214/E214</f>
        <v>2258.0645161290322</v>
      </c>
      <c r="P214" s="12">
        <f>K214/E214</f>
        <v>1451.6129032258063</v>
      </c>
      <c r="Q214" s="13">
        <v>3</v>
      </c>
      <c r="R214" s="13">
        <v>2</v>
      </c>
      <c r="S214" s="13" t="s">
        <v>51</v>
      </c>
      <c r="T214" s="8">
        <v>103</v>
      </c>
      <c r="U214" s="5"/>
      <c r="V214" s="5" t="s">
        <v>1600</v>
      </c>
      <c r="X214" s="23">
        <f>D214</f>
        <v>103.9</v>
      </c>
      <c r="Y214" s="21">
        <f>E214</f>
        <v>31</v>
      </c>
      <c r="Z214" s="28">
        <f>H214</f>
        <v>532</v>
      </c>
      <c r="AA214" s="6">
        <f>I214</f>
        <v>70000</v>
      </c>
      <c r="AB214" s="6">
        <f>K214</f>
        <v>45000</v>
      </c>
      <c r="AC214" s="6">
        <f t="shared" si="250"/>
        <v>25000</v>
      </c>
      <c r="AD214" s="7">
        <f t="shared" si="250"/>
        <v>0.6428571428571429</v>
      </c>
      <c r="AE214" s="12">
        <f t="shared" si="250"/>
        <v>2258.0645161290322</v>
      </c>
      <c r="AF214" s="13" t="str">
        <f>S214</f>
        <v>계</v>
      </c>
      <c r="AG214" s="13" t="str">
        <f>Q214&amp;"/"&amp;R214</f>
        <v>3/2</v>
      </c>
      <c r="AI214" s="32" t="str">
        <f t="shared" si="249"/>
        <v>관악(부영)</v>
      </c>
      <c r="AJ214" s="21">
        <f t="shared" si="248"/>
        <v>31</v>
      </c>
      <c r="AK214" s="13" t="str">
        <f>IF(AJ214="","",$AK$2)</f>
        <v>A-</v>
      </c>
      <c r="AL214" s="13"/>
      <c r="AM214" s="13"/>
      <c r="AN214" s="13"/>
      <c r="AO214" s="13" t="str">
        <f>IF(AJ214="","",$AO$2)</f>
        <v>C</v>
      </c>
      <c r="AP214" s="13" t="str">
        <f>IF(N214="","",IF(N214&gt;=$AP$1/100,"O","X"))</f>
        <v>X</v>
      </c>
      <c r="AQ214" s="13" t="str">
        <f>IF(I214="","",IF(I214&lt;=$AQ$1,"O","X"))</f>
        <v>X</v>
      </c>
      <c r="AR214" s="13" t="str">
        <f>IF(O214="","",IF(O214&lt;=$AR$1,"O","X"))</f>
        <v>X</v>
      </c>
      <c r="AS214" s="13" t="str">
        <f>IF(M214="","",IF(M214&lt;=$AS$1,"O","X"))</f>
        <v>X</v>
      </c>
      <c r="AT214" s="13" t="s">
        <v>32</v>
      </c>
      <c r="AU214" s="13" t="str">
        <f>IF(OR(F214="",AJ214=""),"",IF(AND((F214&lt;=85),(AJ214&gt;=15)),"O","X"))</f>
        <v>O</v>
      </c>
      <c r="AV214" s="13" t="str">
        <f>IF(C214="","",IF(C214&gt;=$AV$1,"O","X"))</f>
        <v>O</v>
      </c>
      <c r="AW214" s="13" t="str">
        <f>IF(AP214="","",IF(AND(AP214="O",AQ214="O",AS214="O",AU214="O",AV214="O"),"후보","X"))</f>
        <v>X</v>
      </c>
    </row>
    <row r="215" spans="1:49" x14ac:dyDescent="0.3">
      <c r="A215" s="5"/>
      <c r="B215" s="13"/>
      <c r="C215" s="9"/>
      <c r="D215" s="5"/>
      <c r="E215" s="18"/>
      <c r="F215" s="23"/>
      <c r="G215" s="5"/>
      <c r="H215" s="5"/>
      <c r="I215" s="5"/>
      <c r="J215" s="8"/>
      <c r="K215" s="5"/>
      <c r="L215" s="8"/>
      <c r="M215" s="5"/>
      <c r="N215" s="5"/>
      <c r="O215" s="12"/>
      <c r="P215" s="12"/>
      <c r="Q215" s="21"/>
      <c r="R215" s="21"/>
      <c r="S215" s="5"/>
      <c r="T215" s="59"/>
      <c r="U215" s="5"/>
      <c r="V215" s="5"/>
      <c r="X215" s="90" t="str">
        <f>$A$4&amp;" "&amp;A216&amp;"("&amp;B216&amp;","&amp;C216&amp;"^)"</f>
        <v>비산동 샛별한양1단지('93.03,1262^)</v>
      </c>
      <c r="Y215" s="91"/>
      <c r="Z215" s="91"/>
      <c r="AA215" s="91"/>
      <c r="AB215" s="91"/>
      <c r="AC215" s="91"/>
      <c r="AD215" s="91"/>
      <c r="AE215" s="91"/>
      <c r="AF215" s="91"/>
      <c r="AG215" s="92"/>
      <c r="AI215" s="32" t="str">
        <f t="shared" si="249"/>
        <v/>
      </c>
      <c r="AJ215" s="33" t="str">
        <f t="shared" si="248"/>
        <v/>
      </c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</row>
    <row r="216" spans="1:49" x14ac:dyDescent="0.3">
      <c r="A216" s="5" t="s">
        <v>1601</v>
      </c>
      <c r="B216" s="14" t="s">
        <v>1409</v>
      </c>
      <c r="C216" s="25">
        <v>1262</v>
      </c>
      <c r="D216" s="23">
        <v>46.9</v>
      </c>
      <c r="E216" s="21">
        <v>14</v>
      </c>
      <c r="F216" s="23">
        <v>35.1</v>
      </c>
      <c r="G216" s="24">
        <v>11</v>
      </c>
      <c r="H216" s="25">
        <v>150</v>
      </c>
      <c r="I216" s="29">
        <v>33000</v>
      </c>
      <c r="J216" s="106" t="s">
        <v>2268</v>
      </c>
      <c r="K216" s="29">
        <v>0</v>
      </c>
      <c r="L216" s="106" t="s">
        <v>2248</v>
      </c>
      <c r="M216" s="6">
        <f>I216-K216</f>
        <v>33000</v>
      </c>
      <c r="N216" s="7">
        <f>IF(ISERROR(K216/I216),"",K216/I216)</f>
        <v>0</v>
      </c>
      <c r="O216" s="12">
        <f>I216/E216</f>
        <v>2357.1428571428573</v>
      </c>
      <c r="P216" s="12">
        <f>K216/E216</f>
        <v>0</v>
      </c>
      <c r="Q216" s="13">
        <v>2</v>
      </c>
      <c r="R216" s="13">
        <v>1</v>
      </c>
      <c r="S216" s="13" t="s">
        <v>1356</v>
      </c>
      <c r="T216" s="8">
        <v>46</v>
      </c>
      <c r="U216" s="5"/>
      <c r="V216" s="5" t="s">
        <v>1602</v>
      </c>
      <c r="X216" s="23">
        <f t="shared" ref="X216:Y218" si="251">D216</f>
        <v>46.9</v>
      </c>
      <c r="Y216" s="21">
        <f t="shared" si="251"/>
        <v>14</v>
      </c>
      <c r="Z216" s="28">
        <f t="shared" ref="Z216:AA218" si="252">H216</f>
        <v>150</v>
      </c>
      <c r="AA216" s="6">
        <f t="shared" si="252"/>
        <v>33000</v>
      </c>
      <c r="AB216" s="6">
        <f>K216</f>
        <v>0</v>
      </c>
      <c r="AC216" s="6">
        <f t="shared" ref="AC216:AE218" si="253">M216</f>
        <v>33000</v>
      </c>
      <c r="AD216" s="7">
        <f t="shared" si="253"/>
        <v>0</v>
      </c>
      <c r="AE216" s="12">
        <f t="shared" si="253"/>
        <v>2357.1428571428573</v>
      </c>
      <c r="AF216" s="13" t="str">
        <f>S216</f>
        <v>복</v>
      </c>
      <c r="AG216" s="13" t="str">
        <f>Q216&amp;"/"&amp;R216</f>
        <v>2/1</v>
      </c>
      <c r="AI216" s="32" t="str">
        <f t="shared" si="249"/>
        <v>샛별한양1단지</v>
      </c>
      <c r="AJ216" s="21">
        <f t="shared" si="248"/>
        <v>14</v>
      </c>
      <c r="AK216" s="13" t="str">
        <f>IF(AJ216="","",$AK$2)</f>
        <v>A-</v>
      </c>
      <c r="AL216" s="13"/>
      <c r="AM216" s="13"/>
      <c r="AN216" s="13"/>
      <c r="AO216" s="13" t="str">
        <f>IF(AJ216="","",$AO$2)</f>
        <v>C</v>
      </c>
      <c r="AP216" s="13" t="str">
        <f>IF(N216="","",IF(N216&gt;=$AP$1/100,"O","X"))</f>
        <v>X</v>
      </c>
      <c r="AQ216" s="13" t="str">
        <f>IF(I216="","",IF(I216&lt;=$AQ$1,"O","X"))</f>
        <v>O</v>
      </c>
      <c r="AR216" s="13" t="str">
        <f>IF(O216="","",IF(O216&lt;=$AR$1,"O","X"))</f>
        <v>X</v>
      </c>
      <c r="AS216" s="13" t="str">
        <f>IF(M216="","",IF(M216&lt;=$AS$1,"O","X"))</f>
        <v>X</v>
      </c>
      <c r="AT216" s="13" t="s">
        <v>32</v>
      </c>
      <c r="AU216" s="13" t="str">
        <f>IF(OR(F216="",AJ216=""),"",IF(AND((F216&lt;=85),(AJ216&gt;=15)),"O","X"))</f>
        <v>X</v>
      </c>
      <c r="AV216" s="13" t="str">
        <f>IF(C216="","",IF(C216&gt;=$AV$1,"O","X"))</f>
        <v>O</v>
      </c>
      <c r="AW216" s="13" t="str">
        <f>IF(AP216="","",IF(AND(AP216="O",AQ216="O",AS216="O",AU216="O",AV216="O"),"후보","X"))</f>
        <v>X</v>
      </c>
    </row>
    <row r="217" spans="1:49" x14ac:dyDescent="0.3">
      <c r="A217" s="5" t="s">
        <v>1601</v>
      </c>
      <c r="B217" s="14" t="s">
        <v>1409</v>
      </c>
      <c r="C217" s="25">
        <v>1262</v>
      </c>
      <c r="D217" s="23">
        <v>56</v>
      </c>
      <c r="E217" s="21">
        <v>17</v>
      </c>
      <c r="F217" s="23">
        <v>41.3</v>
      </c>
      <c r="G217" s="24">
        <v>12</v>
      </c>
      <c r="H217" s="25">
        <v>392</v>
      </c>
      <c r="I217" s="29">
        <v>42000</v>
      </c>
      <c r="J217" s="106" t="s">
        <v>2252</v>
      </c>
      <c r="K217" s="29">
        <v>21000</v>
      </c>
      <c r="L217" s="106" t="s">
        <v>2269</v>
      </c>
      <c r="M217" s="6">
        <f>I217-K217</f>
        <v>21000</v>
      </c>
      <c r="N217" s="7">
        <f>IF(ISERROR(K217/I217),"",K217/I217)</f>
        <v>0.5</v>
      </c>
      <c r="O217" s="12">
        <f>I217/E217</f>
        <v>2470.5882352941176</v>
      </c>
      <c r="P217" s="12">
        <f>K217/E217</f>
        <v>1235.2941176470588</v>
      </c>
      <c r="Q217" s="13">
        <v>2</v>
      </c>
      <c r="R217" s="13">
        <v>1</v>
      </c>
      <c r="S217" s="13" t="s">
        <v>1356</v>
      </c>
      <c r="T217" s="8" t="s">
        <v>681</v>
      </c>
      <c r="U217" s="5"/>
      <c r="V217" s="5" t="s">
        <v>1603</v>
      </c>
      <c r="X217" s="23">
        <f t="shared" si="251"/>
        <v>56</v>
      </c>
      <c r="Y217" s="21">
        <f t="shared" si="251"/>
        <v>17</v>
      </c>
      <c r="Z217" s="28">
        <f t="shared" si="252"/>
        <v>392</v>
      </c>
      <c r="AA217" s="6">
        <f t="shared" si="252"/>
        <v>42000</v>
      </c>
      <c r="AB217" s="6">
        <f>K217</f>
        <v>21000</v>
      </c>
      <c r="AC217" s="6">
        <f t="shared" si="253"/>
        <v>21000</v>
      </c>
      <c r="AD217" s="7">
        <f t="shared" si="253"/>
        <v>0.5</v>
      </c>
      <c r="AE217" s="12">
        <f t="shared" si="253"/>
        <v>2470.5882352941176</v>
      </c>
      <c r="AF217" s="13" t="str">
        <f>S217</f>
        <v>복</v>
      </c>
      <c r="AG217" s="13" t="str">
        <f>Q217&amp;"/"&amp;R217</f>
        <v>2/1</v>
      </c>
      <c r="AI217" s="32" t="str">
        <f t="shared" si="249"/>
        <v>샛별한양1단지</v>
      </c>
      <c r="AJ217" s="21">
        <f t="shared" si="248"/>
        <v>17</v>
      </c>
      <c r="AK217" s="13" t="str">
        <f>IF(AJ217="","",$AK$2)</f>
        <v>A-</v>
      </c>
      <c r="AL217" s="13"/>
      <c r="AM217" s="13"/>
      <c r="AN217" s="13"/>
      <c r="AO217" s="13" t="str">
        <f>IF(AJ217="","",$AO$2)</f>
        <v>C</v>
      </c>
      <c r="AP217" s="13" t="str">
        <f>IF(N217="","",IF(N217&gt;=$AP$1/100,"O","X"))</f>
        <v>X</v>
      </c>
      <c r="AQ217" s="13" t="str">
        <f>IF(I217="","",IF(I217&lt;=$AQ$1,"O","X"))</f>
        <v>O</v>
      </c>
      <c r="AR217" s="13" t="str">
        <f>IF(O217="","",IF(O217&lt;=$AR$1,"O","X"))</f>
        <v>X</v>
      </c>
      <c r="AS217" s="13" t="str">
        <f>IF(M217="","",IF(M217&lt;=$AS$1,"O","X"))</f>
        <v>X</v>
      </c>
      <c r="AT217" s="13" t="s">
        <v>32</v>
      </c>
      <c r="AU217" s="13" t="str">
        <f>IF(OR(F217="",AJ217=""),"",IF(AND((F217&lt;=85),(AJ217&gt;=15)),"O","X"))</f>
        <v>O</v>
      </c>
      <c r="AV217" s="13" t="str">
        <f>IF(C217="","",IF(C217&gt;=$AV$1,"O","X"))</f>
        <v>O</v>
      </c>
      <c r="AW217" s="13" t="str">
        <f>IF(AP217="","",IF(AND(AP217="O",AQ217="O",AS217="O",AU217="O",AV217="O"),"후보","X"))</f>
        <v>X</v>
      </c>
    </row>
    <row r="218" spans="1:49" x14ac:dyDescent="0.3">
      <c r="A218" s="5" t="s">
        <v>1601</v>
      </c>
      <c r="B218" s="14" t="s">
        <v>1409</v>
      </c>
      <c r="C218" s="25">
        <v>1262</v>
      </c>
      <c r="D218" s="23">
        <v>57.5</v>
      </c>
      <c r="E218" s="21">
        <v>17</v>
      </c>
      <c r="F218" s="23">
        <v>42.6</v>
      </c>
      <c r="G218" s="24">
        <v>13</v>
      </c>
      <c r="H218" s="25">
        <v>720</v>
      </c>
      <c r="I218" s="29">
        <v>35000</v>
      </c>
      <c r="J218" s="106" t="s">
        <v>2268</v>
      </c>
      <c r="K218" s="29">
        <v>22000</v>
      </c>
      <c r="L218" s="106" t="s">
        <v>2254</v>
      </c>
      <c r="M218" s="6">
        <f>I218-K218</f>
        <v>13000</v>
      </c>
      <c r="N218" s="7">
        <f>IF(ISERROR(K218/I218),"",K218/I218)</f>
        <v>0.62857142857142856</v>
      </c>
      <c r="O218" s="12">
        <f>I218/E218</f>
        <v>2058.8235294117649</v>
      </c>
      <c r="P218" s="12">
        <f>K218/E218</f>
        <v>1294.1176470588234</v>
      </c>
      <c r="Q218" s="13">
        <v>2</v>
      </c>
      <c r="R218" s="13">
        <v>1</v>
      </c>
      <c r="S218" s="13" t="s">
        <v>1356</v>
      </c>
      <c r="T218" s="8" t="s">
        <v>682</v>
      </c>
      <c r="U218" s="5"/>
      <c r="V218" s="5" t="s">
        <v>1604</v>
      </c>
      <c r="X218" s="23">
        <f t="shared" si="251"/>
        <v>57.5</v>
      </c>
      <c r="Y218" s="21">
        <f t="shared" si="251"/>
        <v>17</v>
      </c>
      <c r="Z218" s="28">
        <f t="shared" si="252"/>
        <v>720</v>
      </c>
      <c r="AA218" s="6">
        <f t="shared" si="252"/>
        <v>35000</v>
      </c>
      <c r="AB218" s="6">
        <f>K218</f>
        <v>22000</v>
      </c>
      <c r="AC218" s="6">
        <f t="shared" si="253"/>
        <v>13000</v>
      </c>
      <c r="AD218" s="7">
        <f t="shared" si="253"/>
        <v>0.62857142857142856</v>
      </c>
      <c r="AE218" s="12">
        <f t="shared" si="253"/>
        <v>2058.8235294117649</v>
      </c>
      <c r="AF218" s="13" t="str">
        <f>S218</f>
        <v>복</v>
      </c>
      <c r="AG218" s="13" t="str">
        <f>Q218&amp;"/"&amp;R218</f>
        <v>2/1</v>
      </c>
      <c r="AI218" s="32" t="str">
        <f t="shared" si="249"/>
        <v>샛별한양1단지</v>
      </c>
      <c r="AJ218" s="21">
        <f t="shared" si="248"/>
        <v>17</v>
      </c>
      <c r="AK218" s="13" t="str">
        <f>IF(AJ218="","",$AK$2)</f>
        <v>A-</v>
      </c>
      <c r="AL218" s="13"/>
      <c r="AM218" s="13"/>
      <c r="AN218" s="13"/>
      <c r="AO218" s="13" t="str">
        <f>IF(AJ218="","",$AO$2)</f>
        <v>C</v>
      </c>
      <c r="AP218" s="13" t="str">
        <f>IF(N218="","",IF(N218&gt;=$AP$1/100,"O","X"))</f>
        <v>X</v>
      </c>
      <c r="AQ218" s="13" t="str">
        <f>IF(I218="","",IF(I218&lt;=$AQ$1,"O","X"))</f>
        <v>O</v>
      </c>
      <c r="AR218" s="13" t="str">
        <f>IF(O218="","",IF(O218&lt;=$AR$1,"O","X"))</f>
        <v>X</v>
      </c>
      <c r="AS218" s="13" t="str">
        <f>IF(M218="","",IF(M218&lt;=$AS$1,"O","X"))</f>
        <v>X</v>
      </c>
      <c r="AT218" s="13" t="s">
        <v>32</v>
      </c>
      <c r="AU218" s="13" t="str">
        <f>IF(OR(F218="",AJ218=""),"",IF(AND((F218&lt;=85),(AJ218&gt;=15)),"O","X"))</f>
        <v>O</v>
      </c>
      <c r="AV218" s="13" t="str">
        <f>IF(C218="","",IF(C218&gt;=$AV$1,"O","X"))</f>
        <v>O</v>
      </c>
      <c r="AW218" s="13" t="str">
        <f>IF(AP218="","",IF(AND(AP218="O",AQ218="O",AS218="O",AU218="O",AV218="O"),"후보","X"))</f>
        <v>X</v>
      </c>
    </row>
    <row r="219" spans="1:49" x14ac:dyDescent="0.3">
      <c r="A219" s="5"/>
      <c r="B219" s="13"/>
      <c r="C219" s="9"/>
      <c r="D219" s="5"/>
      <c r="E219" s="18"/>
      <c r="F219" s="23"/>
      <c r="G219" s="5"/>
      <c r="H219" s="5"/>
      <c r="I219" s="5"/>
      <c r="J219" s="8"/>
      <c r="K219" s="5"/>
      <c r="L219" s="8"/>
      <c r="M219" s="5"/>
      <c r="N219" s="5"/>
      <c r="O219" s="12"/>
      <c r="P219" s="12"/>
      <c r="Q219" s="21"/>
      <c r="R219" s="21"/>
      <c r="S219" s="5"/>
      <c r="T219" s="59"/>
      <c r="U219" s="5"/>
      <c r="V219" s="5"/>
      <c r="X219" s="90" t="str">
        <f>$A$4&amp;" "&amp;A220&amp;"("&amp;B220&amp;","&amp;C220&amp;"^)"</f>
        <v>비산동 은하수(신성)('92.11,508^)</v>
      </c>
      <c r="Y219" s="91"/>
      <c r="Z219" s="91"/>
      <c r="AA219" s="91"/>
      <c r="AB219" s="91"/>
      <c r="AC219" s="91"/>
      <c r="AD219" s="91"/>
      <c r="AE219" s="91"/>
      <c r="AF219" s="91"/>
      <c r="AG219" s="92"/>
      <c r="AI219" s="32" t="str">
        <f t="shared" si="249"/>
        <v/>
      </c>
      <c r="AJ219" s="33" t="str">
        <f t="shared" si="248"/>
        <v/>
      </c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</row>
    <row r="220" spans="1:49" x14ac:dyDescent="0.3">
      <c r="A220" s="5" t="s">
        <v>1605</v>
      </c>
      <c r="B220" s="14" t="s">
        <v>1366</v>
      </c>
      <c r="C220" s="25">
        <v>508</v>
      </c>
      <c r="D220" s="23">
        <v>74.099999999999994</v>
      </c>
      <c r="E220" s="21">
        <v>22</v>
      </c>
      <c r="F220" s="23">
        <v>59.9</v>
      </c>
      <c r="G220" s="24">
        <v>18</v>
      </c>
      <c r="H220" s="25">
        <v>124</v>
      </c>
      <c r="I220" s="29">
        <v>75000</v>
      </c>
      <c r="J220" s="106" t="s">
        <v>2252</v>
      </c>
      <c r="K220" s="29">
        <v>38000</v>
      </c>
      <c r="L220" s="106" t="s">
        <v>2275</v>
      </c>
      <c r="M220" s="6">
        <f>I220-K220</f>
        <v>37000</v>
      </c>
      <c r="N220" s="7">
        <f>IF(ISERROR(K220/I220),"",K220/I220)</f>
        <v>0.50666666666666671</v>
      </c>
      <c r="O220" s="12">
        <f>I220/E220</f>
        <v>3409.090909090909</v>
      </c>
      <c r="P220" s="12">
        <f>K220/E220</f>
        <v>1727.2727272727273</v>
      </c>
      <c r="Q220" s="13">
        <v>3</v>
      </c>
      <c r="R220" s="13">
        <v>1</v>
      </c>
      <c r="S220" s="13" t="s">
        <v>51</v>
      </c>
      <c r="T220" s="8">
        <v>74</v>
      </c>
      <c r="U220" s="5"/>
      <c r="V220" s="5" t="s">
        <v>1606</v>
      </c>
      <c r="X220" s="23">
        <f>D220</f>
        <v>74.099999999999994</v>
      </c>
      <c r="Y220" s="21">
        <f>E220</f>
        <v>22</v>
      </c>
      <c r="Z220" s="28">
        <f>H220</f>
        <v>124</v>
      </c>
      <c r="AA220" s="6">
        <f>I220</f>
        <v>75000</v>
      </c>
      <c r="AB220" s="6">
        <f>K220</f>
        <v>38000</v>
      </c>
      <c r="AC220" s="6">
        <f t="shared" ref="AC220:AE221" si="254">M220</f>
        <v>37000</v>
      </c>
      <c r="AD220" s="7">
        <f t="shared" si="254"/>
        <v>0.50666666666666671</v>
      </c>
      <c r="AE220" s="12">
        <f t="shared" si="254"/>
        <v>3409.090909090909</v>
      </c>
      <c r="AF220" s="13" t="str">
        <f>S220</f>
        <v>계</v>
      </c>
      <c r="AG220" s="13" t="str">
        <f>Q220&amp;"/"&amp;R220</f>
        <v>3/1</v>
      </c>
      <c r="AI220" s="32" t="str">
        <f t="shared" si="249"/>
        <v>은하수(신성)</v>
      </c>
      <c r="AJ220" s="21">
        <f t="shared" si="248"/>
        <v>22</v>
      </c>
      <c r="AK220" s="13" t="str">
        <f>IF(AJ220="","",$AK$2)</f>
        <v>A-</v>
      </c>
      <c r="AL220" s="13"/>
      <c r="AM220" s="13"/>
      <c r="AN220" s="13"/>
      <c r="AO220" s="13" t="str">
        <f>IF(AJ220="","",$AO$2)</f>
        <v>C</v>
      </c>
      <c r="AP220" s="13" t="str">
        <f>IF(N220="","",IF(N220&gt;=$AP$1/100,"O","X"))</f>
        <v>X</v>
      </c>
      <c r="AQ220" s="13" t="str">
        <f>IF(I220="","",IF(I220&lt;=$AQ$1,"O","X"))</f>
        <v>X</v>
      </c>
      <c r="AR220" s="13" t="str">
        <f>IF(O220="","",IF(O220&lt;=$AR$1,"O","X"))</f>
        <v>X</v>
      </c>
      <c r="AS220" s="13" t="str">
        <f>IF(M220="","",IF(M220&lt;=$AS$1,"O","X"))</f>
        <v>X</v>
      </c>
      <c r="AT220" s="13" t="s">
        <v>32</v>
      </c>
      <c r="AU220" s="13" t="str">
        <f>IF(OR(F220="",AJ220=""),"",IF(AND((F220&lt;=85),(AJ220&gt;=15)),"O","X"))</f>
        <v>O</v>
      </c>
      <c r="AV220" s="13" t="str">
        <f>IF(C220="","",IF(C220&gt;=$AV$1,"O","X"))</f>
        <v>O</v>
      </c>
      <c r="AW220" s="13" t="str">
        <f>IF(AP220="","",IF(AND(AP220="O",AQ220="O",AS220="O",AU220="O",AV220="O"),"후보","X"))</f>
        <v>X</v>
      </c>
    </row>
    <row r="221" spans="1:49" x14ac:dyDescent="0.3">
      <c r="A221" s="5" t="s">
        <v>1605</v>
      </c>
      <c r="B221" s="14" t="s">
        <v>1366</v>
      </c>
      <c r="C221" s="25">
        <v>508</v>
      </c>
      <c r="D221" s="23">
        <v>104.6</v>
      </c>
      <c r="E221" s="21">
        <v>32</v>
      </c>
      <c r="F221" s="23">
        <v>84.6</v>
      </c>
      <c r="G221" s="24">
        <v>26</v>
      </c>
      <c r="H221" s="25">
        <v>384</v>
      </c>
      <c r="I221" s="29">
        <v>85000</v>
      </c>
      <c r="J221" s="106" t="s">
        <v>2269</v>
      </c>
      <c r="K221" s="29">
        <v>50000</v>
      </c>
      <c r="L221" s="106" t="s">
        <v>2276</v>
      </c>
      <c r="M221" s="6">
        <f>I221-K221</f>
        <v>35000</v>
      </c>
      <c r="N221" s="7">
        <f>IF(ISERROR(K221/I221),"",K221/I221)</f>
        <v>0.58823529411764708</v>
      </c>
      <c r="O221" s="12">
        <f>I221/E221</f>
        <v>2656.25</v>
      </c>
      <c r="P221" s="12">
        <f>K221/E221</f>
        <v>1562.5</v>
      </c>
      <c r="Q221" s="13">
        <v>3</v>
      </c>
      <c r="R221" s="13">
        <v>2</v>
      </c>
      <c r="S221" s="13" t="s">
        <v>51</v>
      </c>
      <c r="T221" s="8">
        <v>104</v>
      </c>
      <c r="U221" s="5"/>
      <c r="V221" s="5" t="s">
        <v>1607</v>
      </c>
      <c r="X221" s="23">
        <f>D221</f>
        <v>104.6</v>
      </c>
      <c r="Y221" s="21">
        <f>E221</f>
        <v>32</v>
      </c>
      <c r="Z221" s="28">
        <f>H221</f>
        <v>384</v>
      </c>
      <c r="AA221" s="6">
        <f>I221</f>
        <v>85000</v>
      </c>
      <c r="AB221" s="6">
        <f>K221</f>
        <v>50000</v>
      </c>
      <c r="AC221" s="6">
        <f t="shared" si="254"/>
        <v>35000</v>
      </c>
      <c r="AD221" s="7">
        <f t="shared" si="254"/>
        <v>0.58823529411764708</v>
      </c>
      <c r="AE221" s="12">
        <f t="shared" si="254"/>
        <v>2656.25</v>
      </c>
      <c r="AF221" s="13" t="str">
        <f>S221</f>
        <v>계</v>
      </c>
      <c r="AG221" s="13" t="str">
        <f>Q221&amp;"/"&amp;R221</f>
        <v>3/2</v>
      </c>
      <c r="AI221" s="32" t="str">
        <f t="shared" si="249"/>
        <v>은하수(신성)</v>
      </c>
      <c r="AJ221" s="21">
        <f t="shared" si="248"/>
        <v>32</v>
      </c>
      <c r="AK221" s="13" t="str">
        <f>IF(AJ221="","",$AK$2)</f>
        <v>A-</v>
      </c>
      <c r="AL221" s="13"/>
      <c r="AM221" s="13"/>
      <c r="AN221" s="13"/>
      <c r="AO221" s="13" t="str">
        <f>IF(AJ221="","",$AO$2)</f>
        <v>C</v>
      </c>
      <c r="AP221" s="13" t="str">
        <f>IF(N221="","",IF(N221&gt;=$AP$1/100,"O","X"))</f>
        <v>X</v>
      </c>
      <c r="AQ221" s="13" t="str">
        <f>IF(I221="","",IF(I221&lt;=$AQ$1,"O","X"))</f>
        <v>X</v>
      </c>
      <c r="AR221" s="13" t="str">
        <f>IF(O221="","",IF(O221&lt;=$AR$1,"O","X"))</f>
        <v>X</v>
      </c>
      <c r="AS221" s="13" t="str">
        <f>IF(M221="","",IF(M221&lt;=$AS$1,"O","X"))</f>
        <v>X</v>
      </c>
      <c r="AT221" s="13" t="s">
        <v>32</v>
      </c>
      <c r="AU221" s="13" t="str">
        <f>IF(OR(F221="",AJ221=""),"",IF(AND((F221&lt;=85),(AJ221&gt;=15)),"O","X"))</f>
        <v>O</v>
      </c>
      <c r="AV221" s="13" t="str">
        <f>IF(C221="","",IF(C221&gt;=$AV$1,"O","X"))</f>
        <v>O</v>
      </c>
      <c r="AW221" s="13" t="str">
        <f>IF(AP221="","",IF(AND(AP221="O",AQ221="O",AS221="O",AU221="O",AV221="O"),"후보","X"))</f>
        <v>X</v>
      </c>
    </row>
    <row r="222" spans="1:49" x14ac:dyDescent="0.3">
      <c r="A222" s="5"/>
      <c r="B222" s="13"/>
      <c r="C222" s="9"/>
      <c r="D222" s="5"/>
      <c r="E222" s="18"/>
      <c r="F222" s="23"/>
      <c r="G222" s="5"/>
      <c r="H222" s="5"/>
      <c r="I222" s="5"/>
      <c r="J222" s="8"/>
      <c r="K222" s="5"/>
      <c r="L222" s="8"/>
      <c r="M222" s="5"/>
      <c r="N222" s="5"/>
      <c r="O222" s="12"/>
      <c r="P222" s="12"/>
      <c r="Q222" s="21"/>
      <c r="R222" s="21"/>
      <c r="S222" s="5"/>
      <c r="T222" s="59"/>
      <c r="U222" s="5"/>
      <c r="V222" s="5"/>
      <c r="X222" s="90" t="str">
        <f>$A$4&amp;" "&amp;A223&amp;"("&amp;B223&amp;","&amp;C223&amp;"^)"</f>
        <v>비산동 샛별한양2,3단지('93.04,1482^)</v>
      </c>
      <c r="Y222" s="91"/>
      <c r="Z222" s="91"/>
      <c r="AA222" s="91"/>
      <c r="AB222" s="91"/>
      <c r="AC222" s="91"/>
      <c r="AD222" s="91"/>
      <c r="AE222" s="91"/>
      <c r="AF222" s="91"/>
      <c r="AG222" s="92"/>
      <c r="AI222" s="32" t="str">
        <f t="shared" si="249"/>
        <v/>
      </c>
      <c r="AJ222" s="33" t="str">
        <f t="shared" si="248"/>
        <v/>
      </c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</row>
    <row r="223" spans="1:49" x14ac:dyDescent="0.3">
      <c r="A223" s="5" t="s">
        <v>1608</v>
      </c>
      <c r="B223" s="14" t="s">
        <v>1609</v>
      </c>
      <c r="C223" s="25">
        <v>1482</v>
      </c>
      <c r="D223" s="23">
        <v>54.1</v>
      </c>
      <c r="E223" s="21">
        <v>16</v>
      </c>
      <c r="F223" s="23">
        <v>41.3</v>
      </c>
      <c r="G223" s="24">
        <v>12</v>
      </c>
      <c r="H223" s="25">
        <v>666</v>
      </c>
      <c r="I223" s="29">
        <v>37000</v>
      </c>
      <c r="J223" s="106" t="s">
        <v>2269</v>
      </c>
      <c r="K223" s="29">
        <v>21500</v>
      </c>
      <c r="L223" s="106" t="s">
        <v>2275</v>
      </c>
      <c r="M223" s="6">
        <f>I223-K223</f>
        <v>15500</v>
      </c>
      <c r="N223" s="7">
        <f>IF(ISERROR(K223/I223),"",K223/I223)</f>
        <v>0.58108108108108103</v>
      </c>
      <c r="O223" s="12">
        <f>I223/E223</f>
        <v>2312.5</v>
      </c>
      <c r="P223" s="12">
        <f>K223/E223</f>
        <v>1343.75</v>
      </c>
      <c r="Q223" s="13">
        <v>2</v>
      </c>
      <c r="R223" s="13">
        <v>1</v>
      </c>
      <c r="S223" s="13" t="s">
        <v>1356</v>
      </c>
      <c r="T223" s="8">
        <v>54</v>
      </c>
      <c r="U223" s="5"/>
      <c r="V223" s="5" t="s">
        <v>1610</v>
      </c>
      <c r="X223" s="23">
        <f t="shared" ref="X223:Y225" si="255">D223</f>
        <v>54.1</v>
      </c>
      <c r="Y223" s="21">
        <f t="shared" si="255"/>
        <v>16</v>
      </c>
      <c r="Z223" s="28">
        <f t="shared" ref="Z223:AA225" si="256">H223</f>
        <v>666</v>
      </c>
      <c r="AA223" s="6">
        <f t="shared" si="256"/>
        <v>37000</v>
      </c>
      <c r="AB223" s="6">
        <f>K223</f>
        <v>21500</v>
      </c>
      <c r="AC223" s="6">
        <f t="shared" ref="AC223:AE225" si="257">M223</f>
        <v>15500</v>
      </c>
      <c r="AD223" s="7">
        <f t="shared" si="257"/>
        <v>0.58108108108108103</v>
      </c>
      <c r="AE223" s="12">
        <f t="shared" si="257"/>
        <v>2312.5</v>
      </c>
      <c r="AF223" s="13" t="str">
        <f>S223</f>
        <v>복</v>
      </c>
      <c r="AG223" s="13" t="str">
        <f>Q223&amp;"/"&amp;R223</f>
        <v>2/1</v>
      </c>
      <c r="AI223" s="32" t="str">
        <f t="shared" si="249"/>
        <v>샛별한양2,3단지</v>
      </c>
      <c r="AJ223" s="21">
        <f t="shared" si="248"/>
        <v>16</v>
      </c>
      <c r="AK223" s="13" t="str">
        <f>IF(AJ223="","",$AK$2)</f>
        <v>A-</v>
      </c>
      <c r="AL223" s="13"/>
      <c r="AM223" s="13"/>
      <c r="AN223" s="13"/>
      <c r="AO223" s="13" t="str">
        <f>IF(AJ223="","",$AO$2)</f>
        <v>C</v>
      </c>
      <c r="AP223" s="13" t="str">
        <f>IF(N223="","",IF(N223&gt;=$AP$1/100,"O","X"))</f>
        <v>X</v>
      </c>
      <c r="AQ223" s="13" t="str">
        <f>IF(I223="","",IF(I223&lt;=$AQ$1,"O","X"))</f>
        <v>O</v>
      </c>
      <c r="AR223" s="13" t="str">
        <f>IF(O223="","",IF(O223&lt;=$AR$1,"O","X"))</f>
        <v>X</v>
      </c>
      <c r="AS223" s="13" t="str">
        <f>IF(M223="","",IF(M223&lt;=$AS$1,"O","X"))</f>
        <v>X</v>
      </c>
      <c r="AT223" s="13" t="s">
        <v>32</v>
      </c>
      <c r="AU223" s="13" t="str">
        <f>IF(OR(F223="",AJ223=""),"",IF(AND((F223&lt;=85),(AJ223&gt;=15)),"O","X"))</f>
        <v>O</v>
      </c>
      <c r="AV223" s="13" t="str">
        <f>IF(C223="","",IF(C223&gt;=$AV$1,"O","X"))</f>
        <v>O</v>
      </c>
      <c r="AW223" s="13" t="str">
        <f>IF(AP223="","",IF(AND(AP223="O",AQ223="O",AS223="O",AU223="O",AV223="O"),"후보","X"))</f>
        <v>X</v>
      </c>
    </row>
    <row r="224" spans="1:49" x14ac:dyDescent="0.3">
      <c r="A224" s="5" t="s">
        <v>1608</v>
      </c>
      <c r="B224" s="14" t="s">
        <v>1609</v>
      </c>
      <c r="C224" s="25">
        <v>1482</v>
      </c>
      <c r="D224" s="23">
        <v>78.7</v>
      </c>
      <c r="E224" s="21">
        <v>24</v>
      </c>
      <c r="F224" s="23">
        <v>59.8</v>
      </c>
      <c r="G224" s="24">
        <v>18</v>
      </c>
      <c r="H224" s="25">
        <v>420</v>
      </c>
      <c r="I224" s="29">
        <v>60000</v>
      </c>
      <c r="J224" s="106" t="s">
        <v>2269</v>
      </c>
      <c r="K224" s="29">
        <v>35000</v>
      </c>
      <c r="L224" s="106" t="s">
        <v>2255</v>
      </c>
      <c r="M224" s="6">
        <f>I224-K224</f>
        <v>25000</v>
      </c>
      <c r="N224" s="7">
        <f>IF(ISERROR(K224/I224),"",K224/I224)</f>
        <v>0.58333333333333337</v>
      </c>
      <c r="O224" s="12">
        <f>I224/E224</f>
        <v>2500</v>
      </c>
      <c r="P224" s="12">
        <f>K224/E224</f>
        <v>1458.3333333333333</v>
      </c>
      <c r="Q224" s="13">
        <v>3</v>
      </c>
      <c r="R224" s="13">
        <v>1</v>
      </c>
      <c r="S224" s="13" t="s">
        <v>1356</v>
      </c>
      <c r="T224" s="8">
        <v>78</v>
      </c>
      <c r="U224" s="5"/>
      <c r="V224" s="5" t="s">
        <v>1611</v>
      </c>
      <c r="X224" s="23">
        <f t="shared" si="255"/>
        <v>78.7</v>
      </c>
      <c r="Y224" s="21">
        <f t="shared" si="255"/>
        <v>24</v>
      </c>
      <c r="Z224" s="28">
        <f t="shared" si="256"/>
        <v>420</v>
      </c>
      <c r="AA224" s="6">
        <f t="shared" si="256"/>
        <v>60000</v>
      </c>
      <c r="AB224" s="6">
        <f>K224</f>
        <v>35000</v>
      </c>
      <c r="AC224" s="6">
        <f t="shared" si="257"/>
        <v>25000</v>
      </c>
      <c r="AD224" s="7">
        <f t="shared" si="257"/>
        <v>0.58333333333333337</v>
      </c>
      <c r="AE224" s="12">
        <f t="shared" si="257"/>
        <v>2500</v>
      </c>
      <c r="AF224" s="13" t="str">
        <f>S224</f>
        <v>복</v>
      </c>
      <c r="AG224" s="13" t="str">
        <f>Q224&amp;"/"&amp;R224</f>
        <v>3/1</v>
      </c>
      <c r="AI224" s="32" t="str">
        <f t="shared" si="249"/>
        <v>샛별한양2,3단지</v>
      </c>
      <c r="AJ224" s="21">
        <f t="shared" si="248"/>
        <v>24</v>
      </c>
      <c r="AK224" s="13" t="str">
        <f>IF(AJ224="","",$AK$2)</f>
        <v>A-</v>
      </c>
      <c r="AL224" s="13"/>
      <c r="AM224" s="13"/>
      <c r="AN224" s="13"/>
      <c r="AO224" s="13" t="str">
        <f>IF(AJ224="","",$AO$2)</f>
        <v>C</v>
      </c>
      <c r="AP224" s="13" t="str">
        <f>IF(N224="","",IF(N224&gt;=$AP$1/100,"O","X"))</f>
        <v>X</v>
      </c>
      <c r="AQ224" s="13" t="str">
        <f>IF(I224="","",IF(I224&lt;=$AQ$1,"O","X"))</f>
        <v>X</v>
      </c>
      <c r="AR224" s="13" t="str">
        <f>IF(O224="","",IF(O224&lt;=$AR$1,"O","X"))</f>
        <v>X</v>
      </c>
      <c r="AS224" s="13" t="str">
        <f>IF(M224="","",IF(M224&lt;=$AS$1,"O","X"))</f>
        <v>X</v>
      </c>
      <c r="AT224" s="13" t="s">
        <v>32</v>
      </c>
      <c r="AU224" s="13" t="str">
        <f>IF(OR(F224="",AJ224=""),"",IF(AND((F224&lt;=85),(AJ224&gt;=15)),"O","X"))</f>
        <v>O</v>
      </c>
      <c r="AV224" s="13" t="str">
        <f>IF(C224="","",IF(C224&gt;=$AV$1,"O","X"))</f>
        <v>O</v>
      </c>
      <c r="AW224" s="13" t="str">
        <f>IF(AP224="","",IF(AND(AP224="O",AQ224="O",AS224="O",AU224="O",AV224="O"),"후보","X"))</f>
        <v>X</v>
      </c>
    </row>
    <row r="225" spans="1:49" x14ac:dyDescent="0.3">
      <c r="A225" s="5" t="s">
        <v>1608</v>
      </c>
      <c r="B225" s="14" t="s">
        <v>1609</v>
      </c>
      <c r="C225" s="25">
        <v>1482</v>
      </c>
      <c r="D225" s="23">
        <v>103.5</v>
      </c>
      <c r="E225" s="21">
        <v>31</v>
      </c>
      <c r="F225" s="23">
        <v>84.9</v>
      </c>
      <c r="G225" s="24">
        <v>26</v>
      </c>
      <c r="H225" s="25">
        <v>396</v>
      </c>
      <c r="I225" s="29">
        <v>72000</v>
      </c>
      <c r="J225" s="106" t="s">
        <v>2264</v>
      </c>
      <c r="K225" s="29">
        <v>40000</v>
      </c>
      <c r="L225" s="106" t="s">
        <v>2268</v>
      </c>
      <c r="M225" s="6">
        <f>I225-K225</f>
        <v>32000</v>
      </c>
      <c r="N225" s="7">
        <f>IF(ISERROR(K225/I225),"",K225/I225)</f>
        <v>0.55555555555555558</v>
      </c>
      <c r="O225" s="12">
        <f>I225/E225</f>
        <v>2322.5806451612902</v>
      </c>
      <c r="P225" s="12">
        <f>K225/E225</f>
        <v>1290.3225806451612</v>
      </c>
      <c r="Q225" s="13">
        <v>3</v>
      </c>
      <c r="R225" s="13">
        <v>2</v>
      </c>
      <c r="S225" s="13" t="s">
        <v>51</v>
      </c>
      <c r="T225" s="8">
        <v>103</v>
      </c>
      <c r="U225" s="5"/>
      <c r="V225" s="5" t="s">
        <v>1612</v>
      </c>
      <c r="X225" s="23">
        <f t="shared" si="255"/>
        <v>103.5</v>
      </c>
      <c r="Y225" s="21">
        <f t="shared" si="255"/>
        <v>31</v>
      </c>
      <c r="Z225" s="28">
        <f t="shared" si="256"/>
        <v>396</v>
      </c>
      <c r="AA225" s="6">
        <f t="shared" si="256"/>
        <v>72000</v>
      </c>
      <c r="AB225" s="6">
        <f>K225</f>
        <v>40000</v>
      </c>
      <c r="AC225" s="6">
        <f t="shared" si="257"/>
        <v>32000</v>
      </c>
      <c r="AD225" s="7">
        <f t="shared" si="257"/>
        <v>0.55555555555555558</v>
      </c>
      <c r="AE225" s="12">
        <f t="shared" si="257"/>
        <v>2322.5806451612902</v>
      </c>
      <c r="AF225" s="13" t="str">
        <f>S225</f>
        <v>계</v>
      </c>
      <c r="AG225" s="13" t="str">
        <f>Q225&amp;"/"&amp;R225</f>
        <v>3/2</v>
      </c>
      <c r="AI225" s="32" t="str">
        <f t="shared" si="249"/>
        <v>샛별한양2,3단지</v>
      </c>
      <c r="AJ225" s="21">
        <f t="shared" si="248"/>
        <v>31</v>
      </c>
      <c r="AK225" s="13" t="str">
        <f>IF(AJ225="","",$AK$2)</f>
        <v>A-</v>
      </c>
      <c r="AL225" s="13"/>
      <c r="AM225" s="13"/>
      <c r="AN225" s="13"/>
      <c r="AO225" s="13" t="str">
        <f>IF(AJ225="","",$AO$2)</f>
        <v>C</v>
      </c>
      <c r="AP225" s="13" t="str">
        <f>IF(N225="","",IF(N225&gt;=$AP$1/100,"O","X"))</f>
        <v>X</v>
      </c>
      <c r="AQ225" s="13" t="str">
        <f>IF(I225="","",IF(I225&lt;=$AQ$1,"O","X"))</f>
        <v>X</v>
      </c>
      <c r="AR225" s="13" t="str">
        <f>IF(O225="","",IF(O225&lt;=$AR$1,"O","X"))</f>
        <v>X</v>
      </c>
      <c r="AS225" s="13" t="str">
        <f>IF(M225="","",IF(M225&lt;=$AS$1,"O","X"))</f>
        <v>X</v>
      </c>
      <c r="AT225" s="13" t="s">
        <v>32</v>
      </c>
      <c r="AU225" s="13" t="str">
        <f>IF(OR(F225="",AJ225=""),"",IF(AND((F225&lt;=85),(AJ225&gt;=15)),"O","X"))</f>
        <v>O</v>
      </c>
      <c r="AV225" s="13" t="str">
        <f>IF(C225="","",IF(C225&gt;=$AV$1,"O","X"))</f>
        <v>O</v>
      </c>
      <c r="AW225" s="13" t="str">
        <f>IF(AP225="","",IF(AND(AP225="O",AQ225="O",AS225="O",AU225="O",AV225="O"),"후보","X"))</f>
        <v>X</v>
      </c>
    </row>
    <row r="226" spans="1:49" x14ac:dyDescent="0.3">
      <c r="A226" s="5"/>
      <c r="B226" s="13"/>
      <c r="C226" s="9"/>
      <c r="D226" s="5"/>
      <c r="E226" s="18"/>
      <c r="F226" s="23"/>
      <c r="G226" s="5"/>
      <c r="H226" s="5"/>
      <c r="I226" s="5"/>
      <c r="J226" s="8"/>
      <c r="K226" s="5"/>
      <c r="L226" s="8"/>
      <c r="M226" s="5"/>
      <c r="N226" s="5"/>
      <c r="O226" s="12"/>
      <c r="P226" s="12"/>
      <c r="Q226" s="21"/>
      <c r="R226" s="21"/>
      <c r="S226" s="5"/>
      <c r="T226" s="59"/>
      <c r="U226" s="5"/>
      <c r="V226" s="5"/>
      <c r="X226" s="90" t="str">
        <f>$A$4&amp;" "&amp;A227&amp;"("&amp;B227&amp;","&amp;C227&amp;"^)"</f>
        <v>비산동 미륭('79.09,576^)</v>
      </c>
      <c r="Y226" s="91"/>
      <c r="Z226" s="91"/>
      <c r="AA226" s="91"/>
      <c r="AB226" s="91"/>
      <c r="AC226" s="91"/>
      <c r="AD226" s="91"/>
      <c r="AE226" s="91"/>
      <c r="AF226" s="91"/>
      <c r="AG226" s="92"/>
      <c r="AI226" s="32" t="str">
        <f t="shared" si="249"/>
        <v/>
      </c>
      <c r="AJ226" s="33" t="str">
        <f t="shared" si="248"/>
        <v/>
      </c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</row>
    <row r="227" spans="1:49" x14ac:dyDescent="0.3">
      <c r="A227" s="5" t="s">
        <v>1613</v>
      </c>
      <c r="B227" s="14" t="s">
        <v>1614</v>
      </c>
      <c r="C227" s="25">
        <v>576</v>
      </c>
      <c r="D227" s="23">
        <v>89.4</v>
      </c>
      <c r="E227" s="21">
        <v>27</v>
      </c>
      <c r="F227" s="23">
        <v>82.7</v>
      </c>
      <c r="G227" s="24">
        <v>25</v>
      </c>
      <c r="H227" s="25">
        <v>65</v>
      </c>
      <c r="I227" s="29"/>
      <c r="J227" s="106"/>
      <c r="K227" s="29"/>
      <c r="L227" s="106"/>
      <c r="M227" s="6">
        <f t="shared" ref="M227:M242" si="258">I227-K227</f>
        <v>0</v>
      </c>
      <c r="N227" s="7" t="str">
        <f t="shared" ref="N227:N242" si="259">IF(ISERROR(K227/I227),"",K227/I227)</f>
        <v/>
      </c>
      <c r="O227" s="12">
        <f t="shared" ref="O227:O242" si="260">I227/E227</f>
        <v>0</v>
      </c>
      <c r="P227" s="12">
        <f t="shared" ref="P227:P242" si="261">K227/E227</f>
        <v>0</v>
      </c>
      <c r="Q227" s="13">
        <v>2</v>
      </c>
      <c r="R227" s="13">
        <v>1</v>
      </c>
      <c r="S227" s="13" t="s">
        <v>1356</v>
      </c>
      <c r="T227" s="8" t="s">
        <v>692</v>
      </c>
      <c r="U227" s="5"/>
      <c r="V227" s="5" t="s">
        <v>1615</v>
      </c>
      <c r="X227" s="23">
        <f t="shared" ref="X227:X242" si="262">D227</f>
        <v>89.4</v>
      </c>
      <c r="Y227" s="21">
        <f t="shared" ref="Y227:Y242" si="263">E227</f>
        <v>27</v>
      </c>
      <c r="Z227" s="28">
        <f t="shared" ref="Z227:Z242" si="264">H227</f>
        <v>65</v>
      </c>
      <c r="AA227" s="6">
        <f t="shared" ref="AA227:AA242" si="265">I227</f>
        <v>0</v>
      </c>
      <c r="AB227" s="6">
        <f t="shared" ref="AB227:AB242" si="266">K227</f>
        <v>0</v>
      </c>
      <c r="AC227" s="6">
        <f t="shared" ref="AC227:AC242" si="267">M227</f>
        <v>0</v>
      </c>
      <c r="AD227" s="7" t="str">
        <f t="shared" ref="AD227:AD242" si="268">N227</f>
        <v/>
      </c>
      <c r="AE227" s="12">
        <f t="shared" ref="AE227:AE242" si="269">O227</f>
        <v>0</v>
      </c>
      <c r="AF227" s="13" t="str">
        <f t="shared" ref="AF227:AF242" si="270">S227</f>
        <v>복</v>
      </c>
      <c r="AG227" s="13" t="str">
        <f t="shared" ref="AG227:AG242" si="271">Q227&amp;"/"&amp;R227</f>
        <v>2/1</v>
      </c>
      <c r="AI227" s="32" t="str">
        <f t="shared" si="249"/>
        <v>미륭</v>
      </c>
      <c r="AJ227" s="21">
        <f t="shared" si="248"/>
        <v>27</v>
      </c>
      <c r="AK227" s="13" t="str">
        <f t="shared" ref="AK227:AK242" si="272">IF(AJ227="","",$AK$2)</f>
        <v>A-</v>
      </c>
      <c r="AL227" s="13"/>
      <c r="AM227" s="13"/>
      <c r="AN227" s="13"/>
      <c r="AO227" s="13" t="str">
        <f t="shared" ref="AO227:AO242" si="273">IF(AJ227="","",$AO$2)</f>
        <v>C</v>
      </c>
      <c r="AP227" s="13" t="str">
        <f t="shared" ref="AP227:AP242" si="274">IF(N227="","",IF(N227&gt;=$AP$1/100,"O","X"))</f>
        <v/>
      </c>
      <c r="AQ227" s="13" t="str">
        <f t="shared" ref="AQ227:AQ242" si="275">IF(I227="","",IF(I227&lt;=$AQ$1,"O","X"))</f>
        <v/>
      </c>
      <c r="AR227" s="13" t="str">
        <f t="shared" ref="AR227:AR242" si="276">IF(O227="","",IF(O227&lt;=$AR$1,"O","X"))</f>
        <v>O</v>
      </c>
      <c r="AS227" s="13" t="str">
        <f t="shared" ref="AS227:AS242" si="277">IF(M227="","",IF(M227&lt;=$AS$1,"O","X"))</f>
        <v>O</v>
      </c>
      <c r="AT227" s="13" t="s">
        <v>32</v>
      </c>
      <c r="AU227" s="13" t="str">
        <f t="shared" ref="AU227:AU242" si="278">IF(OR(F227="",AJ227=""),"",IF(AND((F227&lt;=85),(AJ227&gt;=15)),"O","X"))</f>
        <v>O</v>
      </c>
      <c r="AV227" s="13" t="str">
        <f t="shared" ref="AV227:AV242" si="279">IF(C227="","",IF(C227&gt;=$AV$1,"O","X"))</f>
        <v>O</v>
      </c>
      <c r="AW227" s="13" t="str">
        <f t="shared" ref="AW227:AW242" si="280">IF(AP227="","",IF(AND(AP227="O",AQ227="O",AS227="O",AU227="O",AV227="O"),"후보","X"))</f>
        <v/>
      </c>
    </row>
    <row r="228" spans="1:49" x14ac:dyDescent="0.3">
      <c r="A228" s="5" t="s">
        <v>1613</v>
      </c>
      <c r="B228" s="14" t="s">
        <v>1614</v>
      </c>
      <c r="C228" s="25">
        <v>576</v>
      </c>
      <c r="D228" s="23">
        <v>90.8</v>
      </c>
      <c r="E228" s="21">
        <v>27</v>
      </c>
      <c r="F228" s="23">
        <v>84</v>
      </c>
      <c r="G228" s="24">
        <v>25</v>
      </c>
      <c r="H228" s="25">
        <v>6</v>
      </c>
      <c r="I228" s="29"/>
      <c r="J228" s="106"/>
      <c r="K228" s="29"/>
      <c r="L228" s="106"/>
      <c r="M228" s="6">
        <f t="shared" si="258"/>
        <v>0</v>
      </c>
      <c r="N228" s="7" t="str">
        <f t="shared" si="259"/>
        <v/>
      </c>
      <c r="O228" s="12">
        <f t="shared" si="260"/>
        <v>0</v>
      </c>
      <c r="P228" s="12">
        <f t="shared" si="261"/>
        <v>0</v>
      </c>
      <c r="Q228" s="13">
        <v>2</v>
      </c>
      <c r="R228" s="13">
        <v>1</v>
      </c>
      <c r="S228" s="13" t="s">
        <v>1356</v>
      </c>
      <c r="T228" s="8" t="s">
        <v>696</v>
      </c>
      <c r="U228" s="5"/>
      <c r="V228" s="5" t="s">
        <v>1616</v>
      </c>
      <c r="X228" s="23">
        <f t="shared" si="262"/>
        <v>90.8</v>
      </c>
      <c r="Y228" s="21">
        <f t="shared" si="263"/>
        <v>27</v>
      </c>
      <c r="Z228" s="28">
        <f t="shared" si="264"/>
        <v>6</v>
      </c>
      <c r="AA228" s="6">
        <f t="shared" si="265"/>
        <v>0</v>
      </c>
      <c r="AB228" s="6">
        <f t="shared" si="266"/>
        <v>0</v>
      </c>
      <c r="AC228" s="6">
        <f t="shared" si="267"/>
        <v>0</v>
      </c>
      <c r="AD228" s="7" t="str">
        <f t="shared" si="268"/>
        <v/>
      </c>
      <c r="AE228" s="12">
        <f t="shared" si="269"/>
        <v>0</v>
      </c>
      <c r="AF228" s="13" t="str">
        <f t="shared" si="270"/>
        <v>복</v>
      </c>
      <c r="AG228" s="13" t="str">
        <f t="shared" si="271"/>
        <v>2/1</v>
      </c>
      <c r="AI228" s="32" t="str">
        <f t="shared" si="249"/>
        <v>미륭</v>
      </c>
      <c r="AJ228" s="21">
        <f t="shared" si="248"/>
        <v>27</v>
      </c>
      <c r="AK228" s="13" t="str">
        <f t="shared" si="272"/>
        <v>A-</v>
      </c>
      <c r="AL228" s="13"/>
      <c r="AM228" s="13"/>
      <c r="AN228" s="13"/>
      <c r="AO228" s="13" t="str">
        <f t="shared" si="273"/>
        <v>C</v>
      </c>
      <c r="AP228" s="13" t="str">
        <f t="shared" si="274"/>
        <v/>
      </c>
      <c r="AQ228" s="13" t="str">
        <f t="shared" si="275"/>
        <v/>
      </c>
      <c r="AR228" s="13" t="str">
        <f t="shared" si="276"/>
        <v>O</v>
      </c>
      <c r="AS228" s="13" t="str">
        <f t="shared" si="277"/>
        <v>O</v>
      </c>
      <c r="AT228" s="13" t="s">
        <v>32</v>
      </c>
      <c r="AU228" s="13" t="str">
        <f t="shared" si="278"/>
        <v>O</v>
      </c>
      <c r="AV228" s="13" t="str">
        <f t="shared" si="279"/>
        <v>O</v>
      </c>
      <c r="AW228" s="13" t="str">
        <f t="shared" si="280"/>
        <v/>
      </c>
    </row>
    <row r="229" spans="1:49" x14ac:dyDescent="0.3">
      <c r="A229" s="5" t="s">
        <v>1613</v>
      </c>
      <c r="B229" s="14" t="s">
        <v>1614</v>
      </c>
      <c r="C229" s="25">
        <v>576</v>
      </c>
      <c r="D229" s="23">
        <v>92</v>
      </c>
      <c r="E229" s="21">
        <v>28</v>
      </c>
      <c r="F229" s="23">
        <v>85.2</v>
      </c>
      <c r="G229" s="24">
        <v>26</v>
      </c>
      <c r="H229" s="25">
        <v>72</v>
      </c>
      <c r="I229" s="29"/>
      <c r="J229" s="106"/>
      <c r="K229" s="29"/>
      <c r="L229" s="106"/>
      <c r="M229" s="6">
        <f t="shared" si="258"/>
        <v>0</v>
      </c>
      <c r="N229" s="7" t="str">
        <f t="shared" si="259"/>
        <v/>
      </c>
      <c r="O229" s="12">
        <f t="shared" si="260"/>
        <v>0</v>
      </c>
      <c r="P229" s="12">
        <f t="shared" si="261"/>
        <v>0</v>
      </c>
      <c r="Q229" s="13">
        <v>2</v>
      </c>
      <c r="R229" s="13">
        <v>1</v>
      </c>
      <c r="S229" s="13" t="s">
        <v>1356</v>
      </c>
      <c r="T229" s="8" t="s">
        <v>147</v>
      </c>
      <c r="U229" s="5"/>
      <c r="V229" s="5" t="s">
        <v>1617</v>
      </c>
      <c r="X229" s="23">
        <f t="shared" si="262"/>
        <v>92</v>
      </c>
      <c r="Y229" s="21">
        <f t="shared" si="263"/>
        <v>28</v>
      </c>
      <c r="Z229" s="28">
        <f t="shared" si="264"/>
        <v>72</v>
      </c>
      <c r="AA229" s="6">
        <f t="shared" si="265"/>
        <v>0</v>
      </c>
      <c r="AB229" s="6">
        <f t="shared" si="266"/>
        <v>0</v>
      </c>
      <c r="AC229" s="6">
        <f t="shared" si="267"/>
        <v>0</v>
      </c>
      <c r="AD229" s="7" t="str">
        <f t="shared" si="268"/>
        <v/>
      </c>
      <c r="AE229" s="12">
        <f t="shared" si="269"/>
        <v>0</v>
      </c>
      <c r="AF229" s="13" t="str">
        <f t="shared" si="270"/>
        <v>복</v>
      </c>
      <c r="AG229" s="13" t="str">
        <f t="shared" si="271"/>
        <v>2/1</v>
      </c>
      <c r="AI229" s="32" t="str">
        <f t="shared" si="249"/>
        <v>미륭</v>
      </c>
      <c r="AJ229" s="21">
        <f t="shared" si="248"/>
        <v>28</v>
      </c>
      <c r="AK229" s="13" t="str">
        <f t="shared" si="272"/>
        <v>A-</v>
      </c>
      <c r="AL229" s="13"/>
      <c r="AM229" s="13"/>
      <c r="AN229" s="13"/>
      <c r="AO229" s="13" t="str">
        <f t="shared" si="273"/>
        <v>C</v>
      </c>
      <c r="AP229" s="13" t="str">
        <f t="shared" si="274"/>
        <v/>
      </c>
      <c r="AQ229" s="13" t="str">
        <f t="shared" si="275"/>
        <v/>
      </c>
      <c r="AR229" s="13" t="str">
        <f t="shared" si="276"/>
        <v>O</v>
      </c>
      <c r="AS229" s="13" t="str">
        <f t="shared" si="277"/>
        <v>O</v>
      </c>
      <c r="AT229" s="13" t="s">
        <v>32</v>
      </c>
      <c r="AU229" s="13" t="str">
        <f t="shared" si="278"/>
        <v>X</v>
      </c>
      <c r="AV229" s="13" t="str">
        <f t="shared" si="279"/>
        <v>O</v>
      </c>
      <c r="AW229" s="13" t="str">
        <f t="shared" si="280"/>
        <v/>
      </c>
    </row>
    <row r="230" spans="1:49" x14ac:dyDescent="0.3">
      <c r="A230" s="5" t="s">
        <v>1613</v>
      </c>
      <c r="B230" s="14" t="s">
        <v>1614</v>
      </c>
      <c r="C230" s="25">
        <v>576</v>
      </c>
      <c r="D230" s="23">
        <v>92</v>
      </c>
      <c r="E230" s="21">
        <v>28</v>
      </c>
      <c r="F230" s="23">
        <v>67.099999999999994</v>
      </c>
      <c r="G230" s="24">
        <v>20</v>
      </c>
      <c r="H230" s="25">
        <v>6</v>
      </c>
      <c r="I230" s="29"/>
      <c r="J230" s="106"/>
      <c r="K230" s="29"/>
      <c r="L230" s="106"/>
      <c r="M230" s="6">
        <f t="shared" si="258"/>
        <v>0</v>
      </c>
      <c r="N230" s="7" t="str">
        <f t="shared" si="259"/>
        <v/>
      </c>
      <c r="O230" s="12">
        <f t="shared" si="260"/>
        <v>0</v>
      </c>
      <c r="P230" s="12">
        <f t="shared" si="261"/>
        <v>0</v>
      </c>
      <c r="Q230" s="13">
        <v>2</v>
      </c>
      <c r="R230" s="13">
        <v>1</v>
      </c>
      <c r="S230" s="13" t="s">
        <v>1356</v>
      </c>
      <c r="T230" s="8" t="s">
        <v>697</v>
      </c>
      <c r="U230" s="5"/>
      <c r="V230" s="5" t="s">
        <v>1617</v>
      </c>
      <c r="X230" s="23">
        <f t="shared" si="262"/>
        <v>92</v>
      </c>
      <c r="Y230" s="21">
        <f t="shared" si="263"/>
        <v>28</v>
      </c>
      <c r="Z230" s="28">
        <f t="shared" si="264"/>
        <v>6</v>
      </c>
      <c r="AA230" s="6">
        <f t="shared" si="265"/>
        <v>0</v>
      </c>
      <c r="AB230" s="6">
        <f t="shared" si="266"/>
        <v>0</v>
      </c>
      <c r="AC230" s="6">
        <f t="shared" si="267"/>
        <v>0</v>
      </c>
      <c r="AD230" s="7" t="str">
        <f t="shared" si="268"/>
        <v/>
      </c>
      <c r="AE230" s="12">
        <f t="shared" si="269"/>
        <v>0</v>
      </c>
      <c r="AF230" s="13" t="str">
        <f t="shared" si="270"/>
        <v>복</v>
      </c>
      <c r="AG230" s="13" t="str">
        <f t="shared" si="271"/>
        <v>2/1</v>
      </c>
      <c r="AI230" s="32" t="str">
        <f t="shared" si="249"/>
        <v>미륭</v>
      </c>
      <c r="AJ230" s="21">
        <f t="shared" si="248"/>
        <v>28</v>
      </c>
      <c r="AK230" s="13" t="str">
        <f t="shared" si="272"/>
        <v>A-</v>
      </c>
      <c r="AL230" s="13"/>
      <c r="AM230" s="13"/>
      <c r="AN230" s="13"/>
      <c r="AO230" s="13" t="str">
        <f t="shared" si="273"/>
        <v>C</v>
      </c>
      <c r="AP230" s="13" t="str">
        <f t="shared" si="274"/>
        <v/>
      </c>
      <c r="AQ230" s="13" t="str">
        <f t="shared" si="275"/>
        <v/>
      </c>
      <c r="AR230" s="13" t="str">
        <f t="shared" si="276"/>
        <v>O</v>
      </c>
      <c r="AS230" s="13" t="str">
        <f t="shared" si="277"/>
        <v>O</v>
      </c>
      <c r="AT230" s="13" t="s">
        <v>32</v>
      </c>
      <c r="AU230" s="13" t="str">
        <f t="shared" si="278"/>
        <v>O</v>
      </c>
      <c r="AV230" s="13" t="str">
        <f t="shared" si="279"/>
        <v>O</v>
      </c>
      <c r="AW230" s="13" t="str">
        <f t="shared" si="280"/>
        <v/>
      </c>
    </row>
    <row r="231" spans="1:49" x14ac:dyDescent="0.3">
      <c r="A231" s="5" t="s">
        <v>1613</v>
      </c>
      <c r="B231" s="14" t="s">
        <v>1614</v>
      </c>
      <c r="C231" s="25">
        <v>576</v>
      </c>
      <c r="D231" s="23">
        <v>92</v>
      </c>
      <c r="E231" s="21">
        <v>28</v>
      </c>
      <c r="F231" s="23">
        <v>67.2</v>
      </c>
      <c r="G231" s="24">
        <v>20</v>
      </c>
      <c r="H231" s="25">
        <v>1</v>
      </c>
      <c r="I231" s="29"/>
      <c r="J231" s="106"/>
      <c r="K231" s="29"/>
      <c r="L231" s="106"/>
      <c r="M231" s="6">
        <f t="shared" si="258"/>
        <v>0</v>
      </c>
      <c r="N231" s="7" t="str">
        <f t="shared" si="259"/>
        <v/>
      </c>
      <c r="O231" s="12">
        <f t="shared" si="260"/>
        <v>0</v>
      </c>
      <c r="P231" s="12">
        <f t="shared" si="261"/>
        <v>0</v>
      </c>
      <c r="Q231" s="13">
        <v>2</v>
      </c>
      <c r="R231" s="13">
        <v>1</v>
      </c>
      <c r="S231" s="13" t="s">
        <v>51</v>
      </c>
      <c r="T231" s="8" t="s">
        <v>698</v>
      </c>
      <c r="U231" s="5"/>
      <c r="V231" s="5" t="s">
        <v>1617</v>
      </c>
      <c r="X231" s="23">
        <f t="shared" si="262"/>
        <v>92</v>
      </c>
      <c r="Y231" s="21">
        <f t="shared" si="263"/>
        <v>28</v>
      </c>
      <c r="Z231" s="28">
        <f t="shared" si="264"/>
        <v>1</v>
      </c>
      <c r="AA231" s="6">
        <f t="shared" si="265"/>
        <v>0</v>
      </c>
      <c r="AB231" s="6">
        <f t="shared" si="266"/>
        <v>0</v>
      </c>
      <c r="AC231" s="6">
        <f t="shared" si="267"/>
        <v>0</v>
      </c>
      <c r="AD231" s="7" t="str">
        <f t="shared" si="268"/>
        <v/>
      </c>
      <c r="AE231" s="12">
        <f t="shared" si="269"/>
        <v>0</v>
      </c>
      <c r="AF231" s="13" t="str">
        <f t="shared" si="270"/>
        <v>계</v>
      </c>
      <c r="AG231" s="13" t="str">
        <f t="shared" si="271"/>
        <v>2/1</v>
      </c>
      <c r="AI231" s="32" t="str">
        <f t="shared" si="249"/>
        <v>미륭</v>
      </c>
      <c r="AJ231" s="21">
        <f t="shared" si="248"/>
        <v>28</v>
      </c>
      <c r="AK231" s="13" t="str">
        <f t="shared" si="272"/>
        <v>A-</v>
      </c>
      <c r="AL231" s="13"/>
      <c r="AM231" s="13"/>
      <c r="AN231" s="13"/>
      <c r="AO231" s="13" t="str">
        <f t="shared" si="273"/>
        <v>C</v>
      </c>
      <c r="AP231" s="13" t="str">
        <f t="shared" si="274"/>
        <v/>
      </c>
      <c r="AQ231" s="13" t="str">
        <f t="shared" si="275"/>
        <v/>
      </c>
      <c r="AR231" s="13" t="str">
        <f t="shared" si="276"/>
        <v>O</v>
      </c>
      <c r="AS231" s="13" t="str">
        <f t="shared" si="277"/>
        <v>O</v>
      </c>
      <c r="AT231" s="13" t="s">
        <v>32</v>
      </c>
      <c r="AU231" s="13" t="str">
        <f t="shared" si="278"/>
        <v>O</v>
      </c>
      <c r="AV231" s="13" t="str">
        <f t="shared" si="279"/>
        <v>O</v>
      </c>
      <c r="AW231" s="13" t="str">
        <f t="shared" si="280"/>
        <v/>
      </c>
    </row>
    <row r="232" spans="1:49" x14ac:dyDescent="0.3">
      <c r="A232" s="5" t="s">
        <v>1613</v>
      </c>
      <c r="B232" s="14" t="s">
        <v>1614</v>
      </c>
      <c r="C232" s="25">
        <v>576</v>
      </c>
      <c r="D232" s="23">
        <v>94.5</v>
      </c>
      <c r="E232" s="21">
        <v>29</v>
      </c>
      <c r="F232" s="23">
        <v>87.8</v>
      </c>
      <c r="G232" s="24">
        <v>27</v>
      </c>
      <c r="H232" s="25">
        <v>101</v>
      </c>
      <c r="I232" s="29"/>
      <c r="J232" s="106"/>
      <c r="K232" s="29"/>
      <c r="L232" s="106"/>
      <c r="M232" s="6">
        <f t="shared" si="258"/>
        <v>0</v>
      </c>
      <c r="N232" s="7" t="str">
        <f t="shared" si="259"/>
        <v/>
      </c>
      <c r="O232" s="12">
        <f t="shared" si="260"/>
        <v>0</v>
      </c>
      <c r="P232" s="12">
        <f t="shared" si="261"/>
        <v>0</v>
      </c>
      <c r="Q232" s="13">
        <v>2</v>
      </c>
      <c r="R232" s="13">
        <v>1</v>
      </c>
      <c r="S232" s="13" t="s">
        <v>1356</v>
      </c>
      <c r="T232" s="8" t="s">
        <v>699</v>
      </c>
      <c r="U232" s="5"/>
      <c r="V232" s="5" t="s">
        <v>1618</v>
      </c>
      <c r="X232" s="23">
        <f t="shared" si="262"/>
        <v>94.5</v>
      </c>
      <c r="Y232" s="21">
        <f t="shared" si="263"/>
        <v>29</v>
      </c>
      <c r="Z232" s="28">
        <f t="shared" si="264"/>
        <v>101</v>
      </c>
      <c r="AA232" s="6">
        <f t="shared" si="265"/>
        <v>0</v>
      </c>
      <c r="AB232" s="6">
        <f t="shared" si="266"/>
        <v>0</v>
      </c>
      <c r="AC232" s="6">
        <f t="shared" si="267"/>
        <v>0</v>
      </c>
      <c r="AD232" s="7" t="str">
        <f t="shared" si="268"/>
        <v/>
      </c>
      <c r="AE232" s="12">
        <f t="shared" si="269"/>
        <v>0</v>
      </c>
      <c r="AF232" s="13" t="str">
        <f t="shared" si="270"/>
        <v>복</v>
      </c>
      <c r="AG232" s="13" t="str">
        <f t="shared" si="271"/>
        <v>2/1</v>
      </c>
      <c r="AI232" s="32" t="str">
        <f t="shared" si="249"/>
        <v>미륭</v>
      </c>
      <c r="AJ232" s="21">
        <f t="shared" si="248"/>
        <v>29</v>
      </c>
      <c r="AK232" s="13" t="str">
        <f t="shared" si="272"/>
        <v>A-</v>
      </c>
      <c r="AL232" s="13"/>
      <c r="AM232" s="13"/>
      <c r="AN232" s="13"/>
      <c r="AO232" s="13" t="str">
        <f t="shared" si="273"/>
        <v>C</v>
      </c>
      <c r="AP232" s="13" t="str">
        <f t="shared" si="274"/>
        <v/>
      </c>
      <c r="AQ232" s="13" t="str">
        <f t="shared" si="275"/>
        <v/>
      </c>
      <c r="AR232" s="13" t="str">
        <f t="shared" si="276"/>
        <v>O</v>
      </c>
      <c r="AS232" s="13" t="str">
        <f t="shared" si="277"/>
        <v>O</v>
      </c>
      <c r="AT232" s="13" t="s">
        <v>32</v>
      </c>
      <c r="AU232" s="13" t="str">
        <f t="shared" si="278"/>
        <v>X</v>
      </c>
      <c r="AV232" s="13" t="str">
        <f t="shared" si="279"/>
        <v>O</v>
      </c>
      <c r="AW232" s="13" t="str">
        <f t="shared" si="280"/>
        <v/>
      </c>
    </row>
    <row r="233" spans="1:49" x14ac:dyDescent="0.3">
      <c r="A233" s="5" t="s">
        <v>1613</v>
      </c>
      <c r="B233" s="14" t="s">
        <v>1614</v>
      </c>
      <c r="C233" s="25">
        <v>576</v>
      </c>
      <c r="D233" s="23">
        <v>94.3</v>
      </c>
      <c r="E233" s="21">
        <v>29</v>
      </c>
      <c r="F233" s="23">
        <v>87.4</v>
      </c>
      <c r="G233" s="24">
        <v>26</v>
      </c>
      <c r="H233" s="25">
        <v>7</v>
      </c>
      <c r="I233" s="29"/>
      <c r="J233" s="106"/>
      <c r="K233" s="29"/>
      <c r="L233" s="106"/>
      <c r="M233" s="6">
        <f t="shared" si="258"/>
        <v>0</v>
      </c>
      <c r="N233" s="7" t="str">
        <f t="shared" si="259"/>
        <v/>
      </c>
      <c r="O233" s="12">
        <f t="shared" si="260"/>
        <v>0</v>
      </c>
      <c r="P233" s="12">
        <f t="shared" si="261"/>
        <v>0</v>
      </c>
      <c r="Q233" s="13">
        <v>2</v>
      </c>
      <c r="R233" s="13">
        <v>1</v>
      </c>
      <c r="S233" s="13" t="s">
        <v>1356</v>
      </c>
      <c r="T233" s="8" t="s">
        <v>700</v>
      </c>
      <c r="U233" s="5"/>
      <c r="V233" s="5" t="s">
        <v>1619</v>
      </c>
      <c r="X233" s="23">
        <f t="shared" si="262"/>
        <v>94.3</v>
      </c>
      <c r="Y233" s="21">
        <f t="shared" si="263"/>
        <v>29</v>
      </c>
      <c r="Z233" s="28">
        <f t="shared" si="264"/>
        <v>7</v>
      </c>
      <c r="AA233" s="6">
        <f t="shared" si="265"/>
        <v>0</v>
      </c>
      <c r="AB233" s="6">
        <f t="shared" si="266"/>
        <v>0</v>
      </c>
      <c r="AC233" s="6">
        <f t="shared" si="267"/>
        <v>0</v>
      </c>
      <c r="AD233" s="7" t="str">
        <f t="shared" si="268"/>
        <v/>
      </c>
      <c r="AE233" s="12">
        <f t="shared" si="269"/>
        <v>0</v>
      </c>
      <c r="AF233" s="13" t="str">
        <f t="shared" si="270"/>
        <v>복</v>
      </c>
      <c r="AG233" s="13" t="str">
        <f t="shared" si="271"/>
        <v>2/1</v>
      </c>
      <c r="AI233" s="32" t="str">
        <f t="shared" si="249"/>
        <v>미륭</v>
      </c>
      <c r="AJ233" s="21">
        <f t="shared" si="248"/>
        <v>29</v>
      </c>
      <c r="AK233" s="13" t="str">
        <f t="shared" si="272"/>
        <v>A-</v>
      </c>
      <c r="AL233" s="13"/>
      <c r="AM233" s="13"/>
      <c r="AN233" s="13"/>
      <c r="AO233" s="13" t="str">
        <f t="shared" si="273"/>
        <v>C</v>
      </c>
      <c r="AP233" s="13" t="str">
        <f t="shared" si="274"/>
        <v/>
      </c>
      <c r="AQ233" s="13" t="str">
        <f t="shared" si="275"/>
        <v/>
      </c>
      <c r="AR233" s="13" t="str">
        <f t="shared" si="276"/>
        <v>O</v>
      </c>
      <c r="AS233" s="13" t="str">
        <f t="shared" si="277"/>
        <v>O</v>
      </c>
      <c r="AT233" s="13" t="s">
        <v>32</v>
      </c>
      <c r="AU233" s="13" t="str">
        <f t="shared" si="278"/>
        <v>X</v>
      </c>
      <c r="AV233" s="13" t="str">
        <f t="shared" si="279"/>
        <v>O</v>
      </c>
      <c r="AW233" s="13" t="str">
        <f t="shared" si="280"/>
        <v/>
      </c>
    </row>
    <row r="234" spans="1:49" x14ac:dyDescent="0.3">
      <c r="A234" s="5" t="s">
        <v>1613</v>
      </c>
      <c r="B234" s="14" t="s">
        <v>1614</v>
      </c>
      <c r="C234" s="25">
        <v>576</v>
      </c>
      <c r="D234" s="23">
        <v>94.5</v>
      </c>
      <c r="E234" s="21">
        <v>29</v>
      </c>
      <c r="F234" s="23">
        <v>67.099999999999994</v>
      </c>
      <c r="G234" s="24">
        <v>20</v>
      </c>
      <c r="H234" s="25">
        <v>6</v>
      </c>
      <c r="I234" s="29"/>
      <c r="J234" s="106"/>
      <c r="K234" s="29"/>
      <c r="L234" s="106"/>
      <c r="M234" s="6">
        <f t="shared" si="258"/>
        <v>0</v>
      </c>
      <c r="N234" s="7" t="str">
        <f t="shared" si="259"/>
        <v/>
      </c>
      <c r="O234" s="12">
        <f t="shared" si="260"/>
        <v>0</v>
      </c>
      <c r="P234" s="12">
        <f t="shared" si="261"/>
        <v>0</v>
      </c>
      <c r="Q234" s="13">
        <v>2</v>
      </c>
      <c r="R234" s="13">
        <v>1</v>
      </c>
      <c r="S234" s="13" t="s">
        <v>51</v>
      </c>
      <c r="T234" s="8" t="s">
        <v>701</v>
      </c>
      <c r="U234" s="5"/>
      <c r="V234" s="5" t="s">
        <v>1618</v>
      </c>
      <c r="X234" s="23">
        <f t="shared" si="262"/>
        <v>94.5</v>
      </c>
      <c r="Y234" s="21">
        <f t="shared" si="263"/>
        <v>29</v>
      </c>
      <c r="Z234" s="28">
        <f t="shared" si="264"/>
        <v>6</v>
      </c>
      <c r="AA234" s="6">
        <f t="shared" si="265"/>
        <v>0</v>
      </c>
      <c r="AB234" s="6">
        <f t="shared" si="266"/>
        <v>0</v>
      </c>
      <c r="AC234" s="6">
        <f t="shared" si="267"/>
        <v>0</v>
      </c>
      <c r="AD234" s="7" t="str">
        <f t="shared" si="268"/>
        <v/>
      </c>
      <c r="AE234" s="12">
        <f t="shared" si="269"/>
        <v>0</v>
      </c>
      <c r="AF234" s="13" t="str">
        <f t="shared" si="270"/>
        <v>계</v>
      </c>
      <c r="AG234" s="13" t="str">
        <f t="shared" si="271"/>
        <v>2/1</v>
      </c>
      <c r="AI234" s="32" t="str">
        <f t="shared" si="249"/>
        <v>미륭</v>
      </c>
      <c r="AJ234" s="21">
        <f t="shared" si="248"/>
        <v>29</v>
      </c>
      <c r="AK234" s="13" t="str">
        <f t="shared" si="272"/>
        <v>A-</v>
      </c>
      <c r="AL234" s="13"/>
      <c r="AM234" s="13"/>
      <c r="AN234" s="13"/>
      <c r="AO234" s="13" t="str">
        <f t="shared" si="273"/>
        <v>C</v>
      </c>
      <c r="AP234" s="13" t="str">
        <f t="shared" si="274"/>
        <v/>
      </c>
      <c r="AQ234" s="13" t="str">
        <f t="shared" si="275"/>
        <v/>
      </c>
      <c r="AR234" s="13" t="str">
        <f t="shared" si="276"/>
        <v>O</v>
      </c>
      <c r="AS234" s="13" t="str">
        <f t="shared" si="277"/>
        <v>O</v>
      </c>
      <c r="AT234" s="13" t="s">
        <v>32</v>
      </c>
      <c r="AU234" s="13" t="str">
        <f t="shared" si="278"/>
        <v>O</v>
      </c>
      <c r="AV234" s="13" t="str">
        <f t="shared" si="279"/>
        <v>O</v>
      </c>
      <c r="AW234" s="13" t="str">
        <f t="shared" si="280"/>
        <v/>
      </c>
    </row>
    <row r="235" spans="1:49" x14ac:dyDescent="0.3">
      <c r="A235" s="5" t="s">
        <v>1613</v>
      </c>
      <c r="B235" s="14" t="s">
        <v>1614</v>
      </c>
      <c r="C235" s="25">
        <v>576</v>
      </c>
      <c r="D235" s="23">
        <v>111.6</v>
      </c>
      <c r="E235" s="21">
        <v>34</v>
      </c>
      <c r="F235" s="23">
        <v>103.2</v>
      </c>
      <c r="G235" s="24">
        <v>31</v>
      </c>
      <c r="H235" s="25">
        <v>128</v>
      </c>
      <c r="I235" s="29"/>
      <c r="J235" s="106"/>
      <c r="K235" s="29"/>
      <c r="L235" s="106"/>
      <c r="M235" s="6">
        <f t="shared" si="258"/>
        <v>0</v>
      </c>
      <c r="N235" s="7" t="str">
        <f t="shared" si="259"/>
        <v/>
      </c>
      <c r="O235" s="12">
        <f t="shared" si="260"/>
        <v>0</v>
      </c>
      <c r="P235" s="12">
        <f t="shared" si="261"/>
        <v>0</v>
      </c>
      <c r="Q235" s="13">
        <v>3</v>
      </c>
      <c r="R235" s="13">
        <v>1</v>
      </c>
      <c r="S235" s="13" t="s">
        <v>1356</v>
      </c>
      <c r="T235" s="8" t="s">
        <v>124</v>
      </c>
      <c r="U235" s="5"/>
      <c r="V235" s="5" t="s">
        <v>1620</v>
      </c>
      <c r="X235" s="23">
        <f t="shared" si="262"/>
        <v>111.6</v>
      </c>
      <c r="Y235" s="21">
        <f t="shared" si="263"/>
        <v>34</v>
      </c>
      <c r="Z235" s="28">
        <f t="shared" si="264"/>
        <v>128</v>
      </c>
      <c r="AA235" s="6">
        <f t="shared" si="265"/>
        <v>0</v>
      </c>
      <c r="AB235" s="6">
        <f t="shared" si="266"/>
        <v>0</v>
      </c>
      <c r="AC235" s="6">
        <f t="shared" si="267"/>
        <v>0</v>
      </c>
      <c r="AD235" s="7" t="str">
        <f t="shared" si="268"/>
        <v/>
      </c>
      <c r="AE235" s="12">
        <f t="shared" si="269"/>
        <v>0</v>
      </c>
      <c r="AF235" s="13" t="str">
        <f t="shared" si="270"/>
        <v>복</v>
      </c>
      <c r="AG235" s="13" t="str">
        <f t="shared" si="271"/>
        <v>3/1</v>
      </c>
      <c r="AI235" s="32" t="str">
        <f t="shared" si="249"/>
        <v>미륭</v>
      </c>
      <c r="AJ235" s="21">
        <f t="shared" si="248"/>
        <v>34</v>
      </c>
      <c r="AK235" s="13" t="str">
        <f t="shared" si="272"/>
        <v>A-</v>
      </c>
      <c r="AL235" s="13"/>
      <c r="AM235" s="13"/>
      <c r="AN235" s="13"/>
      <c r="AO235" s="13" t="str">
        <f t="shared" si="273"/>
        <v>C</v>
      </c>
      <c r="AP235" s="13" t="str">
        <f t="shared" si="274"/>
        <v/>
      </c>
      <c r="AQ235" s="13" t="str">
        <f t="shared" si="275"/>
        <v/>
      </c>
      <c r="AR235" s="13" t="str">
        <f t="shared" si="276"/>
        <v>O</v>
      </c>
      <c r="AS235" s="13" t="str">
        <f t="shared" si="277"/>
        <v>O</v>
      </c>
      <c r="AT235" s="13" t="s">
        <v>32</v>
      </c>
      <c r="AU235" s="13" t="str">
        <f t="shared" si="278"/>
        <v>X</v>
      </c>
      <c r="AV235" s="13" t="str">
        <f t="shared" si="279"/>
        <v>O</v>
      </c>
      <c r="AW235" s="13" t="str">
        <f t="shared" si="280"/>
        <v/>
      </c>
    </row>
    <row r="236" spans="1:49" x14ac:dyDescent="0.3">
      <c r="A236" s="5" t="s">
        <v>1613</v>
      </c>
      <c r="B236" s="14" t="s">
        <v>1614</v>
      </c>
      <c r="C236" s="25">
        <v>576</v>
      </c>
      <c r="D236" s="23">
        <v>111</v>
      </c>
      <c r="E236" s="21">
        <v>34</v>
      </c>
      <c r="F236" s="23">
        <v>102.8</v>
      </c>
      <c r="G236" s="24">
        <v>31</v>
      </c>
      <c r="H236" s="25">
        <v>86</v>
      </c>
      <c r="I236" s="29"/>
      <c r="J236" s="106"/>
      <c r="K236" s="29"/>
      <c r="L236" s="106"/>
      <c r="M236" s="6">
        <f t="shared" si="258"/>
        <v>0</v>
      </c>
      <c r="N236" s="7" t="str">
        <f t="shared" si="259"/>
        <v/>
      </c>
      <c r="O236" s="12">
        <f t="shared" si="260"/>
        <v>0</v>
      </c>
      <c r="P236" s="12">
        <f t="shared" si="261"/>
        <v>0</v>
      </c>
      <c r="Q236" s="13">
        <v>3</v>
      </c>
      <c r="R236" s="13">
        <v>1</v>
      </c>
      <c r="S236" s="13" t="s">
        <v>1356</v>
      </c>
      <c r="T236" s="8" t="s">
        <v>120</v>
      </c>
      <c r="U236" s="5"/>
      <c r="V236" s="5" t="s">
        <v>1621</v>
      </c>
      <c r="X236" s="23">
        <f t="shared" si="262"/>
        <v>111</v>
      </c>
      <c r="Y236" s="21">
        <f t="shared" si="263"/>
        <v>34</v>
      </c>
      <c r="Z236" s="28">
        <f t="shared" si="264"/>
        <v>86</v>
      </c>
      <c r="AA236" s="6">
        <f t="shared" si="265"/>
        <v>0</v>
      </c>
      <c r="AB236" s="6">
        <f t="shared" si="266"/>
        <v>0</v>
      </c>
      <c r="AC236" s="6">
        <f t="shared" si="267"/>
        <v>0</v>
      </c>
      <c r="AD236" s="7" t="str">
        <f t="shared" si="268"/>
        <v/>
      </c>
      <c r="AE236" s="12">
        <f t="shared" si="269"/>
        <v>0</v>
      </c>
      <c r="AF236" s="13" t="str">
        <f t="shared" si="270"/>
        <v>복</v>
      </c>
      <c r="AG236" s="13" t="str">
        <f t="shared" si="271"/>
        <v>3/1</v>
      </c>
      <c r="AI236" s="32" t="str">
        <f t="shared" si="249"/>
        <v>미륭</v>
      </c>
      <c r="AJ236" s="21">
        <f t="shared" si="248"/>
        <v>34</v>
      </c>
      <c r="AK236" s="13" t="str">
        <f t="shared" si="272"/>
        <v>A-</v>
      </c>
      <c r="AL236" s="13"/>
      <c r="AM236" s="13"/>
      <c r="AN236" s="13"/>
      <c r="AO236" s="13" t="str">
        <f t="shared" si="273"/>
        <v>C</v>
      </c>
      <c r="AP236" s="13" t="str">
        <f t="shared" si="274"/>
        <v/>
      </c>
      <c r="AQ236" s="13" t="str">
        <f t="shared" si="275"/>
        <v/>
      </c>
      <c r="AR236" s="13" t="str">
        <f t="shared" si="276"/>
        <v>O</v>
      </c>
      <c r="AS236" s="13" t="str">
        <f t="shared" si="277"/>
        <v>O</v>
      </c>
      <c r="AT236" s="13" t="s">
        <v>32</v>
      </c>
      <c r="AU236" s="13" t="str">
        <f t="shared" si="278"/>
        <v>X</v>
      </c>
      <c r="AV236" s="13" t="str">
        <f t="shared" si="279"/>
        <v>O</v>
      </c>
      <c r="AW236" s="13" t="str">
        <f t="shared" si="280"/>
        <v/>
      </c>
    </row>
    <row r="237" spans="1:49" x14ac:dyDescent="0.3">
      <c r="A237" s="5" t="s">
        <v>1613</v>
      </c>
      <c r="B237" s="14" t="s">
        <v>1614</v>
      </c>
      <c r="C237" s="25">
        <v>576</v>
      </c>
      <c r="D237" s="23">
        <v>111.6</v>
      </c>
      <c r="E237" s="21">
        <v>34</v>
      </c>
      <c r="F237" s="23">
        <v>83.7</v>
      </c>
      <c r="G237" s="24">
        <v>25</v>
      </c>
      <c r="H237" s="25">
        <v>3</v>
      </c>
      <c r="I237" s="29"/>
      <c r="J237" s="106"/>
      <c r="K237" s="29"/>
      <c r="L237" s="106"/>
      <c r="M237" s="6">
        <f t="shared" si="258"/>
        <v>0</v>
      </c>
      <c r="N237" s="7" t="str">
        <f t="shared" si="259"/>
        <v/>
      </c>
      <c r="O237" s="12">
        <f t="shared" si="260"/>
        <v>0</v>
      </c>
      <c r="P237" s="12">
        <f t="shared" si="261"/>
        <v>0</v>
      </c>
      <c r="Q237" s="13">
        <v>2</v>
      </c>
      <c r="R237" s="13">
        <v>1</v>
      </c>
      <c r="S237" s="13" t="s">
        <v>51</v>
      </c>
      <c r="T237" s="8" t="s">
        <v>119</v>
      </c>
      <c r="U237" s="5"/>
      <c r="V237" s="5" t="s">
        <v>1620</v>
      </c>
      <c r="X237" s="23">
        <f t="shared" si="262"/>
        <v>111.6</v>
      </c>
      <c r="Y237" s="21">
        <f t="shared" si="263"/>
        <v>34</v>
      </c>
      <c r="Z237" s="28">
        <f t="shared" si="264"/>
        <v>3</v>
      </c>
      <c r="AA237" s="6">
        <f t="shared" si="265"/>
        <v>0</v>
      </c>
      <c r="AB237" s="6">
        <f t="shared" si="266"/>
        <v>0</v>
      </c>
      <c r="AC237" s="6">
        <f t="shared" si="267"/>
        <v>0</v>
      </c>
      <c r="AD237" s="7" t="str">
        <f t="shared" si="268"/>
        <v/>
      </c>
      <c r="AE237" s="12">
        <f t="shared" si="269"/>
        <v>0</v>
      </c>
      <c r="AF237" s="13" t="str">
        <f t="shared" si="270"/>
        <v>계</v>
      </c>
      <c r="AG237" s="13" t="str">
        <f t="shared" si="271"/>
        <v>2/1</v>
      </c>
      <c r="AI237" s="32" t="str">
        <f t="shared" si="249"/>
        <v>미륭</v>
      </c>
      <c r="AJ237" s="21">
        <f t="shared" si="248"/>
        <v>34</v>
      </c>
      <c r="AK237" s="13" t="str">
        <f t="shared" si="272"/>
        <v>A-</v>
      </c>
      <c r="AL237" s="13"/>
      <c r="AM237" s="13"/>
      <c r="AN237" s="13"/>
      <c r="AO237" s="13" t="str">
        <f t="shared" si="273"/>
        <v>C</v>
      </c>
      <c r="AP237" s="13" t="str">
        <f t="shared" si="274"/>
        <v/>
      </c>
      <c r="AQ237" s="13" t="str">
        <f t="shared" si="275"/>
        <v/>
      </c>
      <c r="AR237" s="13" t="str">
        <f t="shared" si="276"/>
        <v>O</v>
      </c>
      <c r="AS237" s="13" t="str">
        <f t="shared" si="277"/>
        <v>O</v>
      </c>
      <c r="AT237" s="13" t="s">
        <v>32</v>
      </c>
      <c r="AU237" s="13" t="str">
        <f t="shared" si="278"/>
        <v>O</v>
      </c>
      <c r="AV237" s="13" t="str">
        <f t="shared" si="279"/>
        <v>O</v>
      </c>
      <c r="AW237" s="13" t="str">
        <f t="shared" si="280"/>
        <v/>
      </c>
    </row>
    <row r="238" spans="1:49" x14ac:dyDescent="0.3">
      <c r="A238" s="5" t="s">
        <v>1613</v>
      </c>
      <c r="B238" s="14" t="s">
        <v>1614</v>
      </c>
      <c r="C238" s="25">
        <v>576</v>
      </c>
      <c r="D238" s="23">
        <v>113.1</v>
      </c>
      <c r="E238" s="21">
        <v>34</v>
      </c>
      <c r="F238" s="23">
        <v>104.6</v>
      </c>
      <c r="G238" s="24">
        <v>32</v>
      </c>
      <c r="H238" s="25">
        <v>59</v>
      </c>
      <c r="I238" s="29"/>
      <c r="J238" s="106"/>
      <c r="K238" s="29"/>
      <c r="L238" s="106"/>
      <c r="M238" s="6">
        <f t="shared" si="258"/>
        <v>0</v>
      </c>
      <c r="N238" s="7" t="str">
        <f t="shared" si="259"/>
        <v/>
      </c>
      <c r="O238" s="12">
        <f t="shared" si="260"/>
        <v>0</v>
      </c>
      <c r="P238" s="12">
        <f t="shared" si="261"/>
        <v>0</v>
      </c>
      <c r="Q238" s="13">
        <v>3</v>
      </c>
      <c r="R238" s="13">
        <v>1</v>
      </c>
      <c r="S238" s="13" t="s">
        <v>1356</v>
      </c>
      <c r="T238" s="8" t="s">
        <v>702</v>
      </c>
      <c r="U238" s="5"/>
      <c r="V238" s="5" t="s">
        <v>1622</v>
      </c>
      <c r="X238" s="23">
        <f t="shared" si="262"/>
        <v>113.1</v>
      </c>
      <c r="Y238" s="21">
        <f t="shared" si="263"/>
        <v>34</v>
      </c>
      <c r="Z238" s="28">
        <f t="shared" si="264"/>
        <v>59</v>
      </c>
      <c r="AA238" s="6">
        <f t="shared" si="265"/>
        <v>0</v>
      </c>
      <c r="AB238" s="6">
        <f t="shared" si="266"/>
        <v>0</v>
      </c>
      <c r="AC238" s="6">
        <f t="shared" si="267"/>
        <v>0</v>
      </c>
      <c r="AD238" s="7" t="str">
        <f t="shared" si="268"/>
        <v/>
      </c>
      <c r="AE238" s="12">
        <f t="shared" si="269"/>
        <v>0</v>
      </c>
      <c r="AF238" s="13" t="str">
        <f t="shared" si="270"/>
        <v>복</v>
      </c>
      <c r="AG238" s="13" t="str">
        <f t="shared" si="271"/>
        <v>3/1</v>
      </c>
      <c r="AI238" s="32" t="str">
        <f t="shared" si="249"/>
        <v>미륭</v>
      </c>
      <c r="AJ238" s="21">
        <f t="shared" si="248"/>
        <v>34</v>
      </c>
      <c r="AK238" s="13" t="str">
        <f t="shared" si="272"/>
        <v>A-</v>
      </c>
      <c r="AL238" s="13"/>
      <c r="AM238" s="13"/>
      <c r="AN238" s="13"/>
      <c r="AO238" s="13" t="str">
        <f t="shared" si="273"/>
        <v>C</v>
      </c>
      <c r="AP238" s="13" t="str">
        <f t="shared" si="274"/>
        <v/>
      </c>
      <c r="AQ238" s="13" t="str">
        <f t="shared" si="275"/>
        <v/>
      </c>
      <c r="AR238" s="13" t="str">
        <f t="shared" si="276"/>
        <v>O</v>
      </c>
      <c r="AS238" s="13" t="str">
        <f t="shared" si="277"/>
        <v>O</v>
      </c>
      <c r="AT238" s="13" t="s">
        <v>32</v>
      </c>
      <c r="AU238" s="13" t="str">
        <f t="shared" si="278"/>
        <v>X</v>
      </c>
      <c r="AV238" s="13" t="str">
        <f t="shared" si="279"/>
        <v>O</v>
      </c>
      <c r="AW238" s="13" t="str">
        <f t="shared" si="280"/>
        <v/>
      </c>
    </row>
    <row r="239" spans="1:49" x14ac:dyDescent="0.3">
      <c r="A239" s="5" t="s">
        <v>1613</v>
      </c>
      <c r="B239" s="14" t="s">
        <v>1614</v>
      </c>
      <c r="C239" s="25">
        <v>576</v>
      </c>
      <c r="D239" s="23">
        <v>113.3</v>
      </c>
      <c r="E239" s="21">
        <v>34</v>
      </c>
      <c r="F239" s="23">
        <v>104.8</v>
      </c>
      <c r="G239" s="24">
        <v>32</v>
      </c>
      <c r="H239" s="25">
        <v>12</v>
      </c>
      <c r="I239" s="29"/>
      <c r="J239" s="106"/>
      <c r="K239" s="29"/>
      <c r="L239" s="106"/>
      <c r="M239" s="6">
        <f t="shared" si="258"/>
        <v>0</v>
      </c>
      <c r="N239" s="7" t="str">
        <f t="shared" si="259"/>
        <v/>
      </c>
      <c r="O239" s="12">
        <f t="shared" si="260"/>
        <v>0</v>
      </c>
      <c r="P239" s="12">
        <f t="shared" si="261"/>
        <v>0</v>
      </c>
      <c r="Q239" s="13">
        <v>3</v>
      </c>
      <c r="R239" s="13">
        <v>1</v>
      </c>
      <c r="S239" s="13" t="s">
        <v>1356</v>
      </c>
      <c r="T239" s="8" t="s">
        <v>703</v>
      </c>
      <c r="U239" s="5"/>
      <c r="V239" s="5" t="s">
        <v>1622</v>
      </c>
      <c r="X239" s="23">
        <f t="shared" si="262"/>
        <v>113.3</v>
      </c>
      <c r="Y239" s="21">
        <f t="shared" si="263"/>
        <v>34</v>
      </c>
      <c r="Z239" s="28">
        <f t="shared" si="264"/>
        <v>12</v>
      </c>
      <c r="AA239" s="6">
        <f t="shared" si="265"/>
        <v>0</v>
      </c>
      <c r="AB239" s="6">
        <f t="shared" si="266"/>
        <v>0</v>
      </c>
      <c r="AC239" s="6">
        <f t="shared" si="267"/>
        <v>0</v>
      </c>
      <c r="AD239" s="7" t="str">
        <f t="shared" si="268"/>
        <v/>
      </c>
      <c r="AE239" s="12">
        <f t="shared" si="269"/>
        <v>0</v>
      </c>
      <c r="AF239" s="13" t="str">
        <f t="shared" si="270"/>
        <v>복</v>
      </c>
      <c r="AG239" s="13" t="str">
        <f t="shared" si="271"/>
        <v>3/1</v>
      </c>
      <c r="AI239" s="32" t="str">
        <f t="shared" si="249"/>
        <v>미륭</v>
      </c>
      <c r="AJ239" s="21">
        <f t="shared" si="248"/>
        <v>34</v>
      </c>
      <c r="AK239" s="13" t="str">
        <f t="shared" si="272"/>
        <v>A-</v>
      </c>
      <c r="AL239" s="13"/>
      <c r="AM239" s="13"/>
      <c r="AN239" s="13"/>
      <c r="AO239" s="13" t="str">
        <f t="shared" si="273"/>
        <v>C</v>
      </c>
      <c r="AP239" s="13" t="str">
        <f t="shared" si="274"/>
        <v/>
      </c>
      <c r="AQ239" s="13" t="str">
        <f t="shared" si="275"/>
        <v/>
      </c>
      <c r="AR239" s="13" t="str">
        <f t="shared" si="276"/>
        <v>O</v>
      </c>
      <c r="AS239" s="13" t="str">
        <f t="shared" si="277"/>
        <v>O</v>
      </c>
      <c r="AT239" s="13" t="s">
        <v>32</v>
      </c>
      <c r="AU239" s="13" t="str">
        <f t="shared" si="278"/>
        <v>X</v>
      </c>
      <c r="AV239" s="13" t="str">
        <f t="shared" si="279"/>
        <v>O</v>
      </c>
      <c r="AW239" s="13" t="str">
        <f t="shared" si="280"/>
        <v/>
      </c>
    </row>
    <row r="240" spans="1:49" x14ac:dyDescent="0.3">
      <c r="A240" s="5" t="s">
        <v>1613</v>
      </c>
      <c r="B240" s="14" t="s">
        <v>1614</v>
      </c>
      <c r="C240" s="25">
        <v>576</v>
      </c>
      <c r="D240" s="23">
        <v>113.1</v>
      </c>
      <c r="E240" s="21">
        <v>34</v>
      </c>
      <c r="F240" s="23">
        <v>83.7</v>
      </c>
      <c r="G240" s="24">
        <v>25</v>
      </c>
      <c r="H240" s="25">
        <v>10</v>
      </c>
      <c r="I240" s="29"/>
      <c r="J240" s="106"/>
      <c r="K240" s="29"/>
      <c r="L240" s="106"/>
      <c r="M240" s="6">
        <f t="shared" si="258"/>
        <v>0</v>
      </c>
      <c r="N240" s="7" t="str">
        <f t="shared" si="259"/>
        <v/>
      </c>
      <c r="O240" s="12">
        <f t="shared" si="260"/>
        <v>0</v>
      </c>
      <c r="P240" s="12">
        <f t="shared" si="261"/>
        <v>0</v>
      </c>
      <c r="Q240" s="13">
        <v>3</v>
      </c>
      <c r="R240" s="13">
        <v>1</v>
      </c>
      <c r="S240" s="13" t="s">
        <v>1356</v>
      </c>
      <c r="T240" s="8" t="s">
        <v>263</v>
      </c>
      <c r="U240" s="5"/>
      <c r="V240" s="5" t="s">
        <v>1622</v>
      </c>
      <c r="X240" s="23">
        <f t="shared" si="262"/>
        <v>113.1</v>
      </c>
      <c r="Y240" s="21">
        <f t="shared" si="263"/>
        <v>34</v>
      </c>
      <c r="Z240" s="28">
        <f t="shared" si="264"/>
        <v>10</v>
      </c>
      <c r="AA240" s="6">
        <f t="shared" si="265"/>
        <v>0</v>
      </c>
      <c r="AB240" s="6">
        <f t="shared" si="266"/>
        <v>0</v>
      </c>
      <c r="AC240" s="6">
        <f t="shared" si="267"/>
        <v>0</v>
      </c>
      <c r="AD240" s="7" t="str">
        <f t="shared" si="268"/>
        <v/>
      </c>
      <c r="AE240" s="12">
        <f t="shared" si="269"/>
        <v>0</v>
      </c>
      <c r="AF240" s="13" t="str">
        <f t="shared" si="270"/>
        <v>복</v>
      </c>
      <c r="AG240" s="13" t="str">
        <f t="shared" si="271"/>
        <v>3/1</v>
      </c>
      <c r="AI240" s="32" t="str">
        <f t="shared" si="249"/>
        <v>미륭</v>
      </c>
      <c r="AJ240" s="21">
        <f t="shared" si="248"/>
        <v>34</v>
      </c>
      <c r="AK240" s="13" t="str">
        <f t="shared" si="272"/>
        <v>A-</v>
      </c>
      <c r="AL240" s="13"/>
      <c r="AM240" s="13"/>
      <c r="AN240" s="13"/>
      <c r="AO240" s="13" t="str">
        <f t="shared" si="273"/>
        <v>C</v>
      </c>
      <c r="AP240" s="13" t="str">
        <f t="shared" si="274"/>
        <v/>
      </c>
      <c r="AQ240" s="13" t="str">
        <f t="shared" si="275"/>
        <v/>
      </c>
      <c r="AR240" s="13" t="str">
        <f t="shared" si="276"/>
        <v>O</v>
      </c>
      <c r="AS240" s="13" t="str">
        <f t="shared" si="277"/>
        <v>O</v>
      </c>
      <c r="AT240" s="13" t="s">
        <v>32</v>
      </c>
      <c r="AU240" s="13" t="str">
        <f t="shared" si="278"/>
        <v>O</v>
      </c>
      <c r="AV240" s="13" t="str">
        <f t="shared" si="279"/>
        <v>O</v>
      </c>
      <c r="AW240" s="13" t="str">
        <f t="shared" si="280"/>
        <v/>
      </c>
    </row>
    <row r="241" spans="1:49" x14ac:dyDescent="0.3">
      <c r="A241" s="5" t="s">
        <v>1613</v>
      </c>
      <c r="B241" s="14" t="s">
        <v>1614</v>
      </c>
      <c r="C241" s="25">
        <v>576</v>
      </c>
      <c r="D241" s="23">
        <v>113.1</v>
      </c>
      <c r="E241" s="21">
        <v>34</v>
      </c>
      <c r="F241" s="23">
        <v>104.8</v>
      </c>
      <c r="G241" s="24">
        <v>32</v>
      </c>
      <c r="H241" s="25">
        <v>8</v>
      </c>
      <c r="I241" s="29"/>
      <c r="J241" s="106"/>
      <c r="K241" s="29"/>
      <c r="L241" s="106"/>
      <c r="M241" s="6">
        <f t="shared" si="258"/>
        <v>0</v>
      </c>
      <c r="N241" s="7" t="str">
        <f t="shared" si="259"/>
        <v/>
      </c>
      <c r="O241" s="12">
        <f t="shared" si="260"/>
        <v>0</v>
      </c>
      <c r="P241" s="12">
        <f t="shared" si="261"/>
        <v>0</v>
      </c>
      <c r="Q241" s="13">
        <v>3</v>
      </c>
      <c r="R241" s="13">
        <v>1</v>
      </c>
      <c r="S241" s="13" t="s">
        <v>1356</v>
      </c>
      <c r="T241" s="8" t="s">
        <v>704</v>
      </c>
      <c r="U241" s="5"/>
      <c r="V241" s="5" t="s">
        <v>1622</v>
      </c>
      <c r="X241" s="23">
        <f t="shared" si="262"/>
        <v>113.1</v>
      </c>
      <c r="Y241" s="21">
        <f t="shared" si="263"/>
        <v>34</v>
      </c>
      <c r="Z241" s="28">
        <f t="shared" si="264"/>
        <v>8</v>
      </c>
      <c r="AA241" s="6">
        <f t="shared" si="265"/>
        <v>0</v>
      </c>
      <c r="AB241" s="6">
        <f t="shared" si="266"/>
        <v>0</v>
      </c>
      <c r="AC241" s="6">
        <f t="shared" si="267"/>
        <v>0</v>
      </c>
      <c r="AD241" s="7" t="str">
        <f t="shared" si="268"/>
        <v/>
      </c>
      <c r="AE241" s="12">
        <f t="shared" si="269"/>
        <v>0</v>
      </c>
      <c r="AF241" s="13" t="str">
        <f t="shared" si="270"/>
        <v>복</v>
      </c>
      <c r="AG241" s="13" t="str">
        <f t="shared" si="271"/>
        <v>3/1</v>
      </c>
      <c r="AI241" s="32" t="str">
        <f t="shared" si="249"/>
        <v>미륭</v>
      </c>
      <c r="AJ241" s="21">
        <f t="shared" si="248"/>
        <v>34</v>
      </c>
      <c r="AK241" s="13" t="str">
        <f t="shared" si="272"/>
        <v>A-</v>
      </c>
      <c r="AL241" s="13"/>
      <c r="AM241" s="13"/>
      <c r="AN241" s="13"/>
      <c r="AO241" s="13" t="str">
        <f t="shared" si="273"/>
        <v>C</v>
      </c>
      <c r="AP241" s="13" t="str">
        <f t="shared" si="274"/>
        <v/>
      </c>
      <c r="AQ241" s="13" t="str">
        <f t="shared" si="275"/>
        <v/>
      </c>
      <c r="AR241" s="13" t="str">
        <f t="shared" si="276"/>
        <v>O</v>
      </c>
      <c r="AS241" s="13" t="str">
        <f t="shared" si="277"/>
        <v>O</v>
      </c>
      <c r="AT241" s="13" t="s">
        <v>32</v>
      </c>
      <c r="AU241" s="13" t="str">
        <f t="shared" si="278"/>
        <v>X</v>
      </c>
      <c r="AV241" s="13" t="str">
        <f t="shared" si="279"/>
        <v>O</v>
      </c>
      <c r="AW241" s="13" t="str">
        <f t="shared" si="280"/>
        <v/>
      </c>
    </row>
    <row r="242" spans="1:49" x14ac:dyDescent="0.3">
      <c r="A242" s="5" t="s">
        <v>1613</v>
      </c>
      <c r="B242" s="14" t="s">
        <v>1614</v>
      </c>
      <c r="C242" s="25">
        <v>576</v>
      </c>
      <c r="D242" s="23">
        <v>115.8</v>
      </c>
      <c r="E242" s="21">
        <v>35</v>
      </c>
      <c r="F242" s="23">
        <v>107.3</v>
      </c>
      <c r="G242" s="24">
        <v>32</v>
      </c>
      <c r="H242" s="25">
        <v>6</v>
      </c>
      <c r="I242" s="29"/>
      <c r="J242" s="106"/>
      <c r="K242" s="29"/>
      <c r="L242" s="106"/>
      <c r="M242" s="6">
        <f t="shared" si="258"/>
        <v>0</v>
      </c>
      <c r="N242" s="7" t="str">
        <f t="shared" si="259"/>
        <v/>
      </c>
      <c r="O242" s="12">
        <f t="shared" si="260"/>
        <v>0</v>
      </c>
      <c r="P242" s="12">
        <f t="shared" si="261"/>
        <v>0</v>
      </c>
      <c r="Q242" s="13">
        <v>3</v>
      </c>
      <c r="R242" s="13">
        <v>1</v>
      </c>
      <c r="S242" s="13" t="s">
        <v>1356</v>
      </c>
      <c r="T242" s="8">
        <v>115</v>
      </c>
      <c r="U242" s="5"/>
      <c r="V242" s="5" t="s">
        <v>1623</v>
      </c>
      <c r="X242" s="23">
        <f t="shared" si="262"/>
        <v>115.8</v>
      </c>
      <c r="Y242" s="21">
        <f t="shared" si="263"/>
        <v>35</v>
      </c>
      <c r="Z242" s="28">
        <f t="shared" si="264"/>
        <v>6</v>
      </c>
      <c r="AA242" s="6">
        <f t="shared" si="265"/>
        <v>0</v>
      </c>
      <c r="AB242" s="6">
        <f t="shared" si="266"/>
        <v>0</v>
      </c>
      <c r="AC242" s="6">
        <f t="shared" si="267"/>
        <v>0</v>
      </c>
      <c r="AD242" s="7" t="str">
        <f t="shared" si="268"/>
        <v/>
      </c>
      <c r="AE242" s="12">
        <f t="shared" si="269"/>
        <v>0</v>
      </c>
      <c r="AF242" s="13" t="str">
        <f t="shared" si="270"/>
        <v>복</v>
      </c>
      <c r="AG242" s="13" t="str">
        <f t="shared" si="271"/>
        <v>3/1</v>
      </c>
      <c r="AI242" s="32" t="str">
        <f t="shared" si="249"/>
        <v>미륭</v>
      </c>
      <c r="AJ242" s="21">
        <f t="shared" si="248"/>
        <v>35</v>
      </c>
      <c r="AK242" s="13" t="str">
        <f t="shared" si="272"/>
        <v>A-</v>
      </c>
      <c r="AL242" s="13"/>
      <c r="AM242" s="13"/>
      <c r="AN242" s="13"/>
      <c r="AO242" s="13" t="str">
        <f t="shared" si="273"/>
        <v>C</v>
      </c>
      <c r="AP242" s="13" t="str">
        <f t="shared" si="274"/>
        <v/>
      </c>
      <c r="AQ242" s="13" t="str">
        <f t="shared" si="275"/>
        <v/>
      </c>
      <c r="AR242" s="13" t="str">
        <f t="shared" si="276"/>
        <v>O</v>
      </c>
      <c r="AS242" s="13" t="str">
        <f t="shared" si="277"/>
        <v>O</v>
      </c>
      <c r="AT242" s="13" t="s">
        <v>32</v>
      </c>
      <c r="AU242" s="13" t="str">
        <f t="shared" si="278"/>
        <v>X</v>
      </c>
      <c r="AV242" s="13" t="str">
        <f t="shared" si="279"/>
        <v>O</v>
      </c>
      <c r="AW242" s="13" t="str">
        <f t="shared" si="280"/>
        <v/>
      </c>
    </row>
  </sheetData>
  <mergeCells count="1">
    <mergeCell ref="AK1:AO1"/>
  </mergeCells>
  <phoneticPr fontId="2" type="noConversion"/>
  <conditionalFormatting sqref="AW4:AW6">
    <cfRule type="expression" dxfId="8769" priority="4126">
      <formula>AW4="X"</formula>
    </cfRule>
    <cfRule type="expression" dxfId="8768" priority="4127">
      <formula>AW4="후보"</formula>
    </cfRule>
  </conditionalFormatting>
  <conditionalFormatting sqref="AA2:AA6">
    <cfRule type="colorScale" priority="412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8767" priority="4123" operator="greaterThan">
      <formula>0.9</formula>
    </cfRule>
    <cfRule type="cellIs" dxfId="8766" priority="4124" operator="greaterThan">
      <formula>0.85</formula>
    </cfRule>
  </conditionalFormatting>
  <conditionalFormatting sqref="N1:N2">
    <cfRule type="cellIs" dxfId="8765" priority="4121" operator="greaterThan">
      <formula>0.9</formula>
    </cfRule>
    <cfRule type="cellIs" dxfId="8764" priority="4122" operator="greaterThan">
      <formula>0.85</formula>
    </cfRule>
  </conditionalFormatting>
  <conditionalFormatting sqref="N6">
    <cfRule type="cellIs" dxfId="8763" priority="4119" operator="greaterThan">
      <formula>0.9</formula>
    </cfRule>
    <cfRule type="cellIs" dxfId="8762" priority="4120" operator="greaterThan">
      <formula>0.85</formula>
    </cfRule>
  </conditionalFormatting>
  <conditionalFormatting sqref="E6">
    <cfRule type="expression" dxfId="8761" priority="4115">
      <formula>AND(IF(OR($Q6=1,$Q6=2),1,0),IF($E6&lt;=20,1,0))</formula>
    </cfRule>
    <cfRule type="expression" dxfId="8760" priority="4116">
      <formula>AND(IF($Q6=2,1,0),IF($E6&lt;30,1,0))</formula>
    </cfRule>
    <cfRule type="expression" dxfId="8759" priority="4117">
      <formula>AND(IF($Q6=3,1,0),IF($E6&lt;30,1,0))</formula>
    </cfRule>
    <cfRule type="expression" dxfId="8758" priority="4118">
      <formula>AND(IF($Q6=3,1,IF($Q6=4,1,0)),IF($F6&lt;=85,1,0))</formula>
    </cfRule>
  </conditionalFormatting>
  <conditionalFormatting sqref="Y6">
    <cfRule type="expression" dxfId="8757" priority="4111">
      <formula>AND(IF(OR($Q6=1,$Q6=2),1,0),IF($Y6&lt;=20,1,0))</formula>
    </cfRule>
    <cfRule type="expression" dxfId="8756" priority="4112">
      <formula>AND(IF($Q6=2,1,0),IF($Y6&lt;30,1,0))</formula>
    </cfRule>
    <cfRule type="expression" dxfId="8755" priority="4113">
      <formula>AND(IF($Q6=3,1,0),IF($Y6&lt;30,1,0))</formula>
    </cfRule>
    <cfRule type="expression" dxfId="8754" priority="4114">
      <formula>AND(IF($Q6=3,1,IF($Q6=4,1,0)),IF($F6&lt;=85,1,0))</formula>
    </cfRule>
  </conditionalFormatting>
  <conditionalFormatting sqref="AJ6">
    <cfRule type="expression" dxfId="8753" priority="4107">
      <formula>AND(IF(OR($Q6=1,$Q6=2),1,0),IF($Y6&lt;=20,1,0))</formula>
    </cfRule>
    <cfRule type="expression" dxfId="8752" priority="4108">
      <formula>AND(IF($Q6=2,1,0),IF($Y6&lt;30,1,0))</formula>
    </cfRule>
    <cfRule type="expression" dxfId="8751" priority="4109">
      <formula>AND(IF($Q6=3,1,0),IF($Y6&lt;30,1,0))</formula>
    </cfRule>
    <cfRule type="expression" dxfId="8750" priority="4110">
      <formula>AND(IF($Q6=3,1,IF($Q6=4,1,0)),IF($F6&lt;=85,1,0))</formula>
    </cfRule>
  </conditionalFormatting>
  <conditionalFormatting sqref="AW7">
    <cfRule type="expression" dxfId="8749" priority="4105">
      <formula>AW7="X"</formula>
    </cfRule>
    <cfRule type="expression" dxfId="8748" priority="4106">
      <formula>AW7="후보"</formula>
    </cfRule>
  </conditionalFormatting>
  <conditionalFormatting sqref="AA7">
    <cfRule type="colorScale" priority="41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8747" priority="4102" operator="greaterThan">
      <formula>0.9</formula>
    </cfRule>
    <cfRule type="cellIs" dxfId="8746" priority="4103" operator="greaterThan">
      <formula>0.85</formula>
    </cfRule>
  </conditionalFormatting>
  <conditionalFormatting sqref="N7">
    <cfRule type="cellIs" dxfId="8745" priority="4100" operator="greaterThan">
      <formula>0.9</formula>
    </cfRule>
    <cfRule type="cellIs" dxfId="8744" priority="4101" operator="greaterThan">
      <formula>0.85</formula>
    </cfRule>
  </conditionalFormatting>
  <conditionalFormatting sqref="E7">
    <cfRule type="expression" dxfId="8743" priority="4096">
      <formula>AND(IF(OR($Q7=1,$Q7=2),1,0),IF($E7&lt;=20,1,0))</formula>
    </cfRule>
    <cfRule type="expression" dxfId="8742" priority="4097">
      <formula>AND(IF($Q7=2,1,0),IF($E7&lt;30,1,0))</formula>
    </cfRule>
    <cfRule type="expression" dxfId="8741" priority="4098">
      <formula>AND(IF($Q7=3,1,0),IF($E7&lt;30,1,0))</formula>
    </cfRule>
    <cfRule type="expression" dxfId="8740" priority="4099">
      <formula>AND(IF($Q7=3,1,IF($Q7=4,1,0)),IF($F7&lt;=85,1,0))</formula>
    </cfRule>
  </conditionalFormatting>
  <conditionalFormatting sqref="Y7">
    <cfRule type="expression" dxfId="8739" priority="4092">
      <formula>AND(IF(OR($Q7=1,$Q7=2),1,0),IF($Y7&lt;=20,1,0))</formula>
    </cfRule>
    <cfRule type="expression" dxfId="8738" priority="4093">
      <formula>AND(IF($Q7=2,1,0),IF($Y7&lt;30,1,0))</formula>
    </cfRule>
    <cfRule type="expression" dxfId="8737" priority="4094">
      <formula>AND(IF($Q7=3,1,0),IF($Y7&lt;30,1,0))</formula>
    </cfRule>
    <cfRule type="expression" dxfId="8736" priority="4095">
      <formula>AND(IF($Q7=3,1,IF($Q7=4,1,0)),IF($F7&lt;=85,1,0))</formula>
    </cfRule>
  </conditionalFormatting>
  <conditionalFormatting sqref="AJ7">
    <cfRule type="expression" dxfId="8735" priority="4088">
      <formula>AND(IF(OR($Q7=1,$Q7=2),1,0),IF($Y7&lt;=20,1,0))</formula>
    </cfRule>
    <cfRule type="expression" dxfId="8734" priority="4089">
      <formula>AND(IF($Q7=2,1,0),IF($Y7&lt;30,1,0))</formula>
    </cfRule>
    <cfRule type="expression" dxfId="8733" priority="4090">
      <formula>AND(IF($Q7=3,1,0),IF($Y7&lt;30,1,0))</formula>
    </cfRule>
    <cfRule type="expression" dxfId="8732" priority="4091">
      <formula>AND(IF($Q7=3,1,IF($Q7=4,1,0)),IF($F7&lt;=85,1,0))</formula>
    </cfRule>
  </conditionalFormatting>
  <conditionalFormatting sqref="AW8">
    <cfRule type="expression" dxfId="8731" priority="4086">
      <formula>AW8="X"</formula>
    </cfRule>
    <cfRule type="expression" dxfId="8730" priority="4087">
      <formula>AW8="후보"</formula>
    </cfRule>
  </conditionalFormatting>
  <conditionalFormatting sqref="AA8">
    <cfRule type="colorScale" priority="40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8729" priority="4083" operator="greaterThan">
      <formula>0.9</formula>
    </cfRule>
    <cfRule type="cellIs" dxfId="8728" priority="4084" operator="greaterThan">
      <formula>0.85</formula>
    </cfRule>
  </conditionalFormatting>
  <conditionalFormatting sqref="N8">
    <cfRule type="cellIs" dxfId="8727" priority="4081" operator="greaterThan">
      <formula>0.9</formula>
    </cfRule>
    <cfRule type="cellIs" dxfId="8726" priority="4082" operator="greaterThan">
      <formula>0.85</formula>
    </cfRule>
  </conditionalFormatting>
  <conditionalFormatting sqref="E8">
    <cfRule type="expression" dxfId="8725" priority="4077">
      <formula>AND(IF(OR($Q8=1,$Q8=2),1,0),IF($E8&lt;=20,1,0))</formula>
    </cfRule>
    <cfRule type="expression" dxfId="8724" priority="4078">
      <formula>AND(IF($Q8=2,1,0),IF($E8&lt;30,1,0))</formula>
    </cfRule>
    <cfRule type="expression" dxfId="8723" priority="4079">
      <formula>AND(IF($Q8=3,1,0),IF($E8&lt;30,1,0))</formula>
    </cfRule>
    <cfRule type="expression" dxfId="8722" priority="4080">
      <formula>AND(IF($Q8=3,1,IF($Q8=4,1,0)),IF($F8&lt;=85,1,0))</formula>
    </cfRule>
  </conditionalFormatting>
  <conditionalFormatting sqref="Y8">
    <cfRule type="expression" dxfId="8721" priority="4073">
      <formula>AND(IF(OR($Q8=1,$Q8=2),1,0),IF($Y8&lt;=20,1,0))</formula>
    </cfRule>
    <cfRule type="expression" dxfId="8720" priority="4074">
      <formula>AND(IF($Q8=2,1,0),IF($Y8&lt;30,1,0))</formula>
    </cfRule>
    <cfRule type="expression" dxfId="8719" priority="4075">
      <formula>AND(IF($Q8=3,1,0),IF($Y8&lt;30,1,0))</formula>
    </cfRule>
    <cfRule type="expression" dxfId="8718" priority="4076">
      <formula>AND(IF($Q8=3,1,IF($Q8=4,1,0)),IF($F8&lt;=85,1,0))</formula>
    </cfRule>
  </conditionalFormatting>
  <conditionalFormatting sqref="AJ8">
    <cfRule type="expression" dxfId="8717" priority="4069">
      <formula>AND(IF(OR($Q8=1,$Q8=2),1,0),IF($Y8&lt;=20,1,0))</formula>
    </cfRule>
    <cfRule type="expression" dxfId="8716" priority="4070">
      <formula>AND(IF($Q8=2,1,0),IF($Y8&lt;30,1,0))</formula>
    </cfRule>
    <cfRule type="expression" dxfId="8715" priority="4071">
      <formula>AND(IF($Q8=3,1,0),IF($Y8&lt;30,1,0))</formula>
    </cfRule>
    <cfRule type="expression" dxfId="8714" priority="4072">
      <formula>AND(IF($Q8=3,1,IF($Q8=4,1,0)),IF($F8&lt;=85,1,0))</formula>
    </cfRule>
  </conditionalFormatting>
  <conditionalFormatting sqref="AW9">
    <cfRule type="expression" dxfId="8713" priority="4067">
      <formula>AW9="X"</formula>
    </cfRule>
    <cfRule type="expression" dxfId="8712" priority="4068">
      <formula>AW9="후보"</formula>
    </cfRule>
  </conditionalFormatting>
  <conditionalFormatting sqref="AA9">
    <cfRule type="colorScale" priority="40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">
    <cfRule type="cellIs" dxfId="8711" priority="4064" operator="greaterThan">
      <formula>0.9</formula>
    </cfRule>
    <cfRule type="cellIs" dxfId="8710" priority="4065" operator="greaterThan">
      <formula>0.85</formula>
    </cfRule>
  </conditionalFormatting>
  <conditionalFormatting sqref="N9">
    <cfRule type="cellIs" dxfId="8709" priority="4062" operator="greaterThan">
      <formula>0.9</formula>
    </cfRule>
    <cfRule type="cellIs" dxfId="8708" priority="4063" operator="greaterThan">
      <formula>0.85</formula>
    </cfRule>
  </conditionalFormatting>
  <conditionalFormatting sqref="E9">
    <cfRule type="expression" dxfId="8707" priority="4058">
      <formula>AND(IF(OR($Q9=1,$Q9=2),1,0),IF($E9&lt;=20,1,0))</formula>
    </cfRule>
    <cfRule type="expression" dxfId="8706" priority="4059">
      <formula>AND(IF($Q9=2,1,0),IF($E9&lt;30,1,0))</formula>
    </cfRule>
    <cfRule type="expression" dxfId="8705" priority="4060">
      <formula>AND(IF($Q9=3,1,0),IF($E9&lt;30,1,0))</formula>
    </cfRule>
    <cfRule type="expression" dxfId="8704" priority="4061">
      <formula>AND(IF($Q9=3,1,IF($Q9=4,1,0)),IF($F9&lt;=85,1,0))</formula>
    </cfRule>
  </conditionalFormatting>
  <conditionalFormatting sqref="Y9">
    <cfRule type="expression" dxfId="8703" priority="4054">
      <formula>AND(IF(OR($Q9=1,$Q9=2),1,0),IF($Y9&lt;=20,1,0))</formula>
    </cfRule>
    <cfRule type="expression" dxfId="8702" priority="4055">
      <formula>AND(IF($Q9=2,1,0),IF($Y9&lt;30,1,0))</formula>
    </cfRule>
    <cfRule type="expression" dxfId="8701" priority="4056">
      <formula>AND(IF($Q9=3,1,0),IF($Y9&lt;30,1,0))</formula>
    </cfRule>
    <cfRule type="expression" dxfId="8700" priority="4057">
      <formula>AND(IF($Q9=3,1,IF($Q9=4,1,0)),IF($F9&lt;=85,1,0))</formula>
    </cfRule>
  </conditionalFormatting>
  <conditionalFormatting sqref="AJ9">
    <cfRule type="expression" dxfId="8699" priority="4050">
      <formula>AND(IF(OR($Q9=1,$Q9=2),1,0),IF($Y9&lt;=20,1,0))</formula>
    </cfRule>
    <cfRule type="expression" dxfId="8698" priority="4051">
      <formula>AND(IF($Q9=2,1,0),IF($Y9&lt;30,1,0))</formula>
    </cfRule>
    <cfRule type="expression" dxfId="8697" priority="4052">
      <formula>AND(IF($Q9=3,1,0),IF($Y9&lt;30,1,0))</formula>
    </cfRule>
    <cfRule type="expression" dxfId="8696" priority="4053">
      <formula>AND(IF($Q9=3,1,IF($Q9=4,1,0)),IF($F9&lt;=85,1,0))</formula>
    </cfRule>
  </conditionalFormatting>
  <conditionalFormatting sqref="AW10">
    <cfRule type="expression" dxfId="8695" priority="4048">
      <formula>AW10="X"</formula>
    </cfRule>
    <cfRule type="expression" dxfId="8694" priority="4049">
      <formula>AW10="후보"</formula>
    </cfRule>
  </conditionalFormatting>
  <conditionalFormatting sqref="AA10">
    <cfRule type="colorScale" priority="40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 N10">
    <cfRule type="cellIs" dxfId="8693" priority="4045" operator="greaterThan">
      <formula>0.9</formula>
    </cfRule>
    <cfRule type="cellIs" dxfId="8692" priority="4046" operator="greaterThan">
      <formula>0.85</formula>
    </cfRule>
  </conditionalFormatting>
  <conditionalFormatting sqref="AW11">
    <cfRule type="expression" dxfId="8691" priority="4043">
      <formula>AW11="X"</formula>
    </cfRule>
    <cfRule type="expression" dxfId="8690" priority="4044">
      <formula>AW11="후보"</formula>
    </cfRule>
  </conditionalFormatting>
  <conditionalFormatting sqref="AA11">
    <cfRule type="colorScale" priority="40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8689" priority="4040" operator="greaterThan">
      <formula>0.9</formula>
    </cfRule>
    <cfRule type="cellIs" dxfId="8688" priority="4041" operator="greaterThan">
      <formula>0.85</formula>
    </cfRule>
  </conditionalFormatting>
  <conditionalFormatting sqref="N11">
    <cfRule type="cellIs" dxfId="8687" priority="4038" operator="greaterThan">
      <formula>0.9</formula>
    </cfRule>
    <cfRule type="cellIs" dxfId="8686" priority="4039" operator="greaterThan">
      <formula>0.85</formula>
    </cfRule>
  </conditionalFormatting>
  <conditionalFormatting sqref="E11">
    <cfRule type="expression" dxfId="8685" priority="4034">
      <formula>AND(IF(OR($Q11=1,$Q11=2),1,0),IF($E11&lt;=20,1,0))</formula>
    </cfRule>
    <cfRule type="expression" dxfId="8684" priority="4035">
      <formula>AND(IF($Q11=2,1,0),IF($E11&lt;30,1,0))</formula>
    </cfRule>
    <cfRule type="expression" dxfId="8683" priority="4036">
      <formula>AND(IF($Q11=3,1,0),IF($E11&lt;30,1,0))</formula>
    </cfRule>
    <cfRule type="expression" dxfId="8682" priority="4037">
      <formula>AND(IF($Q11=3,1,IF($Q11=4,1,0)),IF($F11&lt;=85,1,0))</formula>
    </cfRule>
  </conditionalFormatting>
  <conditionalFormatting sqref="Y11">
    <cfRule type="expression" dxfId="8681" priority="4030">
      <formula>AND(IF(OR($Q11=1,$Q11=2),1,0),IF($Y11&lt;=20,1,0))</formula>
    </cfRule>
    <cfRule type="expression" dxfId="8680" priority="4031">
      <formula>AND(IF($Q11=2,1,0),IF($Y11&lt;30,1,0))</formula>
    </cfRule>
    <cfRule type="expression" dxfId="8679" priority="4032">
      <formula>AND(IF($Q11=3,1,0),IF($Y11&lt;30,1,0))</formula>
    </cfRule>
    <cfRule type="expression" dxfId="8678" priority="4033">
      <formula>AND(IF($Q11=3,1,IF($Q11=4,1,0)),IF($F11&lt;=85,1,0))</formula>
    </cfRule>
  </conditionalFormatting>
  <conditionalFormatting sqref="AJ11">
    <cfRule type="expression" dxfId="8677" priority="4026">
      <formula>AND(IF(OR($Q11=1,$Q11=2),1,0),IF($Y11&lt;=20,1,0))</formula>
    </cfRule>
    <cfRule type="expression" dxfId="8676" priority="4027">
      <formula>AND(IF($Q11=2,1,0),IF($Y11&lt;30,1,0))</formula>
    </cfRule>
    <cfRule type="expression" dxfId="8675" priority="4028">
      <formula>AND(IF($Q11=3,1,0),IF($Y11&lt;30,1,0))</formula>
    </cfRule>
    <cfRule type="expression" dxfId="8674" priority="4029">
      <formula>AND(IF($Q11=3,1,IF($Q11=4,1,0)),IF($F11&lt;=85,1,0))</formula>
    </cfRule>
  </conditionalFormatting>
  <conditionalFormatting sqref="AW12">
    <cfRule type="expression" dxfId="8673" priority="4024">
      <formula>AW12="X"</formula>
    </cfRule>
    <cfRule type="expression" dxfId="8672" priority="4025">
      <formula>AW12="후보"</formula>
    </cfRule>
  </conditionalFormatting>
  <conditionalFormatting sqref="AA12">
    <cfRule type="colorScale" priority="40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8671" priority="4021" operator="greaterThan">
      <formula>0.9</formula>
    </cfRule>
    <cfRule type="cellIs" dxfId="8670" priority="4022" operator="greaterThan">
      <formula>0.85</formula>
    </cfRule>
  </conditionalFormatting>
  <conditionalFormatting sqref="N12">
    <cfRule type="cellIs" dxfId="8669" priority="4019" operator="greaterThan">
      <formula>0.9</formula>
    </cfRule>
    <cfRule type="cellIs" dxfId="8668" priority="4020" operator="greaterThan">
      <formula>0.85</formula>
    </cfRule>
  </conditionalFormatting>
  <conditionalFormatting sqref="E12">
    <cfRule type="expression" dxfId="8667" priority="4015">
      <formula>AND(IF(OR($Q12=1,$Q12=2),1,0),IF($E12&lt;=20,1,0))</formula>
    </cfRule>
    <cfRule type="expression" dxfId="8666" priority="4016">
      <formula>AND(IF($Q12=2,1,0),IF($E12&lt;30,1,0))</formula>
    </cfRule>
    <cfRule type="expression" dxfId="8665" priority="4017">
      <formula>AND(IF($Q12=3,1,0),IF($E12&lt;30,1,0))</formula>
    </cfRule>
    <cfRule type="expression" dxfId="8664" priority="4018">
      <formula>AND(IF($Q12=3,1,IF($Q12=4,1,0)),IF($F12&lt;=85,1,0))</formula>
    </cfRule>
  </conditionalFormatting>
  <conditionalFormatting sqref="Y12">
    <cfRule type="expression" dxfId="8663" priority="4011">
      <formula>AND(IF(OR($Q12=1,$Q12=2),1,0),IF($Y12&lt;=20,1,0))</formula>
    </cfRule>
    <cfRule type="expression" dxfId="8662" priority="4012">
      <formula>AND(IF($Q12=2,1,0),IF($Y12&lt;30,1,0))</formula>
    </cfRule>
    <cfRule type="expression" dxfId="8661" priority="4013">
      <formula>AND(IF($Q12=3,1,0),IF($Y12&lt;30,1,0))</formula>
    </cfRule>
    <cfRule type="expression" dxfId="8660" priority="4014">
      <formula>AND(IF($Q12=3,1,IF($Q12=4,1,0)),IF($F12&lt;=85,1,0))</formula>
    </cfRule>
  </conditionalFormatting>
  <conditionalFormatting sqref="AJ12">
    <cfRule type="expression" dxfId="8659" priority="4007">
      <formula>AND(IF(OR($Q12=1,$Q12=2),1,0),IF($Y12&lt;=20,1,0))</formula>
    </cfRule>
    <cfRule type="expression" dxfId="8658" priority="4008">
      <formula>AND(IF($Q12=2,1,0),IF($Y12&lt;30,1,0))</formula>
    </cfRule>
    <cfRule type="expression" dxfId="8657" priority="4009">
      <formula>AND(IF($Q12=3,1,0),IF($Y12&lt;30,1,0))</formula>
    </cfRule>
    <cfRule type="expression" dxfId="8656" priority="4010">
      <formula>AND(IF($Q12=3,1,IF($Q12=4,1,0)),IF($F12&lt;=85,1,0))</formula>
    </cfRule>
  </conditionalFormatting>
  <conditionalFormatting sqref="AW13">
    <cfRule type="expression" dxfId="8655" priority="4005">
      <formula>AW13="X"</formula>
    </cfRule>
    <cfRule type="expression" dxfId="8654" priority="4006">
      <formula>AW13="후보"</formula>
    </cfRule>
  </conditionalFormatting>
  <conditionalFormatting sqref="AA13">
    <cfRule type="colorScale" priority="40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8653" priority="4002" operator="greaterThan">
      <formula>0.9</formula>
    </cfRule>
    <cfRule type="cellIs" dxfId="8652" priority="4003" operator="greaterThan">
      <formula>0.85</formula>
    </cfRule>
  </conditionalFormatting>
  <conditionalFormatting sqref="N13">
    <cfRule type="cellIs" dxfId="8651" priority="4000" operator="greaterThan">
      <formula>0.9</formula>
    </cfRule>
    <cfRule type="cellIs" dxfId="8650" priority="4001" operator="greaterThan">
      <formula>0.85</formula>
    </cfRule>
  </conditionalFormatting>
  <conditionalFormatting sqref="E13">
    <cfRule type="expression" dxfId="8649" priority="3996">
      <formula>AND(IF(OR($Q13=1,$Q13=2),1,0),IF($E13&lt;=20,1,0))</formula>
    </cfRule>
    <cfRule type="expression" dxfId="8648" priority="3997">
      <formula>AND(IF($Q13=2,1,0),IF($E13&lt;30,1,0))</formula>
    </cfRule>
    <cfRule type="expression" dxfId="8647" priority="3998">
      <formula>AND(IF($Q13=3,1,0),IF($E13&lt;30,1,0))</formula>
    </cfRule>
    <cfRule type="expression" dxfId="8646" priority="3999">
      <formula>AND(IF($Q13=3,1,IF($Q13=4,1,0)),IF($F13&lt;=85,1,0))</formula>
    </cfRule>
  </conditionalFormatting>
  <conditionalFormatting sqref="Y13">
    <cfRule type="expression" dxfId="8645" priority="3992">
      <formula>AND(IF(OR($Q13=1,$Q13=2),1,0),IF($Y13&lt;=20,1,0))</formula>
    </cfRule>
    <cfRule type="expression" dxfId="8644" priority="3993">
      <formula>AND(IF($Q13=2,1,0),IF($Y13&lt;30,1,0))</formula>
    </cfRule>
    <cfRule type="expression" dxfId="8643" priority="3994">
      <formula>AND(IF($Q13=3,1,0),IF($Y13&lt;30,1,0))</formula>
    </cfRule>
    <cfRule type="expression" dxfId="8642" priority="3995">
      <formula>AND(IF($Q13=3,1,IF($Q13=4,1,0)),IF($F13&lt;=85,1,0))</formula>
    </cfRule>
  </conditionalFormatting>
  <conditionalFormatting sqref="AJ13">
    <cfRule type="expression" dxfId="8641" priority="3988">
      <formula>AND(IF(OR($Q13=1,$Q13=2),1,0),IF($Y13&lt;=20,1,0))</formula>
    </cfRule>
    <cfRule type="expression" dxfId="8640" priority="3989">
      <formula>AND(IF($Q13=2,1,0),IF($Y13&lt;30,1,0))</formula>
    </cfRule>
    <cfRule type="expression" dxfId="8639" priority="3990">
      <formula>AND(IF($Q13=3,1,0),IF($Y13&lt;30,1,0))</formula>
    </cfRule>
    <cfRule type="expression" dxfId="8638" priority="3991">
      <formula>AND(IF($Q13=3,1,IF($Q13=4,1,0)),IF($F13&lt;=85,1,0))</formula>
    </cfRule>
  </conditionalFormatting>
  <conditionalFormatting sqref="AW14">
    <cfRule type="expression" dxfId="8637" priority="3986">
      <formula>AW14="X"</formula>
    </cfRule>
    <cfRule type="expression" dxfId="8636" priority="3987">
      <formula>AW14="후보"</formula>
    </cfRule>
  </conditionalFormatting>
  <conditionalFormatting sqref="AA14">
    <cfRule type="colorScale" priority="39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8635" priority="3983" operator="greaterThan">
      <formula>0.9</formula>
    </cfRule>
    <cfRule type="cellIs" dxfId="8634" priority="3984" operator="greaterThan">
      <formula>0.85</formula>
    </cfRule>
  </conditionalFormatting>
  <conditionalFormatting sqref="N14">
    <cfRule type="cellIs" dxfId="8633" priority="3981" operator="greaterThan">
      <formula>0.9</formula>
    </cfRule>
    <cfRule type="cellIs" dxfId="8632" priority="3982" operator="greaterThan">
      <formula>0.85</formula>
    </cfRule>
  </conditionalFormatting>
  <conditionalFormatting sqref="E14">
    <cfRule type="expression" dxfId="8631" priority="3977">
      <formula>AND(IF(OR($Q14=1,$Q14=2),1,0),IF($E14&lt;=20,1,0))</formula>
    </cfRule>
    <cfRule type="expression" dxfId="8630" priority="3978">
      <formula>AND(IF($Q14=2,1,0),IF($E14&lt;30,1,0))</formula>
    </cfRule>
    <cfRule type="expression" dxfId="8629" priority="3979">
      <formula>AND(IF($Q14=3,1,0),IF($E14&lt;30,1,0))</formula>
    </cfRule>
    <cfRule type="expression" dxfId="8628" priority="3980">
      <formula>AND(IF($Q14=3,1,IF($Q14=4,1,0)),IF($F14&lt;=85,1,0))</formula>
    </cfRule>
  </conditionalFormatting>
  <conditionalFormatting sqref="Y14">
    <cfRule type="expression" dxfId="8627" priority="3973">
      <formula>AND(IF(OR($Q14=1,$Q14=2),1,0),IF($Y14&lt;=20,1,0))</formula>
    </cfRule>
    <cfRule type="expression" dxfId="8626" priority="3974">
      <formula>AND(IF($Q14=2,1,0),IF($Y14&lt;30,1,0))</formula>
    </cfRule>
    <cfRule type="expression" dxfId="8625" priority="3975">
      <formula>AND(IF($Q14=3,1,0),IF($Y14&lt;30,1,0))</formula>
    </cfRule>
    <cfRule type="expression" dxfId="8624" priority="3976">
      <formula>AND(IF($Q14=3,1,IF($Q14=4,1,0)),IF($F14&lt;=85,1,0))</formula>
    </cfRule>
  </conditionalFormatting>
  <conditionalFormatting sqref="AJ14">
    <cfRule type="expression" dxfId="8623" priority="3969">
      <formula>AND(IF(OR($Q14=1,$Q14=2),1,0),IF($Y14&lt;=20,1,0))</formula>
    </cfRule>
    <cfRule type="expression" dxfId="8622" priority="3970">
      <formula>AND(IF($Q14=2,1,0),IF($Y14&lt;30,1,0))</formula>
    </cfRule>
    <cfRule type="expression" dxfId="8621" priority="3971">
      <formula>AND(IF($Q14=3,1,0),IF($Y14&lt;30,1,0))</formula>
    </cfRule>
    <cfRule type="expression" dxfId="8620" priority="3972">
      <formula>AND(IF($Q14=3,1,IF($Q14=4,1,0)),IF($F14&lt;=85,1,0))</formula>
    </cfRule>
  </conditionalFormatting>
  <conditionalFormatting sqref="AW15">
    <cfRule type="expression" dxfId="8619" priority="3967">
      <formula>AW15="X"</formula>
    </cfRule>
    <cfRule type="expression" dxfId="8618" priority="3968">
      <formula>AW15="후보"</formula>
    </cfRule>
  </conditionalFormatting>
  <conditionalFormatting sqref="AA15">
    <cfRule type="colorScale" priority="39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 N15">
    <cfRule type="cellIs" dxfId="8617" priority="3964" operator="greaterThan">
      <formula>0.9</formula>
    </cfRule>
    <cfRule type="cellIs" dxfId="8616" priority="3965" operator="greaterThan">
      <formula>0.85</formula>
    </cfRule>
  </conditionalFormatting>
  <conditionalFormatting sqref="AW16">
    <cfRule type="expression" dxfId="8615" priority="3962">
      <formula>AW16="X"</formula>
    </cfRule>
    <cfRule type="expression" dxfId="8614" priority="3963">
      <formula>AW16="후보"</formula>
    </cfRule>
  </conditionalFormatting>
  <conditionalFormatting sqref="AA16">
    <cfRule type="colorScale" priority="39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8613" priority="3959" operator="greaterThan">
      <formula>0.9</formula>
    </cfRule>
    <cfRule type="cellIs" dxfId="8612" priority="3960" operator="greaterThan">
      <formula>0.85</formula>
    </cfRule>
  </conditionalFormatting>
  <conditionalFormatting sqref="N16">
    <cfRule type="cellIs" dxfId="8611" priority="3957" operator="greaterThan">
      <formula>0.9</formula>
    </cfRule>
    <cfRule type="cellIs" dxfId="8610" priority="3958" operator="greaterThan">
      <formula>0.85</formula>
    </cfRule>
  </conditionalFormatting>
  <conditionalFormatting sqref="E16">
    <cfRule type="expression" dxfId="8609" priority="3953">
      <formula>AND(IF(OR($Q16=1,$Q16=2),1,0),IF($E16&lt;=20,1,0))</formula>
    </cfRule>
    <cfRule type="expression" dxfId="8608" priority="3954">
      <formula>AND(IF($Q16=2,1,0),IF($E16&lt;30,1,0))</formula>
    </cfRule>
    <cfRule type="expression" dxfId="8607" priority="3955">
      <formula>AND(IF($Q16=3,1,0),IF($E16&lt;30,1,0))</formula>
    </cfRule>
    <cfRule type="expression" dxfId="8606" priority="3956">
      <formula>AND(IF($Q16=3,1,IF($Q16=4,1,0)),IF($F16&lt;=85,1,0))</formula>
    </cfRule>
  </conditionalFormatting>
  <conditionalFormatting sqref="Y16">
    <cfRule type="expression" dxfId="8605" priority="3949">
      <formula>AND(IF(OR($Q16=1,$Q16=2),1,0),IF($Y16&lt;=20,1,0))</formula>
    </cfRule>
    <cfRule type="expression" dxfId="8604" priority="3950">
      <formula>AND(IF($Q16=2,1,0),IF($Y16&lt;30,1,0))</formula>
    </cfRule>
    <cfRule type="expression" dxfId="8603" priority="3951">
      <formula>AND(IF($Q16=3,1,0),IF($Y16&lt;30,1,0))</formula>
    </cfRule>
    <cfRule type="expression" dxfId="8602" priority="3952">
      <formula>AND(IF($Q16=3,1,IF($Q16=4,1,0)),IF($F16&lt;=85,1,0))</formula>
    </cfRule>
  </conditionalFormatting>
  <conditionalFormatting sqref="AJ16">
    <cfRule type="expression" dxfId="8601" priority="3945">
      <formula>AND(IF(OR($Q16=1,$Q16=2),1,0),IF($Y16&lt;=20,1,0))</formula>
    </cfRule>
    <cfRule type="expression" dxfId="8600" priority="3946">
      <formula>AND(IF($Q16=2,1,0),IF($Y16&lt;30,1,0))</formula>
    </cfRule>
    <cfRule type="expression" dxfId="8599" priority="3947">
      <formula>AND(IF($Q16=3,1,0),IF($Y16&lt;30,1,0))</formula>
    </cfRule>
    <cfRule type="expression" dxfId="8598" priority="3948">
      <formula>AND(IF($Q16=3,1,IF($Q16=4,1,0)),IF($F16&lt;=85,1,0))</formula>
    </cfRule>
  </conditionalFormatting>
  <conditionalFormatting sqref="AW17">
    <cfRule type="expression" dxfId="8597" priority="3943">
      <formula>AW17="X"</formula>
    </cfRule>
    <cfRule type="expression" dxfId="8596" priority="3944">
      <formula>AW17="후보"</formula>
    </cfRule>
  </conditionalFormatting>
  <conditionalFormatting sqref="AA17">
    <cfRule type="colorScale" priority="3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8595" priority="3940" operator="greaterThan">
      <formula>0.9</formula>
    </cfRule>
    <cfRule type="cellIs" dxfId="8594" priority="3941" operator="greaterThan">
      <formula>0.85</formula>
    </cfRule>
  </conditionalFormatting>
  <conditionalFormatting sqref="N17">
    <cfRule type="cellIs" dxfId="8593" priority="3938" operator="greaterThan">
      <formula>0.9</formula>
    </cfRule>
    <cfRule type="cellIs" dxfId="8592" priority="3939" operator="greaterThan">
      <formula>0.85</formula>
    </cfRule>
  </conditionalFormatting>
  <conditionalFormatting sqref="E17">
    <cfRule type="expression" dxfId="8591" priority="3934">
      <formula>AND(IF(OR($Q17=1,$Q17=2),1,0),IF($E17&lt;=20,1,0))</formula>
    </cfRule>
    <cfRule type="expression" dxfId="8590" priority="3935">
      <formula>AND(IF($Q17=2,1,0),IF($E17&lt;30,1,0))</formula>
    </cfRule>
    <cfRule type="expression" dxfId="8589" priority="3936">
      <formula>AND(IF($Q17=3,1,0),IF($E17&lt;30,1,0))</formula>
    </cfRule>
    <cfRule type="expression" dxfId="8588" priority="3937">
      <formula>AND(IF($Q17=3,1,IF($Q17=4,1,0)),IF($F17&lt;=85,1,0))</formula>
    </cfRule>
  </conditionalFormatting>
  <conditionalFormatting sqref="Y17">
    <cfRule type="expression" dxfId="8587" priority="3930">
      <formula>AND(IF(OR($Q17=1,$Q17=2),1,0),IF($Y17&lt;=20,1,0))</formula>
    </cfRule>
    <cfRule type="expression" dxfId="8586" priority="3931">
      <formula>AND(IF($Q17=2,1,0),IF($Y17&lt;30,1,0))</formula>
    </cfRule>
    <cfRule type="expression" dxfId="8585" priority="3932">
      <formula>AND(IF($Q17=3,1,0),IF($Y17&lt;30,1,0))</formula>
    </cfRule>
    <cfRule type="expression" dxfId="8584" priority="3933">
      <formula>AND(IF($Q17=3,1,IF($Q17=4,1,0)),IF($F17&lt;=85,1,0))</formula>
    </cfRule>
  </conditionalFormatting>
  <conditionalFormatting sqref="AJ17">
    <cfRule type="expression" dxfId="8583" priority="3926">
      <formula>AND(IF(OR($Q17=1,$Q17=2),1,0),IF($Y17&lt;=20,1,0))</formula>
    </cfRule>
    <cfRule type="expression" dxfId="8582" priority="3927">
      <formula>AND(IF($Q17=2,1,0),IF($Y17&lt;30,1,0))</formula>
    </cfRule>
    <cfRule type="expression" dxfId="8581" priority="3928">
      <formula>AND(IF($Q17=3,1,0),IF($Y17&lt;30,1,0))</formula>
    </cfRule>
    <cfRule type="expression" dxfId="8580" priority="3929">
      <formula>AND(IF($Q17=3,1,IF($Q17=4,1,0)),IF($F17&lt;=85,1,0))</formula>
    </cfRule>
  </conditionalFormatting>
  <conditionalFormatting sqref="AW19">
    <cfRule type="expression" dxfId="8579" priority="3924">
      <formula>AW19="X"</formula>
    </cfRule>
    <cfRule type="expression" dxfId="8578" priority="3925">
      <formula>AW19="후보"</formula>
    </cfRule>
  </conditionalFormatting>
  <conditionalFormatting sqref="AA19">
    <cfRule type="colorScale" priority="3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">
    <cfRule type="cellIs" dxfId="8577" priority="3921" operator="greaterThan">
      <formula>0.9</formula>
    </cfRule>
    <cfRule type="cellIs" dxfId="8576" priority="3922" operator="greaterThan">
      <formula>0.85</formula>
    </cfRule>
  </conditionalFormatting>
  <conditionalFormatting sqref="N19">
    <cfRule type="cellIs" dxfId="8575" priority="3919" operator="greaterThan">
      <formula>0.9</formula>
    </cfRule>
    <cfRule type="cellIs" dxfId="8574" priority="3920" operator="greaterThan">
      <formula>0.85</formula>
    </cfRule>
  </conditionalFormatting>
  <conditionalFormatting sqref="E19">
    <cfRule type="expression" dxfId="8573" priority="3915">
      <formula>AND(IF(OR($Q19=1,$Q19=2),1,0),IF($E19&lt;=20,1,0))</formula>
    </cfRule>
    <cfRule type="expression" dxfId="8572" priority="3916">
      <formula>AND(IF($Q19=2,1,0),IF($E19&lt;30,1,0))</formula>
    </cfRule>
    <cfRule type="expression" dxfId="8571" priority="3917">
      <formula>AND(IF($Q19=3,1,0),IF($E19&lt;30,1,0))</formula>
    </cfRule>
    <cfRule type="expression" dxfId="8570" priority="3918">
      <formula>AND(IF($Q19=3,1,IF($Q19=4,1,0)),IF($F19&lt;=85,1,0))</formula>
    </cfRule>
  </conditionalFormatting>
  <conditionalFormatting sqref="Y19">
    <cfRule type="expression" dxfId="8569" priority="3911">
      <formula>AND(IF(OR($Q19=1,$Q19=2),1,0),IF($Y19&lt;=20,1,0))</formula>
    </cfRule>
    <cfRule type="expression" dxfId="8568" priority="3912">
      <formula>AND(IF($Q19=2,1,0),IF($Y19&lt;30,1,0))</formula>
    </cfRule>
    <cfRule type="expression" dxfId="8567" priority="3913">
      <formula>AND(IF($Q19=3,1,0),IF($Y19&lt;30,1,0))</formula>
    </cfRule>
    <cfRule type="expression" dxfId="8566" priority="3914">
      <formula>AND(IF($Q19=3,1,IF($Q19=4,1,0)),IF($F19&lt;=85,1,0))</formula>
    </cfRule>
  </conditionalFormatting>
  <conditionalFormatting sqref="AJ19">
    <cfRule type="expression" dxfId="8565" priority="3907">
      <formula>AND(IF(OR($Q19=1,$Q19=2),1,0),IF($Y19&lt;=20,1,0))</formula>
    </cfRule>
    <cfRule type="expression" dxfId="8564" priority="3908">
      <formula>AND(IF($Q19=2,1,0),IF($Y19&lt;30,1,0))</formula>
    </cfRule>
    <cfRule type="expression" dxfId="8563" priority="3909">
      <formula>AND(IF($Q19=3,1,0),IF($Y19&lt;30,1,0))</formula>
    </cfRule>
    <cfRule type="expression" dxfId="8562" priority="3910">
      <formula>AND(IF($Q19=3,1,IF($Q19=4,1,0)),IF($F19&lt;=85,1,0))</formula>
    </cfRule>
  </conditionalFormatting>
  <conditionalFormatting sqref="AW20">
    <cfRule type="expression" dxfId="8561" priority="3905">
      <formula>AW20="X"</formula>
    </cfRule>
    <cfRule type="expression" dxfId="8560" priority="3906">
      <formula>AW20="후보"</formula>
    </cfRule>
  </conditionalFormatting>
  <conditionalFormatting sqref="AA20">
    <cfRule type="colorScale" priority="3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 N20">
    <cfRule type="cellIs" dxfId="8559" priority="3902" operator="greaterThan">
      <formula>0.9</formula>
    </cfRule>
    <cfRule type="cellIs" dxfId="8558" priority="3903" operator="greaterThan">
      <formula>0.85</formula>
    </cfRule>
  </conditionalFormatting>
  <conditionalFormatting sqref="AW21">
    <cfRule type="expression" dxfId="8557" priority="3900">
      <formula>AW21="X"</formula>
    </cfRule>
    <cfRule type="expression" dxfId="8556" priority="3901">
      <formula>AW21="후보"</formula>
    </cfRule>
  </conditionalFormatting>
  <conditionalFormatting sqref="AA21">
    <cfRule type="colorScale" priority="38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8555" priority="3897" operator="greaterThan">
      <formula>0.9</formula>
    </cfRule>
    <cfRule type="cellIs" dxfId="8554" priority="3898" operator="greaterThan">
      <formula>0.85</formula>
    </cfRule>
  </conditionalFormatting>
  <conditionalFormatting sqref="N21">
    <cfRule type="cellIs" dxfId="8553" priority="3895" operator="greaterThan">
      <formula>0.9</formula>
    </cfRule>
    <cfRule type="cellIs" dxfId="8552" priority="3896" operator="greaterThan">
      <formula>0.85</formula>
    </cfRule>
  </conditionalFormatting>
  <conditionalFormatting sqref="E21">
    <cfRule type="expression" dxfId="8551" priority="3891">
      <formula>AND(IF(OR($Q21=1,$Q21=2),1,0),IF($E21&lt;=20,1,0))</formula>
    </cfRule>
    <cfRule type="expression" dxfId="8550" priority="3892">
      <formula>AND(IF($Q21=2,1,0),IF($E21&lt;30,1,0))</formula>
    </cfRule>
    <cfRule type="expression" dxfId="8549" priority="3893">
      <formula>AND(IF($Q21=3,1,0),IF($E21&lt;30,1,0))</formula>
    </cfRule>
    <cfRule type="expression" dxfId="8548" priority="3894">
      <formula>AND(IF($Q21=3,1,IF($Q21=4,1,0)),IF($F21&lt;=85,1,0))</formula>
    </cfRule>
  </conditionalFormatting>
  <conditionalFormatting sqref="Y21">
    <cfRule type="expression" dxfId="8547" priority="3887">
      <formula>AND(IF(OR($Q21=1,$Q21=2),1,0),IF($Y21&lt;=20,1,0))</formula>
    </cfRule>
    <cfRule type="expression" dxfId="8546" priority="3888">
      <formula>AND(IF($Q21=2,1,0),IF($Y21&lt;30,1,0))</formula>
    </cfRule>
    <cfRule type="expression" dxfId="8545" priority="3889">
      <formula>AND(IF($Q21=3,1,0),IF($Y21&lt;30,1,0))</formula>
    </cfRule>
    <cfRule type="expression" dxfId="8544" priority="3890">
      <formula>AND(IF($Q21=3,1,IF($Q21=4,1,0)),IF($F21&lt;=85,1,0))</formula>
    </cfRule>
  </conditionalFormatting>
  <conditionalFormatting sqref="AJ21">
    <cfRule type="expression" dxfId="8543" priority="3883">
      <formula>AND(IF(OR($Q21=1,$Q21=2),1,0),IF($Y21&lt;=20,1,0))</formula>
    </cfRule>
    <cfRule type="expression" dxfId="8542" priority="3884">
      <formula>AND(IF($Q21=2,1,0),IF($Y21&lt;30,1,0))</formula>
    </cfRule>
    <cfRule type="expression" dxfId="8541" priority="3885">
      <formula>AND(IF($Q21=3,1,0),IF($Y21&lt;30,1,0))</formula>
    </cfRule>
    <cfRule type="expression" dxfId="8540" priority="3886">
      <formula>AND(IF($Q21=3,1,IF($Q21=4,1,0)),IF($F21&lt;=85,1,0))</formula>
    </cfRule>
  </conditionalFormatting>
  <conditionalFormatting sqref="AW22">
    <cfRule type="expression" dxfId="8539" priority="3881">
      <formula>AW22="X"</formula>
    </cfRule>
    <cfRule type="expression" dxfId="8538" priority="3882">
      <formula>AW22="후보"</formula>
    </cfRule>
  </conditionalFormatting>
  <conditionalFormatting sqref="AA22">
    <cfRule type="colorScale" priority="38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">
    <cfRule type="cellIs" dxfId="8537" priority="3878" operator="greaterThan">
      <formula>0.9</formula>
    </cfRule>
    <cfRule type="cellIs" dxfId="8536" priority="3879" operator="greaterThan">
      <formula>0.85</formula>
    </cfRule>
  </conditionalFormatting>
  <conditionalFormatting sqref="N22">
    <cfRule type="cellIs" dxfId="8535" priority="3876" operator="greaterThan">
      <formula>0.9</formula>
    </cfRule>
    <cfRule type="cellIs" dxfId="8534" priority="3877" operator="greaterThan">
      <formula>0.85</formula>
    </cfRule>
  </conditionalFormatting>
  <conditionalFormatting sqref="E22">
    <cfRule type="expression" dxfId="8533" priority="3872">
      <formula>AND(IF(OR($Q22=1,$Q22=2),1,0),IF($E22&lt;=20,1,0))</formula>
    </cfRule>
    <cfRule type="expression" dxfId="8532" priority="3873">
      <formula>AND(IF($Q22=2,1,0),IF($E22&lt;30,1,0))</formula>
    </cfRule>
    <cfRule type="expression" dxfId="8531" priority="3874">
      <formula>AND(IF($Q22=3,1,0),IF($E22&lt;30,1,0))</formula>
    </cfRule>
    <cfRule type="expression" dxfId="8530" priority="3875">
      <formula>AND(IF($Q22=3,1,IF($Q22=4,1,0)),IF($F22&lt;=85,1,0))</formula>
    </cfRule>
  </conditionalFormatting>
  <conditionalFormatting sqref="Y22">
    <cfRule type="expression" dxfId="8529" priority="3868">
      <formula>AND(IF(OR($Q22=1,$Q22=2),1,0),IF($Y22&lt;=20,1,0))</formula>
    </cfRule>
    <cfRule type="expression" dxfId="8528" priority="3869">
      <formula>AND(IF($Q22=2,1,0),IF($Y22&lt;30,1,0))</formula>
    </cfRule>
    <cfRule type="expression" dxfId="8527" priority="3870">
      <formula>AND(IF($Q22=3,1,0),IF($Y22&lt;30,1,0))</formula>
    </cfRule>
    <cfRule type="expression" dxfId="8526" priority="3871">
      <formula>AND(IF($Q22=3,1,IF($Q22=4,1,0)),IF($F22&lt;=85,1,0))</formula>
    </cfRule>
  </conditionalFormatting>
  <conditionalFormatting sqref="AJ22">
    <cfRule type="expression" dxfId="8525" priority="3864">
      <formula>AND(IF(OR($Q22=1,$Q22=2),1,0),IF($Y22&lt;=20,1,0))</formula>
    </cfRule>
    <cfRule type="expression" dxfId="8524" priority="3865">
      <formula>AND(IF($Q22=2,1,0),IF($Y22&lt;30,1,0))</formula>
    </cfRule>
    <cfRule type="expression" dxfId="8523" priority="3866">
      <formula>AND(IF($Q22=3,1,0),IF($Y22&lt;30,1,0))</formula>
    </cfRule>
    <cfRule type="expression" dxfId="8522" priority="3867">
      <formula>AND(IF($Q22=3,1,IF($Q22=4,1,0)),IF($F22&lt;=85,1,0))</formula>
    </cfRule>
  </conditionalFormatting>
  <conditionalFormatting sqref="AW23">
    <cfRule type="expression" dxfId="8521" priority="3862">
      <formula>AW23="X"</formula>
    </cfRule>
    <cfRule type="expression" dxfId="8520" priority="3863">
      <formula>AW23="후보"</formula>
    </cfRule>
  </conditionalFormatting>
  <conditionalFormatting sqref="AA23">
    <cfRule type="colorScale" priority="3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 N23">
    <cfRule type="cellIs" dxfId="8519" priority="3859" operator="greaterThan">
      <formula>0.9</formula>
    </cfRule>
    <cfRule type="cellIs" dxfId="8518" priority="3860" operator="greaterThan">
      <formula>0.85</formula>
    </cfRule>
  </conditionalFormatting>
  <conditionalFormatting sqref="AW24">
    <cfRule type="expression" dxfId="8517" priority="3857">
      <formula>AW24="X"</formula>
    </cfRule>
    <cfRule type="expression" dxfId="8516" priority="3858">
      <formula>AW24="후보"</formula>
    </cfRule>
  </conditionalFormatting>
  <conditionalFormatting sqref="AA24">
    <cfRule type="colorScale" priority="38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8515" priority="3854" operator="greaterThan">
      <formula>0.9</formula>
    </cfRule>
    <cfRule type="cellIs" dxfId="8514" priority="3855" operator="greaterThan">
      <formula>0.85</formula>
    </cfRule>
  </conditionalFormatting>
  <conditionalFormatting sqref="N24">
    <cfRule type="cellIs" dxfId="8513" priority="3852" operator="greaterThan">
      <formula>0.9</formula>
    </cfRule>
    <cfRule type="cellIs" dxfId="8512" priority="3853" operator="greaterThan">
      <formula>0.85</formula>
    </cfRule>
  </conditionalFormatting>
  <conditionalFormatting sqref="E24">
    <cfRule type="expression" dxfId="8511" priority="3848">
      <formula>AND(IF(OR($Q24=1,$Q24=2),1,0),IF($E24&lt;=20,1,0))</formula>
    </cfRule>
    <cfRule type="expression" dxfId="8510" priority="3849">
      <formula>AND(IF($Q24=2,1,0),IF($E24&lt;30,1,0))</formula>
    </cfRule>
    <cfRule type="expression" dxfId="8509" priority="3850">
      <formula>AND(IF($Q24=3,1,0),IF($E24&lt;30,1,0))</formula>
    </cfRule>
    <cfRule type="expression" dxfId="8508" priority="3851">
      <formula>AND(IF($Q24=3,1,IF($Q24=4,1,0)),IF($F24&lt;=85,1,0))</formula>
    </cfRule>
  </conditionalFormatting>
  <conditionalFormatting sqref="Y24">
    <cfRule type="expression" dxfId="8507" priority="3844">
      <formula>AND(IF(OR($Q24=1,$Q24=2),1,0),IF($Y24&lt;=20,1,0))</formula>
    </cfRule>
    <cfRule type="expression" dxfId="8506" priority="3845">
      <formula>AND(IF($Q24=2,1,0),IF($Y24&lt;30,1,0))</formula>
    </cfRule>
    <cfRule type="expression" dxfId="8505" priority="3846">
      <formula>AND(IF($Q24=3,1,0),IF($Y24&lt;30,1,0))</formula>
    </cfRule>
    <cfRule type="expression" dxfId="8504" priority="3847">
      <formula>AND(IF($Q24=3,1,IF($Q24=4,1,0)),IF($F24&lt;=85,1,0))</formula>
    </cfRule>
  </conditionalFormatting>
  <conditionalFormatting sqref="AJ24">
    <cfRule type="expression" dxfId="8503" priority="3840">
      <formula>AND(IF(OR($Q24=1,$Q24=2),1,0),IF($Y24&lt;=20,1,0))</formula>
    </cfRule>
    <cfRule type="expression" dxfId="8502" priority="3841">
      <formula>AND(IF($Q24=2,1,0),IF($Y24&lt;30,1,0))</formula>
    </cfRule>
    <cfRule type="expression" dxfId="8501" priority="3842">
      <formula>AND(IF($Q24=3,1,0),IF($Y24&lt;30,1,0))</formula>
    </cfRule>
    <cfRule type="expression" dxfId="8500" priority="3843">
      <formula>AND(IF($Q24=3,1,IF($Q24=4,1,0)),IF($F24&lt;=85,1,0))</formula>
    </cfRule>
  </conditionalFormatting>
  <conditionalFormatting sqref="AW25">
    <cfRule type="expression" dxfId="8499" priority="3838">
      <formula>AW25="X"</formula>
    </cfRule>
    <cfRule type="expression" dxfId="8498" priority="3839">
      <formula>AW25="후보"</formula>
    </cfRule>
  </conditionalFormatting>
  <conditionalFormatting sqref="AA25">
    <cfRule type="colorScale" priority="38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8497" priority="3835" operator="greaterThan">
      <formula>0.9</formula>
    </cfRule>
    <cfRule type="cellIs" dxfId="8496" priority="3836" operator="greaterThan">
      <formula>0.85</formula>
    </cfRule>
  </conditionalFormatting>
  <conditionalFormatting sqref="N25">
    <cfRule type="cellIs" dxfId="8495" priority="3833" operator="greaterThan">
      <formula>0.9</formula>
    </cfRule>
    <cfRule type="cellIs" dxfId="8494" priority="3834" operator="greaterThan">
      <formula>0.85</formula>
    </cfRule>
  </conditionalFormatting>
  <conditionalFormatting sqref="E25">
    <cfRule type="expression" dxfId="8493" priority="3829">
      <formula>AND(IF(OR($Q25=1,$Q25=2),1,0),IF($E25&lt;=20,1,0))</formula>
    </cfRule>
    <cfRule type="expression" dxfId="8492" priority="3830">
      <formula>AND(IF($Q25=2,1,0),IF($E25&lt;30,1,0))</formula>
    </cfRule>
    <cfRule type="expression" dxfId="8491" priority="3831">
      <formula>AND(IF($Q25=3,1,0),IF($E25&lt;30,1,0))</formula>
    </cfRule>
    <cfRule type="expression" dxfId="8490" priority="3832">
      <formula>AND(IF($Q25=3,1,IF($Q25=4,1,0)),IF($F25&lt;=85,1,0))</formula>
    </cfRule>
  </conditionalFormatting>
  <conditionalFormatting sqref="Y25">
    <cfRule type="expression" dxfId="8489" priority="3825">
      <formula>AND(IF(OR($Q25=1,$Q25=2),1,0),IF($Y25&lt;=20,1,0))</formula>
    </cfRule>
    <cfRule type="expression" dxfId="8488" priority="3826">
      <formula>AND(IF($Q25=2,1,0),IF($Y25&lt;30,1,0))</formula>
    </cfRule>
    <cfRule type="expression" dxfId="8487" priority="3827">
      <formula>AND(IF($Q25=3,1,0),IF($Y25&lt;30,1,0))</formula>
    </cfRule>
    <cfRule type="expression" dxfId="8486" priority="3828">
      <formula>AND(IF($Q25=3,1,IF($Q25=4,1,0)),IF($F25&lt;=85,1,0))</formula>
    </cfRule>
  </conditionalFormatting>
  <conditionalFormatting sqref="AJ25">
    <cfRule type="expression" dxfId="8485" priority="3821">
      <formula>AND(IF(OR($Q25=1,$Q25=2),1,0),IF($Y25&lt;=20,1,0))</formula>
    </cfRule>
    <cfRule type="expression" dxfId="8484" priority="3822">
      <formula>AND(IF($Q25=2,1,0),IF($Y25&lt;30,1,0))</formula>
    </cfRule>
    <cfRule type="expression" dxfId="8483" priority="3823">
      <formula>AND(IF($Q25=3,1,0),IF($Y25&lt;30,1,0))</formula>
    </cfRule>
    <cfRule type="expression" dxfId="8482" priority="3824">
      <formula>AND(IF($Q25=3,1,IF($Q25=4,1,0)),IF($F25&lt;=85,1,0))</formula>
    </cfRule>
  </conditionalFormatting>
  <conditionalFormatting sqref="AW26">
    <cfRule type="expression" dxfId="8481" priority="3819">
      <formula>AW26="X"</formula>
    </cfRule>
    <cfRule type="expression" dxfId="8480" priority="3820">
      <formula>AW26="후보"</formula>
    </cfRule>
  </conditionalFormatting>
  <conditionalFormatting sqref="AA26">
    <cfRule type="colorScale" priority="38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8479" priority="3816" operator="greaterThan">
      <formula>0.9</formula>
    </cfRule>
    <cfRule type="cellIs" dxfId="8478" priority="3817" operator="greaterThan">
      <formula>0.85</formula>
    </cfRule>
  </conditionalFormatting>
  <conditionalFormatting sqref="N26">
    <cfRule type="cellIs" dxfId="8477" priority="3814" operator="greaterThan">
      <formula>0.9</formula>
    </cfRule>
    <cfRule type="cellIs" dxfId="8476" priority="3815" operator="greaterThan">
      <formula>0.85</formula>
    </cfRule>
  </conditionalFormatting>
  <conditionalFormatting sqref="E26">
    <cfRule type="expression" dxfId="8475" priority="3810">
      <formula>AND(IF(OR($Q26=1,$Q26=2),1,0),IF($E26&lt;=20,1,0))</formula>
    </cfRule>
    <cfRule type="expression" dxfId="8474" priority="3811">
      <formula>AND(IF($Q26=2,1,0),IF($E26&lt;30,1,0))</formula>
    </cfRule>
    <cfRule type="expression" dxfId="8473" priority="3812">
      <formula>AND(IF($Q26=3,1,0),IF($E26&lt;30,1,0))</formula>
    </cfRule>
    <cfRule type="expression" dxfId="8472" priority="3813">
      <formula>AND(IF($Q26=3,1,IF($Q26=4,1,0)),IF($F26&lt;=85,1,0))</formula>
    </cfRule>
  </conditionalFormatting>
  <conditionalFormatting sqref="Y26">
    <cfRule type="expression" dxfId="8471" priority="3806">
      <formula>AND(IF(OR($Q26=1,$Q26=2),1,0),IF($Y26&lt;=20,1,0))</formula>
    </cfRule>
    <cfRule type="expression" dxfId="8470" priority="3807">
      <formula>AND(IF($Q26=2,1,0),IF($Y26&lt;30,1,0))</formula>
    </cfRule>
    <cfRule type="expression" dxfId="8469" priority="3808">
      <formula>AND(IF($Q26=3,1,0),IF($Y26&lt;30,1,0))</formula>
    </cfRule>
    <cfRule type="expression" dxfId="8468" priority="3809">
      <formula>AND(IF($Q26=3,1,IF($Q26=4,1,0)),IF($F26&lt;=85,1,0))</formula>
    </cfRule>
  </conditionalFormatting>
  <conditionalFormatting sqref="AJ26">
    <cfRule type="expression" dxfId="8467" priority="3802">
      <formula>AND(IF(OR($Q26=1,$Q26=2),1,0),IF($Y26&lt;=20,1,0))</formula>
    </cfRule>
    <cfRule type="expression" dxfId="8466" priority="3803">
      <formula>AND(IF($Q26=2,1,0),IF($Y26&lt;30,1,0))</formula>
    </cfRule>
    <cfRule type="expression" dxfId="8465" priority="3804">
      <formula>AND(IF($Q26=3,1,0),IF($Y26&lt;30,1,0))</formula>
    </cfRule>
    <cfRule type="expression" dxfId="8464" priority="3805">
      <formula>AND(IF($Q26=3,1,IF($Q26=4,1,0)),IF($F26&lt;=85,1,0))</formula>
    </cfRule>
  </conditionalFormatting>
  <conditionalFormatting sqref="AW27">
    <cfRule type="expression" dxfId="8463" priority="3800">
      <formula>AW27="X"</formula>
    </cfRule>
    <cfRule type="expression" dxfId="8462" priority="3801">
      <formula>AW27="후보"</formula>
    </cfRule>
  </conditionalFormatting>
  <conditionalFormatting sqref="AA27">
    <cfRule type="colorScale" priority="37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">
    <cfRule type="cellIs" dxfId="8461" priority="3797" operator="greaterThan">
      <formula>0.9</formula>
    </cfRule>
    <cfRule type="cellIs" dxfId="8460" priority="3798" operator="greaterThan">
      <formula>0.85</formula>
    </cfRule>
  </conditionalFormatting>
  <conditionalFormatting sqref="N27">
    <cfRule type="cellIs" dxfId="8459" priority="3795" operator="greaterThan">
      <formula>0.9</formula>
    </cfRule>
    <cfRule type="cellIs" dxfId="8458" priority="3796" operator="greaterThan">
      <formula>0.85</formula>
    </cfRule>
  </conditionalFormatting>
  <conditionalFormatting sqref="E27">
    <cfRule type="expression" dxfId="8457" priority="3791">
      <formula>AND(IF(OR($Q27=1,$Q27=2),1,0),IF($E27&lt;=20,1,0))</formula>
    </cfRule>
    <cfRule type="expression" dxfId="8456" priority="3792">
      <formula>AND(IF($Q27=2,1,0),IF($E27&lt;30,1,0))</formula>
    </cfRule>
    <cfRule type="expression" dxfId="8455" priority="3793">
      <formula>AND(IF($Q27=3,1,0),IF($E27&lt;30,1,0))</formula>
    </cfRule>
    <cfRule type="expression" dxfId="8454" priority="3794">
      <formula>AND(IF($Q27=3,1,IF($Q27=4,1,0)),IF($F27&lt;=85,1,0))</formula>
    </cfRule>
  </conditionalFormatting>
  <conditionalFormatting sqref="Y27">
    <cfRule type="expression" dxfId="8453" priority="3787">
      <formula>AND(IF(OR($Q27=1,$Q27=2),1,0),IF($Y27&lt;=20,1,0))</formula>
    </cfRule>
    <cfRule type="expression" dxfId="8452" priority="3788">
      <formula>AND(IF($Q27=2,1,0),IF($Y27&lt;30,1,0))</formula>
    </cfRule>
    <cfRule type="expression" dxfId="8451" priority="3789">
      <formula>AND(IF($Q27=3,1,0),IF($Y27&lt;30,1,0))</formula>
    </cfRule>
    <cfRule type="expression" dxfId="8450" priority="3790">
      <formula>AND(IF($Q27=3,1,IF($Q27=4,1,0)),IF($F27&lt;=85,1,0))</formula>
    </cfRule>
  </conditionalFormatting>
  <conditionalFormatting sqref="AJ27">
    <cfRule type="expression" dxfId="8449" priority="3783">
      <formula>AND(IF(OR($Q27=1,$Q27=2),1,0),IF($Y27&lt;=20,1,0))</formula>
    </cfRule>
    <cfRule type="expression" dxfId="8448" priority="3784">
      <formula>AND(IF($Q27=2,1,0),IF($Y27&lt;30,1,0))</formula>
    </cfRule>
    <cfRule type="expression" dxfId="8447" priority="3785">
      <formula>AND(IF($Q27=3,1,0),IF($Y27&lt;30,1,0))</formula>
    </cfRule>
    <cfRule type="expression" dxfId="8446" priority="3786">
      <formula>AND(IF($Q27=3,1,IF($Q27=4,1,0)),IF($F27&lt;=85,1,0))</formula>
    </cfRule>
  </conditionalFormatting>
  <conditionalFormatting sqref="AW28">
    <cfRule type="expression" dxfId="8445" priority="3781">
      <formula>AW28="X"</formula>
    </cfRule>
    <cfRule type="expression" dxfId="8444" priority="3782">
      <formula>AW28="후보"</formula>
    </cfRule>
  </conditionalFormatting>
  <conditionalFormatting sqref="AA28">
    <cfRule type="colorScale" priority="37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 N28">
    <cfRule type="cellIs" dxfId="8443" priority="3778" operator="greaterThan">
      <formula>0.9</formula>
    </cfRule>
    <cfRule type="cellIs" dxfId="8442" priority="3779" operator="greaterThan">
      <formula>0.85</formula>
    </cfRule>
  </conditionalFormatting>
  <conditionalFormatting sqref="AW29">
    <cfRule type="expression" dxfId="8441" priority="3776">
      <formula>AW29="X"</formula>
    </cfRule>
    <cfRule type="expression" dxfId="8440" priority="3777">
      <formula>AW29="후보"</formula>
    </cfRule>
  </conditionalFormatting>
  <conditionalFormatting sqref="AA29">
    <cfRule type="colorScale" priority="37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">
    <cfRule type="cellIs" dxfId="8439" priority="3773" operator="greaterThan">
      <formula>0.9</formula>
    </cfRule>
    <cfRule type="cellIs" dxfId="8438" priority="3774" operator="greaterThan">
      <formula>0.85</formula>
    </cfRule>
  </conditionalFormatting>
  <conditionalFormatting sqref="N29">
    <cfRule type="cellIs" dxfId="8437" priority="3771" operator="greaterThan">
      <formula>0.9</formula>
    </cfRule>
    <cfRule type="cellIs" dxfId="8436" priority="3772" operator="greaterThan">
      <formula>0.85</formula>
    </cfRule>
  </conditionalFormatting>
  <conditionalFormatting sqref="E29">
    <cfRule type="expression" dxfId="8435" priority="3767">
      <formula>AND(IF(OR($Q29=1,$Q29=2),1,0),IF($E29&lt;=20,1,0))</formula>
    </cfRule>
    <cfRule type="expression" dxfId="8434" priority="3768">
      <formula>AND(IF($Q29=2,1,0),IF($E29&lt;30,1,0))</formula>
    </cfRule>
    <cfRule type="expression" dxfId="8433" priority="3769">
      <formula>AND(IF($Q29=3,1,0),IF($E29&lt;30,1,0))</formula>
    </cfRule>
    <cfRule type="expression" dxfId="8432" priority="3770">
      <formula>AND(IF($Q29=3,1,IF($Q29=4,1,0)),IF($F29&lt;=85,1,0))</formula>
    </cfRule>
  </conditionalFormatting>
  <conditionalFormatting sqref="Y29">
    <cfRule type="expression" dxfId="8431" priority="3763">
      <formula>AND(IF(OR($Q29=1,$Q29=2),1,0),IF($Y29&lt;=20,1,0))</formula>
    </cfRule>
    <cfRule type="expression" dxfId="8430" priority="3764">
      <formula>AND(IF($Q29=2,1,0),IF($Y29&lt;30,1,0))</formula>
    </cfRule>
    <cfRule type="expression" dxfId="8429" priority="3765">
      <formula>AND(IF($Q29=3,1,0),IF($Y29&lt;30,1,0))</formula>
    </cfRule>
    <cfRule type="expression" dxfId="8428" priority="3766">
      <formula>AND(IF($Q29=3,1,IF($Q29=4,1,0)),IF($F29&lt;=85,1,0))</formula>
    </cfRule>
  </conditionalFormatting>
  <conditionalFormatting sqref="AJ29">
    <cfRule type="expression" dxfId="8427" priority="3759">
      <formula>AND(IF(OR($Q29=1,$Q29=2),1,0),IF($Y29&lt;=20,1,0))</formula>
    </cfRule>
    <cfRule type="expression" dxfId="8426" priority="3760">
      <formula>AND(IF($Q29=2,1,0),IF($Y29&lt;30,1,0))</formula>
    </cfRule>
    <cfRule type="expression" dxfId="8425" priority="3761">
      <formula>AND(IF($Q29=3,1,0),IF($Y29&lt;30,1,0))</formula>
    </cfRule>
    <cfRule type="expression" dxfId="8424" priority="3762">
      <formula>AND(IF($Q29=3,1,IF($Q29=4,1,0)),IF($F29&lt;=85,1,0))</formula>
    </cfRule>
  </conditionalFormatting>
  <conditionalFormatting sqref="AW30">
    <cfRule type="expression" dxfId="8423" priority="3757">
      <formula>AW30="X"</formula>
    </cfRule>
    <cfRule type="expression" dxfId="8422" priority="3758">
      <formula>AW30="후보"</formula>
    </cfRule>
  </conditionalFormatting>
  <conditionalFormatting sqref="AA30">
    <cfRule type="colorScale" priority="3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8421" priority="3754" operator="greaterThan">
      <formula>0.9</formula>
    </cfRule>
    <cfRule type="cellIs" dxfId="8420" priority="3755" operator="greaterThan">
      <formula>0.85</formula>
    </cfRule>
  </conditionalFormatting>
  <conditionalFormatting sqref="N30">
    <cfRule type="cellIs" dxfId="8419" priority="3752" operator="greaterThan">
      <formula>0.9</formula>
    </cfRule>
    <cfRule type="cellIs" dxfId="8418" priority="3753" operator="greaterThan">
      <formula>0.85</formula>
    </cfRule>
  </conditionalFormatting>
  <conditionalFormatting sqref="E30">
    <cfRule type="expression" dxfId="8417" priority="3748">
      <formula>AND(IF(OR($Q30=1,$Q30=2),1,0),IF($E30&lt;=20,1,0))</formula>
    </cfRule>
    <cfRule type="expression" dxfId="8416" priority="3749">
      <formula>AND(IF($Q30=2,1,0),IF($E30&lt;30,1,0))</formula>
    </cfRule>
    <cfRule type="expression" dxfId="8415" priority="3750">
      <formula>AND(IF($Q30=3,1,0),IF($E30&lt;30,1,0))</formula>
    </cfRule>
    <cfRule type="expression" dxfId="8414" priority="3751">
      <formula>AND(IF($Q30=3,1,IF($Q30=4,1,0)),IF($F30&lt;=85,1,0))</formula>
    </cfRule>
  </conditionalFormatting>
  <conditionalFormatting sqref="Y30">
    <cfRule type="expression" dxfId="8413" priority="3744">
      <formula>AND(IF(OR($Q30=1,$Q30=2),1,0),IF($Y30&lt;=20,1,0))</formula>
    </cfRule>
    <cfRule type="expression" dxfId="8412" priority="3745">
      <formula>AND(IF($Q30=2,1,0),IF($Y30&lt;30,1,0))</formula>
    </cfRule>
    <cfRule type="expression" dxfId="8411" priority="3746">
      <formula>AND(IF($Q30=3,1,0),IF($Y30&lt;30,1,0))</formula>
    </cfRule>
    <cfRule type="expression" dxfId="8410" priority="3747">
      <formula>AND(IF($Q30=3,1,IF($Q30=4,1,0)),IF($F30&lt;=85,1,0))</formula>
    </cfRule>
  </conditionalFormatting>
  <conditionalFormatting sqref="AJ30">
    <cfRule type="expression" dxfId="8409" priority="3740">
      <formula>AND(IF(OR($Q30=1,$Q30=2),1,0),IF($Y30&lt;=20,1,0))</formula>
    </cfRule>
    <cfRule type="expression" dxfId="8408" priority="3741">
      <formula>AND(IF($Q30=2,1,0),IF($Y30&lt;30,1,0))</formula>
    </cfRule>
    <cfRule type="expression" dxfId="8407" priority="3742">
      <formula>AND(IF($Q30=3,1,0),IF($Y30&lt;30,1,0))</formula>
    </cfRule>
    <cfRule type="expression" dxfId="8406" priority="3743">
      <formula>AND(IF($Q30=3,1,IF($Q30=4,1,0)),IF($F30&lt;=85,1,0))</formula>
    </cfRule>
  </conditionalFormatting>
  <conditionalFormatting sqref="AW31">
    <cfRule type="expression" dxfId="8405" priority="3738">
      <formula>AW31="X"</formula>
    </cfRule>
    <cfRule type="expression" dxfId="8404" priority="3739">
      <formula>AW31="후보"</formula>
    </cfRule>
  </conditionalFormatting>
  <conditionalFormatting sqref="AA31">
    <cfRule type="colorScale" priority="3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8403" priority="3735" operator="greaterThan">
      <formula>0.9</formula>
    </cfRule>
    <cfRule type="cellIs" dxfId="8402" priority="3736" operator="greaterThan">
      <formula>0.85</formula>
    </cfRule>
  </conditionalFormatting>
  <conditionalFormatting sqref="N31">
    <cfRule type="cellIs" dxfId="8401" priority="3733" operator="greaterThan">
      <formula>0.9</formula>
    </cfRule>
    <cfRule type="cellIs" dxfId="8400" priority="3734" operator="greaterThan">
      <formula>0.85</formula>
    </cfRule>
  </conditionalFormatting>
  <conditionalFormatting sqref="E31">
    <cfRule type="expression" dxfId="8399" priority="3729">
      <formula>AND(IF(OR($Q31=1,$Q31=2),1,0),IF($E31&lt;=20,1,0))</formula>
    </cfRule>
    <cfRule type="expression" dxfId="8398" priority="3730">
      <formula>AND(IF($Q31=2,1,0),IF($E31&lt;30,1,0))</formula>
    </cfRule>
    <cfRule type="expression" dxfId="8397" priority="3731">
      <formula>AND(IF($Q31=3,1,0),IF($E31&lt;30,1,0))</formula>
    </cfRule>
    <cfRule type="expression" dxfId="8396" priority="3732">
      <formula>AND(IF($Q31=3,1,IF($Q31=4,1,0)),IF($F31&lt;=85,1,0))</formula>
    </cfRule>
  </conditionalFormatting>
  <conditionalFormatting sqref="Y31">
    <cfRule type="expression" dxfId="8395" priority="3725">
      <formula>AND(IF(OR($Q31=1,$Q31=2),1,0),IF($Y31&lt;=20,1,0))</formula>
    </cfRule>
    <cfRule type="expression" dxfId="8394" priority="3726">
      <formula>AND(IF($Q31=2,1,0),IF($Y31&lt;30,1,0))</formula>
    </cfRule>
    <cfRule type="expression" dxfId="8393" priority="3727">
      <formula>AND(IF($Q31=3,1,0),IF($Y31&lt;30,1,0))</formula>
    </cfRule>
    <cfRule type="expression" dxfId="8392" priority="3728">
      <formula>AND(IF($Q31=3,1,IF($Q31=4,1,0)),IF($F31&lt;=85,1,0))</formula>
    </cfRule>
  </conditionalFormatting>
  <conditionalFormatting sqref="AJ31">
    <cfRule type="expression" dxfId="8391" priority="3721">
      <formula>AND(IF(OR($Q31=1,$Q31=2),1,0),IF($Y31&lt;=20,1,0))</formula>
    </cfRule>
    <cfRule type="expression" dxfId="8390" priority="3722">
      <formula>AND(IF($Q31=2,1,0),IF($Y31&lt;30,1,0))</formula>
    </cfRule>
    <cfRule type="expression" dxfId="8389" priority="3723">
      <formula>AND(IF($Q31=3,1,0),IF($Y31&lt;30,1,0))</formula>
    </cfRule>
    <cfRule type="expression" dxfId="8388" priority="3724">
      <formula>AND(IF($Q31=3,1,IF($Q31=4,1,0)),IF($F31&lt;=85,1,0))</formula>
    </cfRule>
  </conditionalFormatting>
  <conditionalFormatting sqref="AW32">
    <cfRule type="expression" dxfId="8387" priority="3719">
      <formula>AW32="X"</formula>
    </cfRule>
    <cfRule type="expression" dxfId="8386" priority="3720">
      <formula>AW32="후보"</formula>
    </cfRule>
  </conditionalFormatting>
  <conditionalFormatting sqref="AA32">
    <cfRule type="colorScale" priority="3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8385" priority="3716" operator="greaterThan">
      <formula>0.9</formula>
    </cfRule>
    <cfRule type="cellIs" dxfId="8384" priority="3717" operator="greaterThan">
      <formula>0.85</formula>
    </cfRule>
  </conditionalFormatting>
  <conditionalFormatting sqref="N32">
    <cfRule type="cellIs" dxfId="8383" priority="3714" operator="greaterThan">
      <formula>0.9</formula>
    </cfRule>
    <cfRule type="cellIs" dxfId="8382" priority="3715" operator="greaterThan">
      <formula>0.85</formula>
    </cfRule>
  </conditionalFormatting>
  <conditionalFormatting sqref="E32">
    <cfRule type="expression" dxfId="8381" priority="3710">
      <formula>AND(IF(OR($Q32=1,$Q32=2),1,0),IF($E32&lt;=20,1,0))</formula>
    </cfRule>
    <cfRule type="expression" dxfId="8380" priority="3711">
      <formula>AND(IF($Q32=2,1,0),IF($E32&lt;30,1,0))</formula>
    </cfRule>
    <cfRule type="expression" dxfId="8379" priority="3712">
      <formula>AND(IF($Q32=3,1,0),IF($E32&lt;30,1,0))</formula>
    </cfRule>
    <cfRule type="expression" dxfId="8378" priority="3713">
      <formula>AND(IF($Q32=3,1,IF($Q32=4,1,0)),IF($F32&lt;=85,1,0))</formula>
    </cfRule>
  </conditionalFormatting>
  <conditionalFormatting sqref="Y32">
    <cfRule type="expression" dxfId="8377" priority="3706">
      <formula>AND(IF(OR($Q32=1,$Q32=2),1,0),IF($Y32&lt;=20,1,0))</formula>
    </cfRule>
    <cfRule type="expression" dxfId="8376" priority="3707">
      <formula>AND(IF($Q32=2,1,0),IF($Y32&lt;30,1,0))</formula>
    </cfRule>
    <cfRule type="expression" dxfId="8375" priority="3708">
      <formula>AND(IF($Q32=3,1,0),IF($Y32&lt;30,1,0))</formula>
    </cfRule>
    <cfRule type="expression" dxfId="8374" priority="3709">
      <formula>AND(IF($Q32=3,1,IF($Q32=4,1,0)),IF($F32&lt;=85,1,0))</formula>
    </cfRule>
  </conditionalFormatting>
  <conditionalFormatting sqref="AJ32">
    <cfRule type="expression" dxfId="8373" priority="3702">
      <formula>AND(IF(OR($Q32=1,$Q32=2),1,0),IF($Y32&lt;=20,1,0))</formula>
    </cfRule>
    <cfRule type="expression" dxfId="8372" priority="3703">
      <formula>AND(IF($Q32=2,1,0),IF($Y32&lt;30,1,0))</formula>
    </cfRule>
    <cfRule type="expression" dxfId="8371" priority="3704">
      <formula>AND(IF($Q32=3,1,0),IF($Y32&lt;30,1,0))</formula>
    </cfRule>
    <cfRule type="expression" dxfId="8370" priority="3705">
      <formula>AND(IF($Q32=3,1,IF($Q32=4,1,0)),IF($F32&lt;=85,1,0))</formula>
    </cfRule>
  </conditionalFormatting>
  <conditionalFormatting sqref="AW33">
    <cfRule type="expression" dxfId="8369" priority="3700">
      <formula>AW33="X"</formula>
    </cfRule>
    <cfRule type="expression" dxfId="8368" priority="3701">
      <formula>AW33="후보"</formula>
    </cfRule>
  </conditionalFormatting>
  <conditionalFormatting sqref="AA33">
    <cfRule type="colorScale" priority="36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8367" priority="3697" operator="greaterThan">
      <formula>0.9</formula>
    </cfRule>
    <cfRule type="cellIs" dxfId="8366" priority="3698" operator="greaterThan">
      <formula>0.85</formula>
    </cfRule>
  </conditionalFormatting>
  <conditionalFormatting sqref="N33">
    <cfRule type="cellIs" dxfId="8365" priority="3695" operator="greaterThan">
      <formula>0.9</formula>
    </cfRule>
    <cfRule type="cellIs" dxfId="8364" priority="3696" operator="greaterThan">
      <formula>0.85</formula>
    </cfRule>
  </conditionalFormatting>
  <conditionalFormatting sqref="E33">
    <cfRule type="expression" dxfId="8363" priority="3691">
      <formula>AND(IF(OR($Q33=1,$Q33=2),1,0),IF($E33&lt;=20,1,0))</formula>
    </cfRule>
    <cfRule type="expression" dxfId="8362" priority="3692">
      <formula>AND(IF($Q33=2,1,0),IF($E33&lt;30,1,0))</formula>
    </cfRule>
    <cfRule type="expression" dxfId="8361" priority="3693">
      <formula>AND(IF($Q33=3,1,0),IF($E33&lt;30,1,0))</formula>
    </cfRule>
    <cfRule type="expression" dxfId="8360" priority="3694">
      <formula>AND(IF($Q33=3,1,IF($Q33=4,1,0)),IF($F33&lt;=85,1,0))</formula>
    </cfRule>
  </conditionalFormatting>
  <conditionalFormatting sqref="Y33">
    <cfRule type="expression" dxfId="8359" priority="3687">
      <formula>AND(IF(OR($Q33=1,$Q33=2),1,0),IF($Y33&lt;=20,1,0))</formula>
    </cfRule>
    <cfRule type="expression" dxfId="8358" priority="3688">
      <formula>AND(IF($Q33=2,1,0),IF($Y33&lt;30,1,0))</formula>
    </cfRule>
    <cfRule type="expression" dxfId="8357" priority="3689">
      <formula>AND(IF($Q33=3,1,0),IF($Y33&lt;30,1,0))</formula>
    </cfRule>
    <cfRule type="expression" dxfId="8356" priority="3690">
      <formula>AND(IF($Q33=3,1,IF($Q33=4,1,0)),IF($F33&lt;=85,1,0))</formula>
    </cfRule>
  </conditionalFormatting>
  <conditionalFormatting sqref="AJ33">
    <cfRule type="expression" dxfId="8355" priority="3683">
      <formula>AND(IF(OR($Q33=1,$Q33=2),1,0),IF($Y33&lt;=20,1,0))</formula>
    </cfRule>
    <cfRule type="expression" dxfId="8354" priority="3684">
      <formula>AND(IF($Q33=2,1,0),IF($Y33&lt;30,1,0))</formula>
    </cfRule>
    <cfRule type="expression" dxfId="8353" priority="3685">
      <formula>AND(IF($Q33=3,1,0),IF($Y33&lt;30,1,0))</formula>
    </cfRule>
    <cfRule type="expression" dxfId="8352" priority="3686">
      <formula>AND(IF($Q33=3,1,IF($Q33=4,1,0)),IF($F33&lt;=85,1,0))</formula>
    </cfRule>
  </conditionalFormatting>
  <conditionalFormatting sqref="AW34">
    <cfRule type="expression" dxfId="8351" priority="3681">
      <formula>AW34="X"</formula>
    </cfRule>
    <cfRule type="expression" dxfId="8350" priority="3682">
      <formula>AW34="후보"</formula>
    </cfRule>
  </conditionalFormatting>
  <conditionalFormatting sqref="AA34">
    <cfRule type="colorScale" priority="36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8349" priority="3678" operator="greaterThan">
      <formula>0.9</formula>
    </cfRule>
    <cfRule type="cellIs" dxfId="8348" priority="3679" operator="greaterThan">
      <formula>0.85</formula>
    </cfRule>
  </conditionalFormatting>
  <conditionalFormatting sqref="N34">
    <cfRule type="cellIs" dxfId="8347" priority="3676" operator="greaterThan">
      <formula>0.9</formula>
    </cfRule>
    <cfRule type="cellIs" dxfId="8346" priority="3677" operator="greaterThan">
      <formula>0.85</formula>
    </cfRule>
  </conditionalFormatting>
  <conditionalFormatting sqref="E34">
    <cfRule type="expression" dxfId="8345" priority="3672">
      <formula>AND(IF(OR($Q34=1,$Q34=2),1,0),IF($E34&lt;=20,1,0))</formula>
    </cfRule>
    <cfRule type="expression" dxfId="8344" priority="3673">
      <formula>AND(IF($Q34=2,1,0),IF($E34&lt;30,1,0))</formula>
    </cfRule>
    <cfRule type="expression" dxfId="8343" priority="3674">
      <formula>AND(IF($Q34=3,1,0),IF($E34&lt;30,1,0))</formula>
    </cfRule>
    <cfRule type="expression" dxfId="8342" priority="3675">
      <formula>AND(IF($Q34=3,1,IF($Q34=4,1,0)),IF($F34&lt;=85,1,0))</formula>
    </cfRule>
  </conditionalFormatting>
  <conditionalFormatting sqref="Y34">
    <cfRule type="expression" dxfId="8341" priority="3668">
      <formula>AND(IF(OR($Q34=1,$Q34=2),1,0),IF($Y34&lt;=20,1,0))</formula>
    </cfRule>
    <cfRule type="expression" dxfId="8340" priority="3669">
      <formula>AND(IF($Q34=2,1,0),IF($Y34&lt;30,1,0))</formula>
    </cfRule>
    <cfRule type="expression" dxfId="8339" priority="3670">
      <formula>AND(IF($Q34=3,1,0),IF($Y34&lt;30,1,0))</formula>
    </cfRule>
    <cfRule type="expression" dxfId="8338" priority="3671">
      <formula>AND(IF($Q34=3,1,IF($Q34=4,1,0)),IF($F34&lt;=85,1,0))</formula>
    </cfRule>
  </conditionalFormatting>
  <conditionalFormatting sqref="AJ34">
    <cfRule type="expression" dxfId="8337" priority="3664">
      <formula>AND(IF(OR($Q34=1,$Q34=2),1,0),IF($Y34&lt;=20,1,0))</formula>
    </cfRule>
    <cfRule type="expression" dxfId="8336" priority="3665">
      <formula>AND(IF($Q34=2,1,0),IF($Y34&lt;30,1,0))</formula>
    </cfRule>
    <cfRule type="expression" dxfId="8335" priority="3666">
      <formula>AND(IF($Q34=3,1,0),IF($Y34&lt;30,1,0))</formula>
    </cfRule>
    <cfRule type="expression" dxfId="8334" priority="3667">
      <formula>AND(IF($Q34=3,1,IF($Q34=4,1,0)),IF($F34&lt;=85,1,0))</formula>
    </cfRule>
  </conditionalFormatting>
  <conditionalFormatting sqref="AW35">
    <cfRule type="expression" dxfId="8333" priority="3662">
      <formula>AW35="X"</formula>
    </cfRule>
    <cfRule type="expression" dxfId="8332" priority="3663">
      <formula>AW35="후보"</formula>
    </cfRule>
  </conditionalFormatting>
  <conditionalFormatting sqref="AA35">
    <cfRule type="colorScale" priority="36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8331" priority="3659" operator="greaterThan">
      <formula>0.9</formula>
    </cfRule>
    <cfRule type="cellIs" dxfId="8330" priority="3660" operator="greaterThan">
      <formula>0.85</formula>
    </cfRule>
  </conditionalFormatting>
  <conditionalFormatting sqref="N35">
    <cfRule type="cellIs" dxfId="8329" priority="3657" operator="greaterThan">
      <formula>0.9</formula>
    </cfRule>
    <cfRule type="cellIs" dxfId="8328" priority="3658" operator="greaterThan">
      <formula>0.85</formula>
    </cfRule>
  </conditionalFormatting>
  <conditionalFormatting sqref="E35">
    <cfRule type="expression" dxfId="8327" priority="3653">
      <formula>AND(IF(OR($Q35=1,$Q35=2),1,0),IF($E35&lt;=20,1,0))</formula>
    </cfRule>
    <cfRule type="expression" dxfId="8326" priority="3654">
      <formula>AND(IF($Q35=2,1,0),IF($E35&lt;30,1,0))</formula>
    </cfRule>
    <cfRule type="expression" dxfId="8325" priority="3655">
      <formula>AND(IF($Q35=3,1,0),IF($E35&lt;30,1,0))</formula>
    </cfRule>
    <cfRule type="expression" dxfId="8324" priority="3656">
      <formula>AND(IF($Q35=3,1,IF($Q35=4,1,0)),IF($F35&lt;=85,1,0))</formula>
    </cfRule>
  </conditionalFormatting>
  <conditionalFormatting sqref="Y35">
    <cfRule type="expression" dxfId="8323" priority="3649">
      <formula>AND(IF(OR($Q35=1,$Q35=2),1,0),IF($Y35&lt;=20,1,0))</formula>
    </cfRule>
    <cfRule type="expression" dxfId="8322" priority="3650">
      <formula>AND(IF($Q35=2,1,0),IF($Y35&lt;30,1,0))</formula>
    </cfRule>
    <cfRule type="expression" dxfId="8321" priority="3651">
      <formula>AND(IF($Q35=3,1,0),IF($Y35&lt;30,1,0))</formula>
    </cfRule>
    <cfRule type="expression" dxfId="8320" priority="3652">
      <formula>AND(IF($Q35=3,1,IF($Q35=4,1,0)),IF($F35&lt;=85,1,0))</formula>
    </cfRule>
  </conditionalFormatting>
  <conditionalFormatting sqref="AJ35">
    <cfRule type="expression" dxfId="8319" priority="3645">
      <formula>AND(IF(OR($Q35=1,$Q35=2),1,0),IF($Y35&lt;=20,1,0))</formula>
    </cfRule>
    <cfRule type="expression" dxfId="8318" priority="3646">
      <formula>AND(IF($Q35=2,1,0),IF($Y35&lt;30,1,0))</formula>
    </cfRule>
    <cfRule type="expression" dxfId="8317" priority="3647">
      <formula>AND(IF($Q35=3,1,0),IF($Y35&lt;30,1,0))</formula>
    </cfRule>
    <cfRule type="expression" dxfId="8316" priority="3648">
      <formula>AND(IF($Q35=3,1,IF($Q35=4,1,0)),IF($F35&lt;=85,1,0))</formula>
    </cfRule>
  </conditionalFormatting>
  <conditionalFormatting sqref="AW36">
    <cfRule type="expression" dxfId="8315" priority="3643">
      <formula>AW36="X"</formula>
    </cfRule>
    <cfRule type="expression" dxfId="8314" priority="3644">
      <formula>AW36="후보"</formula>
    </cfRule>
  </conditionalFormatting>
  <conditionalFormatting sqref="AA36">
    <cfRule type="colorScale" priority="36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8313" priority="3640" operator="greaterThan">
      <formula>0.9</formula>
    </cfRule>
    <cfRule type="cellIs" dxfId="8312" priority="3641" operator="greaterThan">
      <formula>0.85</formula>
    </cfRule>
  </conditionalFormatting>
  <conditionalFormatting sqref="N36">
    <cfRule type="cellIs" dxfId="8311" priority="3638" operator="greaterThan">
      <formula>0.9</formula>
    </cfRule>
    <cfRule type="cellIs" dxfId="8310" priority="3639" operator="greaterThan">
      <formula>0.85</formula>
    </cfRule>
  </conditionalFormatting>
  <conditionalFormatting sqref="E36">
    <cfRule type="expression" dxfId="8309" priority="3634">
      <formula>AND(IF(OR($Q36=1,$Q36=2),1,0),IF($E36&lt;=20,1,0))</formula>
    </cfRule>
    <cfRule type="expression" dxfId="8308" priority="3635">
      <formula>AND(IF($Q36=2,1,0),IF($E36&lt;30,1,0))</formula>
    </cfRule>
    <cfRule type="expression" dxfId="8307" priority="3636">
      <formula>AND(IF($Q36=3,1,0),IF($E36&lt;30,1,0))</formula>
    </cfRule>
    <cfRule type="expression" dxfId="8306" priority="3637">
      <formula>AND(IF($Q36=3,1,IF($Q36=4,1,0)),IF($F36&lt;=85,1,0))</formula>
    </cfRule>
  </conditionalFormatting>
  <conditionalFormatting sqref="Y36">
    <cfRule type="expression" dxfId="8305" priority="3630">
      <formula>AND(IF(OR($Q36=1,$Q36=2),1,0),IF($Y36&lt;=20,1,0))</formula>
    </cfRule>
    <cfRule type="expression" dxfId="8304" priority="3631">
      <formula>AND(IF($Q36=2,1,0),IF($Y36&lt;30,1,0))</formula>
    </cfRule>
    <cfRule type="expression" dxfId="8303" priority="3632">
      <formula>AND(IF($Q36=3,1,0),IF($Y36&lt;30,1,0))</formula>
    </cfRule>
    <cfRule type="expression" dxfId="8302" priority="3633">
      <formula>AND(IF($Q36=3,1,IF($Q36=4,1,0)),IF($F36&lt;=85,1,0))</formula>
    </cfRule>
  </conditionalFormatting>
  <conditionalFormatting sqref="AJ36">
    <cfRule type="expression" dxfId="8301" priority="3626">
      <formula>AND(IF(OR($Q36=1,$Q36=2),1,0),IF($Y36&lt;=20,1,0))</formula>
    </cfRule>
    <cfRule type="expression" dxfId="8300" priority="3627">
      <formula>AND(IF($Q36=2,1,0),IF($Y36&lt;30,1,0))</formula>
    </cfRule>
    <cfRule type="expression" dxfId="8299" priority="3628">
      <formula>AND(IF($Q36=3,1,0),IF($Y36&lt;30,1,0))</formula>
    </cfRule>
    <cfRule type="expression" dxfId="8298" priority="3629">
      <formula>AND(IF($Q36=3,1,IF($Q36=4,1,0)),IF($F36&lt;=85,1,0))</formula>
    </cfRule>
  </conditionalFormatting>
  <conditionalFormatting sqref="AW37">
    <cfRule type="expression" dxfId="8297" priority="3624">
      <formula>AW37="X"</formula>
    </cfRule>
    <cfRule type="expression" dxfId="8296" priority="3625">
      <formula>AW37="후보"</formula>
    </cfRule>
  </conditionalFormatting>
  <conditionalFormatting sqref="AA37">
    <cfRule type="colorScale" priority="3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 N37">
    <cfRule type="cellIs" dxfId="8295" priority="3621" operator="greaterThan">
      <formula>0.9</formula>
    </cfRule>
    <cfRule type="cellIs" dxfId="8294" priority="3622" operator="greaterThan">
      <formula>0.85</formula>
    </cfRule>
  </conditionalFormatting>
  <conditionalFormatting sqref="AW38">
    <cfRule type="expression" dxfId="8293" priority="3619">
      <formula>AW38="X"</formula>
    </cfRule>
    <cfRule type="expression" dxfId="8292" priority="3620">
      <formula>AW38="후보"</formula>
    </cfRule>
  </conditionalFormatting>
  <conditionalFormatting sqref="AA38">
    <cfRule type="colorScale" priority="36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8291" priority="3616" operator="greaterThan">
      <formula>0.9</formula>
    </cfRule>
    <cfRule type="cellIs" dxfId="8290" priority="3617" operator="greaterThan">
      <formula>0.85</formula>
    </cfRule>
  </conditionalFormatting>
  <conditionalFormatting sqref="N38">
    <cfRule type="cellIs" dxfId="8289" priority="3614" operator="greaterThan">
      <formula>0.9</formula>
    </cfRule>
    <cfRule type="cellIs" dxfId="8288" priority="3615" operator="greaterThan">
      <formula>0.85</formula>
    </cfRule>
  </conditionalFormatting>
  <conditionalFormatting sqref="E38">
    <cfRule type="expression" dxfId="8287" priority="3610">
      <formula>AND(IF(OR($Q38=1,$Q38=2),1,0),IF($E38&lt;=20,1,0))</formula>
    </cfRule>
    <cfRule type="expression" dxfId="8286" priority="3611">
      <formula>AND(IF($Q38=2,1,0),IF($E38&lt;30,1,0))</formula>
    </cfRule>
    <cfRule type="expression" dxfId="8285" priority="3612">
      <formula>AND(IF($Q38=3,1,0),IF($E38&lt;30,1,0))</formula>
    </cfRule>
    <cfRule type="expression" dxfId="8284" priority="3613">
      <formula>AND(IF($Q38=3,1,IF($Q38=4,1,0)),IF($F38&lt;=85,1,0))</formula>
    </cfRule>
  </conditionalFormatting>
  <conditionalFormatting sqref="Y38">
    <cfRule type="expression" dxfId="8283" priority="3606">
      <formula>AND(IF(OR($Q38=1,$Q38=2),1,0),IF($Y38&lt;=20,1,0))</formula>
    </cfRule>
    <cfRule type="expression" dxfId="8282" priority="3607">
      <formula>AND(IF($Q38=2,1,0),IF($Y38&lt;30,1,0))</formula>
    </cfRule>
    <cfRule type="expression" dxfId="8281" priority="3608">
      <formula>AND(IF($Q38=3,1,0),IF($Y38&lt;30,1,0))</formula>
    </cfRule>
    <cfRule type="expression" dxfId="8280" priority="3609">
      <formula>AND(IF($Q38=3,1,IF($Q38=4,1,0)),IF($F38&lt;=85,1,0))</formula>
    </cfRule>
  </conditionalFormatting>
  <conditionalFormatting sqref="AJ38">
    <cfRule type="expression" dxfId="8279" priority="3602">
      <formula>AND(IF(OR($Q38=1,$Q38=2),1,0),IF($Y38&lt;=20,1,0))</formula>
    </cfRule>
    <cfRule type="expression" dxfId="8278" priority="3603">
      <formula>AND(IF($Q38=2,1,0),IF($Y38&lt;30,1,0))</formula>
    </cfRule>
    <cfRule type="expression" dxfId="8277" priority="3604">
      <formula>AND(IF($Q38=3,1,0),IF($Y38&lt;30,1,0))</formula>
    </cfRule>
    <cfRule type="expression" dxfId="8276" priority="3605">
      <formula>AND(IF($Q38=3,1,IF($Q38=4,1,0)),IF($F38&lt;=85,1,0))</formula>
    </cfRule>
  </conditionalFormatting>
  <conditionalFormatting sqref="AW39">
    <cfRule type="expression" dxfId="8275" priority="3600">
      <formula>AW39="X"</formula>
    </cfRule>
    <cfRule type="expression" dxfId="8274" priority="3601">
      <formula>AW39="후보"</formula>
    </cfRule>
  </conditionalFormatting>
  <conditionalFormatting sqref="AA39">
    <cfRule type="colorScale" priority="35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8273" priority="3597" operator="greaterThan">
      <formula>0.9</formula>
    </cfRule>
    <cfRule type="cellIs" dxfId="8272" priority="3598" operator="greaterThan">
      <formula>0.85</formula>
    </cfRule>
  </conditionalFormatting>
  <conditionalFormatting sqref="N39">
    <cfRule type="cellIs" dxfId="8271" priority="3595" operator="greaterThan">
      <formula>0.9</formula>
    </cfRule>
    <cfRule type="cellIs" dxfId="8270" priority="3596" operator="greaterThan">
      <formula>0.85</formula>
    </cfRule>
  </conditionalFormatting>
  <conditionalFormatting sqref="E39">
    <cfRule type="expression" dxfId="8269" priority="3591">
      <formula>AND(IF(OR($Q39=1,$Q39=2),1,0),IF($E39&lt;=20,1,0))</formula>
    </cfRule>
    <cfRule type="expression" dxfId="8268" priority="3592">
      <formula>AND(IF($Q39=2,1,0),IF($E39&lt;30,1,0))</formula>
    </cfRule>
    <cfRule type="expression" dxfId="8267" priority="3593">
      <formula>AND(IF($Q39=3,1,0),IF($E39&lt;30,1,0))</formula>
    </cfRule>
    <cfRule type="expression" dxfId="8266" priority="3594">
      <formula>AND(IF($Q39=3,1,IF($Q39=4,1,0)),IF($F39&lt;=85,1,0))</formula>
    </cfRule>
  </conditionalFormatting>
  <conditionalFormatting sqref="Y39">
    <cfRule type="expression" dxfId="8265" priority="3587">
      <formula>AND(IF(OR($Q39=1,$Q39=2),1,0),IF($Y39&lt;=20,1,0))</formula>
    </cfRule>
    <cfRule type="expression" dxfId="8264" priority="3588">
      <formula>AND(IF($Q39=2,1,0),IF($Y39&lt;30,1,0))</formula>
    </cfRule>
    <cfRule type="expression" dxfId="8263" priority="3589">
      <formula>AND(IF($Q39=3,1,0),IF($Y39&lt;30,1,0))</formula>
    </cfRule>
    <cfRule type="expression" dxfId="8262" priority="3590">
      <formula>AND(IF($Q39=3,1,IF($Q39=4,1,0)),IF($F39&lt;=85,1,0))</formula>
    </cfRule>
  </conditionalFormatting>
  <conditionalFormatting sqref="AJ39">
    <cfRule type="expression" dxfId="8261" priority="3583">
      <formula>AND(IF(OR($Q39=1,$Q39=2),1,0),IF($Y39&lt;=20,1,0))</formula>
    </cfRule>
    <cfRule type="expression" dxfId="8260" priority="3584">
      <formula>AND(IF($Q39=2,1,0),IF($Y39&lt;30,1,0))</formula>
    </cfRule>
    <cfRule type="expression" dxfId="8259" priority="3585">
      <formula>AND(IF($Q39=3,1,0),IF($Y39&lt;30,1,0))</formula>
    </cfRule>
    <cfRule type="expression" dxfId="8258" priority="3586">
      <formula>AND(IF($Q39=3,1,IF($Q39=4,1,0)),IF($F39&lt;=85,1,0))</formula>
    </cfRule>
  </conditionalFormatting>
  <conditionalFormatting sqref="AW40">
    <cfRule type="expression" dxfId="8257" priority="3581">
      <formula>AW40="X"</formula>
    </cfRule>
    <cfRule type="expression" dxfId="8256" priority="3582">
      <formula>AW40="후보"</formula>
    </cfRule>
  </conditionalFormatting>
  <conditionalFormatting sqref="AA40">
    <cfRule type="colorScale" priority="35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">
    <cfRule type="cellIs" dxfId="8255" priority="3578" operator="greaterThan">
      <formula>0.9</formula>
    </cfRule>
    <cfRule type="cellIs" dxfId="8254" priority="3579" operator="greaterThan">
      <formula>0.85</formula>
    </cfRule>
  </conditionalFormatting>
  <conditionalFormatting sqref="N40">
    <cfRule type="cellIs" dxfId="8253" priority="3576" operator="greaterThan">
      <formula>0.9</formula>
    </cfRule>
    <cfRule type="cellIs" dxfId="8252" priority="3577" operator="greaterThan">
      <formula>0.85</formula>
    </cfRule>
  </conditionalFormatting>
  <conditionalFormatting sqref="E40">
    <cfRule type="expression" dxfId="8251" priority="3572">
      <formula>AND(IF(OR($Q40=1,$Q40=2),1,0),IF($E40&lt;=20,1,0))</formula>
    </cfRule>
    <cfRule type="expression" dxfId="8250" priority="3573">
      <formula>AND(IF($Q40=2,1,0),IF($E40&lt;30,1,0))</formula>
    </cfRule>
    <cfRule type="expression" dxfId="8249" priority="3574">
      <formula>AND(IF($Q40=3,1,0),IF($E40&lt;30,1,0))</formula>
    </cfRule>
    <cfRule type="expression" dxfId="8248" priority="3575">
      <formula>AND(IF($Q40=3,1,IF($Q40=4,1,0)),IF($F40&lt;=85,1,0))</formula>
    </cfRule>
  </conditionalFormatting>
  <conditionalFormatting sqref="Y40">
    <cfRule type="expression" dxfId="8247" priority="3568">
      <formula>AND(IF(OR($Q40=1,$Q40=2),1,0),IF($Y40&lt;=20,1,0))</formula>
    </cfRule>
    <cfRule type="expression" dxfId="8246" priority="3569">
      <formula>AND(IF($Q40=2,1,0),IF($Y40&lt;30,1,0))</formula>
    </cfRule>
    <cfRule type="expression" dxfId="8245" priority="3570">
      <formula>AND(IF($Q40=3,1,0),IF($Y40&lt;30,1,0))</formula>
    </cfRule>
    <cfRule type="expression" dxfId="8244" priority="3571">
      <formula>AND(IF($Q40=3,1,IF($Q40=4,1,0)),IF($F40&lt;=85,1,0))</formula>
    </cfRule>
  </conditionalFormatting>
  <conditionalFormatting sqref="AJ40">
    <cfRule type="expression" dxfId="8243" priority="3564">
      <formula>AND(IF(OR($Q40=1,$Q40=2),1,0),IF($Y40&lt;=20,1,0))</formula>
    </cfRule>
    <cfRule type="expression" dxfId="8242" priority="3565">
      <formula>AND(IF($Q40=2,1,0),IF($Y40&lt;30,1,0))</formula>
    </cfRule>
    <cfRule type="expression" dxfId="8241" priority="3566">
      <formula>AND(IF($Q40=3,1,0),IF($Y40&lt;30,1,0))</formula>
    </cfRule>
    <cfRule type="expression" dxfId="8240" priority="3567">
      <formula>AND(IF($Q40=3,1,IF($Q40=4,1,0)),IF($F40&lt;=85,1,0))</formula>
    </cfRule>
  </conditionalFormatting>
  <conditionalFormatting sqref="AW41">
    <cfRule type="expression" dxfId="8239" priority="3562">
      <formula>AW41="X"</formula>
    </cfRule>
    <cfRule type="expression" dxfId="8238" priority="3563">
      <formula>AW41="후보"</formula>
    </cfRule>
  </conditionalFormatting>
  <conditionalFormatting sqref="AA41">
    <cfRule type="colorScale" priority="35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8237" priority="3559" operator="greaterThan">
      <formula>0.9</formula>
    </cfRule>
    <cfRule type="cellIs" dxfId="8236" priority="3560" operator="greaterThan">
      <formula>0.85</formula>
    </cfRule>
  </conditionalFormatting>
  <conditionalFormatting sqref="N41">
    <cfRule type="cellIs" dxfId="8235" priority="3557" operator="greaterThan">
      <formula>0.9</formula>
    </cfRule>
    <cfRule type="cellIs" dxfId="8234" priority="3558" operator="greaterThan">
      <formula>0.85</formula>
    </cfRule>
  </conditionalFormatting>
  <conditionalFormatting sqref="E41">
    <cfRule type="expression" dxfId="8233" priority="3553">
      <formula>AND(IF(OR($Q41=1,$Q41=2),1,0),IF($E41&lt;=20,1,0))</formula>
    </cfRule>
    <cfRule type="expression" dxfId="8232" priority="3554">
      <formula>AND(IF($Q41=2,1,0),IF($E41&lt;30,1,0))</formula>
    </cfRule>
    <cfRule type="expression" dxfId="8231" priority="3555">
      <formula>AND(IF($Q41=3,1,0),IF($E41&lt;30,1,0))</formula>
    </cfRule>
    <cfRule type="expression" dxfId="8230" priority="3556">
      <formula>AND(IF($Q41=3,1,IF($Q41=4,1,0)),IF($F41&lt;=85,1,0))</formula>
    </cfRule>
  </conditionalFormatting>
  <conditionalFormatting sqref="Y41">
    <cfRule type="expression" dxfId="8229" priority="3549">
      <formula>AND(IF(OR($Q41=1,$Q41=2),1,0),IF($Y41&lt;=20,1,0))</formula>
    </cfRule>
    <cfRule type="expression" dxfId="8228" priority="3550">
      <formula>AND(IF($Q41=2,1,0),IF($Y41&lt;30,1,0))</formula>
    </cfRule>
    <cfRule type="expression" dxfId="8227" priority="3551">
      <formula>AND(IF($Q41=3,1,0),IF($Y41&lt;30,1,0))</formula>
    </cfRule>
    <cfRule type="expression" dxfId="8226" priority="3552">
      <formula>AND(IF($Q41=3,1,IF($Q41=4,1,0)),IF($F41&lt;=85,1,0))</formula>
    </cfRule>
  </conditionalFormatting>
  <conditionalFormatting sqref="AJ41">
    <cfRule type="expression" dxfId="8225" priority="3545">
      <formula>AND(IF(OR($Q41=1,$Q41=2),1,0),IF($Y41&lt;=20,1,0))</formula>
    </cfRule>
    <cfRule type="expression" dxfId="8224" priority="3546">
      <formula>AND(IF($Q41=2,1,0),IF($Y41&lt;30,1,0))</formula>
    </cfRule>
    <cfRule type="expression" dxfId="8223" priority="3547">
      <formula>AND(IF($Q41=3,1,0),IF($Y41&lt;30,1,0))</formula>
    </cfRule>
    <cfRule type="expression" dxfId="8222" priority="3548">
      <formula>AND(IF($Q41=3,1,IF($Q41=4,1,0)),IF($F41&lt;=85,1,0))</formula>
    </cfRule>
  </conditionalFormatting>
  <conditionalFormatting sqref="AW42">
    <cfRule type="expression" dxfId="8221" priority="3543">
      <formula>AW42="X"</formula>
    </cfRule>
    <cfRule type="expression" dxfId="8220" priority="3544">
      <formula>AW42="후보"</formula>
    </cfRule>
  </conditionalFormatting>
  <conditionalFormatting sqref="AA42">
    <cfRule type="colorScale" priority="35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 N42">
    <cfRule type="cellIs" dxfId="8219" priority="3540" operator="greaterThan">
      <formula>0.9</formula>
    </cfRule>
    <cfRule type="cellIs" dxfId="8218" priority="3541" operator="greaterThan">
      <formula>0.85</formula>
    </cfRule>
  </conditionalFormatting>
  <conditionalFormatting sqref="AW43">
    <cfRule type="expression" dxfId="8217" priority="3538">
      <formula>AW43="X"</formula>
    </cfRule>
    <cfRule type="expression" dxfId="8216" priority="3539">
      <formula>AW43="후보"</formula>
    </cfRule>
  </conditionalFormatting>
  <conditionalFormatting sqref="AA43">
    <cfRule type="colorScale" priority="35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8215" priority="3535" operator="greaterThan">
      <formula>0.9</formula>
    </cfRule>
    <cfRule type="cellIs" dxfId="8214" priority="3536" operator="greaterThan">
      <formula>0.85</formula>
    </cfRule>
  </conditionalFormatting>
  <conditionalFormatting sqref="N43">
    <cfRule type="cellIs" dxfId="8213" priority="3533" operator="greaterThan">
      <formula>0.9</formula>
    </cfRule>
    <cfRule type="cellIs" dxfId="8212" priority="3534" operator="greaterThan">
      <formula>0.85</formula>
    </cfRule>
  </conditionalFormatting>
  <conditionalFormatting sqref="E43">
    <cfRule type="expression" dxfId="8211" priority="3529">
      <formula>AND(IF(OR($Q43=1,$Q43=2),1,0),IF($E43&lt;=20,1,0))</formula>
    </cfRule>
    <cfRule type="expression" dxfId="8210" priority="3530">
      <formula>AND(IF($Q43=2,1,0),IF($E43&lt;30,1,0))</formula>
    </cfRule>
    <cfRule type="expression" dxfId="8209" priority="3531">
      <formula>AND(IF($Q43=3,1,0),IF($E43&lt;30,1,0))</formula>
    </cfRule>
    <cfRule type="expression" dxfId="8208" priority="3532">
      <formula>AND(IF($Q43=3,1,IF($Q43=4,1,0)),IF($F43&lt;=85,1,0))</formula>
    </cfRule>
  </conditionalFormatting>
  <conditionalFormatting sqref="Y43">
    <cfRule type="expression" dxfId="8207" priority="3525">
      <formula>AND(IF(OR($Q43=1,$Q43=2),1,0),IF($Y43&lt;=20,1,0))</formula>
    </cfRule>
    <cfRule type="expression" dxfId="8206" priority="3526">
      <formula>AND(IF($Q43=2,1,0),IF($Y43&lt;30,1,0))</formula>
    </cfRule>
    <cfRule type="expression" dxfId="8205" priority="3527">
      <formula>AND(IF($Q43=3,1,0),IF($Y43&lt;30,1,0))</formula>
    </cfRule>
    <cfRule type="expression" dxfId="8204" priority="3528">
      <formula>AND(IF($Q43=3,1,IF($Q43=4,1,0)),IF($F43&lt;=85,1,0))</formula>
    </cfRule>
  </conditionalFormatting>
  <conditionalFormatting sqref="AJ43">
    <cfRule type="expression" dxfId="8203" priority="3521">
      <formula>AND(IF(OR($Q43=1,$Q43=2),1,0),IF($Y43&lt;=20,1,0))</formula>
    </cfRule>
    <cfRule type="expression" dxfId="8202" priority="3522">
      <formula>AND(IF($Q43=2,1,0),IF($Y43&lt;30,1,0))</formula>
    </cfRule>
    <cfRule type="expression" dxfId="8201" priority="3523">
      <formula>AND(IF($Q43=3,1,0),IF($Y43&lt;30,1,0))</formula>
    </cfRule>
    <cfRule type="expression" dxfId="8200" priority="3524">
      <formula>AND(IF($Q43=3,1,IF($Q43=4,1,0)),IF($F43&lt;=85,1,0))</formula>
    </cfRule>
  </conditionalFormatting>
  <conditionalFormatting sqref="AW44">
    <cfRule type="expression" dxfId="8199" priority="3519">
      <formula>AW44="X"</formula>
    </cfRule>
    <cfRule type="expression" dxfId="8198" priority="3520">
      <formula>AW44="후보"</formula>
    </cfRule>
  </conditionalFormatting>
  <conditionalFormatting sqref="AA44">
    <cfRule type="colorScale" priority="3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8197" priority="3516" operator="greaterThan">
      <formula>0.9</formula>
    </cfRule>
    <cfRule type="cellIs" dxfId="8196" priority="3517" operator="greaterThan">
      <formula>0.85</formula>
    </cfRule>
  </conditionalFormatting>
  <conditionalFormatting sqref="N44">
    <cfRule type="cellIs" dxfId="8195" priority="3514" operator="greaterThan">
      <formula>0.9</formula>
    </cfRule>
    <cfRule type="cellIs" dxfId="8194" priority="3515" operator="greaterThan">
      <formula>0.85</formula>
    </cfRule>
  </conditionalFormatting>
  <conditionalFormatting sqref="E44">
    <cfRule type="expression" dxfId="8193" priority="3510">
      <formula>AND(IF(OR($Q44=1,$Q44=2),1,0),IF($E44&lt;=20,1,0))</formula>
    </cfRule>
    <cfRule type="expression" dxfId="8192" priority="3511">
      <formula>AND(IF($Q44=2,1,0),IF($E44&lt;30,1,0))</formula>
    </cfRule>
    <cfRule type="expression" dxfId="8191" priority="3512">
      <formula>AND(IF($Q44=3,1,0),IF($E44&lt;30,1,0))</formula>
    </cfRule>
    <cfRule type="expression" dxfId="8190" priority="3513">
      <formula>AND(IF($Q44=3,1,IF($Q44=4,1,0)),IF($F44&lt;=85,1,0))</formula>
    </cfRule>
  </conditionalFormatting>
  <conditionalFormatting sqref="Y44">
    <cfRule type="expression" dxfId="8189" priority="3506">
      <formula>AND(IF(OR($Q44=1,$Q44=2),1,0),IF($Y44&lt;=20,1,0))</formula>
    </cfRule>
    <cfRule type="expression" dxfId="8188" priority="3507">
      <formula>AND(IF($Q44=2,1,0),IF($Y44&lt;30,1,0))</formula>
    </cfRule>
    <cfRule type="expression" dxfId="8187" priority="3508">
      <formula>AND(IF($Q44=3,1,0),IF($Y44&lt;30,1,0))</formula>
    </cfRule>
    <cfRule type="expression" dxfId="8186" priority="3509">
      <formula>AND(IF($Q44=3,1,IF($Q44=4,1,0)),IF($F44&lt;=85,1,0))</formula>
    </cfRule>
  </conditionalFormatting>
  <conditionalFormatting sqref="AJ44">
    <cfRule type="expression" dxfId="8185" priority="3502">
      <formula>AND(IF(OR($Q44=1,$Q44=2),1,0),IF($Y44&lt;=20,1,0))</formula>
    </cfRule>
    <cfRule type="expression" dxfId="8184" priority="3503">
      <formula>AND(IF($Q44=2,1,0),IF($Y44&lt;30,1,0))</formula>
    </cfRule>
    <cfRule type="expression" dxfId="8183" priority="3504">
      <formula>AND(IF($Q44=3,1,0),IF($Y44&lt;30,1,0))</formula>
    </cfRule>
    <cfRule type="expression" dxfId="8182" priority="3505">
      <formula>AND(IF($Q44=3,1,IF($Q44=4,1,0)),IF($F44&lt;=85,1,0))</formula>
    </cfRule>
  </conditionalFormatting>
  <conditionalFormatting sqref="AW45">
    <cfRule type="expression" dxfId="8181" priority="3500">
      <formula>AW45="X"</formula>
    </cfRule>
    <cfRule type="expression" dxfId="8180" priority="3501">
      <formula>AW45="후보"</formula>
    </cfRule>
  </conditionalFormatting>
  <conditionalFormatting sqref="AA45">
    <cfRule type="colorScale" priority="3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8179" priority="3497" operator="greaterThan">
      <formula>0.9</formula>
    </cfRule>
    <cfRule type="cellIs" dxfId="8178" priority="3498" operator="greaterThan">
      <formula>0.85</formula>
    </cfRule>
  </conditionalFormatting>
  <conditionalFormatting sqref="N45">
    <cfRule type="cellIs" dxfId="8177" priority="3495" operator="greaterThan">
      <formula>0.9</formula>
    </cfRule>
    <cfRule type="cellIs" dxfId="8176" priority="3496" operator="greaterThan">
      <formula>0.85</formula>
    </cfRule>
  </conditionalFormatting>
  <conditionalFormatting sqref="E45">
    <cfRule type="expression" dxfId="8175" priority="3491">
      <formula>AND(IF(OR($Q45=1,$Q45=2),1,0),IF($E45&lt;=20,1,0))</formula>
    </cfRule>
    <cfRule type="expression" dxfId="8174" priority="3492">
      <formula>AND(IF($Q45=2,1,0),IF($E45&lt;30,1,0))</formula>
    </cfRule>
    <cfRule type="expression" dxfId="8173" priority="3493">
      <formula>AND(IF($Q45=3,1,0),IF($E45&lt;30,1,0))</formula>
    </cfRule>
    <cfRule type="expression" dxfId="8172" priority="3494">
      <formula>AND(IF($Q45=3,1,IF($Q45=4,1,0)),IF($F45&lt;=85,1,0))</formula>
    </cfRule>
  </conditionalFormatting>
  <conditionalFormatting sqref="Y45">
    <cfRule type="expression" dxfId="8171" priority="3487">
      <formula>AND(IF(OR($Q45=1,$Q45=2),1,0),IF($Y45&lt;=20,1,0))</formula>
    </cfRule>
    <cfRule type="expression" dxfId="8170" priority="3488">
      <formula>AND(IF($Q45=2,1,0),IF($Y45&lt;30,1,0))</formula>
    </cfRule>
    <cfRule type="expression" dxfId="8169" priority="3489">
      <formula>AND(IF($Q45=3,1,0),IF($Y45&lt;30,1,0))</formula>
    </cfRule>
    <cfRule type="expression" dxfId="8168" priority="3490">
      <formula>AND(IF($Q45=3,1,IF($Q45=4,1,0)),IF($F45&lt;=85,1,0))</formula>
    </cfRule>
  </conditionalFormatting>
  <conditionalFormatting sqref="AJ45">
    <cfRule type="expression" dxfId="8167" priority="3483">
      <formula>AND(IF(OR($Q45=1,$Q45=2),1,0),IF($Y45&lt;=20,1,0))</formula>
    </cfRule>
    <cfRule type="expression" dxfId="8166" priority="3484">
      <formula>AND(IF($Q45=2,1,0),IF($Y45&lt;30,1,0))</formula>
    </cfRule>
    <cfRule type="expression" dxfId="8165" priority="3485">
      <formula>AND(IF($Q45=3,1,0),IF($Y45&lt;30,1,0))</formula>
    </cfRule>
    <cfRule type="expression" dxfId="8164" priority="3486">
      <formula>AND(IF($Q45=3,1,IF($Q45=4,1,0)),IF($F45&lt;=85,1,0))</formula>
    </cfRule>
  </conditionalFormatting>
  <conditionalFormatting sqref="AW46">
    <cfRule type="expression" dxfId="8163" priority="3481">
      <formula>AW46="X"</formula>
    </cfRule>
    <cfRule type="expression" dxfId="8162" priority="3482">
      <formula>AW46="후보"</formula>
    </cfRule>
  </conditionalFormatting>
  <conditionalFormatting sqref="AA46">
    <cfRule type="colorScale" priority="34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8161" priority="3478" operator="greaterThan">
      <formula>0.9</formula>
    </cfRule>
    <cfRule type="cellIs" dxfId="8160" priority="3479" operator="greaterThan">
      <formula>0.85</formula>
    </cfRule>
  </conditionalFormatting>
  <conditionalFormatting sqref="N46">
    <cfRule type="cellIs" dxfId="8159" priority="3476" operator="greaterThan">
      <formula>0.9</formula>
    </cfRule>
    <cfRule type="cellIs" dxfId="8158" priority="3477" operator="greaterThan">
      <formula>0.85</formula>
    </cfRule>
  </conditionalFormatting>
  <conditionalFormatting sqref="E46">
    <cfRule type="expression" dxfId="8157" priority="3472">
      <formula>AND(IF(OR($Q46=1,$Q46=2),1,0),IF($E46&lt;=20,1,0))</formula>
    </cfRule>
    <cfRule type="expression" dxfId="8156" priority="3473">
      <formula>AND(IF($Q46=2,1,0),IF($E46&lt;30,1,0))</formula>
    </cfRule>
    <cfRule type="expression" dxfId="8155" priority="3474">
      <formula>AND(IF($Q46=3,1,0),IF($E46&lt;30,1,0))</formula>
    </cfRule>
    <cfRule type="expression" dxfId="8154" priority="3475">
      <formula>AND(IF($Q46=3,1,IF($Q46=4,1,0)),IF($F46&lt;=85,1,0))</formula>
    </cfRule>
  </conditionalFormatting>
  <conditionalFormatting sqref="Y46">
    <cfRule type="expression" dxfId="8153" priority="3468">
      <formula>AND(IF(OR($Q46=1,$Q46=2),1,0),IF($Y46&lt;=20,1,0))</formula>
    </cfRule>
    <cfRule type="expression" dxfId="8152" priority="3469">
      <formula>AND(IF($Q46=2,1,0),IF($Y46&lt;30,1,0))</formula>
    </cfRule>
    <cfRule type="expression" dxfId="8151" priority="3470">
      <formula>AND(IF($Q46=3,1,0),IF($Y46&lt;30,1,0))</formula>
    </cfRule>
    <cfRule type="expression" dxfId="8150" priority="3471">
      <formula>AND(IF($Q46=3,1,IF($Q46=4,1,0)),IF($F46&lt;=85,1,0))</formula>
    </cfRule>
  </conditionalFormatting>
  <conditionalFormatting sqref="AJ46">
    <cfRule type="expression" dxfId="8149" priority="3464">
      <formula>AND(IF(OR($Q46=1,$Q46=2),1,0),IF($Y46&lt;=20,1,0))</formula>
    </cfRule>
    <cfRule type="expression" dxfId="8148" priority="3465">
      <formula>AND(IF($Q46=2,1,0),IF($Y46&lt;30,1,0))</formula>
    </cfRule>
    <cfRule type="expression" dxfId="8147" priority="3466">
      <formula>AND(IF($Q46=3,1,0),IF($Y46&lt;30,1,0))</formula>
    </cfRule>
    <cfRule type="expression" dxfId="8146" priority="3467">
      <formula>AND(IF($Q46=3,1,IF($Q46=4,1,0)),IF($F46&lt;=85,1,0))</formula>
    </cfRule>
  </conditionalFormatting>
  <conditionalFormatting sqref="AW47">
    <cfRule type="expression" dxfId="8145" priority="3462">
      <formula>AW47="X"</formula>
    </cfRule>
    <cfRule type="expression" dxfId="8144" priority="3463">
      <formula>AW47="후보"</formula>
    </cfRule>
  </conditionalFormatting>
  <conditionalFormatting sqref="AA47">
    <cfRule type="colorScale" priority="34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8143" priority="3459" operator="greaterThan">
      <formula>0.9</formula>
    </cfRule>
    <cfRule type="cellIs" dxfId="8142" priority="3460" operator="greaterThan">
      <formula>0.85</formula>
    </cfRule>
  </conditionalFormatting>
  <conditionalFormatting sqref="N47">
    <cfRule type="cellIs" dxfId="8141" priority="3457" operator="greaterThan">
      <formula>0.9</formula>
    </cfRule>
    <cfRule type="cellIs" dxfId="8140" priority="3458" operator="greaterThan">
      <formula>0.85</formula>
    </cfRule>
  </conditionalFormatting>
  <conditionalFormatting sqref="E47">
    <cfRule type="expression" dxfId="8139" priority="3453">
      <formula>AND(IF(OR($Q47=1,$Q47=2),1,0),IF($E47&lt;=20,1,0))</formula>
    </cfRule>
    <cfRule type="expression" dxfId="8138" priority="3454">
      <formula>AND(IF($Q47=2,1,0),IF($E47&lt;30,1,0))</formula>
    </cfRule>
    <cfRule type="expression" dxfId="8137" priority="3455">
      <formula>AND(IF($Q47=3,1,0),IF($E47&lt;30,1,0))</formula>
    </cfRule>
    <cfRule type="expression" dxfId="8136" priority="3456">
      <formula>AND(IF($Q47=3,1,IF($Q47=4,1,0)),IF($F47&lt;=85,1,0))</formula>
    </cfRule>
  </conditionalFormatting>
  <conditionalFormatting sqref="Y47">
    <cfRule type="expression" dxfId="8135" priority="3449">
      <formula>AND(IF(OR($Q47=1,$Q47=2),1,0),IF($Y47&lt;=20,1,0))</formula>
    </cfRule>
    <cfRule type="expression" dxfId="8134" priority="3450">
      <formula>AND(IF($Q47=2,1,0),IF($Y47&lt;30,1,0))</formula>
    </cfRule>
    <cfRule type="expression" dxfId="8133" priority="3451">
      <formula>AND(IF($Q47=3,1,0),IF($Y47&lt;30,1,0))</formula>
    </cfRule>
    <cfRule type="expression" dxfId="8132" priority="3452">
      <formula>AND(IF($Q47=3,1,IF($Q47=4,1,0)),IF($F47&lt;=85,1,0))</formula>
    </cfRule>
  </conditionalFormatting>
  <conditionalFormatting sqref="AJ47">
    <cfRule type="expression" dxfId="8131" priority="3445">
      <formula>AND(IF(OR($Q47=1,$Q47=2),1,0),IF($Y47&lt;=20,1,0))</formula>
    </cfRule>
    <cfRule type="expression" dxfId="8130" priority="3446">
      <formula>AND(IF($Q47=2,1,0),IF($Y47&lt;30,1,0))</formula>
    </cfRule>
    <cfRule type="expression" dxfId="8129" priority="3447">
      <formula>AND(IF($Q47=3,1,0),IF($Y47&lt;30,1,0))</formula>
    </cfRule>
    <cfRule type="expression" dxfId="8128" priority="3448">
      <formula>AND(IF($Q47=3,1,IF($Q47=4,1,0)),IF($F47&lt;=85,1,0))</formula>
    </cfRule>
  </conditionalFormatting>
  <conditionalFormatting sqref="AW48">
    <cfRule type="expression" dxfId="8127" priority="3443">
      <formula>AW48="X"</formula>
    </cfRule>
    <cfRule type="expression" dxfId="8126" priority="3444">
      <formula>AW48="후보"</formula>
    </cfRule>
  </conditionalFormatting>
  <conditionalFormatting sqref="AA48">
    <cfRule type="colorScale" priority="34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">
    <cfRule type="cellIs" dxfId="8125" priority="3440" operator="greaterThan">
      <formula>0.9</formula>
    </cfRule>
    <cfRule type="cellIs" dxfId="8124" priority="3441" operator="greaterThan">
      <formula>0.85</formula>
    </cfRule>
  </conditionalFormatting>
  <conditionalFormatting sqref="N48">
    <cfRule type="cellIs" dxfId="8123" priority="3438" operator="greaterThan">
      <formula>0.9</formula>
    </cfRule>
    <cfRule type="cellIs" dxfId="8122" priority="3439" operator="greaterThan">
      <formula>0.85</formula>
    </cfRule>
  </conditionalFormatting>
  <conditionalFormatting sqref="E48">
    <cfRule type="expression" dxfId="8121" priority="3434">
      <formula>AND(IF(OR($Q48=1,$Q48=2),1,0),IF($E48&lt;=20,1,0))</formula>
    </cfRule>
    <cfRule type="expression" dxfId="8120" priority="3435">
      <formula>AND(IF($Q48=2,1,0),IF($E48&lt;30,1,0))</formula>
    </cfRule>
    <cfRule type="expression" dxfId="8119" priority="3436">
      <formula>AND(IF($Q48=3,1,0),IF($E48&lt;30,1,0))</formula>
    </cfRule>
    <cfRule type="expression" dxfId="8118" priority="3437">
      <formula>AND(IF($Q48=3,1,IF($Q48=4,1,0)),IF($F48&lt;=85,1,0))</formula>
    </cfRule>
  </conditionalFormatting>
  <conditionalFormatting sqref="Y48">
    <cfRule type="expression" dxfId="8117" priority="3430">
      <formula>AND(IF(OR($Q48=1,$Q48=2),1,0),IF($Y48&lt;=20,1,0))</formula>
    </cfRule>
    <cfRule type="expression" dxfId="8116" priority="3431">
      <formula>AND(IF($Q48=2,1,0),IF($Y48&lt;30,1,0))</formula>
    </cfRule>
    <cfRule type="expression" dxfId="8115" priority="3432">
      <formula>AND(IF($Q48=3,1,0),IF($Y48&lt;30,1,0))</formula>
    </cfRule>
    <cfRule type="expression" dxfId="8114" priority="3433">
      <formula>AND(IF($Q48=3,1,IF($Q48=4,1,0)),IF($F48&lt;=85,1,0))</formula>
    </cfRule>
  </conditionalFormatting>
  <conditionalFormatting sqref="AJ48">
    <cfRule type="expression" dxfId="8113" priority="3426">
      <formula>AND(IF(OR($Q48=1,$Q48=2),1,0),IF($Y48&lt;=20,1,0))</formula>
    </cfRule>
    <cfRule type="expression" dxfId="8112" priority="3427">
      <formula>AND(IF($Q48=2,1,0),IF($Y48&lt;30,1,0))</formula>
    </cfRule>
    <cfRule type="expression" dxfId="8111" priority="3428">
      <formula>AND(IF($Q48=3,1,0),IF($Y48&lt;30,1,0))</formula>
    </cfRule>
    <cfRule type="expression" dxfId="8110" priority="3429">
      <formula>AND(IF($Q48=3,1,IF($Q48=4,1,0)),IF($F48&lt;=85,1,0))</formula>
    </cfRule>
  </conditionalFormatting>
  <conditionalFormatting sqref="AW49">
    <cfRule type="expression" dxfId="8109" priority="3424">
      <formula>AW49="X"</formula>
    </cfRule>
    <cfRule type="expression" dxfId="8108" priority="3425">
      <formula>AW49="후보"</formula>
    </cfRule>
  </conditionalFormatting>
  <conditionalFormatting sqref="AA49">
    <cfRule type="colorScale" priority="34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 N49">
    <cfRule type="cellIs" dxfId="8107" priority="3421" operator="greaterThan">
      <formula>0.9</formula>
    </cfRule>
    <cfRule type="cellIs" dxfId="8106" priority="3422" operator="greaterThan">
      <formula>0.85</formula>
    </cfRule>
  </conditionalFormatting>
  <conditionalFormatting sqref="AW50">
    <cfRule type="expression" dxfId="8105" priority="3419">
      <formula>AW50="X"</formula>
    </cfRule>
    <cfRule type="expression" dxfId="8104" priority="3420">
      <formula>AW50="후보"</formula>
    </cfRule>
  </conditionalFormatting>
  <conditionalFormatting sqref="AA50">
    <cfRule type="colorScale" priority="34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">
    <cfRule type="cellIs" dxfId="8103" priority="3416" operator="greaterThan">
      <formula>0.9</formula>
    </cfRule>
    <cfRule type="cellIs" dxfId="8102" priority="3417" operator="greaterThan">
      <formula>0.85</formula>
    </cfRule>
  </conditionalFormatting>
  <conditionalFormatting sqref="N50">
    <cfRule type="cellIs" dxfId="8101" priority="3414" operator="greaterThan">
      <formula>0.9</formula>
    </cfRule>
    <cfRule type="cellIs" dxfId="8100" priority="3415" operator="greaterThan">
      <formula>0.85</formula>
    </cfRule>
  </conditionalFormatting>
  <conditionalFormatting sqref="E50">
    <cfRule type="expression" dxfId="8099" priority="3410">
      <formula>AND(IF(OR($Q50=1,$Q50=2),1,0),IF($E50&lt;=20,1,0))</formula>
    </cfRule>
    <cfRule type="expression" dxfId="8098" priority="3411">
      <formula>AND(IF($Q50=2,1,0),IF($E50&lt;30,1,0))</formula>
    </cfRule>
    <cfRule type="expression" dxfId="8097" priority="3412">
      <formula>AND(IF($Q50=3,1,0),IF($E50&lt;30,1,0))</formula>
    </cfRule>
    <cfRule type="expression" dxfId="8096" priority="3413">
      <formula>AND(IF($Q50=3,1,IF($Q50=4,1,0)),IF($F50&lt;=85,1,0))</formula>
    </cfRule>
  </conditionalFormatting>
  <conditionalFormatting sqref="Y50">
    <cfRule type="expression" dxfId="8095" priority="3406">
      <formula>AND(IF(OR($Q50=1,$Q50=2),1,0),IF($Y50&lt;=20,1,0))</formula>
    </cfRule>
    <cfRule type="expression" dxfId="8094" priority="3407">
      <formula>AND(IF($Q50=2,1,0),IF($Y50&lt;30,1,0))</formula>
    </cfRule>
    <cfRule type="expression" dxfId="8093" priority="3408">
      <formula>AND(IF($Q50=3,1,0),IF($Y50&lt;30,1,0))</formula>
    </cfRule>
    <cfRule type="expression" dxfId="8092" priority="3409">
      <formula>AND(IF($Q50=3,1,IF($Q50=4,1,0)),IF($F50&lt;=85,1,0))</formula>
    </cfRule>
  </conditionalFormatting>
  <conditionalFormatting sqref="AJ50">
    <cfRule type="expression" dxfId="8091" priority="3402">
      <formula>AND(IF(OR($Q50=1,$Q50=2),1,0),IF($Y50&lt;=20,1,0))</formula>
    </cfRule>
    <cfRule type="expression" dxfId="8090" priority="3403">
      <formula>AND(IF($Q50=2,1,0),IF($Y50&lt;30,1,0))</formula>
    </cfRule>
    <cfRule type="expression" dxfId="8089" priority="3404">
      <formula>AND(IF($Q50=3,1,0),IF($Y50&lt;30,1,0))</formula>
    </cfRule>
    <cfRule type="expression" dxfId="8088" priority="3405">
      <formula>AND(IF($Q50=3,1,IF($Q50=4,1,0)),IF($F50&lt;=85,1,0))</formula>
    </cfRule>
  </conditionalFormatting>
  <conditionalFormatting sqref="AW51">
    <cfRule type="expression" dxfId="8087" priority="3400">
      <formula>AW51="X"</formula>
    </cfRule>
    <cfRule type="expression" dxfId="8086" priority="3401">
      <formula>AW51="후보"</formula>
    </cfRule>
  </conditionalFormatting>
  <conditionalFormatting sqref="AA51">
    <cfRule type="colorScale" priority="33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8085" priority="3397" operator="greaterThan">
      <formula>0.9</formula>
    </cfRule>
    <cfRule type="cellIs" dxfId="8084" priority="3398" operator="greaterThan">
      <formula>0.85</formula>
    </cfRule>
  </conditionalFormatting>
  <conditionalFormatting sqref="N51">
    <cfRule type="cellIs" dxfId="8083" priority="3395" operator="greaterThan">
      <formula>0.9</formula>
    </cfRule>
    <cfRule type="cellIs" dxfId="8082" priority="3396" operator="greaterThan">
      <formula>0.85</formula>
    </cfRule>
  </conditionalFormatting>
  <conditionalFormatting sqref="E51">
    <cfRule type="expression" dxfId="8081" priority="3391">
      <formula>AND(IF(OR($Q51=1,$Q51=2),1,0),IF($E51&lt;=20,1,0))</formula>
    </cfRule>
    <cfRule type="expression" dxfId="8080" priority="3392">
      <formula>AND(IF($Q51=2,1,0),IF($E51&lt;30,1,0))</formula>
    </cfRule>
    <cfRule type="expression" dxfId="8079" priority="3393">
      <formula>AND(IF($Q51=3,1,0),IF($E51&lt;30,1,0))</formula>
    </cfRule>
    <cfRule type="expression" dxfId="8078" priority="3394">
      <formula>AND(IF($Q51=3,1,IF($Q51=4,1,0)),IF($F51&lt;=85,1,0))</formula>
    </cfRule>
  </conditionalFormatting>
  <conditionalFormatting sqref="Y51">
    <cfRule type="expression" dxfId="8077" priority="3387">
      <formula>AND(IF(OR($Q51=1,$Q51=2),1,0),IF($Y51&lt;=20,1,0))</formula>
    </cfRule>
    <cfRule type="expression" dxfId="8076" priority="3388">
      <formula>AND(IF($Q51=2,1,0),IF($Y51&lt;30,1,0))</formula>
    </cfRule>
    <cfRule type="expression" dxfId="8075" priority="3389">
      <formula>AND(IF($Q51=3,1,0),IF($Y51&lt;30,1,0))</formula>
    </cfRule>
    <cfRule type="expression" dxfId="8074" priority="3390">
      <formula>AND(IF($Q51=3,1,IF($Q51=4,1,0)),IF($F51&lt;=85,1,0))</formula>
    </cfRule>
  </conditionalFormatting>
  <conditionalFormatting sqref="AJ51">
    <cfRule type="expression" dxfId="8073" priority="3383">
      <formula>AND(IF(OR($Q51=1,$Q51=2),1,0),IF($Y51&lt;=20,1,0))</formula>
    </cfRule>
    <cfRule type="expression" dxfId="8072" priority="3384">
      <formula>AND(IF($Q51=2,1,0),IF($Y51&lt;30,1,0))</formula>
    </cfRule>
    <cfRule type="expression" dxfId="8071" priority="3385">
      <formula>AND(IF($Q51=3,1,0),IF($Y51&lt;30,1,0))</formula>
    </cfRule>
    <cfRule type="expression" dxfId="8070" priority="3386">
      <formula>AND(IF($Q51=3,1,IF($Q51=4,1,0)),IF($F51&lt;=85,1,0))</formula>
    </cfRule>
  </conditionalFormatting>
  <conditionalFormatting sqref="AW52">
    <cfRule type="expression" dxfId="8069" priority="3381">
      <formula>AW52="X"</formula>
    </cfRule>
    <cfRule type="expression" dxfId="8068" priority="3382">
      <formula>AW52="후보"</formula>
    </cfRule>
  </conditionalFormatting>
  <conditionalFormatting sqref="AA52">
    <cfRule type="colorScale" priority="33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8067" priority="3378" operator="greaterThan">
      <formula>0.9</formula>
    </cfRule>
    <cfRule type="cellIs" dxfId="8066" priority="3379" operator="greaterThan">
      <formula>0.85</formula>
    </cfRule>
  </conditionalFormatting>
  <conditionalFormatting sqref="N52">
    <cfRule type="cellIs" dxfId="8065" priority="3376" operator="greaterThan">
      <formula>0.9</formula>
    </cfRule>
    <cfRule type="cellIs" dxfId="8064" priority="3377" operator="greaterThan">
      <formula>0.85</formula>
    </cfRule>
  </conditionalFormatting>
  <conditionalFormatting sqref="E52">
    <cfRule type="expression" dxfId="8063" priority="3372">
      <formula>AND(IF(OR($Q52=1,$Q52=2),1,0),IF($E52&lt;=20,1,0))</formula>
    </cfRule>
    <cfRule type="expression" dxfId="8062" priority="3373">
      <formula>AND(IF($Q52=2,1,0),IF($E52&lt;30,1,0))</formula>
    </cfRule>
    <cfRule type="expression" dxfId="8061" priority="3374">
      <formula>AND(IF($Q52=3,1,0),IF($E52&lt;30,1,0))</formula>
    </cfRule>
    <cfRule type="expression" dxfId="8060" priority="3375">
      <formula>AND(IF($Q52=3,1,IF($Q52=4,1,0)),IF($F52&lt;=85,1,0))</formula>
    </cfRule>
  </conditionalFormatting>
  <conditionalFormatting sqref="Y52">
    <cfRule type="expression" dxfId="8059" priority="3368">
      <formula>AND(IF(OR($Q52=1,$Q52=2),1,0),IF($Y52&lt;=20,1,0))</formula>
    </cfRule>
    <cfRule type="expression" dxfId="8058" priority="3369">
      <formula>AND(IF($Q52=2,1,0),IF($Y52&lt;30,1,0))</formula>
    </cfRule>
    <cfRule type="expression" dxfId="8057" priority="3370">
      <formula>AND(IF($Q52=3,1,0),IF($Y52&lt;30,1,0))</formula>
    </cfRule>
    <cfRule type="expression" dxfId="8056" priority="3371">
      <formula>AND(IF($Q52=3,1,IF($Q52=4,1,0)),IF($F52&lt;=85,1,0))</formula>
    </cfRule>
  </conditionalFormatting>
  <conditionalFormatting sqref="AJ52">
    <cfRule type="expression" dxfId="8055" priority="3364">
      <formula>AND(IF(OR($Q52=1,$Q52=2),1,0),IF($Y52&lt;=20,1,0))</formula>
    </cfRule>
    <cfRule type="expression" dxfId="8054" priority="3365">
      <formula>AND(IF($Q52=2,1,0),IF($Y52&lt;30,1,0))</formula>
    </cfRule>
    <cfRule type="expression" dxfId="8053" priority="3366">
      <formula>AND(IF($Q52=3,1,0),IF($Y52&lt;30,1,0))</formula>
    </cfRule>
    <cfRule type="expression" dxfId="8052" priority="3367">
      <formula>AND(IF($Q52=3,1,IF($Q52=4,1,0)),IF($F52&lt;=85,1,0))</formula>
    </cfRule>
  </conditionalFormatting>
  <conditionalFormatting sqref="AW53">
    <cfRule type="expression" dxfId="8051" priority="3362">
      <formula>AW53="X"</formula>
    </cfRule>
    <cfRule type="expression" dxfId="8050" priority="3363">
      <formula>AW53="후보"</formula>
    </cfRule>
  </conditionalFormatting>
  <conditionalFormatting sqref="AA53">
    <cfRule type="colorScale" priority="33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8049" priority="3359" operator="greaterThan">
      <formula>0.9</formula>
    </cfRule>
    <cfRule type="cellIs" dxfId="8048" priority="3360" operator="greaterThan">
      <formula>0.85</formula>
    </cfRule>
  </conditionalFormatting>
  <conditionalFormatting sqref="N53">
    <cfRule type="cellIs" dxfId="8047" priority="3357" operator="greaterThan">
      <formula>0.9</formula>
    </cfRule>
    <cfRule type="cellIs" dxfId="8046" priority="3358" operator="greaterThan">
      <formula>0.85</formula>
    </cfRule>
  </conditionalFormatting>
  <conditionalFormatting sqref="E53">
    <cfRule type="expression" dxfId="8045" priority="3353">
      <formula>AND(IF(OR($Q53=1,$Q53=2),1,0),IF($E53&lt;=20,1,0))</formula>
    </cfRule>
    <cfRule type="expression" dxfId="8044" priority="3354">
      <formula>AND(IF($Q53=2,1,0),IF($E53&lt;30,1,0))</formula>
    </cfRule>
    <cfRule type="expression" dxfId="8043" priority="3355">
      <formula>AND(IF($Q53=3,1,0),IF($E53&lt;30,1,0))</formula>
    </cfRule>
    <cfRule type="expression" dxfId="8042" priority="3356">
      <formula>AND(IF($Q53=3,1,IF($Q53=4,1,0)),IF($F53&lt;=85,1,0))</formula>
    </cfRule>
  </conditionalFormatting>
  <conditionalFormatting sqref="Y53">
    <cfRule type="expression" dxfId="8041" priority="3349">
      <formula>AND(IF(OR($Q53=1,$Q53=2),1,0),IF($Y53&lt;=20,1,0))</formula>
    </cfRule>
    <cfRule type="expression" dxfId="8040" priority="3350">
      <formula>AND(IF($Q53=2,1,0),IF($Y53&lt;30,1,0))</formula>
    </cfRule>
    <cfRule type="expression" dxfId="8039" priority="3351">
      <formula>AND(IF($Q53=3,1,0),IF($Y53&lt;30,1,0))</formula>
    </cfRule>
    <cfRule type="expression" dxfId="8038" priority="3352">
      <formula>AND(IF($Q53=3,1,IF($Q53=4,1,0)),IF($F53&lt;=85,1,0))</formula>
    </cfRule>
  </conditionalFormatting>
  <conditionalFormatting sqref="AJ53">
    <cfRule type="expression" dxfId="8037" priority="3345">
      <formula>AND(IF(OR($Q53=1,$Q53=2),1,0),IF($Y53&lt;=20,1,0))</formula>
    </cfRule>
    <cfRule type="expression" dxfId="8036" priority="3346">
      <formula>AND(IF($Q53=2,1,0),IF($Y53&lt;30,1,0))</formula>
    </cfRule>
    <cfRule type="expression" dxfId="8035" priority="3347">
      <formula>AND(IF($Q53=3,1,0),IF($Y53&lt;30,1,0))</formula>
    </cfRule>
    <cfRule type="expression" dxfId="8034" priority="3348">
      <formula>AND(IF($Q53=3,1,IF($Q53=4,1,0)),IF($F53&lt;=85,1,0))</formula>
    </cfRule>
  </conditionalFormatting>
  <conditionalFormatting sqref="AW54">
    <cfRule type="expression" dxfId="8033" priority="3343">
      <formula>AW54="X"</formula>
    </cfRule>
    <cfRule type="expression" dxfId="8032" priority="3344">
      <formula>AW54="후보"</formula>
    </cfRule>
  </conditionalFormatting>
  <conditionalFormatting sqref="AA54">
    <cfRule type="colorScale" priority="33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">
    <cfRule type="cellIs" dxfId="8031" priority="3340" operator="greaterThan">
      <formula>0.9</formula>
    </cfRule>
    <cfRule type="cellIs" dxfId="8030" priority="3341" operator="greaterThan">
      <formula>0.85</formula>
    </cfRule>
  </conditionalFormatting>
  <conditionalFormatting sqref="N54">
    <cfRule type="cellIs" dxfId="8029" priority="3338" operator="greaterThan">
      <formula>0.9</formula>
    </cfRule>
    <cfRule type="cellIs" dxfId="8028" priority="3339" operator="greaterThan">
      <formula>0.85</formula>
    </cfRule>
  </conditionalFormatting>
  <conditionalFormatting sqref="E54">
    <cfRule type="expression" dxfId="8027" priority="3334">
      <formula>AND(IF(OR($Q54=1,$Q54=2),1,0),IF($E54&lt;=20,1,0))</formula>
    </cfRule>
    <cfRule type="expression" dxfId="8026" priority="3335">
      <formula>AND(IF($Q54=2,1,0),IF($E54&lt;30,1,0))</formula>
    </cfRule>
    <cfRule type="expression" dxfId="8025" priority="3336">
      <formula>AND(IF($Q54=3,1,0),IF($E54&lt;30,1,0))</formula>
    </cfRule>
    <cfRule type="expression" dxfId="8024" priority="3337">
      <formula>AND(IF($Q54=3,1,IF($Q54=4,1,0)),IF($F54&lt;=85,1,0))</formula>
    </cfRule>
  </conditionalFormatting>
  <conditionalFormatting sqref="Y54">
    <cfRule type="expression" dxfId="8023" priority="3330">
      <formula>AND(IF(OR($Q54=1,$Q54=2),1,0),IF($Y54&lt;=20,1,0))</formula>
    </cfRule>
    <cfRule type="expression" dxfId="8022" priority="3331">
      <formula>AND(IF($Q54=2,1,0),IF($Y54&lt;30,1,0))</formula>
    </cfRule>
    <cfRule type="expression" dxfId="8021" priority="3332">
      <formula>AND(IF($Q54=3,1,0),IF($Y54&lt;30,1,0))</formula>
    </cfRule>
    <cfRule type="expression" dxfId="8020" priority="3333">
      <formula>AND(IF($Q54=3,1,IF($Q54=4,1,0)),IF($F54&lt;=85,1,0))</formula>
    </cfRule>
  </conditionalFormatting>
  <conditionalFormatting sqref="AJ54">
    <cfRule type="expression" dxfId="8019" priority="3326">
      <formula>AND(IF(OR($Q54=1,$Q54=2),1,0),IF($Y54&lt;=20,1,0))</formula>
    </cfRule>
    <cfRule type="expression" dxfId="8018" priority="3327">
      <formula>AND(IF($Q54=2,1,0),IF($Y54&lt;30,1,0))</formula>
    </cfRule>
    <cfRule type="expression" dxfId="8017" priority="3328">
      <formula>AND(IF($Q54=3,1,0),IF($Y54&lt;30,1,0))</formula>
    </cfRule>
    <cfRule type="expression" dxfId="8016" priority="3329">
      <formula>AND(IF($Q54=3,1,IF($Q54=4,1,0)),IF($F54&lt;=85,1,0))</formula>
    </cfRule>
  </conditionalFormatting>
  <conditionalFormatting sqref="AW55">
    <cfRule type="expression" dxfId="8015" priority="3324">
      <formula>AW55="X"</formula>
    </cfRule>
    <cfRule type="expression" dxfId="8014" priority="3325">
      <formula>AW55="후보"</formula>
    </cfRule>
  </conditionalFormatting>
  <conditionalFormatting sqref="AA55">
    <cfRule type="colorScale" priority="33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 N55">
    <cfRule type="cellIs" dxfId="8013" priority="3321" operator="greaterThan">
      <formula>0.9</formula>
    </cfRule>
    <cfRule type="cellIs" dxfId="8012" priority="3322" operator="greaterThan">
      <formula>0.85</formula>
    </cfRule>
  </conditionalFormatting>
  <conditionalFormatting sqref="AW56">
    <cfRule type="expression" dxfId="8011" priority="3319">
      <formula>AW56="X"</formula>
    </cfRule>
    <cfRule type="expression" dxfId="8010" priority="3320">
      <formula>AW56="후보"</formula>
    </cfRule>
  </conditionalFormatting>
  <conditionalFormatting sqref="AA56">
    <cfRule type="colorScale" priority="33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8009" priority="3316" operator="greaterThan">
      <formula>0.9</formula>
    </cfRule>
    <cfRule type="cellIs" dxfId="8008" priority="3317" operator="greaterThan">
      <formula>0.85</formula>
    </cfRule>
  </conditionalFormatting>
  <conditionalFormatting sqref="N56">
    <cfRule type="cellIs" dxfId="8007" priority="3314" operator="greaterThan">
      <formula>0.9</formula>
    </cfRule>
    <cfRule type="cellIs" dxfId="8006" priority="3315" operator="greaterThan">
      <formula>0.85</formula>
    </cfRule>
  </conditionalFormatting>
  <conditionalFormatting sqref="E56">
    <cfRule type="expression" dxfId="8005" priority="3310">
      <formula>AND(IF(OR($Q56=1,$Q56=2),1,0),IF($E56&lt;=20,1,0))</formula>
    </cfRule>
    <cfRule type="expression" dxfId="8004" priority="3311">
      <formula>AND(IF($Q56=2,1,0),IF($E56&lt;30,1,0))</formula>
    </cfRule>
    <cfRule type="expression" dxfId="8003" priority="3312">
      <formula>AND(IF($Q56=3,1,0),IF($E56&lt;30,1,0))</formula>
    </cfRule>
    <cfRule type="expression" dxfId="8002" priority="3313">
      <formula>AND(IF($Q56=3,1,IF($Q56=4,1,0)),IF($F56&lt;=85,1,0))</formula>
    </cfRule>
  </conditionalFormatting>
  <conditionalFormatting sqref="Y56">
    <cfRule type="expression" dxfId="8001" priority="3306">
      <formula>AND(IF(OR($Q56=1,$Q56=2),1,0),IF($Y56&lt;=20,1,0))</formula>
    </cfRule>
    <cfRule type="expression" dxfId="8000" priority="3307">
      <formula>AND(IF($Q56=2,1,0),IF($Y56&lt;30,1,0))</formula>
    </cfRule>
    <cfRule type="expression" dxfId="7999" priority="3308">
      <formula>AND(IF($Q56=3,1,0),IF($Y56&lt;30,1,0))</formula>
    </cfRule>
    <cfRule type="expression" dxfId="7998" priority="3309">
      <formula>AND(IF($Q56=3,1,IF($Q56=4,1,0)),IF($F56&lt;=85,1,0))</formula>
    </cfRule>
  </conditionalFormatting>
  <conditionalFormatting sqref="AJ56">
    <cfRule type="expression" dxfId="7997" priority="3302">
      <formula>AND(IF(OR($Q56=1,$Q56=2),1,0),IF($Y56&lt;=20,1,0))</formula>
    </cfRule>
    <cfRule type="expression" dxfId="7996" priority="3303">
      <formula>AND(IF($Q56=2,1,0),IF($Y56&lt;30,1,0))</formula>
    </cfRule>
    <cfRule type="expression" dxfId="7995" priority="3304">
      <formula>AND(IF($Q56=3,1,0),IF($Y56&lt;30,1,0))</formula>
    </cfRule>
    <cfRule type="expression" dxfId="7994" priority="3305">
      <formula>AND(IF($Q56=3,1,IF($Q56=4,1,0)),IF($F56&lt;=85,1,0))</formula>
    </cfRule>
  </conditionalFormatting>
  <conditionalFormatting sqref="AW57">
    <cfRule type="expression" dxfId="7993" priority="3300">
      <formula>AW57="X"</formula>
    </cfRule>
    <cfRule type="expression" dxfId="7992" priority="3301">
      <formula>AW57="후보"</formula>
    </cfRule>
  </conditionalFormatting>
  <conditionalFormatting sqref="AA57">
    <cfRule type="colorScale" priority="32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">
    <cfRule type="cellIs" dxfId="7991" priority="3297" operator="greaterThan">
      <formula>0.9</formula>
    </cfRule>
    <cfRule type="cellIs" dxfId="7990" priority="3298" operator="greaterThan">
      <formula>0.85</formula>
    </cfRule>
  </conditionalFormatting>
  <conditionalFormatting sqref="N57">
    <cfRule type="cellIs" dxfId="7989" priority="3295" operator="greaterThan">
      <formula>0.9</formula>
    </cfRule>
    <cfRule type="cellIs" dxfId="7988" priority="3296" operator="greaterThan">
      <formula>0.85</formula>
    </cfRule>
  </conditionalFormatting>
  <conditionalFormatting sqref="E57">
    <cfRule type="expression" dxfId="7987" priority="3291">
      <formula>AND(IF(OR($Q57=1,$Q57=2),1,0),IF($E57&lt;=20,1,0))</formula>
    </cfRule>
    <cfRule type="expression" dxfId="7986" priority="3292">
      <formula>AND(IF($Q57=2,1,0),IF($E57&lt;30,1,0))</formula>
    </cfRule>
    <cfRule type="expression" dxfId="7985" priority="3293">
      <formula>AND(IF($Q57=3,1,0),IF($E57&lt;30,1,0))</formula>
    </cfRule>
    <cfRule type="expression" dxfId="7984" priority="3294">
      <formula>AND(IF($Q57=3,1,IF($Q57=4,1,0)),IF($F57&lt;=85,1,0))</formula>
    </cfRule>
  </conditionalFormatting>
  <conditionalFormatting sqref="Y57">
    <cfRule type="expression" dxfId="7983" priority="3287">
      <formula>AND(IF(OR($Q57=1,$Q57=2),1,0),IF($Y57&lt;=20,1,0))</formula>
    </cfRule>
    <cfRule type="expression" dxfId="7982" priority="3288">
      <formula>AND(IF($Q57=2,1,0),IF($Y57&lt;30,1,0))</formula>
    </cfRule>
    <cfRule type="expression" dxfId="7981" priority="3289">
      <formula>AND(IF($Q57=3,1,0),IF($Y57&lt;30,1,0))</formula>
    </cfRule>
    <cfRule type="expression" dxfId="7980" priority="3290">
      <formula>AND(IF($Q57=3,1,IF($Q57=4,1,0)),IF($F57&lt;=85,1,0))</formula>
    </cfRule>
  </conditionalFormatting>
  <conditionalFormatting sqref="AJ57">
    <cfRule type="expression" dxfId="7979" priority="3283">
      <formula>AND(IF(OR($Q57=1,$Q57=2),1,0),IF($Y57&lt;=20,1,0))</formula>
    </cfRule>
    <cfRule type="expression" dxfId="7978" priority="3284">
      <formula>AND(IF($Q57=2,1,0),IF($Y57&lt;30,1,0))</formula>
    </cfRule>
    <cfRule type="expression" dxfId="7977" priority="3285">
      <formula>AND(IF($Q57=3,1,0),IF($Y57&lt;30,1,0))</formula>
    </cfRule>
    <cfRule type="expression" dxfId="7976" priority="3286">
      <formula>AND(IF($Q57=3,1,IF($Q57=4,1,0)),IF($F57&lt;=85,1,0))</formula>
    </cfRule>
  </conditionalFormatting>
  <conditionalFormatting sqref="AW58">
    <cfRule type="expression" dxfId="7975" priority="3281">
      <formula>AW58="X"</formula>
    </cfRule>
    <cfRule type="expression" dxfId="7974" priority="3282">
      <formula>AW58="후보"</formula>
    </cfRule>
  </conditionalFormatting>
  <conditionalFormatting sqref="AA58">
    <cfRule type="colorScale" priority="32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 N58">
    <cfRule type="cellIs" dxfId="7973" priority="3278" operator="greaterThan">
      <formula>0.9</formula>
    </cfRule>
    <cfRule type="cellIs" dxfId="7972" priority="3279" operator="greaterThan">
      <formula>0.85</formula>
    </cfRule>
  </conditionalFormatting>
  <conditionalFormatting sqref="AW59">
    <cfRule type="expression" dxfId="7971" priority="3276">
      <formula>AW59="X"</formula>
    </cfRule>
    <cfRule type="expression" dxfId="7970" priority="3277">
      <formula>AW59="후보"</formula>
    </cfRule>
  </conditionalFormatting>
  <conditionalFormatting sqref="AA59">
    <cfRule type="colorScale" priority="32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7969" priority="3273" operator="greaterThan">
      <formula>0.9</formula>
    </cfRule>
    <cfRule type="cellIs" dxfId="7968" priority="3274" operator="greaterThan">
      <formula>0.85</formula>
    </cfRule>
  </conditionalFormatting>
  <conditionalFormatting sqref="N59">
    <cfRule type="cellIs" dxfId="7967" priority="3271" operator="greaterThan">
      <formula>0.9</formula>
    </cfRule>
    <cfRule type="cellIs" dxfId="7966" priority="3272" operator="greaterThan">
      <formula>0.85</formula>
    </cfRule>
  </conditionalFormatting>
  <conditionalFormatting sqref="E59">
    <cfRule type="expression" dxfId="7965" priority="3267">
      <formula>AND(IF(OR($Q59=1,$Q59=2),1,0),IF($E59&lt;=20,1,0))</formula>
    </cfRule>
    <cfRule type="expression" dxfId="7964" priority="3268">
      <formula>AND(IF($Q59=2,1,0),IF($E59&lt;30,1,0))</formula>
    </cfRule>
    <cfRule type="expression" dxfId="7963" priority="3269">
      <formula>AND(IF($Q59=3,1,0),IF($E59&lt;30,1,0))</formula>
    </cfRule>
    <cfRule type="expression" dxfId="7962" priority="3270">
      <formula>AND(IF($Q59=3,1,IF($Q59=4,1,0)),IF($F59&lt;=85,1,0))</formula>
    </cfRule>
  </conditionalFormatting>
  <conditionalFormatting sqref="Y59">
    <cfRule type="expression" dxfId="7961" priority="3263">
      <formula>AND(IF(OR($Q59=1,$Q59=2),1,0),IF($Y59&lt;=20,1,0))</formula>
    </cfRule>
    <cfRule type="expression" dxfId="7960" priority="3264">
      <formula>AND(IF($Q59=2,1,0),IF($Y59&lt;30,1,0))</formula>
    </cfRule>
    <cfRule type="expression" dxfId="7959" priority="3265">
      <formula>AND(IF($Q59=3,1,0),IF($Y59&lt;30,1,0))</formula>
    </cfRule>
    <cfRule type="expression" dxfId="7958" priority="3266">
      <formula>AND(IF($Q59=3,1,IF($Q59=4,1,0)),IF($F59&lt;=85,1,0))</formula>
    </cfRule>
  </conditionalFormatting>
  <conditionalFormatting sqref="AJ59">
    <cfRule type="expression" dxfId="7957" priority="3259">
      <formula>AND(IF(OR($Q59=1,$Q59=2),1,0),IF($Y59&lt;=20,1,0))</formula>
    </cfRule>
    <cfRule type="expression" dxfId="7956" priority="3260">
      <formula>AND(IF($Q59=2,1,0),IF($Y59&lt;30,1,0))</formula>
    </cfRule>
    <cfRule type="expression" dxfId="7955" priority="3261">
      <formula>AND(IF($Q59=3,1,0),IF($Y59&lt;30,1,0))</formula>
    </cfRule>
    <cfRule type="expression" dxfId="7954" priority="3262">
      <formula>AND(IF($Q59=3,1,IF($Q59=4,1,0)),IF($F59&lt;=85,1,0))</formula>
    </cfRule>
  </conditionalFormatting>
  <conditionalFormatting sqref="AW60">
    <cfRule type="expression" dxfId="7953" priority="3257">
      <formula>AW60="X"</formula>
    </cfRule>
    <cfRule type="expression" dxfId="7952" priority="3258">
      <formula>AW60="후보"</formula>
    </cfRule>
  </conditionalFormatting>
  <conditionalFormatting sqref="AA60">
    <cfRule type="colorScale" priority="32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7951" priority="3254" operator="greaterThan">
      <formula>0.9</formula>
    </cfRule>
    <cfRule type="cellIs" dxfId="7950" priority="3255" operator="greaterThan">
      <formula>0.85</formula>
    </cfRule>
  </conditionalFormatting>
  <conditionalFormatting sqref="N60">
    <cfRule type="cellIs" dxfId="7949" priority="3252" operator="greaterThan">
      <formula>0.9</formula>
    </cfRule>
    <cfRule type="cellIs" dxfId="7948" priority="3253" operator="greaterThan">
      <formula>0.85</formula>
    </cfRule>
  </conditionalFormatting>
  <conditionalFormatting sqref="E60">
    <cfRule type="expression" dxfId="7947" priority="3248">
      <formula>AND(IF(OR($Q60=1,$Q60=2),1,0),IF($E60&lt;=20,1,0))</formula>
    </cfRule>
    <cfRule type="expression" dxfId="7946" priority="3249">
      <formula>AND(IF($Q60=2,1,0),IF($E60&lt;30,1,0))</formula>
    </cfRule>
    <cfRule type="expression" dxfId="7945" priority="3250">
      <formula>AND(IF($Q60=3,1,0),IF($E60&lt;30,1,0))</formula>
    </cfRule>
    <cfRule type="expression" dxfId="7944" priority="3251">
      <formula>AND(IF($Q60=3,1,IF($Q60=4,1,0)),IF($F60&lt;=85,1,0))</formula>
    </cfRule>
  </conditionalFormatting>
  <conditionalFormatting sqref="Y60">
    <cfRule type="expression" dxfId="7943" priority="3244">
      <formula>AND(IF(OR($Q60=1,$Q60=2),1,0),IF($Y60&lt;=20,1,0))</formula>
    </cfRule>
    <cfRule type="expression" dxfId="7942" priority="3245">
      <formula>AND(IF($Q60=2,1,0),IF($Y60&lt;30,1,0))</formula>
    </cfRule>
    <cfRule type="expression" dxfId="7941" priority="3246">
      <formula>AND(IF($Q60=3,1,0),IF($Y60&lt;30,1,0))</formula>
    </cfRule>
    <cfRule type="expression" dxfId="7940" priority="3247">
      <formula>AND(IF($Q60=3,1,IF($Q60=4,1,0)),IF($F60&lt;=85,1,0))</formula>
    </cfRule>
  </conditionalFormatting>
  <conditionalFormatting sqref="AJ60">
    <cfRule type="expression" dxfId="7939" priority="3240">
      <formula>AND(IF(OR($Q60=1,$Q60=2),1,0),IF($Y60&lt;=20,1,0))</formula>
    </cfRule>
    <cfRule type="expression" dxfId="7938" priority="3241">
      <formula>AND(IF($Q60=2,1,0),IF($Y60&lt;30,1,0))</formula>
    </cfRule>
    <cfRule type="expression" dxfId="7937" priority="3242">
      <formula>AND(IF($Q60=3,1,0),IF($Y60&lt;30,1,0))</formula>
    </cfRule>
    <cfRule type="expression" dxfId="7936" priority="3243">
      <formula>AND(IF($Q60=3,1,IF($Q60=4,1,0)),IF($F60&lt;=85,1,0))</formula>
    </cfRule>
  </conditionalFormatting>
  <conditionalFormatting sqref="AW61">
    <cfRule type="expression" dxfId="7935" priority="3238">
      <formula>AW61="X"</formula>
    </cfRule>
    <cfRule type="expression" dxfId="7934" priority="3239">
      <formula>AW61="후보"</formula>
    </cfRule>
  </conditionalFormatting>
  <conditionalFormatting sqref="AA61">
    <cfRule type="colorScale" priority="32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7933" priority="3235" operator="greaterThan">
      <formula>0.9</formula>
    </cfRule>
    <cfRule type="cellIs" dxfId="7932" priority="3236" operator="greaterThan">
      <formula>0.85</formula>
    </cfRule>
  </conditionalFormatting>
  <conditionalFormatting sqref="N61">
    <cfRule type="cellIs" dxfId="7931" priority="3233" operator="greaterThan">
      <formula>0.9</formula>
    </cfRule>
    <cfRule type="cellIs" dxfId="7930" priority="3234" operator="greaterThan">
      <formula>0.85</formula>
    </cfRule>
  </conditionalFormatting>
  <conditionalFormatting sqref="E61">
    <cfRule type="expression" dxfId="7929" priority="3229">
      <formula>AND(IF(OR($Q61=1,$Q61=2),1,0),IF($E61&lt;=20,1,0))</formula>
    </cfRule>
    <cfRule type="expression" dxfId="7928" priority="3230">
      <formula>AND(IF($Q61=2,1,0),IF($E61&lt;30,1,0))</formula>
    </cfRule>
    <cfRule type="expression" dxfId="7927" priority="3231">
      <formula>AND(IF($Q61=3,1,0),IF($E61&lt;30,1,0))</formula>
    </cfRule>
    <cfRule type="expression" dxfId="7926" priority="3232">
      <formula>AND(IF($Q61=3,1,IF($Q61=4,1,0)),IF($F61&lt;=85,1,0))</formula>
    </cfRule>
  </conditionalFormatting>
  <conditionalFormatting sqref="Y61">
    <cfRule type="expression" dxfId="7925" priority="3225">
      <formula>AND(IF(OR($Q61=1,$Q61=2),1,0),IF($Y61&lt;=20,1,0))</formula>
    </cfRule>
    <cfRule type="expression" dxfId="7924" priority="3226">
      <formula>AND(IF($Q61=2,1,0),IF($Y61&lt;30,1,0))</formula>
    </cfRule>
    <cfRule type="expression" dxfId="7923" priority="3227">
      <formula>AND(IF($Q61=3,1,0),IF($Y61&lt;30,1,0))</formula>
    </cfRule>
    <cfRule type="expression" dxfId="7922" priority="3228">
      <formula>AND(IF($Q61=3,1,IF($Q61=4,1,0)),IF($F61&lt;=85,1,0))</formula>
    </cfRule>
  </conditionalFormatting>
  <conditionalFormatting sqref="AJ61">
    <cfRule type="expression" dxfId="7921" priority="3221">
      <formula>AND(IF(OR($Q61=1,$Q61=2),1,0),IF($Y61&lt;=20,1,0))</formula>
    </cfRule>
    <cfRule type="expression" dxfId="7920" priority="3222">
      <formula>AND(IF($Q61=2,1,0),IF($Y61&lt;30,1,0))</formula>
    </cfRule>
    <cfRule type="expression" dxfId="7919" priority="3223">
      <formula>AND(IF($Q61=3,1,0),IF($Y61&lt;30,1,0))</formula>
    </cfRule>
    <cfRule type="expression" dxfId="7918" priority="3224">
      <formula>AND(IF($Q61=3,1,IF($Q61=4,1,0)),IF($F61&lt;=85,1,0))</formula>
    </cfRule>
  </conditionalFormatting>
  <conditionalFormatting sqref="AW62">
    <cfRule type="expression" dxfId="7917" priority="3219">
      <formula>AW62="X"</formula>
    </cfRule>
    <cfRule type="expression" dxfId="7916" priority="3220">
      <formula>AW62="후보"</formula>
    </cfRule>
  </conditionalFormatting>
  <conditionalFormatting sqref="AA62">
    <cfRule type="colorScale" priority="32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7915" priority="3216" operator="greaterThan">
      <formula>0.9</formula>
    </cfRule>
    <cfRule type="cellIs" dxfId="7914" priority="3217" operator="greaterThan">
      <formula>0.85</formula>
    </cfRule>
  </conditionalFormatting>
  <conditionalFormatting sqref="N62">
    <cfRule type="cellIs" dxfId="7913" priority="3214" operator="greaterThan">
      <formula>0.9</formula>
    </cfRule>
    <cfRule type="cellIs" dxfId="7912" priority="3215" operator="greaterThan">
      <formula>0.85</formula>
    </cfRule>
  </conditionalFormatting>
  <conditionalFormatting sqref="E62">
    <cfRule type="expression" dxfId="7911" priority="3210">
      <formula>AND(IF(OR($Q62=1,$Q62=2),1,0),IF($E62&lt;=20,1,0))</formula>
    </cfRule>
    <cfRule type="expression" dxfId="7910" priority="3211">
      <formula>AND(IF($Q62=2,1,0),IF($E62&lt;30,1,0))</formula>
    </cfRule>
    <cfRule type="expression" dxfId="7909" priority="3212">
      <formula>AND(IF($Q62=3,1,0),IF($E62&lt;30,1,0))</formula>
    </cfRule>
    <cfRule type="expression" dxfId="7908" priority="3213">
      <formula>AND(IF($Q62=3,1,IF($Q62=4,1,0)),IF($F62&lt;=85,1,0))</formula>
    </cfRule>
  </conditionalFormatting>
  <conditionalFormatting sqref="Y62">
    <cfRule type="expression" dxfId="7907" priority="3206">
      <formula>AND(IF(OR($Q62=1,$Q62=2),1,0),IF($Y62&lt;=20,1,0))</formula>
    </cfRule>
    <cfRule type="expression" dxfId="7906" priority="3207">
      <formula>AND(IF($Q62=2,1,0),IF($Y62&lt;30,1,0))</formula>
    </cfRule>
    <cfRule type="expression" dxfId="7905" priority="3208">
      <formula>AND(IF($Q62=3,1,0),IF($Y62&lt;30,1,0))</formula>
    </cfRule>
    <cfRule type="expression" dxfId="7904" priority="3209">
      <formula>AND(IF($Q62=3,1,IF($Q62=4,1,0)),IF($F62&lt;=85,1,0))</formula>
    </cfRule>
  </conditionalFormatting>
  <conditionalFormatting sqref="AJ62">
    <cfRule type="expression" dxfId="7903" priority="3202">
      <formula>AND(IF(OR($Q62=1,$Q62=2),1,0),IF($Y62&lt;=20,1,0))</formula>
    </cfRule>
    <cfRule type="expression" dxfId="7902" priority="3203">
      <formula>AND(IF($Q62=2,1,0),IF($Y62&lt;30,1,0))</formula>
    </cfRule>
    <cfRule type="expression" dxfId="7901" priority="3204">
      <formula>AND(IF($Q62=3,1,0),IF($Y62&lt;30,1,0))</formula>
    </cfRule>
    <cfRule type="expression" dxfId="7900" priority="3205">
      <formula>AND(IF($Q62=3,1,IF($Q62=4,1,0)),IF($F62&lt;=85,1,0))</formula>
    </cfRule>
  </conditionalFormatting>
  <conditionalFormatting sqref="AW63">
    <cfRule type="expression" dxfId="7899" priority="3200">
      <formula>AW63="X"</formula>
    </cfRule>
    <cfRule type="expression" dxfId="7898" priority="3201">
      <formula>AW63="후보"</formula>
    </cfRule>
  </conditionalFormatting>
  <conditionalFormatting sqref="AA63">
    <cfRule type="colorScale" priority="31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7897" priority="3197" operator="greaterThan">
      <formula>0.9</formula>
    </cfRule>
    <cfRule type="cellIs" dxfId="7896" priority="3198" operator="greaterThan">
      <formula>0.85</formula>
    </cfRule>
  </conditionalFormatting>
  <conditionalFormatting sqref="N63">
    <cfRule type="cellIs" dxfId="7895" priority="3195" operator="greaterThan">
      <formula>0.9</formula>
    </cfRule>
    <cfRule type="cellIs" dxfId="7894" priority="3196" operator="greaterThan">
      <formula>0.85</formula>
    </cfRule>
  </conditionalFormatting>
  <conditionalFormatting sqref="E63">
    <cfRule type="expression" dxfId="7893" priority="3191">
      <formula>AND(IF(OR($Q63=1,$Q63=2),1,0),IF($E63&lt;=20,1,0))</formula>
    </cfRule>
    <cfRule type="expression" dxfId="7892" priority="3192">
      <formula>AND(IF($Q63=2,1,0),IF($E63&lt;30,1,0))</formula>
    </cfRule>
    <cfRule type="expression" dxfId="7891" priority="3193">
      <formula>AND(IF($Q63=3,1,0),IF($E63&lt;30,1,0))</formula>
    </cfRule>
    <cfRule type="expression" dxfId="7890" priority="3194">
      <formula>AND(IF($Q63=3,1,IF($Q63=4,1,0)),IF($F63&lt;=85,1,0))</formula>
    </cfRule>
  </conditionalFormatting>
  <conditionalFormatting sqref="Y63">
    <cfRule type="expression" dxfId="7889" priority="3187">
      <formula>AND(IF(OR($Q63=1,$Q63=2),1,0),IF($Y63&lt;=20,1,0))</formula>
    </cfRule>
    <cfRule type="expression" dxfId="7888" priority="3188">
      <formula>AND(IF($Q63=2,1,0),IF($Y63&lt;30,1,0))</formula>
    </cfRule>
    <cfRule type="expression" dxfId="7887" priority="3189">
      <formula>AND(IF($Q63=3,1,0),IF($Y63&lt;30,1,0))</formula>
    </cfRule>
    <cfRule type="expression" dxfId="7886" priority="3190">
      <formula>AND(IF($Q63=3,1,IF($Q63=4,1,0)),IF($F63&lt;=85,1,0))</formula>
    </cfRule>
  </conditionalFormatting>
  <conditionalFormatting sqref="AJ63">
    <cfRule type="expression" dxfId="7885" priority="3183">
      <formula>AND(IF(OR($Q63=1,$Q63=2),1,0),IF($Y63&lt;=20,1,0))</formula>
    </cfRule>
    <cfRule type="expression" dxfId="7884" priority="3184">
      <formula>AND(IF($Q63=2,1,0),IF($Y63&lt;30,1,0))</formula>
    </cfRule>
    <cfRule type="expression" dxfId="7883" priority="3185">
      <formula>AND(IF($Q63=3,1,0),IF($Y63&lt;30,1,0))</formula>
    </cfRule>
    <cfRule type="expression" dxfId="7882" priority="3186">
      <formula>AND(IF($Q63=3,1,IF($Q63=4,1,0)),IF($F63&lt;=85,1,0))</formula>
    </cfRule>
  </conditionalFormatting>
  <conditionalFormatting sqref="AW64">
    <cfRule type="expression" dxfId="7881" priority="3181">
      <formula>AW64="X"</formula>
    </cfRule>
    <cfRule type="expression" dxfId="7880" priority="3182">
      <formula>AW64="후보"</formula>
    </cfRule>
  </conditionalFormatting>
  <conditionalFormatting sqref="AA64">
    <cfRule type="colorScale" priority="31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7879" priority="3178" operator="greaterThan">
      <formula>0.9</formula>
    </cfRule>
    <cfRule type="cellIs" dxfId="7878" priority="3179" operator="greaterThan">
      <formula>0.85</formula>
    </cfRule>
  </conditionalFormatting>
  <conditionalFormatting sqref="N64">
    <cfRule type="cellIs" dxfId="7877" priority="3176" operator="greaterThan">
      <formula>0.9</formula>
    </cfRule>
    <cfRule type="cellIs" dxfId="7876" priority="3177" operator="greaterThan">
      <formula>0.85</formula>
    </cfRule>
  </conditionalFormatting>
  <conditionalFormatting sqref="E64">
    <cfRule type="expression" dxfId="7875" priority="3172">
      <formula>AND(IF(OR($Q64=1,$Q64=2),1,0),IF($E64&lt;=20,1,0))</formula>
    </cfRule>
    <cfRule type="expression" dxfId="7874" priority="3173">
      <formula>AND(IF($Q64=2,1,0),IF($E64&lt;30,1,0))</formula>
    </cfRule>
    <cfRule type="expression" dxfId="7873" priority="3174">
      <formula>AND(IF($Q64=3,1,0),IF($E64&lt;30,1,0))</formula>
    </cfRule>
    <cfRule type="expression" dxfId="7872" priority="3175">
      <formula>AND(IF($Q64=3,1,IF($Q64=4,1,0)),IF($F64&lt;=85,1,0))</formula>
    </cfRule>
  </conditionalFormatting>
  <conditionalFormatting sqref="Y64">
    <cfRule type="expression" dxfId="7871" priority="3168">
      <formula>AND(IF(OR($Q64=1,$Q64=2),1,0),IF($Y64&lt;=20,1,0))</formula>
    </cfRule>
    <cfRule type="expression" dxfId="7870" priority="3169">
      <formula>AND(IF($Q64=2,1,0),IF($Y64&lt;30,1,0))</formula>
    </cfRule>
    <cfRule type="expression" dxfId="7869" priority="3170">
      <formula>AND(IF($Q64=3,1,0),IF($Y64&lt;30,1,0))</formula>
    </cfRule>
    <cfRule type="expression" dxfId="7868" priority="3171">
      <formula>AND(IF($Q64=3,1,IF($Q64=4,1,0)),IF($F64&lt;=85,1,0))</formula>
    </cfRule>
  </conditionalFormatting>
  <conditionalFormatting sqref="AJ64">
    <cfRule type="expression" dxfId="7867" priority="3164">
      <formula>AND(IF(OR($Q64=1,$Q64=2),1,0),IF($Y64&lt;=20,1,0))</formula>
    </cfRule>
    <cfRule type="expression" dxfId="7866" priority="3165">
      <formula>AND(IF($Q64=2,1,0),IF($Y64&lt;30,1,0))</formula>
    </cfRule>
    <cfRule type="expression" dxfId="7865" priority="3166">
      <formula>AND(IF($Q64=3,1,0),IF($Y64&lt;30,1,0))</formula>
    </cfRule>
    <cfRule type="expression" dxfId="7864" priority="3167">
      <formula>AND(IF($Q64=3,1,IF($Q64=4,1,0)),IF($F64&lt;=85,1,0))</formula>
    </cfRule>
  </conditionalFormatting>
  <conditionalFormatting sqref="AW65">
    <cfRule type="expression" dxfId="7863" priority="3162">
      <formula>AW65="X"</formula>
    </cfRule>
    <cfRule type="expression" dxfId="7862" priority="3163">
      <formula>AW65="후보"</formula>
    </cfRule>
  </conditionalFormatting>
  <conditionalFormatting sqref="AA65">
    <cfRule type="colorScale" priority="31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7861" priority="3159" operator="greaterThan">
      <formula>0.9</formula>
    </cfRule>
    <cfRule type="cellIs" dxfId="7860" priority="3160" operator="greaterThan">
      <formula>0.85</formula>
    </cfRule>
  </conditionalFormatting>
  <conditionalFormatting sqref="N65">
    <cfRule type="cellIs" dxfId="7859" priority="3157" operator="greaterThan">
      <formula>0.9</formula>
    </cfRule>
    <cfRule type="cellIs" dxfId="7858" priority="3158" operator="greaterThan">
      <formula>0.85</formula>
    </cfRule>
  </conditionalFormatting>
  <conditionalFormatting sqref="E65">
    <cfRule type="expression" dxfId="7857" priority="3153">
      <formula>AND(IF(OR($Q65=1,$Q65=2),1,0),IF($E65&lt;=20,1,0))</formula>
    </cfRule>
    <cfRule type="expression" dxfId="7856" priority="3154">
      <formula>AND(IF($Q65=2,1,0),IF($E65&lt;30,1,0))</formula>
    </cfRule>
    <cfRule type="expression" dxfId="7855" priority="3155">
      <formula>AND(IF($Q65=3,1,0),IF($E65&lt;30,1,0))</formula>
    </cfRule>
    <cfRule type="expression" dxfId="7854" priority="3156">
      <formula>AND(IF($Q65=3,1,IF($Q65=4,1,0)),IF($F65&lt;=85,1,0))</formula>
    </cfRule>
  </conditionalFormatting>
  <conditionalFormatting sqref="Y65">
    <cfRule type="expression" dxfId="7853" priority="3149">
      <formula>AND(IF(OR($Q65=1,$Q65=2),1,0),IF($Y65&lt;=20,1,0))</formula>
    </cfRule>
    <cfRule type="expression" dxfId="7852" priority="3150">
      <formula>AND(IF($Q65=2,1,0),IF($Y65&lt;30,1,0))</formula>
    </cfRule>
    <cfRule type="expression" dxfId="7851" priority="3151">
      <formula>AND(IF($Q65=3,1,0),IF($Y65&lt;30,1,0))</formula>
    </cfRule>
    <cfRule type="expression" dxfId="7850" priority="3152">
      <formula>AND(IF($Q65=3,1,IF($Q65=4,1,0)),IF($F65&lt;=85,1,0))</formula>
    </cfRule>
  </conditionalFormatting>
  <conditionalFormatting sqref="AJ65">
    <cfRule type="expression" dxfId="7849" priority="3145">
      <formula>AND(IF(OR($Q65=1,$Q65=2),1,0),IF($Y65&lt;=20,1,0))</formula>
    </cfRule>
    <cfRule type="expression" dxfId="7848" priority="3146">
      <formula>AND(IF($Q65=2,1,0),IF($Y65&lt;30,1,0))</formula>
    </cfRule>
    <cfRule type="expression" dxfId="7847" priority="3147">
      <formula>AND(IF($Q65=3,1,0),IF($Y65&lt;30,1,0))</formula>
    </cfRule>
    <cfRule type="expression" dxfId="7846" priority="3148">
      <formula>AND(IF($Q65=3,1,IF($Q65=4,1,0)),IF($F65&lt;=85,1,0))</formula>
    </cfRule>
  </conditionalFormatting>
  <conditionalFormatting sqref="AW66">
    <cfRule type="expression" dxfId="7845" priority="3143">
      <formula>AW66="X"</formula>
    </cfRule>
    <cfRule type="expression" dxfId="7844" priority="3144">
      <formula>AW66="후보"</formula>
    </cfRule>
  </conditionalFormatting>
  <conditionalFormatting sqref="AA66">
    <cfRule type="colorScale" priority="31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7843" priority="3140" operator="greaterThan">
      <formula>0.9</formula>
    </cfRule>
    <cfRule type="cellIs" dxfId="7842" priority="3141" operator="greaterThan">
      <formula>0.85</formula>
    </cfRule>
  </conditionalFormatting>
  <conditionalFormatting sqref="N66">
    <cfRule type="cellIs" dxfId="7841" priority="3138" operator="greaterThan">
      <formula>0.9</formula>
    </cfRule>
    <cfRule type="cellIs" dxfId="7840" priority="3139" operator="greaterThan">
      <formula>0.85</formula>
    </cfRule>
  </conditionalFormatting>
  <conditionalFormatting sqref="E66">
    <cfRule type="expression" dxfId="7839" priority="3134">
      <formula>AND(IF(OR($Q66=1,$Q66=2),1,0),IF($E66&lt;=20,1,0))</formula>
    </cfRule>
    <cfRule type="expression" dxfId="7838" priority="3135">
      <formula>AND(IF($Q66=2,1,0),IF($E66&lt;30,1,0))</formula>
    </cfRule>
    <cfRule type="expression" dxfId="7837" priority="3136">
      <formula>AND(IF($Q66=3,1,0),IF($E66&lt;30,1,0))</formula>
    </cfRule>
    <cfRule type="expression" dxfId="7836" priority="3137">
      <formula>AND(IF($Q66=3,1,IF($Q66=4,1,0)),IF($F66&lt;=85,1,0))</formula>
    </cfRule>
  </conditionalFormatting>
  <conditionalFormatting sqref="Y66">
    <cfRule type="expression" dxfId="7835" priority="3130">
      <formula>AND(IF(OR($Q66=1,$Q66=2),1,0),IF($Y66&lt;=20,1,0))</formula>
    </cfRule>
    <cfRule type="expression" dxfId="7834" priority="3131">
      <formula>AND(IF($Q66=2,1,0),IF($Y66&lt;30,1,0))</formula>
    </cfRule>
    <cfRule type="expression" dxfId="7833" priority="3132">
      <formula>AND(IF($Q66=3,1,0),IF($Y66&lt;30,1,0))</formula>
    </cfRule>
    <cfRule type="expression" dxfId="7832" priority="3133">
      <formula>AND(IF($Q66=3,1,IF($Q66=4,1,0)),IF($F66&lt;=85,1,0))</formula>
    </cfRule>
  </conditionalFormatting>
  <conditionalFormatting sqref="AJ66">
    <cfRule type="expression" dxfId="7831" priority="3126">
      <formula>AND(IF(OR($Q66=1,$Q66=2),1,0),IF($Y66&lt;=20,1,0))</formula>
    </cfRule>
    <cfRule type="expression" dxfId="7830" priority="3127">
      <formula>AND(IF($Q66=2,1,0),IF($Y66&lt;30,1,0))</formula>
    </cfRule>
    <cfRule type="expression" dxfId="7829" priority="3128">
      <formula>AND(IF($Q66=3,1,0),IF($Y66&lt;30,1,0))</formula>
    </cfRule>
    <cfRule type="expression" dxfId="7828" priority="3129">
      <formula>AND(IF($Q66=3,1,IF($Q66=4,1,0)),IF($F66&lt;=85,1,0))</formula>
    </cfRule>
  </conditionalFormatting>
  <conditionalFormatting sqref="AW67">
    <cfRule type="expression" dxfId="7827" priority="3124">
      <formula>AW67="X"</formula>
    </cfRule>
    <cfRule type="expression" dxfId="7826" priority="3125">
      <formula>AW67="후보"</formula>
    </cfRule>
  </conditionalFormatting>
  <conditionalFormatting sqref="AA67">
    <cfRule type="colorScale" priority="31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7825" priority="3121" operator="greaterThan">
      <formula>0.9</formula>
    </cfRule>
    <cfRule type="cellIs" dxfId="7824" priority="3122" operator="greaterThan">
      <formula>0.85</formula>
    </cfRule>
  </conditionalFormatting>
  <conditionalFormatting sqref="N67">
    <cfRule type="cellIs" dxfId="7823" priority="3119" operator="greaterThan">
      <formula>0.9</formula>
    </cfRule>
    <cfRule type="cellIs" dxfId="7822" priority="3120" operator="greaterThan">
      <formula>0.85</formula>
    </cfRule>
  </conditionalFormatting>
  <conditionalFormatting sqref="E67">
    <cfRule type="expression" dxfId="7821" priority="3115">
      <formula>AND(IF(OR($Q67=1,$Q67=2),1,0),IF($E67&lt;=20,1,0))</formula>
    </cfRule>
    <cfRule type="expression" dxfId="7820" priority="3116">
      <formula>AND(IF($Q67=2,1,0),IF($E67&lt;30,1,0))</formula>
    </cfRule>
    <cfRule type="expression" dxfId="7819" priority="3117">
      <formula>AND(IF($Q67=3,1,0),IF($E67&lt;30,1,0))</formula>
    </cfRule>
    <cfRule type="expression" dxfId="7818" priority="3118">
      <formula>AND(IF($Q67=3,1,IF($Q67=4,1,0)),IF($F67&lt;=85,1,0))</formula>
    </cfRule>
  </conditionalFormatting>
  <conditionalFormatting sqref="Y67">
    <cfRule type="expression" dxfId="7817" priority="3111">
      <formula>AND(IF(OR($Q67=1,$Q67=2),1,0),IF($Y67&lt;=20,1,0))</formula>
    </cfRule>
    <cfRule type="expression" dxfId="7816" priority="3112">
      <formula>AND(IF($Q67=2,1,0),IF($Y67&lt;30,1,0))</formula>
    </cfRule>
    <cfRule type="expression" dxfId="7815" priority="3113">
      <formula>AND(IF($Q67=3,1,0),IF($Y67&lt;30,1,0))</formula>
    </cfRule>
    <cfRule type="expression" dxfId="7814" priority="3114">
      <formula>AND(IF($Q67=3,1,IF($Q67=4,1,0)),IF($F67&lt;=85,1,0))</formula>
    </cfRule>
  </conditionalFormatting>
  <conditionalFormatting sqref="AJ67">
    <cfRule type="expression" dxfId="7813" priority="3107">
      <formula>AND(IF(OR($Q67=1,$Q67=2),1,0),IF($Y67&lt;=20,1,0))</formula>
    </cfRule>
    <cfRule type="expression" dxfId="7812" priority="3108">
      <formula>AND(IF($Q67=2,1,0),IF($Y67&lt;30,1,0))</formula>
    </cfRule>
    <cfRule type="expression" dxfId="7811" priority="3109">
      <formula>AND(IF($Q67=3,1,0),IF($Y67&lt;30,1,0))</formula>
    </cfRule>
    <cfRule type="expression" dxfId="7810" priority="3110">
      <formula>AND(IF($Q67=3,1,IF($Q67=4,1,0)),IF($F67&lt;=85,1,0))</formula>
    </cfRule>
  </conditionalFormatting>
  <conditionalFormatting sqref="AW68">
    <cfRule type="expression" dxfId="7809" priority="3105">
      <formula>AW68="X"</formula>
    </cfRule>
    <cfRule type="expression" dxfId="7808" priority="3106">
      <formula>AW68="후보"</formula>
    </cfRule>
  </conditionalFormatting>
  <conditionalFormatting sqref="AA68">
    <cfRule type="colorScale" priority="31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">
    <cfRule type="cellIs" dxfId="7807" priority="3102" operator="greaterThan">
      <formula>0.9</formula>
    </cfRule>
    <cfRule type="cellIs" dxfId="7806" priority="3103" operator="greaterThan">
      <formula>0.85</formula>
    </cfRule>
  </conditionalFormatting>
  <conditionalFormatting sqref="N68">
    <cfRule type="cellIs" dxfId="7805" priority="3100" operator="greaterThan">
      <formula>0.9</formula>
    </cfRule>
    <cfRule type="cellIs" dxfId="7804" priority="3101" operator="greaterThan">
      <formula>0.85</formula>
    </cfRule>
  </conditionalFormatting>
  <conditionalFormatting sqref="E68">
    <cfRule type="expression" dxfId="7803" priority="3096">
      <formula>AND(IF(OR($Q68=1,$Q68=2),1,0),IF($E68&lt;=20,1,0))</formula>
    </cfRule>
    <cfRule type="expression" dxfId="7802" priority="3097">
      <formula>AND(IF($Q68=2,1,0),IF($E68&lt;30,1,0))</formula>
    </cfRule>
    <cfRule type="expression" dxfId="7801" priority="3098">
      <formula>AND(IF($Q68=3,1,0),IF($E68&lt;30,1,0))</formula>
    </cfRule>
    <cfRule type="expression" dxfId="7800" priority="3099">
      <formula>AND(IF($Q68=3,1,IF($Q68=4,1,0)),IF($F68&lt;=85,1,0))</formula>
    </cfRule>
  </conditionalFormatting>
  <conditionalFormatting sqref="Y68">
    <cfRule type="expression" dxfId="7799" priority="3092">
      <formula>AND(IF(OR($Q68=1,$Q68=2),1,0),IF($Y68&lt;=20,1,0))</formula>
    </cfRule>
    <cfRule type="expression" dxfId="7798" priority="3093">
      <formula>AND(IF($Q68=2,1,0),IF($Y68&lt;30,1,0))</formula>
    </cfRule>
    <cfRule type="expression" dxfId="7797" priority="3094">
      <formula>AND(IF($Q68=3,1,0),IF($Y68&lt;30,1,0))</formula>
    </cfRule>
    <cfRule type="expression" dxfId="7796" priority="3095">
      <formula>AND(IF($Q68=3,1,IF($Q68=4,1,0)),IF($F68&lt;=85,1,0))</formula>
    </cfRule>
  </conditionalFormatting>
  <conditionalFormatting sqref="AJ68">
    <cfRule type="expression" dxfId="7795" priority="3088">
      <formula>AND(IF(OR($Q68=1,$Q68=2),1,0),IF($Y68&lt;=20,1,0))</formula>
    </cfRule>
    <cfRule type="expression" dxfId="7794" priority="3089">
      <formula>AND(IF($Q68=2,1,0),IF($Y68&lt;30,1,0))</formula>
    </cfRule>
    <cfRule type="expression" dxfId="7793" priority="3090">
      <formula>AND(IF($Q68=3,1,0),IF($Y68&lt;30,1,0))</formula>
    </cfRule>
    <cfRule type="expression" dxfId="7792" priority="3091">
      <formula>AND(IF($Q68=3,1,IF($Q68=4,1,0)),IF($F68&lt;=85,1,0))</formula>
    </cfRule>
  </conditionalFormatting>
  <conditionalFormatting sqref="AW69">
    <cfRule type="expression" dxfId="7791" priority="3086">
      <formula>AW69="X"</formula>
    </cfRule>
    <cfRule type="expression" dxfId="7790" priority="3087">
      <formula>AW69="후보"</formula>
    </cfRule>
  </conditionalFormatting>
  <conditionalFormatting sqref="AA69">
    <cfRule type="colorScale" priority="30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 N69">
    <cfRule type="cellIs" dxfId="7789" priority="3083" operator="greaterThan">
      <formula>0.9</formula>
    </cfRule>
    <cfRule type="cellIs" dxfId="7788" priority="3084" operator="greaterThan">
      <formula>0.85</formula>
    </cfRule>
  </conditionalFormatting>
  <conditionalFormatting sqref="AW70">
    <cfRule type="expression" dxfId="7787" priority="3081">
      <formula>AW70="X"</formula>
    </cfRule>
    <cfRule type="expression" dxfId="7786" priority="3082">
      <formula>AW70="후보"</formula>
    </cfRule>
  </conditionalFormatting>
  <conditionalFormatting sqref="AA70">
    <cfRule type="colorScale" priority="30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7785" priority="3078" operator="greaterThan">
      <formula>0.9</formula>
    </cfRule>
    <cfRule type="cellIs" dxfId="7784" priority="3079" operator="greaterThan">
      <formula>0.85</formula>
    </cfRule>
  </conditionalFormatting>
  <conditionalFormatting sqref="N70">
    <cfRule type="cellIs" dxfId="7783" priority="3076" operator="greaterThan">
      <formula>0.9</formula>
    </cfRule>
    <cfRule type="cellIs" dxfId="7782" priority="3077" operator="greaterThan">
      <formula>0.85</formula>
    </cfRule>
  </conditionalFormatting>
  <conditionalFormatting sqref="E70">
    <cfRule type="expression" dxfId="7781" priority="3072">
      <formula>AND(IF(OR($Q70=1,$Q70=2),1,0),IF($E70&lt;=20,1,0))</formula>
    </cfRule>
    <cfRule type="expression" dxfId="7780" priority="3073">
      <formula>AND(IF($Q70=2,1,0),IF($E70&lt;30,1,0))</formula>
    </cfRule>
    <cfRule type="expression" dxfId="7779" priority="3074">
      <formula>AND(IF($Q70=3,1,0),IF($E70&lt;30,1,0))</formula>
    </cfRule>
    <cfRule type="expression" dxfId="7778" priority="3075">
      <formula>AND(IF($Q70=3,1,IF($Q70=4,1,0)),IF($F70&lt;=85,1,0))</formula>
    </cfRule>
  </conditionalFormatting>
  <conditionalFormatting sqref="Y70">
    <cfRule type="expression" dxfId="7777" priority="3068">
      <formula>AND(IF(OR($Q70=1,$Q70=2),1,0),IF($Y70&lt;=20,1,0))</formula>
    </cfRule>
    <cfRule type="expression" dxfId="7776" priority="3069">
      <formula>AND(IF($Q70=2,1,0),IF($Y70&lt;30,1,0))</formula>
    </cfRule>
    <cfRule type="expression" dxfId="7775" priority="3070">
      <formula>AND(IF($Q70=3,1,0),IF($Y70&lt;30,1,0))</formula>
    </cfRule>
    <cfRule type="expression" dxfId="7774" priority="3071">
      <formula>AND(IF($Q70=3,1,IF($Q70=4,1,0)),IF($F70&lt;=85,1,0))</formula>
    </cfRule>
  </conditionalFormatting>
  <conditionalFormatting sqref="AJ70">
    <cfRule type="expression" dxfId="7773" priority="3064">
      <formula>AND(IF(OR($Q70=1,$Q70=2),1,0),IF($Y70&lt;=20,1,0))</formula>
    </cfRule>
    <cfRule type="expression" dxfId="7772" priority="3065">
      <formula>AND(IF($Q70=2,1,0),IF($Y70&lt;30,1,0))</formula>
    </cfRule>
    <cfRule type="expression" dxfId="7771" priority="3066">
      <formula>AND(IF($Q70=3,1,0),IF($Y70&lt;30,1,0))</formula>
    </cfRule>
    <cfRule type="expression" dxfId="7770" priority="3067">
      <formula>AND(IF($Q70=3,1,IF($Q70=4,1,0)),IF($F70&lt;=85,1,0))</formula>
    </cfRule>
  </conditionalFormatting>
  <conditionalFormatting sqref="AW71">
    <cfRule type="expression" dxfId="7769" priority="3062">
      <formula>AW71="X"</formula>
    </cfRule>
    <cfRule type="expression" dxfId="7768" priority="3063">
      <formula>AW71="후보"</formula>
    </cfRule>
  </conditionalFormatting>
  <conditionalFormatting sqref="AA71">
    <cfRule type="colorScale" priority="30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7767" priority="3059" operator="greaterThan">
      <formula>0.9</formula>
    </cfRule>
    <cfRule type="cellIs" dxfId="7766" priority="3060" operator="greaterThan">
      <formula>0.85</formula>
    </cfRule>
  </conditionalFormatting>
  <conditionalFormatting sqref="N71">
    <cfRule type="cellIs" dxfId="7765" priority="3057" operator="greaterThan">
      <formula>0.9</formula>
    </cfRule>
    <cfRule type="cellIs" dxfId="7764" priority="3058" operator="greaterThan">
      <formula>0.85</formula>
    </cfRule>
  </conditionalFormatting>
  <conditionalFormatting sqref="E71">
    <cfRule type="expression" dxfId="7763" priority="3053">
      <formula>AND(IF(OR($Q71=1,$Q71=2),1,0),IF($E71&lt;=20,1,0))</formula>
    </cfRule>
    <cfRule type="expression" dxfId="7762" priority="3054">
      <formula>AND(IF($Q71=2,1,0),IF($E71&lt;30,1,0))</formula>
    </cfRule>
    <cfRule type="expression" dxfId="7761" priority="3055">
      <formula>AND(IF($Q71=3,1,0),IF($E71&lt;30,1,0))</formula>
    </cfRule>
    <cfRule type="expression" dxfId="7760" priority="3056">
      <formula>AND(IF($Q71=3,1,IF($Q71=4,1,0)),IF($F71&lt;=85,1,0))</formula>
    </cfRule>
  </conditionalFormatting>
  <conditionalFormatting sqref="Y71">
    <cfRule type="expression" dxfId="7759" priority="3049">
      <formula>AND(IF(OR($Q71=1,$Q71=2),1,0),IF($Y71&lt;=20,1,0))</formula>
    </cfRule>
    <cfRule type="expression" dxfId="7758" priority="3050">
      <formula>AND(IF($Q71=2,1,0),IF($Y71&lt;30,1,0))</formula>
    </cfRule>
    <cfRule type="expression" dxfId="7757" priority="3051">
      <formula>AND(IF($Q71=3,1,0),IF($Y71&lt;30,1,0))</formula>
    </cfRule>
    <cfRule type="expression" dxfId="7756" priority="3052">
      <formula>AND(IF($Q71=3,1,IF($Q71=4,1,0)),IF($F71&lt;=85,1,0))</formula>
    </cfRule>
  </conditionalFormatting>
  <conditionalFormatting sqref="AJ71">
    <cfRule type="expression" dxfId="7755" priority="3045">
      <formula>AND(IF(OR($Q71=1,$Q71=2),1,0),IF($Y71&lt;=20,1,0))</formula>
    </cfRule>
    <cfRule type="expression" dxfId="7754" priority="3046">
      <formula>AND(IF($Q71=2,1,0),IF($Y71&lt;30,1,0))</formula>
    </cfRule>
    <cfRule type="expression" dxfId="7753" priority="3047">
      <formula>AND(IF($Q71=3,1,0),IF($Y71&lt;30,1,0))</formula>
    </cfRule>
    <cfRule type="expression" dxfId="7752" priority="3048">
      <formula>AND(IF($Q71=3,1,IF($Q71=4,1,0)),IF($F71&lt;=85,1,0))</formula>
    </cfRule>
  </conditionalFormatting>
  <conditionalFormatting sqref="AW72">
    <cfRule type="expression" dxfId="7751" priority="3043">
      <formula>AW72="X"</formula>
    </cfRule>
    <cfRule type="expression" dxfId="7750" priority="3044">
      <formula>AW72="후보"</formula>
    </cfRule>
  </conditionalFormatting>
  <conditionalFormatting sqref="AA72">
    <cfRule type="colorScale" priority="30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7749" priority="3040" operator="greaterThan">
      <formula>0.9</formula>
    </cfRule>
    <cfRule type="cellIs" dxfId="7748" priority="3041" operator="greaterThan">
      <formula>0.85</formula>
    </cfRule>
  </conditionalFormatting>
  <conditionalFormatting sqref="N72">
    <cfRule type="cellIs" dxfId="7747" priority="3038" operator="greaterThan">
      <formula>0.9</formula>
    </cfRule>
    <cfRule type="cellIs" dxfId="7746" priority="3039" operator="greaterThan">
      <formula>0.85</formula>
    </cfRule>
  </conditionalFormatting>
  <conditionalFormatting sqref="E72">
    <cfRule type="expression" dxfId="7745" priority="3034">
      <formula>AND(IF(OR($Q72=1,$Q72=2),1,0),IF($E72&lt;=20,1,0))</formula>
    </cfRule>
    <cfRule type="expression" dxfId="7744" priority="3035">
      <formula>AND(IF($Q72=2,1,0),IF($E72&lt;30,1,0))</formula>
    </cfRule>
    <cfRule type="expression" dxfId="7743" priority="3036">
      <formula>AND(IF($Q72=3,1,0),IF($E72&lt;30,1,0))</formula>
    </cfRule>
    <cfRule type="expression" dxfId="7742" priority="3037">
      <formula>AND(IF($Q72=3,1,IF($Q72=4,1,0)),IF($F72&lt;=85,1,0))</formula>
    </cfRule>
  </conditionalFormatting>
  <conditionalFormatting sqref="Y72">
    <cfRule type="expression" dxfId="7741" priority="3030">
      <formula>AND(IF(OR($Q72=1,$Q72=2),1,0),IF($Y72&lt;=20,1,0))</formula>
    </cfRule>
    <cfRule type="expression" dxfId="7740" priority="3031">
      <formula>AND(IF($Q72=2,1,0),IF($Y72&lt;30,1,0))</formula>
    </cfRule>
    <cfRule type="expression" dxfId="7739" priority="3032">
      <formula>AND(IF($Q72=3,1,0),IF($Y72&lt;30,1,0))</formula>
    </cfRule>
    <cfRule type="expression" dxfId="7738" priority="3033">
      <formula>AND(IF($Q72=3,1,IF($Q72=4,1,0)),IF($F72&lt;=85,1,0))</formula>
    </cfRule>
  </conditionalFormatting>
  <conditionalFormatting sqref="AJ72">
    <cfRule type="expression" dxfId="7737" priority="3026">
      <formula>AND(IF(OR($Q72=1,$Q72=2),1,0),IF($Y72&lt;=20,1,0))</formula>
    </cfRule>
    <cfRule type="expression" dxfId="7736" priority="3027">
      <formula>AND(IF($Q72=2,1,0),IF($Y72&lt;30,1,0))</formula>
    </cfRule>
    <cfRule type="expression" dxfId="7735" priority="3028">
      <formula>AND(IF($Q72=3,1,0),IF($Y72&lt;30,1,0))</formula>
    </cfRule>
    <cfRule type="expression" dxfId="7734" priority="3029">
      <formula>AND(IF($Q72=3,1,IF($Q72=4,1,0)),IF($F72&lt;=85,1,0))</formula>
    </cfRule>
  </conditionalFormatting>
  <conditionalFormatting sqref="AW73">
    <cfRule type="expression" dxfId="7733" priority="3024">
      <formula>AW73="X"</formula>
    </cfRule>
    <cfRule type="expression" dxfId="7732" priority="3025">
      <formula>AW73="후보"</formula>
    </cfRule>
  </conditionalFormatting>
  <conditionalFormatting sqref="AA73">
    <cfRule type="colorScale" priority="30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7731" priority="3021" operator="greaterThan">
      <formula>0.9</formula>
    </cfRule>
    <cfRule type="cellIs" dxfId="7730" priority="3022" operator="greaterThan">
      <formula>0.85</formula>
    </cfRule>
  </conditionalFormatting>
  <conditionalFormatting sqref="N73">
    <cfRule type="cellIs" dxfId="7729" priority="3019" operator="greaterThan">
      <formula>0.9</formula>
    </cfRule>
    <cfRule type="cellIs" dxfId="7728" priority="3020" operator="greaterThan">
      <formula>0.85</formula>
    </cfRule>
  </conditionalFormatting>
  <conditionalFormatting sqref="E73">
    <cfRule type="expression" dxfId="7727" priority="3015">
      <formula>AND(IF(OR($Q73=1,$Q73=2),1,0),IF($E73&lt;=20,1,0))</formula>
    </cfRule>
    <cfRule type="expression" dxfId="7726" priority="3016">
      <formula>AND(IF($Q73=2,1,0),IF($E73&lt;30,1,0))</formula>
    </cfRule>
    <cfRule type="expression" dxfId="7725" priority="3017">
      <formula>AND(IF($Q73=3,1,0),IF($E73&lt;30,1,0))</formula>
    </cfRule>
    <cfRule type="expression" dxfId="7724" priority="3018">
      <formula>AND(IF($Q73=3,1,IF($Q73=4,1,0)),IF($F73&lt;=85,1,0))</formula>
    </cfRule>
  </conditionalFormatting>
  <conditionalFormatting sqref="Y73">
    <cfRule type="expression" dxfId="7723" priority="3011">
      <formula>AND(IF(OR($Q73=1,$Q73=2),1,0),IF($Y73&lt;=20,1,0))</formula>
    </cfRule>
    <cfRule type="expression" dxfId="7722" priority="3012">
      <formula>AND(IF($Q73=2,1,0),IF($Y73&lt;30,1,0))</formula>
    </cfRule>
    <cfRule type="expression" dxfId="7721" priority="3013">
      <formula>AND(IF($Q73=3,1,0),IF($Y73&lt;30,1,0))</formula>
    </cfRule>
    <cfRule type="expression" dxfId="7720" priority="3014">
      <formula>AND(IF($Q73=3,1,IF($Q73=4,1,0)),IF($F73&lt;=85,1,0))</formula>
    </cfRule>
  </conditionalFormatting>
  <conditionalFormatting sqref="AJ73">
    <cfRule type="expression" dxfId="7719" priority="3007">
      <formula>AND(IF(OR($Q73=1,$Q73=2),1,0),IF($Y73&lt;=20,1,0))</formula>
    </cfRule>
    <cfRule type="expression" dxfId="7718" priority="3008">
      <formula>AND(IF($Q73=2,1,0),IF($Y73&lt;30,1,0))</formula>
    </cfRule>
    <cfRule type="expression" dxfId="7717" priority="3009">
      <formula>AND(IF($Q73=3,1,0),IF($Y73&lt;30,1,0))</formula>
    </cfRule>
    <cfRule type="expression" dxfId="7716" priority="3010">
      <formula>AND(IF($Q73=3,1,IF($Q73=4,1,0)),IF($F73&lt;=85,1,0))</formula>
    </cfRule>
  </conditionalFormatting>
  <conditionalFormatting sqref="AW74">
    <cfRule type="expression" dxfId="7715" priority="3005">
      <formula>AW74="X"</formula>
    </cfRule>
    <cfRule type="expression" dxfId="7714" priority="3006">
      <formula>AW74="후보"</formula>
    </cfRule>
  </conditionalFormatting>
  <conditionalFormatting sqref="AA74">
    <cfRule type="colorScale" priority="30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7713" priority="3002" operator="greaterThan">
      <formula>0.9</formula>
    </cfRule>
    <cfRule type="cellIs" dxfId="7712" priority="3003" operator="greaterThan">
      <formula>0.85</formula>
    </cfRule>
  </conditionalFormatting>
  <conditionalFormatting sqref="N74">
    <cfRule type="cellIs" dxfId="7711" priority="3000" operator="greaterThan">
      <formula>0.9</formula>
    </cfRule>
    <cfRule type="cellIs" dxfId="7710" priority="3001" operator="greaterThan">
      <formula>0.85</formula>
    </cfRule>
  </conditionalFormatting>
  <conditionalFormatting sqref="E74">
    <cfRule type="expression" dxfId="7709" priority="2996">
      <formula>AND(IF(OR($Q74=1,$Q74=2),1,0),IF($E74&lt;=20,1,0))</formula>
    </cfRule>
    <cfRule type="expression" dxfId="7708" priority="2997">
      <formula>AND(IF($Q74=2,1,0),IF($E74&lt;30,1,0))</formula>
    </cfRule>
    <cfRule type="expression" dxfId="7707" priority="2998">
      <formula>AND(IF($Q74=3,1,0),IF($E74&lt;30,1,0))</formula>
    </cfRule>
    <cfRule type="expression" dxfId="7706" priority="2999">
      <formula>AND(IF($Q74=3,1,IF($Q74=4,1,0)),IF($F74&lt;=85,1,0))</formula>
    </cfRule>
  </conditionalFormatting>
  <conditionalFormatting sqref="Y74">
    <cfRule type="expression" dxfId="7705" priority="2992">
      <formula>AND(IF(OR($Q74=1,$Q74=2),1,0),IF($Y74&lt;=20,1,0))</formula>
    </cfRule>
    <cfRule type="expression" dxfId="7704" priority="2993">
      <formula>AND(IF($Q74=2,1,0),IF($Y74&lt;30,1,0))</formula>
    </cfRule>
    <cfRule type="expression" dxfId="7703" priority="2994">
      <formula>AND(IF($Q74=3,1,0),IF($Y74&lt;30,1,0))</formula>
    </cfRule>
    <cfRule type="expression" dxfId="7702" priority="2995">
      <formula>AND(IF($Q74=3,1,IF($Q74=4,1,0)),IF($F74&lt;=85,1,0))</formula>
    </cfRule>
  </conditionalFormatting>
  <conditionalFormatting sqref="AJ74">
    <cfRule type="expression" dxfId="7701" priority="2988">
      <formula>AND(IF(OR($Q74=1,$Q74=2),1,0),IF($Y74&lt;=20,1,0))</formula>
    </cfRule>
    <cfRule type="expression" dxfId="7700" priority="2989">
      <formula>AND(IF($Q74=2,1,0),IF($Y74&lt;30,1,0))</formula>
    </cfRule>
    <cfRule type="expression" dxfId="7699" priority="2990">
      <formula>AND(IF($Q74=3,1,0),IF($Y74&lt;30,1,0))</formula>
    </cfRule>
    <cfRule type="expression" dxfId="7698" priority="2991">
      <formula>AND(IF($Q74=3,1,IF($Q74=4,1,0)),IF($F74&lt;=85,1,0))</formula>
    </cfRule>
  </conditionalFormatting>
  <conditionalFormatting sqref="AW75">
    <cfRule type="expression" dxfId="7697" priority="2986">
      <formula>AW75="X"</formula>
    </cfRule>
    <cfRule type="expression" dxfId="7696" priority="2987">
      <formula>AW75="후보"</formula>
    </cfRule>
  </conditionalFormatting>
  <conditionalFormatting sqref="AA75">
    <cfRule type="colorScale" priority="29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">
    <cfRule type="cellIs" dxfId="7695" priority="2983" operator="greaterThan">
      <formula>0.9</formula>
    </cfRule>
    <cfRule type="cellIs" dxfId="7694" priority="2984" operator="greaterThan">
      <formula>0.85</formula>
    </cfRule>
  </conditionalFormatting>
  <conditionalFormatting sqref="N75">
    <cfRule type="cellIs" dxfId="7693" priority="2981" operator="greaterThan">
      <formula>0.9</formula>
    </cfRule>
    <cfRule type="cellIs" dxfId="7692" priority="2982" operator="greaterThan">
      <formula>0.85</formula>
    </cfRule>
  </conditionalFormatting>
  <conditionalFormatting sqref="E75">
    <cfRule type="expression" dxfId="7691" priority="2977">
      <formula>AND(IF(OR($Q75=1,$Q75=2),1,0),IF($E75&lt;=20,1,0))</formula>
    </cfRule>
    <cfRule type="expression" dxfId="7690" priority="2978">
      <formula>AND(IF($Q75=2,1,0),IF($E75&lt;30,1,0))</formula>
    </cfRule>
    <cfRule type="expression" dxfId="7689" priority="2979">
      <formula>AND(IF($Q75=3,1,0),IF($E75&lt;30,1,0))</formula>
    </cfRule>
    <cfRule type="expression" dxfId="7688" priority="2980">
      <formula>AND(IF($Q75=3,1,IF($Q75=4,1,0)),IF($F75&lt;=85,1,0))</formula>
    </cfRule>
  </conditionalFormatting>
  <conditionalFormatting sqref="Y75">
    <cfRule type="expression" dxfId="7687" priority="2973">
      <formula>AND(IF(OR($Q75=1,$Q75=2),1,0),IF($Y75&lt;=20,1,0))</formula>
    </cfRule>
    <cfRule type="expression" dxfId="7686" priority="2974">
      <formula>AND(IF($Q75=2,1,0),IF($Y75&lt;30,1,0))</formula>
    </cfRule>
    <cfRule type="expression" dxfId="7685" priority="2975">
      <formula>AND(IF($Q75=3,1,0),IF($Y75&lt;30,1,0))</formula>
    </cfRule>
    <cfRule type="expression" dxfId="7684" priority="2976">
      <formula>AND(IF($Q75=3,1,IF($Q75=4,1,0)),IF($F75&lt;=85,1,0))</formula>
    </cfRule>
  </conditionalFormatting>
  <conditionalFormatting sqref="AJ75">
    <cfRule type="expression" dxfId="7683" priority="2969">
      <formula>AND(IF(OR($Q75=1,$Q75=2),1,0),IF($Y75&lt;=20,1,0))</formula>
    </cfRule>
    <cfRule type="expression" dxfId="7682" priority="2970">
      <formula>AND(IF($Q75=2,1,0),IF($Y75&lt;30,1,0))</formula>
    </cfRule>
    <cfRule type="expression" dxfId="7681" priority="2971">
      <formula>AND(IF($Q75=3,1,0),IF($Y75&lt;30,1,0))</formula>
    </cfRule>
    <cfRule type="expression" dxfId="7680" priority="2972">
      <formula>AND(IF($Q75=3,1,IF($Q75=4,1,0)),IF($F75&lt;=85,1,0))</formula>
    </cfRule>
  </conditionalFormatting>
  <conditionalFormatting sqref="AW76">
    <cfRule type="expression" dxfId="7679" priority="2967">
      <formula>AW76="X"</formula>
    </cfRule>
    <cfRule type="expression" dxfId="7678" priority="2968">
      <formula>AW76="후보"</formula>
    </cfRule>
  </conditionalFormatting>
  <conditionalFormatting sqref="AA76">
    <cfRule type="colorScale" priority="29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 N76">
    <cfRule type="cellIs" dxfId="7677" priority="2964" operator="greaterThan">
      <formula>0.9</formula>
    </cfRule>
    <cfRule type="cellIs" dxfId="7676" priority="2965" operator="greaterThan">
      <formula>0.85</formula>
    </cfRule>
  </conditionalFormatting>
  <conditionalFormatting sqref="AW77">
    <cfRule type="expression" dxfId="7675" priority="2962">
      <formula>AW77="X"</formula>
    </cfRule>
    <cfRule type="expression" dxfId="7674" priority="2963">
      <formula>AW77="후보"</formula>
    </cfRule>
  </conditionalFormatting>
  <conditionalFormatting sqref="AA77">
    <cfRule type="colorScale" priority="29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7673" priority="2959" operator="greaterThan">
      <formula>0.9</formula>
    </cfRule>
    <cfRule type="cellIs" dxfId="7672" priority="2960" operator="greaterThan">
      <formula>0.85</formula>
    </cfRule>
  </conditionalFormatting>
  <conditionalFormatting sqref="N77">
    <cfRule type="cellIs" dxfId="7671" priority="2957" operator="greaterThan">
      <formula>0.9</formula>
    </cfRule>
    <cfRule type="cellIs" dxfId="7670" priority="2958" operator="greaterThan">
      <formula>0.85</formula>
    </cfRule>
  </conditionalFormatting>
  <conditionalFormatting sqref="E77">
    <cfRule type="expression" dxfId="7669" priority="2953">
      <formula>AND(IF(OR($Q77=1,$Q77=2),1,0),IF($E77&lt;=20,1,0))</formula>
    </cfRule>
    <cfRule type="expression" dxfId="7668" priority="2954">
      <formula>AND(IF($Q77=2,1,0),IF($E77&lt;30,1,0))</formula>
    </cfRule>
    <cfRule type="expression" dxfId="7667" priority="2955">
      <formula>AND(IF($Q77=3,1,0),IF($E77&lt;30,1,0))</formula>
    </cfRule>
    <cfRule type="expression" dxfId="7666" priority="2956">
      <formula>AND(IF($Q77=3,1,IF($Q77=4,1,0)),IF($F77&lt;=85,1,0))</formula>
    </cfRule>
  </conditionalFormatting>
  <conditionalFormatting sqref="Y77">
    <cfRule type="expression" dxfId="7665" priority="2949">
      <formula>AND(IF(OR($Q77=1,$Q77=2),1,0),IF($Y77&lt;=20,1,0))</formula>
    </cfRule>
    <cfRule type="expression" dxfId="7664" priority="2950">
      <formula>AND(IF($Q77=2,1,0),IF($Y77&lt;30,1,0))</formula>
    </cfRule>
    <cfRule type="expression" dxfId="7663" priority="2951">
      <formula>AND(IF($Q77=3,1,0),IF($Y77&lt;30,1,0))</formula>
    </cfRule>
    <cfRule type="expression" dxfId="7662" priority="2952">
      <formula>AND(IF($Q77=3,1,IF($Q77=4,1,0)),IF($F77&lt;=85,1,0))</formula>
    </cfRule>
  </conditionalFormatting>
  <conditionalFormatting sqref="AJ77">
    <cfRule type="expression" dxfId="7661" priority="2945">
      <formula>AND(IF(OR($Q77=1,$Q77=2),1,0),IF($Y77&lt;=20,1,0))</formula>
    </cfRule>
    <cfRule type="expression" dxfId="7660" priority="2946">
      <formula>AND(IF($Q77=2,1,0),IF($Y77&lt;30,1,0))</formula>
    </cfRule>
    <cfRule type="expression" dxfId="7659" priority="2947">
      <formula>AND(IF($Q77=3,1,0),IF($Y77&lt;30,1,0))</formula>
    </cfRule>
    <cfRule type="expression" dxfId="7658" priority="2948">
      <formula>AND(IF($Q77=3,1,IF($Q77=4,1,0)),IF($F77&lt;=85,1,0))</formula>
    </cfRule>
  </conditionalFormatting>
  <conditionalFormatting sqref="AW78">
    <cfRule type="expression" dxfId="7657" priority="2943">
      <formula>AW78="X"</formula>
    </cfRule>
    <cfRule type="expression" dxfId="7656" priority="2944">
      <formula>AW78="후보"</formula>
    </cfRule>
  </conditionalFormatting>
  <conditionalFormatting sqref="AA78">
    <cfRule type="colorScale" priority="2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7655" priority="2940" operator="greaterThan">
      <formula>0.9</formula>
    </cfRule>
    <cfRule type="cellIs" dxfId="7654" priority="2941" operator="greaterThan">
      <formula>0.85</formula>
    </cfRule>
  </conditionalFormatting>
  <conditionalFormatting sqref="N78">
    <cfRule type="cellIs" dxfId="7653" priority="2938" operator="greaterThan">
      <formula>0.9</formula>
    </cfRule>
    <cfRule type="cellIs" dxfId="7652" priority="2939" operator="greaterThan">
      <formula>0.85</formula>
    </cfRule>
  </conditionalFormatting>
  <conditionalFormatting sqref="E78">
    <cfRule type="expression" dxfId="7651" priority="2934">
      <formula>AND(IF(OR($Q78=1,$Q78=2),1,0),IF($E78&lt;=20,1,0))</formula>
    </cfRule>
    <cfRule type="expression" dxfId="7650" priority="2935">
      <formula>AND(IF($Q78=2,1,0),IF($E78&lt;30,1,0))</formula>
    </cfRule>
    <cfRule type="expression" dxfId="7649" priority="2936">
      <formula>AND(IF($Q78=3,1,0),IF($E78&lt;30,1,0))</formula>
    </cfRule>
    <cfRule type="expression" dxfId="7648" priority="2937">
      <formula>AND(IF($Q78=3,1,IF($Q78=4,1,0)),IF($F78&lt;=85,1,0))</formula>
    </cfRule>
  </conditionalFormatting>
  <conditionalFormatting sqref="Y78">
    <cfRule type="expression" dxfId="7647" priority="2930">
      <formula>AND(IF(OR($Q78=1,$Q78=2),1,0),IF($Y78&lt;=20,1,0))</formula>
    </cfRule>
    <cfRule type="expression" dxfId="7646" priority="2931">
      <formula>AND(IF($Q78=2,1,0),IF($Y78&lt;30,1,0))</formula>
    </cfRule>
    <cfRule type="expression" dxfId="7645" priority="2932">
      <formula>AND(IF($Q78=3,1,0),IF($Y78&lt;30,1,0))</formula>
    </cfRule>
    <cfRule type="expression" dxfId="7644" priority="2933">
      <formula>AND(IF($Q78=3,1,IF($Q78=4,1,0)),IF($F78&lt;=85,1,0))</formula>
    </cfRule>
  </conditionalFormatting>
  <conditionalFormatting sqref="AJ78">
    <cfRule type="expression" dxfId="7643" priority="2926">
      <formula>AND(IF(OR($Q78=1,$Q78=2),1,0),IF($Y78&lt;=20,1,0))</formula>
    </cfRule>
    <cfRule type="expression" dxfId="7642" priority="2927">
      <formula>AND(IF($Q78=2,1,0),IF($Y78&lt;30,1,0))</formula>
    </cfRule>
    <cfRule type="expression" dxfId="7641" priority="2928">
      <formula>AND(IF($Q78=3,1,0),IF($Y78&lt;30,1,0))</formula>
    </cfRule>
    <cfRule type="expression" dxfId="7640" priority="2929">
      <formula>AND(IF($Q78=3,1,IF($Q78=4,1,0)),IF($F78&lt;=85,1,0))</formula>
    </cfRule>
  </conditionalFormatting>
  <conditionalFormatting sqref="AW79">
    <cfRule type="expression" dxfId="7639" priority="2924">
      <formula>AW79="X"</formula>
    </cfRule>
    <cfRule type="expression" dxfId="7638" priority="2925">
      <formula>AW79="후보"</formula>
    </cfRule>
  </conditionalFormatting>
  <conditionalFormatting sqref="AA79">
    <cfRule type="colorScale" priority="2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7637" priority="2921" operator="greaterThan">
      <formula>0.9</formula>
    </cfRule>
    <cfRule type="cellIs" dxfId="7636" priority="2922" operator="greaterThan">
      <formula>0.85</formula>
    </cfRule>
  </conditionalFormatting>
  <conditionalFormatting sqref="N79">
    <cfRule type="cellIs" dxfId="7635" priority="2919" operator="greaterThan">
      <formula>0.9</formula>
    </cfRule>
    <cfRule type="cellIs" dxfId="7634" priority="2920" operator="greaterThan">
      <formula>0.85</formula>
    </cfRule>
  </conditionalFormatting>
  <conditionalFormatting sqref="E79">
    <cfRule type="expression" dxfId="7633" priority="2915">
      <formula>AND(IF(OR($Q79=1,$Q79=2),1,0),IF($E79&lt;=20,1,0))</formula>
    </cfRule>
    <cfRule type="expression" dxfId="7632" priority="2916">
      <formula>AND(IF($Q79=2,1,0),IF($E79&lt;30,1,0))</formula>
    </cfRule>
    <cfRule type="expression" dxfId="7631" priority="2917">
      <formula>AND(IF($Q79=3,1,0),IF($E79&lt;30,1,0))</formula>
    </cfRule>
    <cfRule type="expression" dxfId="7630" priority="2918">
      <formula>AND(IF($Q79=3,1,IF($Q79=4,1,0)),IF($F79&lt;=85,1,0))</formula>
    </cfRule>
  </conditionalFormatting>
  <conditionalFormatting sqref="Y79">
    <cfRule type="expression" dxfId="7629" priority="2911">
      <formula>AND(IF(OR($Q79=1,$Q79=2),1,0),IF($Y79&lt;=20,1,0))</formula>
    </cfRule>
    <cfRule type="expression" dxfId="7628" priority="2912">
      <formula>AND(IF($Q79=2,1,0),IF($Y79&lt;30,1,0))</formula>
    </cfRule>
    <cfRule type="expression" dxfId="7627" priority="2913">
      <formula>AND(IF($Q79=3,1,0),IF($Y79&lt;30,1,0))</formula>
    </cfRule>
    <cfRule type="expression" dxfId="7626" priority="2914">
      <formula>AND(IF($Q79=3,1,IF($Q79=4,1,0)),IF($F79&lt;=85,1,0))</formula>
    </cfRule>
  </conditionalFormatting>
  <conditionalFormatting sqref="AJ79">
    <cfRule type="expression" dxfId="7625" priority="2907">
      <formula>AND(IF(OR($Q79=1,$Q79=2),1,0),IF($Y79&lt;=20,1,0))</formula>
    </cfRule>
    <cfRule type="expression" dxfId="7624" priority="2908">
      <formula>AND(IF($Q79=2,1,0),IF($Y79&lt;30,1,0))</formula>
    </cfRule>
    <cfRule type="expression" dxfId="7623" priority="2909">
      <formula>AND(IF($Q79=3,1,0),IF($Y79&lt;30,1,0))</formula>
    </cfRule>
    <cfRule type="expression" dxfId="7622" priority="2910">
      <formula>AND(IF($Q79=3,1,IF($Q79=4,1,0)),IF($F79&lt;=85,1,0))</formula>
    </cfRule>
  </conditionalFormatting>
  <conditionalFormatting sqref="AW80">
    <cfRule type="expression" dxfId="7621" priority="2905">
      <formula>AW80="X"</formula>
    </cfRule>
    <cfRule type="expression" dxfId="7620" priority="2906">
      <formula>AW80="후보"</formula>
    </cfRule>
  </conditionalFormatting>
  <conditionalFormatting sqref="AA80">
    <cfRule type="colorScale" priority="2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">
    <cfRule type="cellIs" dxfId="7619" priority="2902" operator="greaterThan">
      <formula>0.9</formula>
    </cfRule>
    <cfRule type="cellIs" dxfId="7618" priority="2903" operator="greaterThan">
      <formula>0.85</formula>
    </cfRule>
  </conditionalFormatting>
  <conditionalFormatting sqref="N80">
    <cfRule type="cellIs" dxfId="7617" priority="2900" operator="greaterThan">
      <formula>0.9</formula>
    </cfRule>
    <cfRule type="cellIs" dxfId="7616" priority="2901" operator="greaterThan">
      <formula>0.85</formula>
    </cfRule>
  </conditionalFormatting>
  <conditionalFormatting sqref="E80">
    <cfRule type="expression" dxfId="7615" priority="2896">
      <formula>AND(IF(OR($Q80=1,$Q80=2),1,0),IF($E80&lt;=20,1,0))</formula>
    </cfRule>
    <cfRule type="expression" dxfId="7614" priority="2897">
      <formula>AND(IF($Q80=2,1,0),IF($E80&lt;30,1,0))</formula>
    </cfRule>
    <cfRule type="expression" dxfId="7613" priority="2898">
      <formula>AND(IF($Q80=3,1,0),IF($E80&lt;30,1,0))</formula>
    </cfRule>
    <cfRule type="expression" dxfId="7612" priority="2899">
      <formula>AND(IF($Q80=3,1,IF($Q80=4,1,0)),IF($F80&lt;=85,1,0))</formula>
    </cfRule>
  </conditionalFormatting>
  <conditionalFormatting sqref="Y80">
    <cfRule type="expression" dxfId="7611" priority="2892">
      <formula>AND(IF(OR($Q80=1,$Q80=2),1,0),IF($Y80&lt;=20,1,0))</formula>
    </cfRule>
    <cfRule type="expression" dxfId="7610" priority="2893">
      <formula>AND(IF($Q80=2,1,0),IF($Y80&lt;30,1,0))</formula>
    </cfRule>
    <cfRule type="expression" dxfId="7609" priority="2894">
      <formula>AND(IF($Q80=3,1,0),IF($Y80&lt;30,1,0))</formula>
    </cfRule>
    <cfRule type="expression" dxfId="7608" priority="2895">
      <formula>AND(IF($Q80=3,1,IF($Q80=4,1,0)),IF($F80&lt;=85,1,0))</formula>
    </cfRule>
  </conditionalFormatting>
  <conditionalFormatting sqref="AJ80">
    <cfRule type="expression" dxfId="7607" priority="2888">
      <formula>AND(IF(OR($Q80=1,$Q80=2),1,0),IF($Y80&lt;=20,1,0))</formula>
    </cfRule>
    <cfRule type="expression" dxfId="7606" priority="2889">
      <formula>AND(IF($Q80=2,1,0),IF($Y80&lt;30,1,0))</formula>
    </cfRule>
    <cfRule type="expression" dxfId="7605" priority="2890">
      <formula>AND(IF($Q80=3,1,0),IF($Y80&lt;30,1,0))</formula>
    </cfRule>
    <cfRule type="expression" dxfId="7604" priority="2891">
      <formula>AND(IF($Q80=3,1,IF($Q80=4,1,0)),IF($F80&lt;=85,1,0))</formula>
    </cfRule>
  </conditionalFormatting>
  <conditionalFormatting sqref="AW81">
    <cfRule type="expression" dxfId="7603" priority="2886">
      <formula>AW81="X"</formula>
    </cfRule>
    <cfRule type="expression" dxfId="7602" priority="2887">
      <formula>AW81="후보"</formula>
    </cfRule>
  </conditionalFormatting>
  <conditionalFormatting sqref="AA81">
    <cfRule type="colorScale" priority="28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 N81">
    <cfRule type="cellIs" dxfId="7601" priority="2883" operator="greaterThan">
      <formula>0.9</formula>
    </cfRule>
    <cfRule type="cellIs" dxfId="7600" priority="2884" operator="greaterThan">
      <formula>0.85</formula>
    </cfRule>
  </conditionalFormatting>
  <conditionalFormatting sqref="AW82">
    <cfRule type="expression" dxfId="7599" priority="2881">
      <formula>AW82="X"</formula>
    </cfRule>
    <cfRule type="expression" dxfId="7598" priority="2882">
      <formula>AW82="후보"</formula>
    </cfRule>
  </conditionalFormatting>
  <conditionalFormatting sqref="AA82">
    <cfRule type="colorScale" priority="28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7597" priority="2878" operator="greaterThan">
      <formula>0.9</formula>
    </cfRule>
    <cfRule type="cellIs" dxfId="7596" priority="2879" operator="greaterThan">
      <formula>0.85</formula>
    </cfRule>
  </conditionalFormatting>
  <conditionalFormatting sqref="N82">
    <cfRule type="cellIs" dxfId="7595" priority="2876" operator="greaterThan">
      <formula>0.9</formula>
    </cfRule>
    <cfRule type="cellIs" dxfId="7594" priority="2877" operator="greaterThan">
      <formula>0.85</formula>
    </cfRule>
  </conditionalFormatting>
  <conditionalFormatting sqref="E82">
    <cfRule type="expression" dxfId="7593" priority="2872">
      <formula>AND(IF(OR($Q82=1,$Q82=2),1,0),IF($E82&lt;=20,1,0))</formula>
    </cfRule>
    <cfRule type="expression" dxfId="7592" priority="2873">
      <formula>AND(IF($Q82=2,1,0),IF($E82&lt;30,1,0))</formula>
    </cfRule>
    <cfRule type="expression" dxfId="7591" priority="2874">
      <formula>AND(IF($Q82=3,1,0),IF($E82&lt;30,1,0))</formula>
    </cfRule>
    <cfRule type="expression" dxfId="7590" priority="2875">
      <formula>AND(IF($Q82=3,1,IF($Q82=4,1,0)),IF($F82&lt;=85,1,0))</formula>
    </cfRule>
  </conditionalFormatting>
  <conditionalFormatting sqref="Y82">
    <cfRule type="expression" dxfId="7589" priority="2868">
      <formula>AND(IF(OR($Q82=1,$Q82=2),1,0),IF($Y82&lt;=20,1,0))</formula>
    </cfRule>
    <cfRule type="expression" dxfId="7588" priority="2869">
      <formula>AND(IF($Q82=2,1,0),IF($Y82&lt;30,1,0))</formula>
    </cfRule>
    <cfRule type="expression" dxfId="7587" priority="2870">
      <formula>AND(IF($Q82=3,1,0),IF($Y82&lt;30,1,0))</formula>
    </cfRule>
    <cfRule type="expression" dxfId="7586" priority="2871">
      <formula>AND(IF($Q82=3,1,IF($Q82=4,1,0)),IF($F82&lt;=85,1,0))</formula>
    </cfRule>
  </conditionalFormatting>
  <conditionalFormatting sqref="AJ82">
    <cfRule type="expression" dxfId="7585" priority="2864">
      <formula>AND(IF(OR($Q82=1,$Q82=2),1,0),IF($Y82&lt;=20,1,0))</formula>
    </cfRule>
    <cfRule type="expression" dxfId="7584" priority="2865">
      <formula>AND(IF($Q82=2,1,0),IF($Y82&lt;30,1,0))</formula>
    </cfRule>
    <cfRule type="expression" dxfId="7583" priority="2866">
      <formula>AND(IF($Q82=3,1,0),IF($Y82&lt;30,1,0))</formula>
    </cfRule>
    <cfRule type="expression" dxfId="7582" priority="2867">
      <formula>AND(IF($Q82=3,1,IF($Q82=4,1,0)),IF($F82&lt;=85,1,0))</formula>
    </cfRule>
  </conditionalFormatting>
  <conditionalFormatting sqref="AW83">
    <cfRule type="expression" dxfId="7581" priority="2862">
      <formula>AW83="X"</formula>
    </cfRule>
    <cfRule type="expression" dxfId="7580" priority="2863">
      <formula>AW83="후보"</formula>
    </cfRule>
  </conditionalFormatting>
  <conditionalFormatting sqref="AA83">
    <cfRule type="colorScale" priority="2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7579" priority="2859" operator="greaterThan">
      <formula>0.9</formula>
    </cfRule>
    <cfRule type="cellIs" dxfId="7578" priority="2860" operator="greaterThan">
      <formula>0.85</formula>
    </cfRule>
  </conditionalFormatting>
  <conditionalFormatting sqref="N83">
    <cfRule type="cellIs" dxfId="7577" priority="2857" operator="greaterThan">
      <formula>0.9</formula>
    </cfRule>
    <cfRule type="cellIs" dxfId="7576" priority="2858" operator="greaterThan">
      <formula>0.85</formula>
    </cfRule>
  </conditionalFormatting>
  <conditionalFormatting sqref="E83">
    <cfRule type="expression" dxfId="7575" priority="2853">
      <formula>AND(IF(OR($Q83=1,$Q83=2),1,0),IF($E83&lt;=20,1,0))</formula>
    </cfRule>
    <cfRule type="expression" dxfId="7574" priority="2854">
      <formula>AND(IF($Q83=2,1,0),IF($E83&lt;30,1,0))</formula>
    </cfRule>
    <cfRule type="expression" dxfId="7573" priority="2855">
      <formula>AND(IF($Q83=3,1,0),IF($E83&lt;30,1,0))</formula>
    </cfRule>
    <cfRule type="expression" dxfId="7572" priority="2856">
      <formula>AND(IF($Q83=3,1,IF($Q83=4,1,0)),IF($F83&lt;=85,1,0))</formula>
    </cfRule>
  </conditionalFormatting>
  <conditionalFormatting sqref="Y83">
    <cfRule type="expression" dxfId="7571" priority="2849">
      <formula>AND(IF(OR($Q83=1,$Q83=2),1,0),IF($Y83&lt;=20,1,0))</formula>
    </cfRule>
    <cfRule type="expression" dxfId="7570" priority="2850">
      <formula>AND(IF($Q83=2,1,0),IF($Y83&lt;30,1,0))</formula>
    </cfRule>
    <cfRule type="expression" dxfId="7569" priority="2851">
      <formula>AND(IF($Q83=3,1,0),IF($Y83&lt;30,1,0))</formula>
    </cfRule>
    <cfRule type="expression" dxfId="7568" priority="2852">
      <formula>AND(IF($Q83=3,1,IF($Q83=4,1,0)),IF($F83&lt;=85,1,0))</formula>
    </cfRule>
  </conditionalFormatting>
  <conditionalFormatting sqref="AJ83">
    <cfRule type="expression" dxfId="7567" priority="2845">
      <formula>AND(IF(OR($Q83=1,$Q83=2),1,0),IF($Y83&lt;=20,1,0))</formula>
    </cfRule>
    <cfRule type="expression" dxfId="7566" priority="2846">
      <formula>AND(IF($Q83=2,1,0),IF($Y83&lt;30,1,0))</formula>
    </cfRule>
    <cfRule type="expression" dxfId="7565" priority="2847">
      <formula>AND(IF($Q83=3,1,0),IF($Y83&lt;30,1,0))</formula>
    </cfRule>
    <cfRule type="expression" dxfId="7564" priority="2848">
      <formula>AND(IF($Q83=3,1,IF($Q83=4,1,0)),IF($F83&lt;=85,1,0))</formula>
    </cfRule>
  </conditionalFormatting>
  <conditionalFormatting sqref="AW84">
    <cfRule type="expression" dxfId="7563" priority="2843">
      <formula>AW84="X"</formula>
    </cfRule>
    <cfRule type="expression" dxfId="7562" priority="2844">
      <formula>AW84="후보"</formula>
    </cfRule>
  </conditionalFormatting>
  <conditionalFormatting sqref="AA84">
    <cfRule type="colorScale" priority="28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7561" priority="2840" operator="greaterThan">
      <formula>0.9</formula>
    </cfRule>
    <cfRule type="cellIs" dxfId="7560" priority="2841" operator="greaterThan">
      <formula>0.85</formula>
    </cfRule>
  </conditionalFormatting>
  <conditionalFormatting sqref="N84">
    <cfRule type="cellIs" dxfId="7559" priority="2838" operator="greaterThan">
      <formula>0.9</formula>
    </cfRule>
    <cfRule type="cellIs" dxfId="7558" priority="2839" operator="greaterThan">
      <formula>0.85</formula>
    </cfRule>
  </conditionalFormatting>
  <conditionalFormatting sqref="E84">
    <cfRule type="expression" dxfId="7557" priority="2834">
      <formula>AND(IF(OR($Q84=1,$Q84=2),1,0),IF($E84&lt;=20,1,0))</formula>
    </cfRule>
    <cfRule type="expression" dxfId="7556" priority="2835">
      <formula>AND(IF($Q84=2,1,0),IF($E84&lt;30,1,0))</formula>
    </cfRule>
    <cfRule type="expression" dxfId="7555" priority="2836">
      <formula>AND(IF($Q84=3,1,0),IF($E84&lt;30,1,0))</formula>
    </cfRule>
    <cfRule type="expression" dxfId="7554" priority="2837">
      <formula>AND(IF($Q84=3,1,IF($Q84=4,1,0)),IF($F84&lt;=85,1,0))</formula>
    </cfRule>
  </conditionalFormatting>
  <conditionalFormatting sqref="Y84">
    <cfRule type="expression" dxfId="7553" priority="2830">
      <formula>AND(IF(OR($Q84=1,$Q84=2),1,0),IF($Y84&lt;=20,1,0))</formula>
    </cfRule>
    <cfRule type="expression" dxfId="7552" priority="2831">
      <formula>AND(IF($Q84=2,1,0),IF($Y84&lt;30,1,0))</formula>
    </cfRule>
    <cfRule type="expression" dxfId="7551" priority="2832">
      <formula>AND(IF($Q84=3,1,0),IF($Y84&lt;30,1,0))</formula>
    </cfRule>
    <cfRule type="expression" dxfId="7550" priority="2833">
      <formula>AND(IF($Q84=3,1,IF($Q84=4,1,0)),IF($F84&lt;=85,1,0))</formula>
    </cfRule>
  </conditionalFormatting>
  <conditionalFormatting sqref="AJ84">
    <cfRule type="expression" dxfId="7549" priority="2826">
      <formula>AND(IF(OR($Q84=1,$Q84=2),1,0),IF($Y84&lt;=20,1,0))</formula>
    </cfRule>
    <cfRule type="expression" dxfId="7548" priority="2827">
      <formula>AND(IF($Q84=2,1,0),IF($Y84&lt;30,1,0))</formula>
    </cfRule>
    <cfRule type="expression" dxfId="7547" priority="2828">
      <formula>AND(IF($Q84=3,1,0),IF($Y84&lt;30,1,0))</formula>
    </cfRule>
    <cfRule type="expression" dxfId="7546" priority="2829">
      <formula>AND(IF($Q84=3,1,IF($Q84=4,1,0)),IF($F84&lt;=85,1,0))</formula>
    </cfRule>
  </conditionalFormatting>
  <conditionalFormatting sqref="AW85">
    <cfRule type="expression" dxfId="7545" priority="2824">
      <formula>AW85="X"</formula>
    </cfRule>
    <cfRule type="expression" dxfId="7544" priority="2825">
      <formula>AW85="후보"</formula>
    </cfRule>
  </conditionalFormatting>
  <conditionalFormatting sqref="AA85">
    <cfRule type="colorScale" priority="28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7543" priority="2821" operator="greaterThan">
      <formula>0.9</formula>
    </cfRule>
    <cfRule type="cellIs" dxfId="7542" priority="2822" operator="greaterThan">
      <formula>0.85</formula>
    </cfRule>
  </conditionalFormatting>
  <conditionalFormatting sqref="N85">
    <cfRule type="cellIs" dxfId="7541" priority="2819" operator="greaterThan">
      <formula>0.9</formula>
    </cfRule>
    <cfRule type="cellIs" dxfId="7540" priority="2820" operator="greaterThan">
      <formula>0.85</formula>
    </cfRule>
  </conditionalFormatting>
  <conditionalFormatting sqref="E85">
    <cfRule type="expression" dxfId="7539" priority="2815">
      <formula>AND(IF(OR($Q85=1,$Q85=2),1,0),IF($E85&lt;=20,1,0))</formula>
    </cfRule>
    <cfRule type="expression" dxfId="7538" priority="2816">
      <formula>AND(IF($Q85=2,1,0),IF($E85&lt;30,1,0))</formula>
    </cfRule>
    <cfRule type="expression" dxfId="7537" priority="2817">
      <formula>AND(IF($Q85=3,1,0),IF($E85&lt;30,1,0))</formula>
    </cfRule>
    <cfRule type="expression" dxfId="7536" priority="2818">
      <formula>AND(IF($Q85=3,1,IF($Q85=4,1,0)),IF($F85&lt;=85,1,0))</formula>
    </cfRule>
  </conditionalFormatting>
  <conditionalFormatting sqref="Y85">
    <cfRule type="expression" dxfId="7535" priority="2811">
      <formula>AND(IF(OR($Q85=1,$Q85=2),1,0),IF($Y85&lt;=20,1,0))</formula>
    </cfRule>
    <cfRule type="expression" dxfId="7534" priority="2812">
      <formula>AND(IF($Q85=2,1,0),IF($Y85&lt;30,1,0))</formula>
    </cfRule>
    <cfRule type="expression" dxfId="7533" priority="2813">
      <formula>AND(IF($Q85=3,1,0),IF($Y85&lt;30,1,0))</formula>
    </cfRule>
    <cfRule type="expression" dxfId="7532" priority="2814">
      <formula>AND(IF($Q85=3,1,IF($Q85=4,1,0)),IF($F85&lt;=85,1,0))</formula>
    </cfRule>
  </conditionalFormatting>
  <conditionalFormatting sqref="AJ85">
    <cfRule type="expression" dxfId="7531" priority="2807">
      <formula>AND(IF(OR($Q85=1,$Q85=2),1,0),IF($Y85&lt;=20,1,0))</formula>
    </cfRule>
    <cfRule type="expression" dxfId="7530" priority="2808">
      <formula>AND(IF($Q85=2,1,0),IF($Y85&lt;30,1,0))</formula>
    </cfRule>
    <cfRule type="expression" dxfId="7529" priority="2809">
      <formula>AND(IF($Q85=3,1,0),IF($Y85&lt;30,1,0))</formula>
    </cfRule>
    <cfRule type="expression" dxfId="7528" priority="2810">
      <formula>AND(IF($Q85=3,1,IF($Q85=4,1,0)),IF($F85&lt;=85,1,0))</formula>
    </cfRule>
  </conditionalFormatting>
  <conditionalFormatting sqref="AW86">
    <cfRule type="expression" dxfId="7527" priority="2805">
      <formula>AW86="X"</formula>
    </cfRule>
    <cfRule type="expression" dxfId="7526" priority="2806">
      <formula>AW86="후보"</formula>
    </cfRule>
  </conditionalFormatting>
  <conditionalFormatting sqref="AA86">
    <cfRule type="colorScale" priority="28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7525" priority="2802" operator="greaterThan">
      <formula>0.9</formula>
    </cfRule>
    <cfRule type="cellIs" dxfId="7524" priority="2803" operator="greaterThan">
      <formula>0.85</formula>
    </cfRule>
  </conditionalFormatting>
  <conditionalFormatting sqref="N86">
    <cfRule type="cellIs" dxfId="7523" priority="2800" operator="greaterThan">
      <formula>0.9</formula>
    </cfRule>
    <cfRule type="cellIs" dxfId="7522" priority="2801" operator="greaterThan">
      <formula>0.85</formula>
    </cfRule>
  </conditionalFormatting>
  <conditionalFormatting sqref="E86">
    <cfRule type="expression" dxfId="7521" priority="2796">
      <formula>AND(IF(OR($Q86=1,$Q86=2),1,0),IF($E86&lt;=20,1,0))</formula>
    </cfRule>
    <cfRule type="expression" dxfId="7520" priority="2797">
      <formula>AND(IF($Q86=2,1,0),IF($E86&lt;30,1,0))</formula>
    </cfRule>
    <cfRule type="expression" dxfId="7519" priority="2798">
      <formula>AND(IF($Q86=3,1,0),IF($E86&lt;30,1,0))</formula>
    </cfRule>
    <cfRule type="expression" dxfId="7518" priority="2799">
      <formula>AND(IF($Q86=3,1,IF($Q86=4,1,0)),IF($F86&lt;=85,1,0))</formula>
    </cfRule>
  </conditionalFormatting>
  <conditionalFormatting sqref="Y86">
    <cfRule type="expression" dxfId="7517" priority="2792">
      <formula>AND(IF(OR($Q86=1,$Q86=2),1,0),IF($Y86&lt;=20,1,0))</formula>
    </cfRule>
    <cfRule type="expression" dxfId="7516" priority="2793">
      <formula>AND(IF($Q86=2,1,0),IF($Y86&lt;30,1,0))</formula>
    </cfRule>
    <cfRule type="expression" dxfId="7515" priority="2794">
      <formula>AND(IF($Q86=3,1,0),IF($Y86&lt;30,1,0))</formula>
    </cfRule>
    <cfRule type="expression" dxfId="7514" priority="2795">
      <formula>AND(IF($Q86=3,1,IF($Q86=4,1,0)),IF($F86&lt;=85,1,0))</formula>
    </cfRule>
  </conditionalFormatting>
  <conditionalFormatting sqref="AJ86">
    <cfRule type="expression" dxfId="7513" priority="2788">
      <formula>AND(IF(OR($Q86=1,$Q86=2),1,0),IF($Y86&lt;=20,1,0))</formula>
    </cfRule>
    <cfRule type="expression" dxfId="7512" priority="2789">
      <formula>AND(IF($Q86=2,1,0),IF($Y86&lt;30,1,0))</formula>
    </cfRule>
    <cfRule type="expression" dxfId="7511" priority="2790">
      <formula>AND(IF($Q86=3,1,0),IF($Y86&lt;30,1,0))</formula>
    </cfRule>
    <cfRule type="expression" dxfId="7510" priority="2791">
      <formula>AND(IF($Q86=3,1,IF($Q86=4,1,0)),IF($F86&lt;=85,1,0))</formula>
    </cfRule>
  </conditionalFormatting>
  <conditionalFormatting sqref="AW87">
    <cfRule type="expression" dxfId="7509" priority="2786">
      <formula>AW87="X"</formula>
    </cfRule>
    <cfRule type="expression" dxfId="7508" priority="2787">
      <formula>AW87="후보"</formula>
    </cfRule>
  </conditionalFormatting>
  <conditionalFormatting sqref="AA87">
    <cfRule type="colorScale" priority="27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">
    <cfRule type="cellIs" dxfId="7507" priority="2783" operator="greaterThan">
      <formula>0.9</formula>
    </cfRule>
    <cfRule type="cellIs" dxfId="7506" priority="2784" operator="greaterThan">
      <formula>0.85</formula>
    </cfRule>
  </conditionalFormatting>
  <conditionalFormatting sqref="N87">
    <cfRule type="cellIs" dxfId="7505" priority="2781" operator="greaterThan">
      <formula>0.9</formula>
    </cfRule>
    <cfRule type="cellIs" dxfId="7504" priority="2782" operator="greaterThan">
      <formula>0.85</formula>
    </cfRule>
  </conditionalFormatting>
  <conditionalFormatting sqref="E87">
    <cfRule type="expression" dxfId="7503" priority="2777">
      <formula>AND(IF(OR($Q87=1,$Q87=2),1,0),IF($E87&lt;=20,1,0))</formula>
    </cfRule>
    <cfRule type="expression" dxfId="7502" priority="2778">
      <formula>AND(IF($Q87=2,1,0),IF($E87&lt;30,1,0))</formula>
    </cfRule>
    <cfRule type="expression" dxfId="7501" priority="2779">
      <formula>AND(IF($Q87=3,1,0),IF($E87&lt;30,1,0))</formula>
    </cfRule>
    <cfRule type="expression" dxfId="7500" priority="2780">
      <formula>AND(IF($Q87=3,1,IF($Q87=4,1,0)),IF($F87&lt;=85,1,0))</formula>
    </cfRule>
  </conditionalFormatting>
  <conditionalFormatting sqref="Y87">
    <cfRule type="expression" dxfId="7499" priority="2773">
      <formula>AND(IF(OR($Q87=1,$Q87=2),1,0),IF($Y87&lt;=20,1,0))</formula>
    </cfRule>
    <cfRule type="expression" dxfId="7498" priority="2774">
      <formula>AND(IF($Q87=2,1,0),IF($Y87&lt;30,1,0))</formula>
    </cfRule>
    <cfRule type="expression" dxfId="7497" priority="2775">
      <formula>AND(IF($Q87=3,1,0),IF($Y87&lt;30,1,0))</formula>
    </cfRule>
    <cfRule type="expression" dxfId="7496" priority="2776">
      <formula>AND(IF($Q87=3,1,IF($Q87=4,1,0)),IF($F87&lt;=85,1,0))</formula>
    </cfRule>
  </conditionalFormatting>
  <conditionalFormatting sqref="AJ87">
    <cfRule type="expression" dxfId="7495" priority="2769">
      <formula>AND(IF(OR($Q87=1,$Q87=2),1,0),IF($Y87&lt;=20,1,0))</formula>
    </cfRule>
    <cfRule type="expression" dxfId="7494" priority="2770">
      <formula>AND(IF($Q87=2,1,0),IF($Y87&lt;30,1,0))</formula>
    </cfRule>
    <cfRule type="expression" dxfId="7493" priority="2771">
      <formula>AND(IF($Q87=3,1,0),IF($Y87&lt;30,1,0))</formula>
    </cfRule>
    <cfRule type="expression" dxfId="7492" priority="2772">
      <formula>AND(IF($Q87=3,1,IF($Q87=4,1,0)),IF($F87&lt;=85,1,0))</formula>
    </cfRule>
  </conditionalFormatting>
  <conditionalFormatting sqref="AW88">
    <cfRule type="expression" dxfId="7491" priority="2767">
      <formula>AW88="X"</formula>
    </cfRule>
    <cfRule type="expression" dxfId="7490" priority="2768">
      <formula>AW88="후보"</formula>
    </cfRule>
  </conditionalFormatting>
  <conditionalFormatting sqref="AA88">
    <cfRule type="colorScale" priority="27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7489" priority="2764" operator="greaterThan">
      <formula>0.9</formula>
    </cfRule>
    <cfRule type="cellIs" dxfId="7488" priority="2765" operator="greaterThan">
      <formula>0.85</formula>
    </cfRule>
  </conditionalFormatting>
  <conditionalFormatting sqref="N88">
    <cfRule type="cellIs" dxfId="7487" priority="2762" operator="greaterThan">
      <formula>0.9</formula>
    </cfRule>
    <cfRule type="cellIs" dxfId="7486" priority="2763" operator="greaterThan">
      <formula>0.85</formula>
    </cfRule>
  </conditionalFormatting>
  <conditionalFormatting sqref="E88">
    <cfRule type="expression" dxfId="7485" priority="2758">
      <formula>AND(IF(OR($Q88=1,$Q88=2),1,0),IF($E88&lt;=20,1,0))</formula>
    </cfRule>
    <cfRule type="expression" dxfId="7484" priority="2759">
      <formula>AND(IF($Q88=2,1,0),IF($E88&lt;30,1,0))</formula>
    </cfRule>
    <cfRule type="expression" dxfId="7483" priority="2760">
      <formula>AND(IF($Q88=3,1,0),IF($E88&lt;30,1,0))</formula>
    </cfRule>
    <cfRule type="expression" dxfId="7482" priority="2761">
      <formula>AND(IF($Q88=3,1,IF($Q88=4,1,0)),IF($F88&lt;=85,1,0))</formula>
    </cfRule>
  </conditionalFormatting>
  <conditionalFormatting sqref="Y88">
    <cfRule type="expression" dxfId="7481" priority="2754">
      <formula>AND(IF(OR($Q88=1,$Q88=2),1,0),IF($Y88&lt;=20,1,0))</formula>
    </cfRule>
    <cfRule type="expression" dxfId="7480" priority="2755">
      <formula>AND(IF($Q88=2,1,0),IF($Y88&lt;30,1,0))</formula>
    </cfRule>
    <cfRule type="expression" dxfId="7479" priority="2756">
      <formula>AND(IF($Q88=3,1,0),IF($Y88&lt;30,1,0))</formula>
    </cfRule>
    <cfRule type="expression" dxfId="7478" priority="2757">
      <formula>AND(IF($Q88=3,1,IF($Q88=4,1,0)),IF($F88&lt;=85,1,0))</formula>
    </cfRule>
  </conditionalFormatting>
  <conditionalFormatting sqref="AJ88">
    <cfRule type="expression" dxfId="7477" priority="2750">
      <formula>AND(IF(OR($Q88=1,$Q88=2),1,0),IF($Y88&lt;=20,1,0))</formula>
    </cfRule>
    <cfRule type="expression" dxfId="7476" priority="2751">
      <formula>AND(IF($Q88=2,1,0),IF($Y88&lt;30,1,0))</formula>
    </cfRule>
    <cfRule type="expression" dxfId="7475" priority="2752">
      <formula>AND(IF($Q88=3,1,0),IF($Y88&lt;30,1,0))</formula>
    </cfRule>
    <cfRule type="expression" dxfId="7474" priority="2753">
      <formula>AND(IF($Q88=3,1,IF($Q88=4,1,0)),IF($F88&lt;=85,1,0))</formula>
    </cfRule>
  </conditionalFormatting>
  <conditionalFormatting sqref="AW89">
    <cfRule type="expression" dxfId="7473" priority="2748">
      <formula>AW89="X"</formula>
    </cfRule>
    <cfRule type="expression" dxfId="7472" priority="2749">
      <formula>AW89="후보"</formula>
    </cfRule>
  </conditionalFormatting>
  <conditionalFormatting sqref="AA89">
    <cfRule type="colorScale" priority="27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7471" priority="2745" operator="greaterThan">
      <formula>0.9</formula>
    </cfRule>
    <cfRule type="cellIs" dxfId="7470" priority="2746" operator="greaterThan">
      <formula>0.85</formula>
    </cfRule>
  </conditionalFormatting>
  <conditionalFormatting sqref="N89">
    <cfRule type="cellIs" dxfId="7469" priority="2743" operator="greaterThan">
      <formula>0.9</formula>
    </cfRule>
    <cfRule type="cellIs" dxfId="7468" priority="2744" operator="greaterThan">
      <formula>0.85</formula>
    </cfRule>
  </conditionalFormatting>
  <conditionalFormatting sqref="E89">
    <cfRule type="expression" dxfId="7467" priority="2739">
      <formula>AND(IF(OR($Q89=1,$Q89=2),1,0),IF($E89&lt;=20,1,0))</formula>
    </cfRule>
    <cfRule type="expression" dxfId="7466" priority="2740">
      <formula>AND(IF($Q89=2,1,0),IF($E89&lt;30,1,0))</formula>
    </cfRule>
    <cfRule type="expression" dxfId="7465" priority="2741">
      <formula>AND(IF($Q89=3,1,0),IF($E89&lt;30,1,0))</formula>
    </cfRule>
    <cfRule type="expression" dxfId="7464" priority="2742">
      <formula>AND(IF($Q89=3,1,IF($Q89=4,1,0)),IF($F89&lt;=85,1,0))</formula>
    </cfRule>
  </conditionalFormatting>
  <conditionalFormatting sqref="Y89">
    <cfRule type="expression" dxfId="7463" priority="2735">
      <formula>AND(IF(OR($Q89=1,$Q89=2),1,0),IF($Y89&lt;=20,1,0))</formula>
    </cfRule>
    <cfRule type="expression" dxfId="7462" priority="2736">
      <formula>AND(IF($Q89=2,1,0),IF($Y89&lt;30,1,0))</formula>
    </cfRule>
    <cfRule type="expression" dxfId="7461" priority="2737">
      <formula>AND(IF($Q89=3,1,0),IF($Y89&lt;30,1,0))</formula>
    </cfRule>
    <cfRule type="expression" dxfId="7460" priority="2738">
      <formula>AND(IF($Q89=3,1,IF($Q89=4,1,0)),IF($F89&lt;=85,1,0))</formula>
    </cfRule>
  </conditionalFormatting>
  <conditionalFormatting sqref="AJ89">
    <cfRule type="expression" dxfId="7459" priority="2731">
      <formula>AND(IF(OR($Q89=1,$Q89=2),1,0),IF($Y89&lt;=20,1,0))</formula>
    </cfRule>
    <cfRule type="expression" dxfId="7458" priority="2732">
      <formula>AND(IF($Q89=2,1,0),IF($Y89&lt;30,1,0))</formula>
    </cfRule>
    <cfRule type="expression" dxfId="7457" priority="2733">
      <formula>AND(IF($Q89=3,1,0),IF($Y89&lt;30,1,0))</formula>
    </cfRule>
    <cfRule type="expression" dxfId="7456" priority="2734">
      <formula>AND(IF($Q89=3,1,IF($Q89=4,1,0)),IF($F89&lt;=85,1,0))</formula>
    </cfRule>
  </conditionalFormatting>
  <conditionalFormatting sqref="AW90">
    <cfRule type="expression" dxfId="7455" priority="2729">
      <formula>AW90="X"</formula>
    </cfRule>
    <cfRule type="expression" dxfId="7454" priority="2730">
      <formula>AW90="후보"</formula>
    </cfRule>
  </conditionalFormatting>
  <conditionalFormatting sqref="AA90">
    <cfRule type="colorScale" priority="27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0">
    <cfRule type="cellIs" dxfId="7453" priority="2726" operator="greaterThan">
      <formula>0.9</formula>
    </cfRule>
    <cfRule type="cellIs" dxfId="7452" priority="2727" operator="greaterThan">
      <formula>0.85</formula>
    </cfRule>
  </conditionalFormatting>
  <conditionalFormatting sqref="N90">
    <cfRule type="cellIs" dxfId="7451" priority="2724" operator="greaterThan">
      <formula>0.9</formula>
    </cfRule>
    <cfRule type="cellIs" dxfId="7450" priority="2725" operator="greaterThan">
      <formula>0.85</formula>
    </cfRule>
  </conditionalFormatting>
  <conditionalFormatting sqref="E90">
    <cfRule type="expression" dxfId="7449" priority="2720">
      <formula>AND(IF(OR($Q90=1,$Q90=2),1,0),IF($E90&lt;=20,1,0))</formula>
    </cfRule>
    <cfRule type="expression" dxfId="7448" priority="2721">
      <formula>AND(IF($Q90=2,1,0),IF($E90&lt;30,1,0))</formula>
    </cfRule>
    <cfRule type="expression" dxfId="7447" priority="2722">
      <formula>AND(IF($Q90=3,1,0),IF($E90&lt;30,1,0))</formula>
    </cfRule>
    <cfRule type="expression" dxfId="7446" priority="2723">
      <formula>AND(IF($Q90=3,1,IF($Q90=4,1,0)),IF($F90&lt;=85,1,0))</formula>
    </cfRule>
  </conditionalFormatting>
  <conditionalFormatting sqref="Y90">
    <cfRule type="expression" dxfId="7445" priority="2716">
      <formula>AND(IF(OR($Q90=1,$Q90=2),1,0),IF($Y90&lt;=20,1,0))</formula>
    </cfRule>
    <cfRule type="expression" dxfId="7444" priority="2717">
      <formula>AND(IF($Q90=2,1,0),IF($Y90&lt;30,1,0))</formula>
    </cfRule>
    <cfRule type="expression" dxfId="7443" priority="2718">
      <formula>AND(IF($Q90=3,1,0),IF($Y90&lt;30,1,0))</formula>
    </cfRule>
    <cfRule type="expression" dxfId="7442" priority="2719">
      <formula>AND(IF($Q90=3,1,IF($Q90=4,1,0)),IF($F90&lt;=85,1,0))</formula>
    </cfRule>
  </conditionalFormatting>
  <conditionalFormatting sqref="AJ90">
    <cfRule type="expression" dxfId="7441" priority="2712">
      <formula>AND(IF(OR($Q90=1,$Q90=2),1,0),IF($Y90&lt;=20,1,0))</formula>
    </cfRule>
    <cfRule type="expression" dxfId="7440" priority="2713">
      <formula>AND(IF($Q90=2,1,0),IF($Y90&lt;30,1,0))</formula>
    </cfRule>
    <cfRule type="expression" dxfId="7439" priority="2714">
      <formula>AND(IF($Q90=3,1,0),IF($Y90&lt;30,1,0))</formula>
    </cfRule>
    <cfRule type="expression" dxfId="7438" priority="2715">
      <formula>AND(IF($Q90=3,1,IF($Q90=4,1,0)),IF($F90&lt;=85,1,0))</formula>
    </cfRule>
  </conditionalFormatting>
  <conditionalFormatting sqref="AW91">
    <cfRule type="expression" dxfId="7437" priority="2710">
      <formula>AW91="X"</formula>
    </cfRule>
    <cfRule type="expression" dxfId="7436" priority="2711">
      <formula>AW91="후보"</formula>
    </cfRule>
  </conditionalFormatting>
  <conditionalFormatting sqref="AA91">
    <cfRule type="colorScale" priority="27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1 N91">
    <cfRule type="cellIs" dxfId="7435" priority="2707" operator="greaterThan">
      <formula>0.9</formula>
    </cfRule>
    <cfRule type="cellIs" dxfId="7434" priority="2708" operator="greaterThan">
      <formula>0.85</formula>
    </cfRule>
  </conditionalFormatting>
  <conditionalFormatting sqref="AW92">
    <cfRule type="expression" dxfId="7433" priority="2705">
      <formula>AW92="X"</formula>
    </cfRule>
    <cfRule type="expression" dxfId="7432" priority="2706">
      <formula>AW92="후보"</formula>
    </cfRule>
  </conditionalFormatting>
  <conditionalFormatting sqref="AA92">
    <cfRule type="colorScale" priority="27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2">
    <cfRule type="cellIs" dxfId="7431" priority="2702" operator="greaterThan">
      <formula>0.9</formula>
    </cfRule>
    <cfRule type="cellIs" dxfId="7430" priority="2703" operator="greaterThan">
      <formula>0.85</formula>
    </cfRule>
  </conditionalFormatting>
  <conditionalFormatting sqref="N92">
    <cfRule type="cellIs" dxfId="7429" priority="2700" operator="greaterThan">
      <formula>0.9</formula>
    </cfRule>
    <cfRule type="cellIs" dxfId="7428" priority="2701" operator="greaterThan">
      <formula>0.85</formula>
    </cfRule>
  </conditionalFormatting>
  <conditionalFormatting sqref="E92">
    <cfRule type="expression" dxfId="7427" priority="2696">
      <formula>AND(IF(OR($Q92=1,$Q92=2),1,0),IF($E92&lt;=20,1,0))</formula>
    </cfRule>
    <cfRule type="expression" dxfId="7426" priority="2697">
      <formula>AND(IF($Q92=2,1,0),IF($E92&lt;30,1,0))</formula>
    </cfRule>
    <cfRule type="expression" dxfId="7425" priority="2698">
      <formula>AND(IF($Q92=3,1,0),IF($E92&lt;30,1,0))</formula>
    </cfRule>
    <cfRule type="expression" dxfId="7424" priority="2699">
      <formula>AND(IF($Q92=3,1,IF($Q92=4,1,0)),IF($F92&lt;=85,1,0))</formula>
    </cfRule>
  </conditionalFormatting>
  <conditionalFormatting sqref="Y92">
    <cfRule type="expression" dxfId="7423" priority="2692">
      <formula>AND(IF(OR($Q92=1,$Q92=2),1,0),IF($Y92&lt;=20,1,0))</formula>
    </cfRule>
    <cfRule type="expression" dxfId="7422" priority="2693">
      <formula>AND(IF($Q92=2,1,0),IF($Y92&lt;30,1,0))</formula>
    </cfRule>
    <cfRule type="expression" dxfId="7421" priority="2694">
      <formula>AND(IF($Q92=3,1,0),IF($Y92&lt;30,1,0))</formula>
    </cfRule>
    <cfRule type="expression" dxfId="7420" priority="2695">
      <formula>AND(IF($Q92=3,1,IF($Q92=4,1,0)),IF($F92&lt;=85,1,0))</formula>
    </cfRule>
  </conditionalFormatting>
  <conditionalFormatting sqref="AJ92">
    <cfRule type="expression" dxfId="7419" priority="2688">
      <formula>AND(IF(OR($Q92=1,$Q92=2),1,0),IF($Y92&lt;=20,1,0))</formula>
    </cfRule>
    <cfRule type="expression" dxfId="7418" priority="2689">
      <formula>AND(IF($Q92=2,1,0),IF($Y92&lt;30,1,0))</formula>
    </cfRule>
    <cfRule type="expression" dxfId="7417" priority="2690">
      <formula>AND(IF($Q92=3,1,0),IF($Y92&lt;30,1,0))</formula>
    </cfRule>
    <cfRule type="expression" dxfId="7416" priority="2691">
      <formula>AND(IF($Q92=3,1,IF($Q92=4,1,0)),IF($F92&lt;=85,1,0))</formula>
    </cfRule>
  </conditionalFormatting>
  <conditionalFormatting sqref="AW93">
    <cfRule type="expression" dxfId="7415" priority="2686">
      <formula>AW93="X"</formula>
    </cfRule>
    <cfRule type="expression" dxfId="7414" priority="2687">
      <formula>AW93="후보"</formula>
    </cfRule>
  </conditionalFormatting>
  <conditionalFormatting sqref="AA93">
    <cfRule type="colorScale" priority="26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3">
    <cfRule type="cellIs" dxfId="7413" priority="2683" operator="greaterThan">
      <formula>0.9</formula>
    </cfRule>
    <cfRule type="cellIs" dxfId="7412" priority="2684" operator="greaterThan">
      <formula>0.85</formula>
    </cfRule>
  </conditionalFormatting>
  <conditionalFormatting sqref="N93">
    <cfRule type="cellIs" dxfId="7411" priority="2681" operator="greaterThan">
      <formula>0.9</formula>
    </cfRule>
    <cfRule type="cellIs" dxfId="7410" priority="2682" operator="greaterThan">
      <formula>0.85</formula>
    </cfRule>
  </conditionalFormatting>
  <conditionalFormatting sqref="E93">
    <cfRule type="expression" dxfId="7409" priority="2677">
      <formula>AND(IF(OR($Q93=1,$Q93=2),1,0),IF($E93&lt;=20,1,0))</formula>
    </cfRule>
    <cfRule type="expression" dxfId="7408" priority="2678">
      <formula>AND(IF($Q93=2,1,0),IF($E93&lt;30,1,0))</formula>
    </cfRule>
    <cfRule type="expression" dxfId="7407" priority="2679">
      <formula>AND(IF($Q93=3,1,0),IF($E93&lt;30,1,0))</formula>
    </cfRule>
    <cfRule type="expression" dxfId="7406" priority="2680">
      <formula>AND(IF($Q93=3,1,IF($Q93=4,1,0)),IF($F93&lt;=85,1,0))</formula>
    </cfRule>
  </conditionalFormatting>
  <conditionalFormatting sqref="Y93">
    <cfRule type="expression" dxfId="7405" priority="2673">
      <formula>AND(IF(OR($Q93=1,$Q93=2),1,0),IF($Y93&lt;=20,1,0))</formula>
    </cfRule>
    <cfRule type="expression" dxfId="7404" priority="2674">
      <formula>AND(IF($Q93=2,1,0),IF($Y93&lt;30,1,0))</formula>
    </cfRule>
    <cfRule type="expression" dxfId="7403" priority="2675">
      <formula>AND(IF($Q93=3,1,0),IF($Y93&lt;30,1,0))</formula>
    </cfRule>
    <cfRule type="expression" dxfId="7402" priority="2676">
      <formula>AND(IF($Q93=3,1,IF($Q93=4,1,0)),IF($F93&lt;=85,1,0))</formula>
    </cfRule>
  </conditionalFormatting>
  <conditionalFormatting sqref="AJ93">
    <cfRule type="expression" dxfId="7401" priority="2669">
      <formula>AND(IF(OR($Q93=1,$Q93=2),1,0),IF($Y93&lt;=20,1,0))</formula>
    </cfRule>
    <cfRule type="expression" dxfId="7400" priority="2670">
      <formula>AND(IF($Q93=2,1,0),IF($Y93&lt;30,1,0))</formula>
    </cfRule>
    <cfRule type="expression" dxfId="7399" priority="2671">
      <formula>AND(IF($Q93=3,1,0),IF($Y93&lt;30,1,0))</formula>
    </cfRule>
    <cfRule type="expression" dxfId="7398" priority="2672">
      <formula>AND(IF($Q93=3,1,IF($Q93=4,1,0)),IF($F93&lt;=85,1,0))</formula>
    </cfRule>
  </conditionalFormatting>
  <conditionalFormatting sqref="AW94">
    <cfRule type="expression" dxfId="7397" priority="2667">
      <formula>AW94="X"</formula>
    </cfRule>
    <cfRule type="expression" dxfId="7396" priority="2668">
      <formula>AW94="후보"</formula>
    </cfRule>
  </conditionalFormatting>
  <conditionalFormatting sqref="AA94">
    <cfRule type="colorScale" priority="26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4">
    <cfRule type="cellIs" dxfId="7395" priority="2664" operator="greaterThan">
      <formula>0.9</formula>
    </cfRule>
    <cfRule type="cellIs" dxfId="7394" priority="2665" operator="greaterThan">
      <formula>0.85</formula>
    </cfRule>
  </conditionalFormatting>
  <conditionalFormatting sqref="N94">
    <cfRule type="cellIs" dxfId="7393" priority="2662" operator="greaterThan">
      <formula>0.9</formula>
    </cfRule>
    <cfRule type="cellIs" dxfId="7392" priority="2663" operator="greaterThan">
      <formula>0.85</formula>
    </cfRule>
  </conditionalFormatting>
  <conditionalFormatting sqref="E94">
    <cfRule type="expression" dxfId="7391" priority="2658">
      <formula>AND(IF(OR($Q94=1,$Q94=2),1,0),IF($E94&lt;=20,1,0))</formula>
    </cfRule>
    <cfRule type="expression" dxfId="7390" priority="2659">
      <formula>AND(IF($Q94=2,1,0),IF($E94&lt;30,1,0))</formula>
    </cfRule>
    <cfRule type="expression" dxfId="7389" priority="2660">
      <formula>AND(IF($Q94=3,1,0),IF($E94&lt;30,1,0))</formula>
    </cfRule>
    <cfRule type="expression" dxfId="7388" priority="2661">
      <formula>AND(IF($Q94=3,1,IF($Q94=4,1,0)),IF($F94&lt;=85,1,0))</formula>
    </cfRule>
  </conditionalFormatting>
  <conditionalFormatting sqref="Y94">
    <cfRule type="expression" dxfId="7387" priority="2654">
      <formula>AND(IF(OR($Q94=1,$Q94=2),1,0),IF($Y94&lt;=20,1,0))</formula>
    </cfRule>
    <cfRule type="expression" dxfId="7386" priority="2655">
      <formula>AND(IF($Q94=2,1,0),IF($Y94&lt;30,1,0))</formula>
    </cfRule>
    <cfRule type="expression" dxfId="7385" priority="2656">
      <formula>AND(IF($Q94=3,1,0),IF($Y94&lt;30,1,0))</formula>
    </cfRule>
    <cfRule type="expression" dxfId="7384" priority="2657">
      <formula>AND(IF($Q94=3,1,IF($Q94=4,1,0)),IF($F94&lt;=85,1,0))</formula>
    </cfRule>
  </conditionalFormatting>
  <conditionalFormatting sqref="AJ94">
    <cfRule type="expression" dxfId="7383" priority="2650">
      <formula>AND(IF(OR($Q94=1,$Q94=2),1,0),IF($Y94&lt;=20,1,0))</formula>
    </cfRule>
    <cfRule type="expression" dxfId="7382" priority="2651">
      <formula>AND(IF($Q94=2,1,0),IF($Y94&lt;30,1,0))</formula>
    </cfRule>
    <cfRule type="expression" dxfId="7381" priority="2652">
      <formula>AND(IF($Q94=3,1,0),IF($Y94&lt;30,1,0))</formula>
    </cfRule>
    <cfRule type="expression" dxfId="7380" priority="2653">
      <formula>AND(IF($Q94=3,1,IF($Q94=4,1,0)),IF($F94&lt;=85,1,0))</formula>
    </cfRule>
  </conditionalFormatting>
  <conditionalFormatting sqref="AW95">
    <cfRule type="expression" dxfId="7379" priority="2648">
      <formula>AW95="X"</formula>
    </cfRule>
    <cfRule type="expression" dxfId="7378" priority="2649">
      <formula>AW95="후보"</formula>
    </cfRule>
  </conditionalFormatting>
  <conditionalFormatting sqref="AA95">
    <cfRule type="colorScale" priority="26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5 N95">
    <cfRule type="cellIs" dxfId="7377" priority="2645" operator="greaterThan">
      <formula>0.9</formula>
    </cfRule>
    <cfRule type="cellIs" dxfId="7376" priority="2646" operator="greaterThan">
      <formula>0.85</formula>
    </cfRule>
  </conditionalFormatting>
  <conditionalFormatting sqref="AW96">
    <cfRule type="expression" dxfId="7375" priority="2643">
      <formula>AW96="X"</formula>
    </cfRule>
    <cfRule type="expression" dxfId="7374" priority="2644">
      <formula>AW96="후보"</formula>
    </cfRule>
  </conditionalFormatting>
  <conditionalFormatting sqref="AA96">
    <cfRule type="colorScale" priority="26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6">
    <cfRule type="cellIs" dxfId="7373" priority="2640" operator="greaterThan">
      <formula>0.9</formula>
    </cfRule>
    <cfRule type="cellIs" dxfId="7372" priority="2641" operator="greaterThan">
      <formula>0.85</formula>
    </cfRule>
  </conditionalFormatting>
  <conditionalFormatting sqref="N96">
    <cfRule type="cellIs" dxfId="7371" priority="2638" operator="greaterThan">
      <formula>0.9</formula>
    </cfRule>
    <cfRule type="cellIs" dxfId="7370" priority="2639" operator="greaterThan">
      <formula>0.85</formula>
    </cfRule>
  </conditionalFormatting>
  <conditionalFormatting sqref="E96">
    <cfRule type="expression" dxfId="7369" priority="2634">
      <formula>AND(IF(OR($Q96=1,$Q96=2),1,0),IF($E96&lt;=20,1,0))</formula>
    </cfRule>
    <cfRule type="expression" dxfId="7368" priority="2635">
      <formula>AND(IF($Q96=2,1,0),IF($E96&lt;30,1,0))</formula>
    </cfRule>
    <cfRule type="expression" dxfId="7367" priority="2636">
      <formula>AND(IF($Q96=3,1,0),IF($E96&lt;30,1,0))</formula>
    </cfRule>
    <cfRule type="expression" dxfId="7366" priority="2637">
      <formula>AND(IF($Q96=3,1,IF($Q96=4,1,0)),IF($F96&lt;=85,1,0))</formula>
    </cfRule>
  </conditionalFormatting>
  <conditionalFormatting sqref="Y96">
    <cfRule type="expression" dxfId="7365" priority="2630">
      <formula>AND(IF(OR($Q96=1,$Q96=2),1,0),IF($Y96&lt;=20,1,0))</formula>
    </cfRule>
    <cfRule type="expression" dxfId="7364" priority="2631">
      <formula>AND(IF($Q96=2,1,0),IF($Y96&lt;30,1,0))</formula>
    </cfRule>
    <cfRule type="expression" dxfId="7363" priority="2632">
      <formula>AND(IF($Q96=3,1,0),IF($Y96&lt;30,1,0))</formula>
    </cfRule>
    <cfRule type="expression" dxfId="7362" priority="2633">
      <formula>AND(IF($Q96=3,1,IF($Q96=4,1,0)),IF($F96&lt;=85,1,0))</formula>
    </cfRule>
  </conditionalFormatting>
  <conditionalFormatting sqref="AJ96">
    <cfRule type="expression" dxfId="7361" priority="2626">
      <formula>AND(IF(OR($Q96=1,$Q96=2),1,0),IF($Y96&lt;=20,1,0))</formula>
    </cfRule>
    <cfRule type="expression" dxfId="7360" priority="2627">
      <formula>AND(IF($Q96=2,1,0),IF($Y96&lt;30,1,0))</formula>
    </cfRule>
    <cfRule type="expression" dxfId="7359" priority="2628">
      <formula>AND(IF($Q96=3,1,0),IF($Y96&lt;30,1,0))</formula>
    </cfRule>
    <cfRule type="expression" dxfId="7358" priority="2629">
      <formula>AND(IF($Q96=3,1,IF($Q96=4,1,0)),IF($F96&lt;=85,1,0))</formula>
    </cfRule>
  </conditionalFormatting>
  <conditionalFormatting sqref="AW97">
    <cfRule type="expression" dxfId="7357" priority="2624">
      <formula>AW97="X"</formula>
    </cfRule>
    <cfRule type="expression" dxfId="7356" priority="2625">
      <formula>AW97="후보"</formula>
    </cfRule>
  </conditionalFormatting>
  <conditionalFormatting sqref="AA97">
    <cfRule type="colorScale" priority="2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7">
    <cfRule type="cellIs" dxfId="7355" priority="2621" operator="greaterThan">
      <formula>0.9</formula>
    </cfRule>
    <cfRule type="cellIs" dxfId="7354" priority="2622" operator="greaterThan">
      <formula>0.85</formula>
    </cfRule>
  </conditionalFormatting>
  <conditionalFormatting sqref="N97">
    <cfRule type="cellIs" dxfId="7353" priority="2619" operator="greaterThan">
      <formula>0.9</formula>
    </cfRule>
    <cfRule type="cellIs" dxfId="7352" priority="2620" operator="greaterThan">
      <formula>0.85</formula>
    </cfRule>
  </conditionalFormatting>
  <conditionalFormatting sqref="E97">
    <cfRule type="expression" dxfId="7351" priority="2615">
      <formula>AND(IF(OR($Q97=1,$Q97=2),1,0),IF($E97&lt;=20,1,0))</formula>
    </cfRule>
    <cfRule type="expression" dxfId="7350" priority="2616">
      <formula>AND(IF($Q97=2,1,0),IF($E97&lt;30,1,0))</formula>
    </cfRule>
    <cfRule type="expression" dxfId="7349" priority="2617">
      <formula>AND(IF($Q97=3,1,0),IF($E97&lt;30,1,0))</formula>
    </cfRule>
    <cfRule type="expression" dxfId="7348" priority="2618">
      <formula>AND(IF($Q97=3,1,IF($Q97=4,1,0)),IF($F97&lt;=85,1,0))</formula>
    </cfRule>
  </conditionalFormatting>
  <conditionalFormatting sqref="Y97">
    <cfRule type="expression" dxfId="7347" priority="2611">
      <formula>AND(IF(OR($Q97=1,$Q97=2),1,0),IF($Y97&lt;=20,1,0))</formula>
    </cfRule>
    <cfRule type="expression" dxfId="7346" priority="2612">
      <formula>AND(IF($Q97=2,1,0),IF($Y97&lt;30,1,0))</formula>
    </cfRule>
    <cfRule type="expression" dxfId="7345" priority="2613">
      <formula>AND(IF($Q97=3,1,0),IF($Y97&lt;30,1,0))</formula>
    </cfRule>
    <cfRule type="expression" dxfId="7344" priority="2614">
      <formula>AND(IF($Q97=3,1,IF($Q97=4,1,0)),IF($F97&lt;=85,1,0))</formula>
    </cfRule>
  </conditionalFormatting>
  <conditionalFormatting sqref="AJ97">
    <cfRule type="expression" dxfId="7343" priority="2607">
      <formula>AND(IF(OR($Q97=1,$Q97=2),1,0),IF($Y97&lt;=20,1,0))</formula>
    </cfRule>
    <cfRule type="expression" dxfId="7342" priority="2608">
      <formula>AND(IF($Q97=2,1,0),IF($Y97&lt;30,1,0))</formula>
    </cfRule>
    <cfRule type="expression" dxfId="7341" priority="2609">
      <formula>AND(IF($Q97=3,1,0),IF($Y97&lt;30,1,0))</formula>
    </cfRule>
    <cfRule type="expression" dxfId="7340" priority="2610">
      <formula>AND(IF($Q97=3,1,IF($Q97=4,1,0)),IF($F97&lt;=85,1,0))</formula>
    </cfRule>
  </conditionalFormatting>
  <conditionalFormatting sqref="AW98">
    <cfRule type="expression" dxfId="7339" priority="2605">
      <formula>AW98="X"</formula>
    </cfRule>
    <cfRule type="expression" dxfId="7338" priority="2606">
      <formula>AW98="후보"</formula>
    </cfRule>
  </conditionalFormatting>
  <conditionalFormatting sqref="AA98">
    <cfRule type="colorScale" priority="26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8">
    <cfRule type="cellIs" dxfId="7337" priority="2602" operator="greaterThan">
      <formula>0.9</formula>
    </cfRule>
    <cfRule type="cellIs" dxfId="7336" priority="2603" operator="greaterThan">
      <formula>0.85</formula>
    </cfRule>
  </conditionalFormatting>
  <conditionalFormatting sqref="N98">
    <cfRule type="cellIs" dxfId="7335" priority="2600" operator="greaterThan">
      <formula>0.9</formula>
    </cfRule>
    <cfRule type="cellIs" dxfId="7334" priority="2601" operator="greaterThan">
      <formula>0.85</formula>
    </cfRule>
  </conditionalFormatting>
  <conditionalFormatting sqref="E98">
    <cfRule type="expression" dxfId="7333" priority="2596">
      <formula>AND(IF(OR($Q98=1,$Q98=2),1,0),IF($E98&lt;=20,1,0))</formula>
    </cfRule>
    <cfRule type="expression" dxfId="7332" priority="2597">
      <formula>AND(IF($Q98=2,1,0),IF($E98&lt;30,1,0))</formula>
    </cfRule>
    <cfRule type="expression" dxfId="7331" priority="2598">
      <formula>AND(IF($Q98=3,1,0),IF($E98&lt;30,1,0))</formula>
    </cfRule>
    <cfRule type="expression" dxfId="7330" priority="2599">
      <formula>AND(IF($Q98=3,1,IF($Q98=4,1,0)),IF($F98&lt;=85,1,0))</formula>
    </cfRule>
  </conditionalFormatting>
  <conditionalFormatting sqref="Y98">
    <cfRule type="expression" dxfId="7329" priority="2592">
      <formula>AND(IF(OR($Q98=1,$Q98=2),1,0),IF($Y98&lt;=20,1,0))</formula>
    </cfRule>
    <cfRule type="expression" dxfId="7328" priority="2593">
      <formula>AND(IF($Q98=2,1,0),IF($Y98&lt;30,1,0))</formula>
    </cfRule>
    <cfRule type="expression" dxfId="7327" priority="2594">
      <formula>AND(IF($Q98=3,1,0),IF($Y98&lt;30,1,0))</formula>
    </cfRule>
    <cfRule type="expression" dxfId="7326" priority="2595">
      <formula>AND(IF($Q98=3,1,IF($Q98=4,1,0)),IF($F98&lt;=85,1,0))</formula>
    </cfRule>
  </conditionalFormatting>
  <conditionalFormatting sqref="AJ98">
    <cfRule type="expression" dxfId="7325" priority="2588">
      <formula>AND(IF(OR($Q98=1,$Q98=2),1,0),IF($Y98&lt;=20,1,0))</formula>
    </cfRule>
    <cfRule type="expression" dxfId="7324" priority="2589">
      <formula>AND(IF($Q98=2,1,0),IF($Y98&lt;30,1,0))</formula>
    </cfRule>
    <cfRule type="expression" dxfId="7323" priority="2590">
      <formula>AND(IF($Q98=3,1,0),IF($Y98&lt;30,1,0))</formula>
    </cfRule>
    <cfRule type="expression" dxfId="7322" priority="2591">
      <formula>AND(IF($Q98=3,1,IF($Q98=4,1,0)),IF($F98&lt;=85,1,0))</formula>
    </cfRule>
  </conditionalFormatting>
  <conditionalFormatting sqref="AW99">
    <cfRule type="expression" dxfId="7321" priority="2586">
      <formula>AW99="X"</formula>
    </cfRule>
    <cfRule type="expression" dxfId="7320" priority="2587">
      <formula>AW99="후보"</formula>
    </cfRule>
  </conditionalFormatting>
  <conditionalFormatting sqref="AA99">
    <cfRule type="colorScale" priority="25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9">
    <cfRule type="cellIs" dxfId="7319" priority="2583" operator="greaterThan">
      <formula>0.9</formula>
    </cfRule>
    <cfRule type="cellIs" dxfId="7318" priority="2584" operator="greaterThan">
      <formula>0.85</formula>
    </cfRule>
  </conditionalFormatting>
  <conditionalFormatting sqref="N99">
    <cfRule type="cellIs" dxfId="7317" priority="2581" operator="greaterThan">
      <formula>0.9</formula>
    </cfRule>
    <cfRule type="cellIs" dxfId="7316" priority="2582" operator="greaterThan">
      <formula>0.85</formula>
    </cfRule>
  </conditionalFormatting>
  <conditionalFormatting sqref="E99">
    <cfRule type="expression" dxfId="7315" priority="2577">
      <formula>AND(IF(OR($Q99=1,$Q99=2),1,0),IF($E99&lt;=20,1,0))</formula>
    </cfRule>
    <cfRule type="expression" dxfId="7314" priority="2578">
      <formula>AND(IF($Q99=2,1,0),IF($E99&lt;30,1,0))</formula>
    </cfRule>
    <cfRule type="expression" dxfId="7313" priority="2579">
      <formula>AND(IF($Q99=3,1,0),IF($E99&lt;30,1,0))</formula>
    </cfRule>
    <cfRule type="expression" dxfId="7312" priority="2580">
      <formula>AND(IF($Q99=3,1,IF($Q99=4,1,0)),IF($F99&lt;=85,1,0))</formula>
    </cfRule>
  </conditionalFormatting>
  <conditionalFormatting sqref="Y99">
    <cfRule type="expression" dxfId="7311" priority="2573">
      <formula>AND(IF(OR($Q99=1,$Q99=2),1,0),IF($Y99&lt;=20,1,0))</formula>
    </cfRule>
    <cfRule type="expression" dxfId="7310" priority="2574">
      <formula>AND(IF($Q99=2,1,0),IF($Y99&lt;30,1,0))</formula>
    </cfRule>
    <cfRule type="expression" dxfId="7309" priority="2575">
      <formula>AND(IF($Q99=3,1,0),IF($Y99&lt;30,1,0))</formula>
    </cfRule>
    <cfRule type="expression" dxfId="7308" priority="2576">
      <formula>AND(IF($Q99=3,1,IF($Q99=4,1,0)),IF($F99&lt;=85,1,0))</formula>
    </cfRule>
  </conditionalFormatting>
  <conditionalFormatting sqref="AJ99">
    <cfRule type="expression" dxfId="7307" priority="2569">
      <formula>AND(IF(OR($Q99=1,$Q99=2),1,0),IF($Y99&lt;=20,1,0))</formula>
    </cfRule>
    <cfRule type="expression" dxfId="7306" priority="2570">
      <formula>AND(IF($Q99=2,1,0),IF($Y99&lt;30,1,0))</formula>
    </cfRule>
    <cfRule type="expression" dxfId="7305" priority="2571">
      <formula>AND(IF($Q99=3,1,0),IF($Y99&lt;30,1,0))</formula>
    </cfRule>
    <cfRule type="expression" dxfId="7304" priority="2572">
      <formula>AND(IF($Q99=3,1,IF($Q99=4,1,0)),IF($F99&lt;=85,1,0))</formula>
    </cfRule>
  </conditionalFormatting>
  <conditionalFormatting sqref="AW100">
    <cfRule type="expression" dxfId="7303" priority="2567">
      <formula>AW100="X"</formula>
    </cfRule>
    <cfRule type="expression" dxfId="7302" priority="2568">
      <formula>AW100="후보"</formula>
    </cfRule>
  </conditionalFormatting>
  <conditionalFormatting sqref="AA100">
    <cfRule type="colorScale" priority="25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0">
    <cfRule type="cellIs" dxfId="7301" priority="2564" operator="greaterThan">
      <formula>0.9</formula>
    </cfRule>
    <cfRule type="cellIs" dxfId="7300" priority="2565" operator="greaterThan">
      <formula>0.85</formula>
    </cfRule>
  </conditionalFormatting>
  <conditionalFormatting sqref="N100">
    <cfRule type="cellIs" dxfId="7299" priority="2562" operator="greaterThan">
      <formula>0.9</formula>
    </cfRule>
    <cfRule type="cellIs" dxfId="7298" priority="2563" operator="greaterThan">
      <formula>0.85</formula>
    </cfRule>
  </conditionalFormatting>
  <conditionalFormatting sqref="E100">
    <cfRule type="expression" dxfId="7297" priority="2558">
      <formula>AND(IF(OR($Q100=1,$Q100=2),1,0),IF($E100&lt;=20,1,0))</formula>
    </cfRule>
    <cfRule type="expression" dxfId="7296" priority="2559">
      <formula>AND(IF($Q100=2,1,0),IF($E100&lt;30,1,0))</formula>
    </cfRule>
    <cfRule type="expression" dxfId="7295" priority="2560">
      <formula>AND(IF($Q100=3,1,0),IF($E100&lt;30,1,0))</formula>
    </cfRule>
    <cfRule type="expression" dxfId="7294" priority="2561">
      <formula>AND(IF($Q100=3,1,IF($Q100=4,1,0)),IF($F100&lt;=85,1,0))</formula>
    </cfRule>
  </conditionalFormatting>
  <conditionalFormatting sqref="Y100">
    <cfRule type="expression" dxfId="7293" priority="2554">
      <formula>AND(IF(OR($Q100=1,$Q100=2),1,0),IF($Y100&lt;=20,1,0))</formula>
    </cfRule>
    <cfRule type="expression" dxfId="7292" priority="2555">
      <formula>AND(IF($Q100=2,1,0),IF($Y100&lt;30,1,0))</formula>
    </cfRule>
    <cfRule type="expression" dxfId="7291" priority="2556">
      <formula>AND(IF($Q100=3,1,0),IF($Y100&lt;30,1,0))</formula>
    </cfRule>
    <cfRule type="expression" dxfId="7290" priority="2557">
      <formula>AND(IF($Q100=3,1,IF($Q100=4,1,0)),IF($F100&lt;=85,1,0))</formula>
    </cfRule>
  </conditionalFormatting>
  <conditionalFormatting sqref="AJ100">
    <cfRule type="expression" dxfId="7289" priority="2550">
      <formula>AND(IF(OR($Q100=1,$Q100=2),1,0),IF($Y100&lt;=20,1,0))</formula>
    </cfRule>
    <cfRule type="expression" dxfId="7288" priority="2551">
      <formula>AND(IF($Q100=2,1,0),IF($Y100&lt;30,1,0))</formula>
    </cfRule>
    <cfRule type="expression" dxfId="7287" priority="2552">
      <formula>AND(IF($Q100=3,1,0),IF($Y100&lt;30,1,0))</formula>
    </cfRule>
    <cfRule type="expression" dxfId="7286" priority="2553">
      <formula>AND(IF($Q100=3,1,IF($Q100=4,1,0)),IF($F100&lt;=85,1,0))</formula>
    </cfRule>
  </conditionalFormatting>
  <conditionalFormatting sqref="AW101">
    <cfRule type="expression" dxfId="7285" priority="2548">
      <formula>AW101="X"</formula>
    </cfRule>
    <cfRule type="expression" dxfId="7284" priority="2549">
      <formula>AW101="후보"</formula>
    </cfRule>
  </conditionalFormatting>
  <conditionalFormatting sqref="AA101">
    <cfRule type="colorScale" priority="25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1">
    <cfRule type="cellIs" dxfId="7283" priority="2545" operator="greaterThan">
      <formula>0.9</formula>
    </cfRule>
    <cfRule type="cellIs" dxfId="7282" priority="2546" operator="greaterThan">
      <formula>0.85</formula>
    </cfRule>
  </conditionalFormatting>
  <conditionalFormatting sqref="N101">
    <cfRule type="cellIs" dxfId="7281" priority="2543" operator="greaterThan">
      <formula>0.9</formula>
    </cfRule>
    <cfRule type="cellIs" dxfId="7280" priority="2544" operator="greaterThan">
      <formula>0.85</formula>
    </cfRule>
  </conditionalFormatting>
  <conditionalFormatting sqref="E101">
    <cfRule type="expression" dxfId="7279" priority="2539">
      <formula>AND(IF(OR($Q101=1,$Q101=2),1,0),IF($E101&lt;=20,1,0))</formula>
    </cfRule>
    <cfRule type="expression" dxfId="7278" priority="2540">
      <formula>AND(IF($Q101=2,1,0),IF($E101&lt;30,1,0))</formula>
    </cfRule>
    <cfRule type="expression" dxfId="7277" priority="2541">
      <formula>AND(IF($Q101=3,1,0),IF($E101&lt;30,1,0))</formula>
    </cfRule>
    <cfRule type="expression" dxfId="7276" priority="2542">
      <formula>AND(IF($Q101=3,1,IF($Q101=4,1,0)),IF($F101&lt;=85,1,0))</formula>
    </cfRule>
  </conditionalFormatting>
  <conditionalFormatting sqref="Y101">
    <cfRule type="expression" dxfId="7275" priority="2535">
      <formula>AND(IF(OR($Q101=1,$Q101=2),1,0),IF($Y101&lt;=20,1,0))</formula>
    </cfRule>
    <cfRule type="expression" dxfId="7274" priority="2536">
      <formula>AND(IF($Q101=2,1,0),IF($Y101&lt;30,1,0))</formula>
    </cfRule>
    <cfRule type="expression" dxfId="7273" priority="2537">
      <formula>AND(IF($Q101=3,1,0),IF($Y101&lt;30,1,0))</formula>
    </cfRule>
    <cfRule type="expression" dxfId="7272" priority="2538">
      <formula>AND(IF($Q101=3,1,IF($Q101=4,1,0)),IF($F101&lt;=85,1,0))</formula>
    </cfRule>
  </conditionalFormatting>
  <conditionalFormatting sqref="AJ101">
    <cfRule type="expression" dxfId="7271" priority="2531">
      <formula>AND(IF(OR($Q101=1,$Q101=2),1,0),IF($Y101&lt;=20,1,0))</formula>
    </cfRule>
    <cfRule type="expression" dxfId="7270" priority="2532">
      <formula>AND(IF($Q101=2,1,0),IF($Y101&lt;30,1,0))</formula>
    </cfRule>
    <cfRule type="expression" dxfId="7269" priority="2533">
      <formula>AND(IF($Q101=3,1,0),IF($Y101&lt;30,1,0))</formula>
    </cfRule>
    <cfRule type="expression" dxfId="7268" priority="2534">
      <formula>AND(IF($Q101=3,1,IF($Q101=4,1,0)),IF($F101&lt;=85,1,0))</formula>
    </cfRule>
  </conditionalFormatting>
  <conditionalFormatting sqref="AW102">
    <cfRule type="expression" dxfId="7267" priority="2529">
      <formula>AW102="X"</formula>
    </cfRule>
    <cfRule type="expression" dxfId="7266" priority="2530">
      <formula>AW102="후보"</formula>
    </cfRule>
  </conditionalFormatting>
  <conditionalFormatting sqref="AA102">
    <cfRule type="colorScale" priority="25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2">
    <cfRule type="cellIs" dxfId="7265" priority="2526" operator="greaterThan">
      <formula>0.9</formula>
    </cfRule>
    <cfRule type="cellIs" dxfId="7264" priority="2527" operator="greaterThan">
      <formula>0.85</formula>
    </cfRule>
  </conditionalFormatting>
  <conditionalFormatting sqref="N102">
    <cfRule type="cellIs" dxfId="7263" priority="2524" operator="greaterThan">
      <formula>0.9</formula>
    </cfRule>
    <cfRule type="cellIs" dxfId="7262" priority="2525" operator="greaterThan">
      <formula>0.85</formula>
    </cfRule>
  </conditionalFormatting>
  <conditionalFormatting sqref="E102">
    <cfRule type="expression" dxfId="7261" priority="2520">
      <formula>AND(IF(OR($Q102=1,$Q102=2),1,0),IF($E102&lt;=20,1,0))</formula>
    </cfRule>
    <cfRule type="expression" dxfId="7260" priority="2521">
      <formula>AND(IF($Q102=2,1,0),IF($E102&lt;30,1,0))</formula>
    </cfRule>
    <cfRule type="expression" dxfId="7259" priority="2522">
      <formula>AND(IF($Q102=3,1,0),IF($E102&lt;30,1,0))</formula>
    </cfRule>
    <cfRule type="expression" dxfId="7258" priority="2523">
      <formula>AND(IF($Q102=3,1,IF($Q102=4,1,0)),IF($F102&lt;=85,1,0))</formula>
    </cfRule>
  </conditionalFormatting>
  <conditionalFormatting sqref="Y102">
    <cfRule type="expression" dxfId="7257" priority="2516">
      <formula>AND(IF(OR($Q102=1,$Q102=2),1,0),IF($Y102&lt;=20,1,0))</formula>
    </cfRule>
    <cfRule type="expression" dxfId="7256" priority="2517">
      <formula>AND(IF($Q102=2,1,0),IF($Y102&lt;30,1,0))</formula>
    </cfRule>
    <cfRule type="expression" dxfId="7255" priority="2518">
      <formula>AND(IF($Q102=3,1,0),IF($Y102&lt;30,1,0))</formula>
    </cfRule>
    <cfRule type="expression" dxfId="7254" priority="2519">
      <formula>AND(IF($Q102=3,1,IF($Q102=4,1,0)),IF($F102&lt;=85,1,0))</formula>
    </cfRule>
  </conditionalFormatting>
  <conditionalFormatting sqref="AJ102">
    <cfRule type="expression" dxfId="7253" priority="2512">
      <formula>AND(IF(OR($Q102=1,$Q102=2),1,0),IF($Y102&lt;=20,1,0))</formula>
    </cfRule>
    <cfRule type="expression" dxfId="7252" priority="2513">
      <formula>AND(IF($Q102=2,1,0),IF($Y102&lt;30,1,0))</formula>
    </cfRule>
    <cfRule type="expression" dxfId="7251" priority="2514">
      <formula>AND(IF($Q102=3,1,0),IF($Y102&lt;30,1,0))</formula>
    </cfRule>
    <cfRule type="expression" dxfId="7250" priority="2515">
      <formula>AND(IF($Q102=3,1,IF($Q102=4,1,0)),IF($F102&lt;=85,1,0))</formula>
    </cfRule>
  </conditionalFormatting>
  <conditionalFormatting sqref="AW103">
    <cfRule type="expression" dxfId="7249" priority="2510">
      <formula>AW103="X"</formula>
    </cfRule>
    <cfRule type="expression" dxfId="7248" priority="2511">
      <formula>AW103="후보"</formula>
    </cfRule>
  </conditionalFormatting>
  <conditionalFormatting sqref="AA103">
    <cfRule type="colorScale" priority="25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3">
    <cfRule type="cellIs" dxfId="7247" priority="2507" operator="greaterThan">
      <formula>0.9</formula>
    </cfRule>
    <cfRule type="cellIs" dxfId="7246" priority="2508" operator="greaterThan">
      <formula>0.85</formula>
    </cfRule>
  </conditionalFormatting>
  <conditionalFormatting sqref="N103">
    <cfRule type="cellIs" dxfId="7245" priority="2505" operator="greaterThan">
      <formula>0.9</formula>
    </cfRule>
    <cfRule type="cellIs" dxfId="7244" priority="2506" operator="greaterThan">
      <formula>0.85</formula>
    </cfRule>
  </conditionalFormatting>
  <conditionalFormatting sqref="E103">
    <cfRule type="expression" dxfId="7243" priority="2501">
      <formula>AND(IF(OR($Q103=1,$Q103=2),1,0),IF($E103&lt;=20,1,0))</formula>
    </cfRule>
    <cfRule type="expression" dxfId="7242" priority="2502">
      <formula>AND(IF($Q103=2,1,0),IF($E103&lt;30,1,0))</formula>
    </cfRule>
    <cfRule type="expression" dxfId="7241" priority="2503">
      <formula>AND(IF($Q103=3,1,0),IF($E103&lt;30,1,0))</formula>
    </cfRule>
    <cfRule type="expression" dxfId="7240" priority="2504">
      <formula>AND(IF($Q103=3,1,IF($Q103=4,1,0)),IF($F103&lt;=85,1,0))</formula>
    </cfRule>
  </conditionalFormatting>
  <conditionalFormatting sqref="Y103">
    <cfRule type="expression" dxfId="7239" priority="2497">
      <formula>AND(IF(OR($Q103=1,$Q103=2),1,0),IF($Y103&lt;=20,1,0))</formula>
    </cfRule>
    <cfRule type="expression" dxfId="7238" priority="2498">
      <formula>AND(IF($Q103=2,1,0),IF($Y103&lt;30,1,0))</formula>
    </cfRule>
    <cfRule type="expression" dxfId="7237" priority="2499">
      <formula>AND(IF($Q103=3,1,0),IF($Y103&lt;30,1,0))</formula>
    </cfRule>
    <cfRule type="expression" dxfId="7236" priority="2500">
      <formula>AND(IF($Q103=3,1,IF($Q103=4,1,0)),IF($F103&lt;=85,1,0))</formula>
    </cfRule>
  </conditionalFormatting>
  <conditionalFormatting sqref="AJ103">
    <cfRule type="expression" dxfId="7235" priority="2493">
      <formula>AND(IF(OR($Q103=1,$Q103=2),1,0),IF($Y103&lt;=20,1,0))</formula>
    </cfRule>
    <cfRule type="expression" dxfId="7234" priority="2494">
      <formula>AND(IF($Q103=2,1,0),IF($Y103&lt;30,1,0))</formula>
    </cfRule>
    <cfRule type="expression" dxfId="7233" priority="2495">
      <formula>AND(IF($Q103=3,1,0),IF($Y103&lt;30,1,0))</formula>
    </cfRule>
    <cfRule type="expression" dxfId="7232" priority="2496">
      <formula>AND(IF($Q103=3,1,IF($Q103=4,1,0)),IF($F103&lt;=85,1,0))</formula>
    </cfRule>
  </conditionalFormatting>
  <conditionalFormatting sqref="AW104">
    <cfRule type="expression" dxfId="7231" priority="2491">
      <formula>AW104="X"</formula>
    </cfRule>
    <cfRule type="expression" dxfId="7230" priority="2492">
      <formula>AW104="후보"</formula>
    </cfRule>
  </conditionalFormatting>
  <conditionalFormatting sqref="AA104">
    <cfRule type="colorScale" priority="24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4">
    <cfRule type="cellIs" dxfId="7229" priority="2488" operator="greaterThan">
      <formula>0.9</formula>
    </cfRule>
    <cfRule type="cellIs" dxfId="7228" priority="2489" operator="greaterThan">
      <formula>0.85</formula>
    </cfRule>
  </conditionalFormatting>
  <conditionalFormatting sqref="N104">
    <cfRule type="cellIs" dxfId="7227" priority="2486" operator="greaterThan">
      <formula>0.9</formula>
    </cfRule>
    <cfRule type="cellIs" dxfId="7226" priority="2487" operator="greaterThan">
      <formula>0.85</formula>
    </cfRule>
  </conditionalFormatting>
  <conditionalFormatting sqref="E104">
    <cfRule type="expression" dxfId="7225" priority="2482">
      <formula>AND(IF(OR($Q104=1,$Q104=2),1,0),IF($E104&lt;=20,1,0))</formula>
    </cfRule>
    <cfRule type="expression" dxfId="7224" priority="2483">
      <formula>AND(IF($Q104=2,1,0),IF($E104&lt;30,1,0))</formula>
    </cfRule>
    <cfRule type="expression" dxfId="7223" priority="2484">
      <formula>AND(IF($Q104=3,1,0),IF($E104&lt;30,1,0))</formula>
    </cfRule>
    <cfRule type="expression" dxfId="7222" priority="2485">
      <formula>AND(IF($Q104=3,1,IF($Q104=4,1,0)),IF($F104&lt;=85,1,0))</formula>
    </cfRule>
  </conditionalFormatting>
  <conditionalFormatting sqref="Y104">
    <cfRule type="expression" dxfId="7221" priority="2478">
      <formula>AND(IF(OR($Q104=1,$Q104=2),1,0),IF($Y104&lt;=20,1,0))</formula>
    </cfRule>
    <cfRule type="expression" dxfId="7220" priority="2479">
      <formula>AND(IF($Q104=2,1,0),IF($Y104&lt;30,1,0))</formula>
    </cfRule>
    <cfRule type="expression" dxfId="7219" priority="2480">
      <formula>AND(IF($Q104=3,1,0),IF($Y104&lt;30,1,0))</formula>
    </cfRule>
    <cfRule type="expression" dxfId="7218" priority="2481">
      <formula>AND(IF($Q104=3,1,IF($Q104=4,1,0)),IF($F104&lt;=85,1,0))</formula>
    </cfRule>
  </conditionalFormatting>
  <conditionalFormatting sqref="AJ104">
    <cfRule type="expression" dxfId="7217" priority="2474">
      <formula>AND(IF(OR($Q104=1,$Q104=2),1,0),IF($Y104&lt;=20,1,0))</formula>
    </cfRule>
    <cfRule type="expression" dxfId="7216" priority="2475">
      <formula>AND(IF($Q104=2,1,0),IF($Y104&lt;30,1,0))</formula>
    </cfRule>
    <cfRule type="expression" dxfId="7215" priority="2476">
      <formula>AND(IF($Q104=3,1,0),IF($Y104&lt;30,1,0))</formula>
    </cfRule>
    <cfRule type="expression" dxfId="7214" priority="2477">
      <formula>AND(IF($Q104=3,1,IF($Q104=4,1,0)),IF($F104&lt;=85,1,0))</formula>
    </cfRule>
  </conditionalFormatting>
  <conditionalFormatting sqref="AW105">
    <cfRule type="expression" dxfId="7213" priority="2472">
      <formula>AW105="X"</formula>
    </cfRule>
    <cfRule type="expression" dxfId="7212" priority="2473">
      <formula>AW105="후보"</formula>
    </cfRule>
  </conditionalFormatting>
  <conditionalFormatting sqref="AA105">
    <cfRule type="colorScale" priority="24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5">
    <cfRule type="cellIs" dxfId="7211" priority="2469" operator="greaterThan">
      <formula>0.9</formula>
    </cfRule>
    <cfRule type="cellIs" dxfId="7210" priority="2470" operator="greaterThan">
      <formula>0.85</formula>
    </cfRule>
  </conditionalFormatting>
  <conditionalFormatting sqref="N105">
    <cfRule type="cellIs" dxfId="7209" priority="2467" operator="greaterThan">
      <formula>0.9</formula>
    </cfRule>
    <cfRule type="cellIs" dxfId="7208" priority="2468" operator="greaterThan">
      <formula>0.85</formula>
    </cfRule>
  </conditionalFormatting>
  <conditionalFormatting sqref="E105">
    <cfRule type="expression" dxfId="7207" priority="2463">
      <formula>AND(IF(OR($Q105=1,$Q105=2),1,0),IF($E105&lt;=20,1,0))</formula>
    </cfRule>
    <cfRule type="expression" dxfId="7206" priority="2464">
      <formula>AND(IF($Q105=2,1,0),IF($E105&lt;30,1,0))</formula>
    </cfRule>
    <cfRule type="expression" dxfId="7205" priority="2465">
      <formula>AND(IF($Q105=3,1,0),IF($E105&lt;30,1,0))</formula>
    </cfRule>
    <cfRule type="expression" dxfId="7204" priority="2466">
      <formula>AND(IF($Q105=3,1,IF($Q105=4,1,0)),IF($F105&lt;=85,1,0))</formula>
    </cfRule>
  </conditionalFormatting>
  <conditionalFormatting sqref="Y105">
    <cfRule type="expression" dxfId="7203" priority="2459">
      <formula>AND(IF(OR($Q105=1,$Q105=2),1,0),IF($Y105&lt;=20,1,0))</formula>
    </cfRule>
    <cfRule type="expression" dxfId="7202" priority="2460">
      <formula>AND(IF($Q105=2,1,0),IF($Y105&lt;30,1,0))</formula>
    </cfRule>
    <cfRule type="expression" dxfId="7201" priority="2461">
      <formula>AND(IF($Q105=3,1,0),IF($Y105&lt;30,1,0))</formula>
    </cfRule>
    <cfRule type="expression" dxfId="7200" priority="2462">
      <formula>AND(IF($Q105=3,1,IF($Q105=4,1,0)),IF($F105&lt;=85,1,0))</formula>
    </cfRule>
  </conditionalFormatting>
  <conditionalFormatting sqref="AJ105">
    <cfRule type="expression" dxfId="7199" priority="2455">
      <formula>AND(IF(OR($Q105=1,$Q105=2),1,0),IF($Y105&lt;=20,1,0))</formula>
    </cfRule>
    <cfRule type="expression" dxfId="7198" priority="2456">
      <formula>AND(IF($Q105=2,1,0),IF($Y105&lt;30,1,0))</formula>
    </cfRule>
    <cfRule type="expression" dxfId="7197" priority="2457">
      <formula>AND(IF($Q105=3,1,0),IF($Y105&lt;30,1,0))</formula>
    </cfRule>
    <cfRule type="expression" dxfId="7196" priority="2458">
      <formula>AND(IF($Q105=3,1,IF($Q105=4,1,0)),IF($F105&lt;=85,1,0))</formula>
    </cfRule>
  </conditionalFormatting>
  <conditionalFormatting sqref="AW106">
    <cfRule type="expression" dxfId="7195" priority="2453">
      <formula>AW106="X"</formula>
    </cfRule>
    <cfRule type="expression" dxfId="7194" priority="2454">
      <formula>AW106="후보"</formula>
    </cfRule>
  </conditionalFormatting>
  <conditionalFormatting sqref="AA106">
    <cfRule type="colorScale" priority="24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6">
    <cfRule type="cellIs" dxfId="7193" priority="2450" operator="greaterThan">
      <formula>0.9</formula>
    </cfRule>
    <cfRule type="cellIs" dxfId="7192" priority="2451" operator="greaterThan">
      <formula>0.85</formula>
    </cfRule>
  </conditionalFormatting>
  <conditionalFormatting sqref="N106">
    <cfRule type="cellIs" dxfId="7191" priority="2448" operator="greaterThan">
      <formula>0.9</formula>
    </cfRule>
    <cfRule type="cellIs" dxfId="7190" priority="2449" operator="greaterThan">
      <formula>0.85</formula>
    </cfRule>
  </conditionalFormatting>
  <conditionalFormatting sqref="E106">
    <cfRule type="expression" dxfId="7189" priority="2444">
      <formula>AND(IF(OR($Q106=1,$Q106=2),1,0),IF($E106&lt;=20,1,0))</formula>
    </cfRule>
    <cfRule type="expression" dxfId="7188" priority="2445">
      <formula>AND(IF($Q106=2,1,0),IF($E106&lt;30,1,0))</formula>
    </cfRule>
    <cfRule type="expression" dxfId="7187" priority="2446">
      <formula>AND(IF($Q106=3,1,0),IF($E106&lt;30,1,0))</formula>
    </cfRule>
    <cfRule type="expression" dxfId="7186" priority="2447">
      <formula>AND(IF($Q106=3,1,IF($Q106=4,1,0)),IF($F106&lt;=85,1,0))</formula>
    </cfRule>
  </conditionalFormatting>
  <conditionalFormatting sqref="Y106">
    <cfRule type="expression" dxfId="7185" priority="2440">
      <formula>AND(IF(OR($Q106=1,$Q106=2),1,0),IF($Y106&lt;=20,1,0))</formula>
    </cfRule>
    <cfRule type="expression" dxfId="7184" priority="2441">
      <formula>AND(IF($Q106=2,1,0),IF($Y106&lt;30,1,0))</formula>
    </cfRule>
    <cfRule type="expression" dxfId="7183" priority="2442">
      <formula>AND(IF($Q106=3,1,0),IF($Y106&lt;30,1,0))</formula>
    </cfRule>
    <cfRule type="expression" dxfId="7182" priority="2443">
      <formula>AND(IF($Q106=3,1,IF($Q106=4,1,0)),IF($F106&lt;=85,1,0))</formula>
    </cfRule>
  </conditionalFormatting>
  <conditionalFormatting sqref="AJ106">
    <cfRule type="expression" dxfId="7181" priority="2436">
      <formula>AND(IF(OR($Q106=1,$Q106=2),1,0),IF($Y106&lt;=20,1,0))</formula>
    </cfRule>
    <cfRule type="expression" dxfId="7180" priority="2437">
      <formula>AND(IF($Q106=2,1,0),IF($Y106&lt;30,1,0))</formula>
    </cfRule>
    <cfRule type="expression" dxfId="7179" priority="2438">
      <formula>AND(IF($Q106=3,1,0),IF($Y106&lt;30,1,0))</formula>
    </cfRule>
    <cfRule type="expression" dxfId="7178" priority="2439">
      <formula>AND(IF($Q106=3,1,IF($Q106=4,1,0)),IF($F106&lt;=85,1,0))</formula>
    </cfRule>
  </conditionalFormatting>
  <conditionalFormatting sqref="AW107">
    <cfRule type="expression" dxfId="7177" priority="2434">
      <formula>AW107="X"</formula>
    </cfRule>
    <cfRule type="expression" dxfId="7176" priority="2435">
      <formula>AW107="후보"</formula>
    </cfRule>
  </conditionalFormatting>
  <conditionalFormatting sqref="AA107">
    <cfRule type="colorScale" priority="24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7">
    <cfRule type="cellIs" dxfId="7175" priority="2431" operator="greaterThan">
      <formula>0.9</formula>
    </cfRule>
    <cfRule type="cellIs" dxfId="7174" priority="2432" operator="greaterThan">
      <formula>0.85</formula>
    </cfRule>
  </conditionalFormatting>
  <conditionalFormatting sqref="N107">
    <cfRule type="cellIs" dxfId="7173" priority="2429" operator="greaterThan">
      <formula>0.9</formula>
    </cfRule>
    <cfRule type="cellIs" dxfId="7172" priority="2430" operator="greaterThan">
      <formula>0.85</formula>
    </cfRule>
  </conditionalFormatting>
  <conditionalFormatting sqref="E107">
    <cfRule type="expression" dxfId="7171" priority="2425">
      <formula>AND(IF(OR($Q107=1,$Q107=2),1,0),IF($E107&lt;=20,1,0))</formula>
    </cfRule>
    <cfRule type="expression" dxfId="7170" priority="2426">
      <formula>AND(IF($Q107=2,1,0),IF($E107&lt;30,1,0))</formula>
    </cfRule>
    <cfRule type="expression" dxfId="7169" priority="2427">
      <formula>AND(IF($Q107=3,1,0),IF($E107&lt;30,1,0))</formula>
    </cfRule>
    <cfRule type="expression" dxfId="7168" priority="2428">
      <formula>AND(IF($Q107=3,1,IF($Q107=4,1,0)),IF($F107&lt;=85,1,0))</formula>
    </cfRule>
  </conditionalFormatting>
  <conditionalFormatting sqref="Y107">
    <cfRule type="expression" dxfId="7167" priority="2421">
      <formula>AND(IF(OR($Q107=1,$Q107=2),1,0),IF($Y107&lt;=20,1,0))</formula>
    </cfRule>
    <cfRule type="expression" dxfId="7166" priority="2422">
      <formula>AND(IF($Q107=2,1,0),IF($Y107&lt;30,1,0))</formula>
    </cfRule>
    <cfRule type="expression" dxfId="7165" priority="2423">
      <formula>AND(IF($Q107=3,1,0),IF($Y107&lt;30,1,0))</formula>
    </cfRule>
    <cfRule type="expression" dxfId="7164" priority="2424">
      <formula>AND(IF($Q107=3,1,IF($Q107=4,1,0)),IF($F107&lt;=85,1,0))</formula>
    </cfRule>
  </conditionalFormatting>
  <conditionalFormatting sqref="AJ107">
    <cfRule type="expression" dxfId="7163" priority="2417">
      <formula>AND(IF(OR($Q107=1,$Q107=2),1,0),IF($Y107&lt;=20,1,0))</formula>
    </cfRule>
    <cfRule type="expression" dxfId="7162" priority="2418">
      <formula>AND(IF($Q107=2,1,0),IF($Y107&lt;30,1,0))</formula>
    </cfRule>
    <cfRule type="expression" dxfId="7161" priority="2419">
      <formula>AND(IF($Q107=3,1,0),IF($Y107&lt;30,1,0))</formula>
    </cfRule>
    <cfRule type="expression" dxfId="7160" priority="2420">
      <formula>AND(IF($Q107=3,1,IF($Q107=4,1,0)),IF($F107&lt;=85,1,0))</formula>
    </cfRule>
  </conditionalFormatting>
  <conditionalFormatting sqref="AW108">
    <cfRule type="expression" dxfId="7159" priority="2415">
      <formula>AW108="X"</formula>
    </cfRule>
    <cfRule type="expression" dxfId="7158" priority="2416">
      <formula>AW108="후보"</formula>
    </cfRule>
  </conditionalFormatting>
  <conditionalFormatting sqref="AA108">
    <cfRule type="colorScale" priority="24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8">
    <cfRule type="cellIs" dxfId="7157" priority="2412" operator="greaterThan">
      <formula>0.9</formula>
    </cfRule>
    <cfRule type="cellIs" dxfId="7156" priority="2413" operator="greaterThan">
      <formula>0.85</formula>
    </cfRule>
  </conditionalFormatting>
  <conditionalFormatting sqref="N108">
    <cfRule type="cellIs" dxfId="7155" priority="2410" operator="greaterThan">
      <formula>0.9</formula>
    </cfRule>
    <cfRule type="cellIs" dxfId="7154" priority="2411" operator="greaterThan">
      <formula>0.85</formula>
    </cfRule>
  </conditionalFormatting>
  <conditionalFormatting sqref="E108">
    <cfRule type="expression" dxfId="7153" priority="2406">
      <formula>AND(IF(OR($Q108=1,$Q108=2),1,0),IF($E108&lt;=20,1,0))</formula>
    </cfRule>
    <cfRule type="expression" dxfId="7152" priority="2407">
      <formula>AND(IF($Q108=2,1,0),IF($E108&lt;30,1,0))</formula>
    </cfRule>
    <cfRule type="expression" dxfId="7151" priority="2408">
      <formula>AND(IF($Q108=3,1,0),IF($E108&lt;30,1,0))</formula>
    </cfRule>
    <cfRule type="expression" dxfId="7150" priority="2409">
      <formula>AND(IF($Q108=3,1,IF($Q108=4,1,0)),IF($F108&lt;=85,1,0))</formula>
    </cfRule>
  </conditionalFormatting>
  <conditionalFormatting sqref="Y108">
    <cfRule type="expression" dxfId="7149" priority="2402">
      <formula>AND(IF(OR($Q108=1,$Q108=2),1,0),IF($Y108&lt;=20,1,0))</formula>
    </cfRule>
    <cfRule type="expression" dxfId="7148" priority="2403">
      <formula>AND(IF($Q108=2,1,0),IF($Y108&lt;30,1,0))</formula>
    </cfRule>
    <cfRule type="expression" dxfId="7147" priority="2404">
      <formula>AND(IF($Q108=3,1,0),IF($Y108&lt;30,1,0))</formula>
    </cfRule>
    <cfRule type="expression" dxfId="7146" priority="2405">
      <formula>AND(IF($Q108=3,1,IF($Q108=4,1,0)),IF($F108&lt;=85,1,0))</formula>
    </cfRule>
  </conditionalFormatting>
  <conditionalFormatting sqref="AJ108">
    <cfRule type="expression" dxfId="7145" priority="2398">
      <formula>AND(IF(OR($Q108=1,$Q108=2),1,0),IF($Y108&lt;=20,1,0))</formula>
    </cfRule>
    <cfRule type="expression" dxfId="7144" priority="2399">
      <formula>AND(IF($Q108=2,1,0),IF($Y108&lt;30,1,0))</formula>
    </cfRule>
    <cfRule type="expression" dxfId="7143" priority="2400">
      <formula>AND(IF($Q108=3,1,0),IF($Y108&lt;30,1,0))</formula>
    </cfRule>
    <cfRule type="expression" dxfId="7142" priority="2401">
      <formula>AND(IF($Q108=3,1,IF($Q108=4,1,0)),IF($F108&lt;=85,1,0))</formula>
    </cfRule>
  </conditionalFormatting>
  <conditionalFormatting sqref="AW109">
    <cfRule type="expression" dxfId="7141" priority="2396">
      <formula>AW109="X"</formula>
    </cfRule>
    <cfRule type="expression" dxfId="7140" priority="2397">
      <formula>AW109="후보"</formula>
    </cfRule>
  </conditionalFormatting>
  <conditionalFormatting sqref="AA109">
    <cfRule type="colorScale" priority="23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9">
    <cfRule type="cellIs" dxfId="7139" priority="2393" operator="greaterThan">
      <formula>0.9</formula>
    </cfRule>
    <cfRule type="cellIs" dxfId="7138" priority="2394" operator="greaterThan">
      <formula>0.85</formula>
    </cfRule>
  </conditionalFormatting>
  <conditionalFormatting sqref="N109">
    <cfRule type="cellIs" dxfId="7137" priority="2391" operator="greaterThan">
      <formula>0.9</formula>
    </cfRule>
    <cfRule type="cellIs" dxfId="7136" priority="2392" operator="greaterThan">
      <formula>0.85</formula>
    </cfRule>
  </conditionalFormatting>
  <conditionalFormatting sqref="E109">
    <cfRule type="expression" dxfId="7135" priority="2387">
      <formula>AND(IF(OR($Q109=1,$Q109=2),1,0),IF($E109&lt;=20,1,0))</formula>
    </cfRule>
    <cfRule type="expression" dxfId="7134" priority="2388">
      <formula>AND(IF($Q109=2,1,0),IF($E109&lt;30,1,0))</formula>
    </cfRule>
    <cfRule type="expression" dxfId="7133" priority="2389">
      <formula>AND(IF($Q109=3,1,0),IF($E109&lt;30,1,0))</formula>
    </cfRule>
    <cfRule type="expression" dxfId="7132" priority="2390">
      <formula>AND(IF($Q109=3,1,IF($Q109=4,1,0)),IF($F109&lt;=85,1,0))</formula>
    </cfRule>
  </conditionalFormatting>
  <conditionalFormatting sqref="Y109">
    <cfRule type="expression" dxfId="7131" priority="2383">
      <formula>AND(IF(OR($Q109=1,$Q109=2),1,0),IF($Y109&lt;=20,1,0))</formula>
    </cfRule>
    <cfRule type="expression" dxfId="7130" priority="2384">
      <formula>AND(IF($Q109=2,1,0),IF($Y109&lt;30,1,0))</formula>
    </cfRule>
    <cfRule type="expression" dxfId="7129" priority="2385">
      <formula>AND(IF($Q109=3,1,0),IF($Y109&lt;30,1,0))</formula>
    </cfRule>
    <cfRule type="expression" dxfId="7128" priority="2386">
      <formula>AND(IF($Q109=3,1,IF($Q109=4,1,0)),IF($F109&lt;=85,1,0))</formula>
    </cfRule>
  </conditionalFormatting>
  <conditionalFormatting sqref="AJ109">
    <cfRule type="expression" dxfId="7127" priority="2379">
      <formula>AND(IF(OR($Q109=1,$Q109=2),1,0),IF($Y109&lt;=20,1,0))</formula>
    </cfRule>
    <cfRule type="expression" dxfId="7126" priority="2380">
      <formula>AND(IF($Q109=2,1,0),IF($Y109&lt;30,1,0))</formula>
    </cfRule>
    <cfRule type="expression" dxfId="7125" priority="2381">
      <formula>AND(IF($Q109=3,1,0),IF($Y109&lt;30,1,0))</formula>
    </cfRule>
    <cfRule type="expression" dxfId="7124" priority="2382">
      <formula>AND(IF($Q109=3,1,IF($Q109=4,1,0)),IF($F109&lt;=85,1,0))</formula>
    </cfRule>
  </conditionalFormatting>
  <conditionalFormatting sqref="AW110">
    <cfRule type="expression" dxfId="7123" priority="2377">
      <formula>AW110="X"</formula>
    </cfRule>
    <cfRule type="expression" dxfId="7122" priority="2378">
      <formula>AW110="후보"</formula>
    </cfRule>
  </conditionalFormatting>
  <conditionalFormatting sqref="AA110">
    <cfRule type="colorScale" priority="23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0 N110">
    <cfRule type="cellIs" dxfId="7121" priority="2374" operator="greaterThan">
      <formula>0.9</formula>
    </cfRule>
    <cfRule type="cellIs" dxfId="7120" priority="2375" operator="greaterThan">
      <formula>0.85</formula>
    </cfRule>
  </conditionalFormatting>
  <conditionalFormatting sqref="AW111">
    <cfRule type="expression" dxfId="7119" priority="2372">
      <formula>AW111="X"</formula>
    </cfRule>
    <cfRule type="expression" dxfId="7118" priority="2373">
      <formula>AW111="후보"</formula>
    </cfRule>
  </conditionalFormatting>
  <conditionalFormatting sqref="AA111">
    <cfRule type="colorScale" priority="23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1">
    <cfRule type="cellIs" dxfId="7117" priority="2369" operator="greaterThan">
      <formula>0.9</formula>
    </cfRule>
    <cfRule type="cellIs" dxfId="7116" priority="2370" operator="greaterThan">
      <formula>0.85</formula>
    </cfRule>
  </conditionalFormatting>
  <conditionalFormatting sqref="N111">
    <cfRule type="cellIs" dxfId="7115" priority="2367" operator="greaterThan">
      <formula>0.9</formula>
    </cfRule>
    <cfRule type="cellIs" dxfId="7114" priority="2368" operator="greaterThan">
      <formula>0.85</formula>
    </cfRule>
  </conditionalFormatting>
  <conditionalFormatting sqref="E111">
    <cfRule type="expression" dxfId="7113" priority="2363">
      <formula>AND(IF(OR($Q111=1,$Q111=2),1,0),IF($E111&lt;=20,1,0))</formula>
    </cfRule>
    <cfRule type="expression" dxfId="7112" priority="2364">
      <formula>AND(IF($Q111=2,1,0),IF($E111&lt;30,1,0))</formula>
    </cfRule>
    <cfRule type="expression" dxfId="7111" priority="2365">
      <formula>AND(IF($Q111=3,1,0),IF($E111&lt;30,1,0))</formula>
    </cfRule>
    <cfRule type="expression" dxfId="7110" priority="2366">
      <formula>AND(IF($Q111=3,1,IF($Q111=4,1,0)),IF($F111&lt;=85,1,0))</formula>
    </cfRule>
  </conditionalFormatting>
  <conditionalFormatting sqref="Y111">
    <cfRule type="expression" dxfId="7109" priority="2359">
      <formula>AND(IF(OR($Q111=1,$Q111=2),1,0),IF($Y111&lt;=20,1,0))</formula>
    </cfRule>
    <cfRule type="expression" dxfId="7108" priority="2360">
      <formula>AND(IF($Q111=2,1,0),IF($Y111&lt;30,1,0))</formula>
    </cfRule>
    <cfRule type="expression" dxfId="7107" priority="2361">
      <formula>AND(IF($Q111=3,1,0),IF($Y111&lt;30,1,0))</formula>
    </cfRule>
    <cfRule type="expression" dxfId="7106" priority="2362">
      <formula>AND(IF($Q111=3,1,IF($Q111=4,1,0)),IF($F111&lt;=85,1,0))</formula>
    </cfRule>
  </conditionalFormatting>
  <conditionalFormatting sqref="AJ111">
    <cfRule type="expression" dxfId="7105" priority="2355">
      <formula>AND(IF(OR($Q111=1,$Q111=2),1,0),IF($Y111&lt;=20,1,0))</formula>
    </cfRule>
    <cfRule type="expression" dxfId="7104" priority="2356">
      <formula>AND(IF($Q111=2,1,0),IF($Y111&lt;30,1,0))</formula>
    </cfRule>
    <cfRule type="expression" dxfId="7103" priority="2357">
      <formula>AND(IF($Q111=3,1,0),IF($Y111&lt;30,1,0))</formula>
    </cfRule>
    <cfRule type="expression" dxfId="7102" priority="2358">
      <formula>AND(IF($Q111=3,1,IF($Q111=4,1,0)),IF($F111&lt;=85,1,0))</formula>
    </cfRule>
  </conditionalFormatting>
  <conditionalFormatting sqref="AW112">
    <cfRule type="expression" dxfId="7101" priority="2353">
      <formula>AW112="X"</formula>
    </cfRule>
    <cfRule type="expression" dxfId="7100" priority="2354">
      <formula>AW112="후보"</formula>
    </cfRule>
  </conditionalFormatting>
  <conditionalFormatting sqref="AA112">
    <cfRule type="colorScale" priority="23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2">
    <cfRule type="cellIs" dxfId="7099" priority="2350" operator="greaterThan">
      <formula>0.9</formula>
    </cfRule>
    <cfRule type="cellIs" dxfId="7098" priority="2351" operator="greaterThan">
      <formula>0.85</formula>
    </cfRule>
  </conditionalFormatting>
  <conditionalFormatting sqref="N112">
    <cfRule type="cellIs" dxfId="7097" priority="2348" operator="greaterThan">
      <formula>0.9</formula>
    </cfRule>
    <cfRule type="cellIs" dxfId="7096" priority="2349" operator="greaterThan">
      <formula>0.85</formula>
    </cfRule>
  </conditionalFormatting>
  <conditionalFormatting sqref="E112">
    <cfRule type="expression" dxfId="7095" priority="2344">
      <formula>AND(IF(OR($Q112=1,$Q112=2),1,0),IF($E112&lt;=20,1,0))</formula>
    </cfRule>
    <cfRule type="expression" dxfId="7094" priority="2345">
      <formula>AND(IF($Q112=2,1,0),IF($E112&lt;30,1,0))</formula>
    </cfRule>
    <cfRule type="expression" dxfId="7093" priority="2346">
      <formula>AND(IF($Q112=3,1,0),IF($E112&lt;30,1,0))</formula>
    </cfRule>
    <cfRule type="expression" dxfId="7092" priority="2347">
      <formula>AND(IF($Q112=3,1,IF($Q112=4,1,0)),IF($F112&lt;=85,1,0))</formula>
    </cfRule>
  </conditionalFormatting>
  <conditionalFormatting sqref="Y112">
    <cfRule type="expression" dxfId="7091" priority="2340">
      <formula>AND(IF(OR($Q112=1,$Q112=2),1,0),IF($Y112&lt;=20,1,0))</formula>
    </cfRule>
    <cfRule type="expression" dxfId="7090" priority="2341">
      <formula>AND(IF($Q112=2,1,0),IF($Y112&lt;30,1,0))</formula>
    </cfRule>
    <cfRule type="expression" dxfId="7089" priority="2342">
      <formula>AND(IF($Q112=3,1,0),IF($Y112&lt;30,1,0))</formula>
    </cfRule>
    <cfRule type="expression" dxfId="7088" priority="2343">
      <formula>AND(IF($Q112=3,1,IF($Q112=4,1,0)),IF($F112&lt;=85,1,0))</formula>
    </cfRule>
  </conditionalFormatting>
  <conditionalFormatting sqref="AJ112">
    <cfRule type="expression" dxfId="7087" priority="2336">
      <formula>AND(IF(OR($Q112=1,$Q112=2),1,0),IF($Y112&lt;=20,1,0))</formula>
    </cfRule>
    <cfRule type="expression" dxfId="7086" priority="2337">
      <formula>AND(IF($Q112=2,1,0),IF($Y112&lt;30,1,0))</formula>
    </cfRule>
    <cfRule type="expression" dxfId="7085" priority="2338">
      <formula>AND(IF($Q112=3,1,0),IF($Y112&lt;30,1,0))</formula>
    </cfRule>
    <cfRule type="expression" dxfId="7084" priority="2339">
      <formula>AND(IF($Q112=3,1,IF($Q112=4,1,0)),IF($F112&lt;=85,1,0))</formula>
    </cfRule>
  </conditionalFormatting>
  <conditionalFormatting sqref="AW113">
    <cfRule type="expression" dxfId="7083" priority="2334">
      <formula>AW113="X"</formula>
    </cfRule>
    <cfRule type="expression" dxfId="7082" priority="2335">
      <formula>AW113="후보"</formula>
    </cfRule>
  </conditionalFormatting>
  <conditionalFormatting sqref="AA113">
    <cfRule type="colorScale" priority="23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3">
    <cfRule type="cellIs" dxfId="7081" priority="2331" operator="greaterThan">
      <formula>0.9</formula>
    </cfRule>
    <cfRule type="cellIs" dxfId="7080" priority="2332" operator="greaterThan">
      <formula>0.85</formula>
    </cfRule>
  </conditionalFormatting>
  <conditionalFormatting sqref="N113">
    <cfRule type="cellIs" dxfId="7079" priority="2329" operator="greaterThan">
      <formula>0.9</formula>
    </cfRule>
    <cfRule type="cellIs" dxfId="7078" priority="2330" operator="greaterThan">
      <formula>0.85</formula>
    </cfRule>
  </conditionalFormatting>
  <conditionalFormatting sqref="E113">
    <cfRule type="expression" dxfId="7077" priority="2325">
      <formula>AND(IF(OR($Q113=1,$Q113=2),1,0),IF($E113&lt;=20,1,0))</formula>
    </cfRule>
    <cfRule type="expression" dxfId="7076" priority="2326">
      <formula>AND(IF($Q113=2,1,0),IF($E113&lt;30,1,0))</formula>
    </cfRule>
    <cfRule type="expression" dxfId="7075" priority="2327">
      <formula>AND(IF($Q113=3,1,0),IF($E113&lt;30,1,0))</formula>
    </cfRule>
    <cfRule type="expression" dxfId="7074" priority="2328">
      <formula>AND(IF($Q113=3,1,IF($Q113=4,1,0)),IF($F113&lt;=85,1,0))</formula>
    </cfRule>
  </conditionalFormatting>
  <conditionalFormatting sqref="Y113">
    <cfRule type="expression" dxfId="7073" priority="2321">
      <formula>AND(IF(OR($Q113=1,$Q113=2),1,0),IF($Y113&lt;=20,1,0))</formula>
    </cfRule>
    <cfRule type="expression" dxfId="7072" priority="2322">
      <formula>AND(IF($Q113=2,1,0),IF($Y113&lt;30,1,0))</formula>
    </cfRule>
    <cfRule type="expression" dxfId="7071" priority="2323">
      <formula>AND(IF($Q113=3,1,0),IF($Y113&lt;30,1,0))</formula>
    </cfRule>
    <cfRule type="expression" dxfId="7070" priority="2324">
      <formula>AND(IF($Q113=3,1,IF($Q113=4,1,0)),IF($F113&lt;=85,1,0))</formula>
    </cfRule>
  </conditionalFormatting>
  <conditionalFormatting sqref="AJ113">
    <cfRule type="expression" dxfId="7069" priority="2317">
      <formula>AND(IF(OR($Q113=1,$Q113=2),1,0),IF($Y113&lt;=20,1,0))</formula>
    </cfRule>
    <cfRule type="expression" dxfId="7068" priority="2318">
      <formula>AND(IF($Q113=2,1,0),IF($Y113&lt;30,1,0))</formula>
    </cfRule>
    <cfRule type="expression" dxfId="7067" priority="2319">
      <formula>AND(IF($Q113=3,1,0),IF($Y113&lt;30,1,0))</formula>
    </cfRule>
    <cfRule type="expression" dxfId="7066" priority="2320">
      <formula>AND(IF($Q113=3,1,IF($Q113=4,1,0)),IF($F113&lt;=85,1,0))</formula>
    </cfRule>
  </conditionalFormatting>
  <conditionalFormatting sqref="AW114">
    <cfRule type="expression" dxfId="7065" priority="2315">
      <formula>AW114="X"</formula>
    </cfRule>
    <cfRule type="expression" dxfId="7064" priority="2316">
      <formula>AW114="후보"</formula>
    </cfRule>
  </conditionalFormatting>
  <conditionalFormatting sqref="AA114">
    <cfRule type="colorScale" priority="23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4">
    <cfRule type="cellIs" dxfId="7063" priority="2312" operator="greaterThan">
      <formula>0.9</formula>
    </cfRule>
    <cfRule type="cellIs" dxfId="7062" priority="2313" operator="greaterThan">
      <formula>0.85</formula>
    </cfRule>
  </conditionalFormatting>
  <conditionalFormatting sqref="N114">
    <cfRule type="cellIs" dxfId="7061" priority="2310" operator="greaterThan">
      <formula>0.9</formula>
    </cfRule>
    <cfRule type="cellIs" dxfId="7060" priority="2311" operator="greaterThan">
      <formula>0.85</formula>
    </cfRule>
  </conditionalFormatting>
  <conditionalFormatting sqref="E114">
    <cfRule type="expression" dxfId="7059" priority="2306">
      <formula>AND(IF(OR($Q114=1,$Q114=2),1,0),IF($E114&lt;=20,1,0))</formula>
    </cfRule>
    <cfRule type="expression" dxfId="7058" priority="2307">
      <formula>AND(IF($Q114=2,1,0),IF($E114&lt;30,1,0))</formula>
    </cfRule>
    <cfRule type="expression" dxfId="7057" priority="2308">
      <formula>AND(IF($Q114=3,1,0),IF($E114&lt;30,1,0))</formula>
    </cfRule>
    <cfRule type="expression" dxfId="7056" priority="2309">
      <formula>AND(IF($Q114=3,1,IF($Q114=4,1,0)),IF($F114&lt;=85,1,0))</formula>
    </cfRule>
  </conditionalFormatting>
  <conditionalFormatting sqref="Y114">
    <cfRule type="expression" dxfId="7055" priority="2302">
      <formula>AND(IF(OR($Q114=1,$Q114=2),1,0),IF($Y114&lt;=20,1,0))</formula>
    </cfRule>
    <cfRule type="expression" dxfId="7054" priority="2303">
      <formula>AND(IF($Q114=2,1,0),IF($Y114&lt;30,1,0))</formula>
    </cfRule>
    <cfRule type="expression" dxfId="7053" priority="2304">
      <formula>AND(IF($Q114=3,1,0),IF($Y114&lt;30,1,0))</formula>
    </cfRule>
    <cfRule type="expression" dxfId="7052" priority="2305">
      <formula>AND(IF($Q114=3,1,IF($Q114=4,1,0)),IF($F114&lt;=85,1,0))</formula>
    </cfRule>
  </conditionalFormatting>
  <conditionalFormatting sqref="AJ114">
    <cfRule type="expression" dxfId="7051" priority="2298">
      <formula>AND(IF(OR($Q114=1,$Q114=2),1,0),IF($Y114&lt;=20,1,0))</formula>
    </cfRule>
    <cfRule type="expression" dxfId="7050" priority="2299">
      <formula>AND(IF($Q114=2,1,0),IF($Y114&lt;30,1,0))</formula>
    </cfRule>
    <cfRule type="expression" dxfId="7049" priority="2300">
      <formula>AND(IF($Q114=3,1,0),IF($Y114&lt;30,1,0))</formula>
    </cfRule>
    <cfRule type="expression" dxfId="7048" priority="2301">
      <formula>AND(IF($Q114=3,1,IF($Q114=4,1,0)),IF($F114&lt;=85,1,0))</formula>
    </cfRule>
  </conditionalFormatting>
  <conditionalFormatting sqref="AW115">
    <cfRule type="expression" dxfId="7047" priority="2296">
      <formula>AW115="X"</formula>
    </cfRule>
    <cfRule type="expression" dxfId="7046" priority="2297">
      <formula>AW115="후보"</formula>
    </cfRule>
  </conditionalFormatting>
  <conditionalFormatting sqref="AA115">
    <cfRule type="colorScale" priority="22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5 N115">
    <cfRule type="cellIs" dxfId="7045" priority="2293" operator="greaterThan">
      <formula>0.9</formula>
    </cfRule>
    <cfRule type="cellIs" dxfId="7044" priority="2294" operator="greaterThan">
      <formula>0.85</formula>
    </cfRule>
  </conditionalFormatting>
  <conditionalFormatting sqref="AW116">
    <cfRule type="expression" dxfId="7043" priority="2291">
      <formula>AW116="X"</formula>
    </cfRule>
    <cfRule type="expression" dxfId="7042" priority="2292">
      <formula>AW116="후보"</formula>
    </cfRule>
  </conditionalFormatting>
  <conditionalFormatting sqref="AA116">
    <cfRule type="colorScale" priority="22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6">
    <cfRule type="cellIs" dxfId="7041" priority="2288" operator="greaterThan">
      <formula>0.9</formula>
    </cfRule>
    <cfRule type="cellIs" dxfId="7040" priority="2289" operator="greaterThan">
      <formula>0.85</formula>
    </cfRule>
  </conditionalFormatting>
  <conditionalFormatting sqref="N116">
    <cfRule type="cellIs" dxfId="7039" priority="2286" operator="greaterThan">
      <formula>0.9</formula>
    </cfRule>
    <cfRule type="cellIs" dxfId="7038" priority="2287" operator="greaterThan">
      <formula>0.85</formula>
    </cfRule>
  </conditionalFormatting>
  <conditionalFormatting sqref="E116">
    <cfRule type="expression" dxfId="7037" priority="2282">
      <formula>AND(IF(OR($Q116=1,$Q116=2),1,0),IF($E116&lt;=20,1,0))</formula>
    </cfRule>
    <cfRule type="expression" dxfId="7036" priority="2283">
      <formula>AND(IF($Q116=2,1,0),IF($E116&lt;30,1,0))</formula>
    </cfRule>
    <cfRule type="expression" dxfId="7035" priority="2284">
      <formula>AND(IF($Q116=3,1,0),IF($E116&lt;30,1,0))</formula>
    </cfRule>
    <cfRule type="expression" dxfId="7034" priority="2285">
      <formula>AND(IF($Q116=3,1,IF($Q116=4,1,0)),IF($F116&lt;=85,1,0))</formula>
    </cfRule>
  </conditionalFormatting>
  <conditionalFormatting sqref="Y116">
    <cfRule type="expression" dxfId="7033" priority="2278">
      <formula>AND(IF(OR($Q116=1,$Q116=2),1,0),IF($Y116&lt;=20,1,0))</formula>
    </cfRule>
    <cfRule type="expression" dxfId="7032" priority="2279">
      <formula>AND(IF($Q116=2,1,0),IF($Y116&lt;30,1,0))</formula>
    </cfRule>
    <cfRule type="expression" dxfId="7031" priority="2280">
      <formula>AND(IF($Q116=3,1,0),IF($Y116&lt;30,1,0))</formula>
    </cfRule>
    <cfRule type="expression" dxfId="7030" priority="2281">
      <formula>AND(IF($Q116=3,1,IF($Q116=4,1,0)),IF($F116&lt;=85,1,0))</formula>
    </cfRule>
  </conditionalFormatting>
  <conditionalFormatting sqref="AJ116">
    <cfRule type="expression" dxfId="7029" priority="2274">
      <formula>AND(IF(OR($Q116=1,$Q116=2),1,0),IF($Y116&lt;=20,1,0))</formula>
    </cfRule>
    <cfRule type="expression" dxfId="7028" priority="2275">
      <formula>AND(IF($Q116=2,1,0),IF($Y116&lt;30,1,0))</formula>
    </cfRule>
    <cfRule type="expression" dxfId="7027" priority="2276">
      <formula>AND(IF($Q116=3,1,0),IF($Y116&lt;30,1,0))</formula>
    </cfRule>
    <cfRule type="expression" dxfId="7026" priority="2277">
      <formula>AND(IF($Q116=3,1,IF($Q116=4,1,0)),IF($F116&lt;=85,1,0))</formula>
    </cfRule>
  </conditionalFormatting>
  <conditionalFormatting sqref="AW117">
    <cfRule type="expression" dxfId="7025" priority="2272">
      <formula>AW117="X"</formula>
    </cfRule>
    <cfRule type="expression" dxfId="7024" priority="2273">
      <formula>AW117="후보"</formula>
    </cfRule>
  </conditionalFormatting>
  <conditionalFormatting sqref="AA117">
    <cfRule type="colorScale" priority="22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7">
    <cfRule type="cellIs" dxfId="7023" priority="2269" operator="greaterThan">
      <formula>0.9</formula>
    </cfRule>
    <cfRule type="cellIs" dxfId="7022" priority="2270" operator="greaterThan">
      <formula>0.85</formula>
    </cfRule>
  </conditionalFormatting>
  <conditionalFormatting sqref="N117">
    <cfRule type="cellIs" dxfId="7021" priority="2267" operator="greaterThan">
      <formula>0.9</formula>
    </cfRule>
    <cfRule type="cellIs" dxfId="7020" priority="2268" operator="greaterThan">
      <formula>0.85</formula>
    </cfRule>
  </conditionalFormatting>
  <conditionalFormatting sqref="E117">
    <cfRule type="expression" dxfId="7019" priority="2263">
      <formula>AND(IF(OR($Q117=1,$Q117=2),1,0),IF($E117&lt;=20,1,0))</formula>
    </cfRule>
    <cfRule type="expression" dxfId="7018" priority="2264">
      <formula>AND(IF($Q117=2,1,0),IF($E117&lt;30,1,0))</formula>
    </cfRule>
    <cfRule type="expression" dxfId="7017" priority="2265">
      <formula>AND(IF($Q117=3,1,0),IF($E117&lt;30,1,0))</formula>
    </cfRule>
    <cfRule type="expression" dxfId="7016" priority="2266">
      <formula>AND(IF($Q117=3,1,IF($Q117=4,1,0)),IF($F117&lt;=85,1,0))</formula>
    </cfRule>
  </conditionalFormatting>
  <conditionalFormatting sqref="Y117">
    <cfRule type="expression" dxfId="7015" priority="2259">
      <formula>AND(IF(OR($Q117=1,$Q117=2),1,0),IF($Y117&lt;=20,1,0))</formula>
    </cfRule>
    <cfRule type="expression" dxfId="7014" priority="2260">
      <formula>AND(IF($Q117=2,1,0),IF($Y117&lt;30,1,0))</formula>
    </cfRule>
    <cfRule type="expression" dxfId="7013" priority="2261">
      <formula>AND(IF($Q117=3,1,0),IF($Y117&lt;30,1,0))</formula>
    </cfRule>
    <cfRule type="expression" dxfId="7012" priority="2262">
      <formula>AND(IF($Q117=3,1,IF($Q117=4,1,0)),IF($F117&lt;=85,1,0))</formula>
    </cfRule>
  </conditionalFormatting>
  <conditionalFormatting sqref="AJ117">
    <cfRule type="expression" dxfId="7011" priority="2255">
      <formula>AND(IF(OR($Q117=1,$Q117=2),1,0),IF($Y117&lt;=20,1,0))</formula>
    </cfRule>
    <cfRule type="expression" dxfId="7010" priority="2256">
      <formula>AND(IF($Q117=2,1,0),IF($Y117&lt;30,1,0))</formula>
    </cfRule>
    <cfRule type="expression" dxfId="7009" priority="2257">
      <formula>AND(IF($Q117=3,1,0),IF($Y117&lt;30,1,0))</formula>
    </cfRule>
    <cfRule type="expression" dxfId="7008" priority="2258">
      <formula>AND(IF($Q117=3,1,IF($Q117=4,1,0)),IF($F117&lt;=85,1,0))</formula>
    </cfRule>
  </conditionalFormatting>
  <conditionalFormatting sqref="AW118">
    <cfRule type="expression" dxfId="7007" priority="2253">
      <formula>AW118="X"</formula>
    </cfRule>
    <cfRule type="expression" dxfId="7006" priority="2254">
      <formula>AW118="후보"</formula>
    </cfRule>
  </conditionalFormatting>
  <conditionalFormatting sqref="AA118">
    <cfRule type="colorScale" priority="22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8">
    <cfRule type="cellIs" dxfId="7005" priority="2250" operator="greaterThan">
      <formula>0.9</formula>
    </cfRule>
    <cfRule type="cellIs" dxfId="7004" priority="2251" operator="greaterThan">
      <formula>0.85</formula>
    </cfRule>
  </conditionalFormatting>
  <conditionalFormatting sqref="N118">
    <cfRule type="cellIs" dxfId="7003" priority="2248" operator="greaterThan">
      <formula>0.9</formula>
    </cfRule>
    <cfRule type="cellIs" dxfId="7002" priority="2249" operator="greaterThan">
      <formula>0.85</formula>
    </cfRule>
  </conditionalFormatting>
  <conditionalFormatting sqref="E118">
    <cfRule type="expression" dxfId="7001" priority="2244">
      <formula>AND(IF(OR($Q118=1,$Q118=2),1,0),IF($E118&lt;=20,1,0))</formula>
    </cfRule>
    <cfRule type="expression" dxfId="7000" priority="2245">
      <formula>AND(IF($Q118=2,1,0),IF($E118&lt;30,1,0))</formula>
    </cfRule>
    <cfRule type="expression" dxfId="6999" priority="2246">
      <formula>AND(IF($Q118=3,1,0),IF($E118&lt;30,1,0))</formula>
    </cfRule>
    <cfRule type="expression" dxfId="6998" priority="2247">
      <formula>AND(IF($Q118=3,1,IF($Q118=4,1,0)),IF($F118&lt;=85,1,0))</formula>
    </cfRule>
  </conditionalFormatting>
  <conditionalFormatting sqref="Y118">
    <cfRule type="expression" dxfId="6997" priority="2240">
      <formula>AND(IF(OR($Q118=1,$Q118=2),1,0),IF($Y118&lt;=20,1,0))</formula>
    </cfRule>
    <cfRule type="expression" dxfId="6996" priority="2241">
      <formula>AND(IF($Q118=2,1,0),IF($Y118&lt;30,1,0))</formula>
    </cfRule>
    <cfRule type="expression" dxfId="6995" priority="2242">
      <formula>AND(IF($Q118=3,1,0),IF($Y118&lt;30,1,0))</formula>
    </cfRule>
    <cfRule type="expression" dxfId="6994" priority="2243">
      <formula>AND(IF($Q118=3,1,IF($Q118=4,1,0)),IF($F118&lt;=85,1,0))</formula>
    </cfRule>
  </conditionalFormatting>
  <conditionalFormatting sqref="AJ118">
    <cfRule type="expression" dxfId="6993" priority="2236">
      <formula>AND(IF(OR($Q118=1,$Q118=2),1,0),IF($Y118&lt;=20,1,0))</formula>
    </cfRule>
    <cfRule type="expression" dxfId="6992" priority="2237">
      <formula>AND(IF($Q118=2,1,0),IF($Y118&lt;30,1,0))</formula>
    </cfRule>
    <cfRule type="expression" dxfId="6991" priority="2238">
      <formula>AND(IF($Q118=3,1,0),IF($Y118&lt;30,1,0))</formula>
    </cfRule>
    <cfRule type="expression" dxfId="6990" priority="2239">
      <formula>AND(IF($Q118=3,1,IF($Q118=4,1,0)),IF($F118&lt;=85,1,0))</formula>
    </cfRule>
  </conditionalFormatting>
  <conditionalFormatting sqref="AW119">
    <cfRule type="expression" dxfId="6989" priority="2234">
      <formula>AW119="X"</formula>
    </cfRule>
    <cfRule type="expression" dxfId="6988" priority="2235">
      <formula>AW119="후보"</formula>
    </cfRule>
  </conditionalFormatting>
  <conditionalFormatting sqref="AA119">
    <cfRule type="colorScale" priority="22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9">
    <cfRule type="cellIs" dxfId="6987" priority="2231" operator="greaterThan">
      <formula>0.9</formula>
    </cfRule>
    <cfRule type="cellIs" dxfId="6986" priority="2232" operator="greaterThan">
      <formula>0.85</formula>
    </cfRule>
  </conditionalFormatting>
  <conditionalFormatting sqref="N119">
    <cfRule type="cellIs" dxfId="6985" priority="2229" operator="greaterThan">
      <formula>0.9</formula>
    </cfRule>
    <cfRule type="cellIs" dxfId="6984" priority="2230" operator="greaterThan">
      <formula>0.85</formula>
    </cfRule>
  </conditionalFormatting>
  <conditionalFormatting sqref="E119">
    <cfRule type="expression" dxfId="6983" priority="2225">
      <formula>AND(IF(OR($Q119=1,$Q119=2),1,0),IF($E119&lt;=20,1,0))</formula>
    </cfRule>
    <cfRule type="expression" dxfId="6982" priority="2226">
      <formula>AND(IF($Q119=2,1,0),IF($E119&lt;30,1,0))</formula>
    </cfRule>
    <cfRule type="expression" dxfId="6981" priority="2227">
      <formula>AND(IF($Q119=3,1,0),IF($E119&lt;30,1,0))</formula>
    </cfRule>
    <cfRule type="expression" dxfId="6980" priority="2228">
      <formula>AND(IF($Q119=3,1,IF($Q119=4,1,0)),IF($F119&lt;=85,1,0))</formula>
    </cfRule>
  </conditionalFormatting>
  <conditionalFormatting sqref="Y119">
    <cfRule type="expression" dxfId="6979" priority="2221">
      <formula>AND(IF(OR($Q119=1,$Q119=2),1,0),IF($Y119&lt;=20,1,0))</formula>
    </cfRule>
    <cfRule type="expression" dxfId="6978" priority="2222">
      <formula>AND(IF($Q119=2,1,0),IF($Y119&lt;30,1,0))</formula>
    </cfRule>
    <cfRule type="expression" dxfId="6977" priority="2223">
      <formula>AND(IF($Q119=3,1,0),IF($Y119&lt;30,1,0))</formula>
    </cfRule>
    <cfRule type="expression" dxfId="6976" priority="2224">
      <formula>AND(IF($Q119=3,1,IF($Q119=4,1,0)),IF($F119&lt;=85,1,0))</formula>
    </cfRule>
  </conditionalFormatting>
  <conditionalFormatting sqref="AJ119">
    <cfRule type="expression" dxfId="6975" priority="2217">
      <formula>AND(IF(OR($Q119=1,$Q119=2),1,0),IF($Y119&lt;=20,1,0))</formula>
    </cfRule>
    <cfRule type="expression" dxfId="6974" priority="2218">
      <formula>AND(IF($Q119=2,1,0),IF($Y119&lt;30,1,0))</formula>
    </cfRule>
    <cfRule type="expression" dxfId="6973" priority="2219">
      <formula>AND(IF($Q119=3,1,0),IF($Y119&lt;30,1,0))</formula>
    </cfRule>
    <cfRule type="expression" dxfId="6972" priority="2220">
      <formula>AND(IF($Q119=3,1,IF($Q119=4,1,0)),IF($F119&lt;=85,1,0))</formula>
    </cfRule>
  </conditionalFormatting>
  <conditionalFormatting sqref="AW120">
    <cfRule type="expression" dxfId="6971" priority="2215">
      <formula>AW120="X"</formula>
    </cfRule>
    <cfRule type="expression" dxfId="6970" priority="2216">
      <formula>AW120="후보"</formula>
    </cfRule>
  </conditionalFormatting>
  <conditionalFormatting sqref="AA120">
    <cfRule type="colorScale" priority="22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0">
    <cfRule type="cellIs" dxfId="6969" priority="2212" operator="greaterThan">
      <formula>0.9</formula>
    </cfRule>
    <cfRule type="cellIs" dxfId="6968" priority="2213" operator="greaterThan">
      <formula>0.85</formula>
    </cfRule>
  </conditionalFormatting>
  <conditionalFormatting sqref="N120">
    <cfRule type="cellIs" dxfId="6967" priority="2210" operator="greaterThan">
      <formula>0.9</formula>
    </cfRule>
    <cfRule type="cellIs" dxfId="6966" priority="2211" operator="greaterThan">
      <formula>0.85</formula>
    </cfRule>
  </conditionalFormatting>
  <conditionalFormatting sqref="E120">
    <cfRule type="expression" dxfId="6965" priority="2206">
      <formula>AND(IF(OR($Q120=1,$Q120=2),1,0),IF($E120&lt;=20,1,0))</formula>
    </cfRule>
    <cfRule type="expression" dxfId="6964" priority="2207">
      <formula>AND(IF($Q120=2,1,0),IF($E120&lt;30,1,0))</formula>
    </cfRule>
    <cfRule type="expression" dxfId="6963" priority="2208">
      <formula>AND(IF($Q120=3,1,0),IF($E120&lt;30,1,0))</formula>
    </cfRule>
    <cfRule type="expression" dxfId="6962" priority="2209">
      <formula>AND(IF($Q120=3,1,IF($Q120=4,1,0)),IF($F120&lt;=85,1,0))</formula>
    </cfRule>
  </conditionalFormatting>
  <conditionalFormatting sqref="Y120">
    <cfRule type="expression" dxfId="6961" priority="2202">
      <formula>AND(IF(OR($Q120=1,$Q120=2),1,0),IF($Y120&lt;=20,1,0))</formula>
    </cfRule>
    <cfRule type="expression" dxfId="6960" priority="2203">
      <formula>AND(IF($Q120=2,1,0),IF($Y120&lt;30,1,0))</formula>
    </cfRule>
    <cfRule type="expression" dxfId="6959" priority="2204">
      <formula>AND(IF($Q120=3,1,0),IF($Y120&lt;30,1,0))</formula>
    </cfRule>
    <cfRule type="expression" dxfId="6958" priority="2205">
      <formula>AND(IF($Q120=3,1,IF($Q120=4,1,0)),IF($F120&lt;=85,1,0))</formula>
    </cfRule>
  </conditionalFormatting>
  <conditionalFormatting sqref="AJ120">
    <cfRule type="expression" dxfId="6957" priority="2198">
      <formula>AND(IF(OR($Q120=1,$Q120=2),1,0),IF($Y120&lt;=20,1,0))</formula>
    </cfRule>
    <cfRule type="expression" dxfId="6956" priority="2199">
      <formula>AND(IF($Q120=2,1,0),IF($Y120&lt;30,1,0))</formula>
    </cfRule>
    <cfRule type="expression" dxfId="6955" priority="2200">
      <formula>AND(IF($Q120=3,1,0),IF($Y120&lt;30,1,0))</formula>
    </cfRule>
    <cfRule type="expression" dxfId="6954" priority="2201">
      <formula>AND(IF($Q120=3,1,IF($Q120=4,1,0)),IF($F120&lt;=85,1,0))</formula>
    </cfRule>
  </conditionalFormatting>
  <conditionalFormatting sqref="AW121">
    <cfRule type="expression" dxfId="6953" priority="2196">
      <formula>AW121="X"</formula>
    </cfRule>
    <cfRule type="expression" dxfId="6952" priority="2197">
      <formula>AW121="후보"</formula>
    </cfRule>
  </conditionalFormatting>
  <conditionalFormatting sqref="AA121">
    <cfRule type="colorScale" priority="21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1">
    <cfRule type="cellIs" dxfId="6951" priority="2193" operator="greaterThan">
      <formula>0.9</formula>
    </cfRule>
    <cfRule type="cellIs" dxfId="6950" priority="2194" operator="greaterThan">
      <formula>0.85</formula>
    </cfRule>
  </conditionalFormatting>
  <conditionalFormatting sqref="N121">
    <cfRule type="cellIs" dxfId="6949" priority="2191" operator="greaterThan">
      <formula>0.9</formula>
    </cfRule>
    <cfRule type="cellIs" dxfId="6948" priority="2192" operator="greaterThan">
      <formula>0.85</formula>
    </cfRule>
  </conditionalFormatting>
  <conditionalFormatting sqref="E121">
    <cfRule type="expression" dxfId="6947" priority="2187">
      <formula>AND(IF(OR($Q121=1,$Q121=2),1,0),IF($E121&lt;=20,1,0))</formula>
    </cfRule>
    <cfRule type="expression" dxfId="6946" priority="2188">
      <formula>AND(IF($Q121=2,1,0),IF($E121&lt;30,1,0))</formula>
    </cfRule>
    <cfRule type="expression" dxfId="6945" priority="2189">
      <formula>AND(IF($Q121=3,1,0),IF($E121&lt;30,1,0))</formula>
    </cfRule>
    <cfRule type="expression" dxfId="6944" priority="2190">
      <formula>AND(IF($Q121=3,1,IF($Q121=4,1,0)),IF($F121&lt;=85,1,0))</formula>
    </cfRule>
  </conditionalFormatting>
  <conditionalFormatting sqref="Y121">
    <cfRule type="expression" dxfId="6943" priority="2183">
      <formula>AND(IF(OR($Q121=1,$Q121=2),1,0),IF($Y121&lt;=20,1,0))</formula>
    </cfRule>
    <cfRule type="expression" dxfId="6942" priority="2184">
      <formula>AND(IF($Q121=2,1,0),IF($Y121&lt;30,1,0))</formula>
    </cfRule>
    <cfRule type="expression" dxfId="6941" priority="2185">
      <formula>AND(IF($Q121=3,1,0),IF($Y121&lt;30,1,0))</formula>
    </cfRule>
    <cfRule type="expression" dxfId="6940" priority="2186">
      <formula>AND(IF($Q121=3,1,IF($Q121=4,1,0)),IF($F121&lt;=85,1,0))</formula>
    </cfRule>
  </conditionalFormatting>
  <conditionalFormatting sqref="AJ121">
    <cfRule type="expression" dxfId="6939" priority="2179">
      <formula>AND(IF(OR($Q121=1,$Q121=2),1,0),IF($Y121&lt;=20,1,0))</formula>
    </cfRule>
    <cfRule type="expression" dxfId="6938" priority="2180">
      <formula>AND(IF($Q121=2,1,0),IF($Y121&lt;30,1,0))</formula>
    </cfRule>
    <cfRule type="expression" dxfId="6937" priority="2181">
      <formula>AND(IF($Q121=3,1,0),IF($Y121&lt;30,1,0))</formula>
    </cfRule>
    <cfRule type="expression" dxfId="6936" priority="2182">
      <formula>AND(IF($Q121=3,1,IF($Q121=4,1,0)),IF($F121&lt;=85,1,0))</formula>
    </cfRule>
  </conditionalFormatting>
  <conditionalFormatting sqref="AW122">
    <cfRule type="expression" dxfId="6935" priority="2177">
      <formula>AW122="X"</formula>
    </cfRule>
    <cfRule type="expression" dxfId="6934" priority="2178">
      <formula>AW122="후보"</formula>
    </cfRule>
  </conditionalFormatting>
  <conditionalFormatting sqref="AA122">
    <cfRule type="colorScale" priority="21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2">
    <cfRule type="cellIs" dxfId="6933" priority="2174" operator="greaterThan">
      <formula>0.9</formula>
    </cfRule>
    <cfRule type="cellIs" dxfId="6932" priority="2175" operator="greaterThan">
      <formula>0.85</formula>
    </cfRule>
  </conditionalFormatting>
  <conditionalFormatting sqref="N122">
    <cfRule type="cellIs" dxfId="6931" priority="2172" operator="greaterThan">
      <formula>0.9</formula>
    </cfRule>
    <cfRule type="cellIs" dxfId="6930" priority="2173" operator="greaterThan">
      <formula>0.85</formula>
    </cfRule>
  </conditionalFormatting>
  <conditionalFormatting sqref="E122">
    <cfRule type="expression" dxfId="6929" priority="2168">
      <formula>AND(IF(OR($Q122=1,$Q122=2),1,0),IF($E122&lt;=20,1,0))</formula>
    </cfRule>
    <cfRule type="expression" dxfId="6928" priority="2169">
      <formula>AND(IF($Q122=2,1,0),IF($E122&lt;30,1,0))</formula>
    </cfRule>
    <cfRule type="expression" dxfId="6927" priority="2170">
      <formula>AND(IF($Q122=3,1,0),IF($E122&lt;30,1,0))</formula>
    </cfRule>
    <cfRule type="expression" dxfId="6926" priority="2171">
      <formula>AND(IF($Q122=3,1,IF($Q122=4,1,0)),IF($F122&lt;=85,1,0))</formula>
    </cfRule>
  </conditionalFormatting>
  <conditionalFormatting sqref="Y122">
    <cfRule type="expression" dxfId="6925" priority="2164">
      <formula>AND(IF(OR($Q122=1,$Q122=2),1,0),IF($Y122&lt;=20,1,0))</formula>
    </cfRule>
    <cfRule type="expression" dxfId="6924" priority="2165">
      <formula>AND(IF($Q122=2,1,0),IF($Y122&lt;30,1,0))</formula>
    </cfRule>
    <cfRule type="expression" dxfId="6923" priority="2166">
      <formula>AND(IF($Q122=3,1,0),IF($Y122&lt;30,1,0))</formula>
    </cfRule>
    <cfRule type="expression" dxfId="6922" priority="2167">
      <formula>AND(IF($Q122=3,1,IF($Q122=4,1,0)),IF($F122&lt;=85,1,0))</formula>
    </cfRule>
  </conditionalFormatting>
  <conditionalFormatting sqref="AJ122">
    <cfRule type="expression" dxfId="6921" priority="2160">
      <formula>AND(IF(OR($Q122=1,$Q122=2),1,0),IF($Y122&lt;=20,1,0))</formula>
    </cfRule>
    <cfRule type="expression" dxfId="6920" priority="2161">
      <formula>AND(IF($Q122=2,1,0),IF($Y122&lt;30,1,0))</formula>
    </cfRule>
    <cfRule type="expression" dxfId="6919" priority="2162">
      <formula>AND(IF($Q122=3,1,0),IF($Y122&lt;30,1,0))</formula>
    </cfRule>
    <cfRule type="expression" dxfId="6918" priority="2163">
      <formula>AND(IF($Q122=3,1,IF($Q122=4,1,0)),IF($F122&lt;=85,1,0))</formula>
    </cfRule>
  </conditionalFormatting>
  <conditionalFormatting sqref="AW123">
    <cfRule type="expression" dxfId="6917" priority="2158">
      <formula>AW123="X"</formula>
    </cfRule>
    <cfRule type="expression" dxfId="6916" priority="2159">
      <formula>AW123="후보"</formula>
    </cfRule>
  </conditionalFormatting>
  <conditionalFormatting sqref="AA123">
    <cfRule type="colorScale" priority="21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3">
    <cfRule type="cellIs" dxfId="6915" priority="2155" operator="greaterThan">
      <formula>0.9</formula>
    </cfRule>
    <cfRule type="cellIs" dxfId="6914" priority="2156" operator="greaterThan">
      <formula>0.85</formula>
    </cfRule>
  </conditionalFormatting>
  <conditionalFormatting sqref="N123">
    <cfRule type="cellIs" dxfId="6913" priority="2153" operator="greaterThan">
      <formula>0.9</formula>
    </cfRule>
    <cfRule type="cellIs" dxfId="6912" priority="2154" operator="greaterThan">
      <formula>0.85</formula>
    </cfRule>
  </conditionalFormatting>
  <conditionalFormatting sqref="E123">
    <cfRule type="expression" dxfId="6911" priority="2149">
      <formula>AND(IF(OR($Q123=1,$Q123=2),1,0),IF($E123&lt;=20,1,0))</formula>
    </cfRule>
    <cfRule type="expression" dxfId="6910" priority="2150">
      <formula>AND(IF($Q123=2,1,0),IF($E123&lt;30,1,0))</formula>
    </cfRule>
    <cfRule type="expression" dxfId="6909" priority="2151">
      <formula>AND(IF($Q123=3,1,0),IF($E123&lt;30,1,0))</formula>
    </cfRule>
    <cfRule type="expression" dxfId="6908" priority="2152">
      <formula>AND(IF($Q123=3,1,IF($Q123=4,1,0)),IF($F123&lt;=85,1,0))</formula>
    </cfRule>
  </conditionalFormatting>
  <conditionalFormatting sqref="Y123">
    <cfRule type="expression" dxfId="6907" priority="2145">
      <formula>AND(IF(OR($Q123=1,$Q123=2),1,0),IF($Y123&lt;=20,1,0))</formula>
    </cfRule>
    <cfRule type="expression" dxfId="6906" priority="2146">
      <formula>AND(IF($Q123=2,1,0),IF($Y123&lt;30,1,0))</formula>
    </cfRule>
    <cfRule type="expression" dxfId="6905" priority="2147">
      <formula>AND(IF($Q123=3,1,0),IF($Y123&lt;30,1,0))</formula>
    </cfRule>
    <cfRule type="expression" dxfId="6904" priority="2148">
      <formula>AND(IF($Q123=3,1,IF($Q123=4,1,0)),IF($F123&lt;=85,1,0))</formula>
    </cfRule>
  </conditionalFormatting>
  <conditionalFormatting sqref="AJ123">
    <cfRule type="expression" dxfId="6903" priority="2141">
      <formula>AND(IF(OR($Q123=1,$Q123=2),1,0),IF($Y123&lt;=20,1,0))</formula>
    </cfRule>
    <cfRule type="expression" dxfId="6902" priority="2142">
      <formula>AND(IF($Q123=2,1,0),IF($Y123&lt;30,1,0))</formula>
    </cfRule>
    <cfRule type="expression" dxfId="6901" priority="2143">
      <formula>AND(IF($Q123=3,1,0),IF($Y123&lt;30,1,0))</formula>
    </cfRule>
    <cfRule type="expression" dxfId="6900" priority="2144">
      <formula>AND(IF($Q123=3,1,IF($Q123=4,1,0)),IF($F123&lt;=85,1,0))</formula>
    </cfRule>
  </conditionalFormatting>
  <conditionalFormatting sqref="AW124">
    <cfRule type="expression" dxfId="6899" priority="2139">
      <formula>AW124="X"</formula>
    </cfRule>
    <cfRule type="expression" dxfId="6898" priority="2140">
      <formula>AW124="후보"</formula>
    </cfRule>
  </conditionalFormatting>
  <conditionalFormatting sqref="AA124">
    <cfRule type="colorScale" priority="21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4">
    <cfRule type="cellIs" dxfId="6897" priority="2136" operator="greaterThan">
      <formula>0.9</formula>
    </cfRule>
    <cfRule type="cellIs" dxfId="6896" priority="2137" operator="greaterThan">
      <formula>0.85</formula>
    </cfRule>
  </conditionalFormatting>
  <conditionalFormatting sqref="N124">
    <cfRule type="cellIs" dxfId="6895" priority="2134" operator="greaterThan">
      <formula>0.9</formula>
    </cfRule>
    <cfRule type="cellIs" dxfId="6894" priority="2135" operator="greaterThan">
      <formula>0.85</formula>
    </cfRule>
  </conditionalFormatting>
  <conditionalFormatting sqref="E124">
    <cfRule type="expression" dxfId="6893" priority="2130">
      <formula>AND(IF(OR($Q124=1,$Q124=2),1,0),IF($E124&lt;=20,1,0))</formula>
    </cfRule>
    <cfRule type="expression" dxfId="6892" priority="2131">
      <formula>AND(IF($Q124=2,1,0),IF($E124&lt;30,1,0))</formula>
    </cfRule>
    <cfRule type="expression" dxfId="6891" priority="2132">
      <formula>AND(IF($Q124=3,1,0),IF($E124&lt;30,1,0))</formula>
    </cfRule>
    <cfRule type="expression" dxfId="6890" priority="2133">
      <formula>AND(IF($Q124=3,1,IF($Q124=4,1,0)),IF($F124&lt;=85,1,0))</formula>
    </cfRule>
  </conditionalFormatting>
  <conditionalFormatting sqref="Y124">
    <cfRule type="expression" dxfId="6889" priority="2126">
      <formula>AND(IF(OR($Q124=1,$Q124=2),1,0),IF($Y124&lt;=20,1,0))</formula>
    </cfRule>
    <cfRule type="expression" dxfId="6888" priority="2127">
      <formula>AND(IF($Q124=2,1,0),IF($Y124&lt;30,1,0))</formula>
    </cfRule>
    <cfRule type="expression" dxfId="6887" priority="2128">
      <formula>AND(IF($Q124=3,1,0),IF($Y124&lt;30,1,0))</formula>
    </cfRule>
    <cfRule type="expression" dxfId="6886" priority="2129">
      <formula>AND(IF($Q124=3,1,IF($Q124=4,1,0)),IF($F124&lt;=85,1,0))</formula>
    </cfRule>
  </conditionalFormatting>
  <conditionalFormatting sqref="AJ124">
    <cfRule type="expression" dxfId="6885" priority="2122">
      <formula>AND(IF(OR($Q124=1,$Q124=2),1,0),IF($Y124&lt;=20,1,0))</formula>
    </cfRule>
    <cfRule type="expression" dxfId="6884" priority="2123">
      <formula>AND(IF($Q124=2,1,0),IF($Y124&lt;30,1,0))</formula>
    </cfRule>
    <cfRule type="expression" dxfId="6883" priority="2124">
      <formula>AND(IF($Q124=3,1,0),IF($Y124&lt;30,1,0))</formula>
    </cfRule>
    <cfRule type="expression" dxfId="6882" priority="2125">
      <formula>AND(IF($Q124=3,1,IF($Q124=4,1,0)),IF($F124&lt;=85,1,0))</formula>
    </cfRule>
  </conditionalFormatting>
  <conditionalFormatting sqref="AW125">
    <cfRule type="expression" dxfId="6881" priority="2120">
      <formula>AW125="X"</formula>
    </cfRule>
    <cfRule type="expression" dxfId="6880" priority="2121">
      <formula>AW125="후보"</formula>
    </cfRule>
  </conditionalFormatting>
  <conditionalFormatting sqref="AA125">
    <cfRule type="colorScale" priority="21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5">
    <cfRule type="cellIs" dxfId="6879" priority="2117" operator="greaterThan">
      <formula>0.9</formula>
    </cfRule>
    <cfRule type="cellIs" dxfId="6878" priority="2118" operator="greaterThan">
      <formula>0.85</formula>
    </cfRule>
  </conditionalFormatting>
  <conditionalFormatting sqref="N125">
    <cfRule type="cellIs" dxfId="6877" priority="2115" operator="greaterThan">
      <formula>0.9</formula>
    </cfRule>
    <cfRule type="cellIs" dxfId="6876" priority="2116" operator="greaterThan">
      <formula>0.85</formula>
    </cfRule>
  </conditionalFormatting>
  <conditionalFormatting sqref="E125">
    <cfRule type="expression" dxfId="6875" priority="2111">
      <formula>AND(IF(OR($Q125=1,$Q125=2),1,0),IF($E125&lt;=20,1,0))</formula>
    </cfRule>
    <cfRule type="expression" dxfId="6874" priority="2112">
      <formula>AND(IF($Q125=2,1,0),IF($E125&lt;30,1,0))</formula>
    </cfRule>
    <cfRule type="expression" dxfId="6873" priority="2113">
      <formula>AND(IF($Q125=3,1,0),IF($E125&lt;30,1,0))</formula>
    </cfRule>
    <cfRule type="expression" dxfId="6872" priority="2114">
      <formula>AND(IF($Q125=3,1,IF($Q125=4,1,0)),IF($F125&lt;=85,1,0))</formula>
    </cfRule>
  </conditionalFormatting>
  <conditionalFormatting sqref="Y125">
    <cfRule type="expression" dxfId="6871" priority="2107">
      <formula>AND(IF(OR($Q125=1,$Q125=2),1,0),IF($Y125&lt;=20,1,0))</formula>
    </cfRule>
    <cfRule type="expression" dxfId="6870" priority="2108">
      <formula>AND(IF($Q125=2,1,0),IF($Y125&lt;30,1,0))</formula>
    </cfRule>
    <cfRule type="expression" dxfId="6869" priority="2109">
      <formula>AND(IF($Q125=3,1,0),IF($Y125&lt;30,1,0))</formula>
    </cfRule>
    <cfRule type="expression" dxfId="6868" priority="2110">
      <formula>AND(IF($Q125=3,1,IF($Q125=4,1,0)),IF($F125&lt;=85,1,0))</formula>
    </cfRule>
  </conditionalFormatting>
  <conditionalFormatting sqref="AJ125">
    <cfRule type="expression" dxfId="6867" priority="2103">
      <formula>AND(IF(OR($Q125=1,$Q125=2),1,0),IF($Y125&lt;=20,1,0))</formula>
    </cfRule>
    <cfRule type="expression" dxfId="6866" priority="2104">
      <formula>AND(IF($Q125=2,1,0),IF($Y125&lt;30,1,0))</formula>
    </cfRule>
    <cfRule type="expression" dxfId="6865" priority="2105">
      <formula>AND(IF($Q125=3,1,0),IF($Y125&lt;30,1,0))</formula>
    </cfRule>
    <cfRule type="expression" dxfId="6864" priority="2106">
      <formula>AND(IF($Q125=3,1,IF($Q125=4,1,0)),IF($F125&lt;=85,1,0))</formula>
    </cfRule>
  </conditionalFormatting>
  <conditionalFormatting sqref="AW126">
    <cfRule type="expression" dxfId="6863" priority="2101">
      <formula>AW126="X"</formula>
    </cfRule>
    <cfRule type="expression" dxfId="6862" priority="2102">
      <formula>AW126="후보"</formula>
    </cfRule>
  </conditionalFormatting>
  <conditionalFormatting sqref="AA126">
    <cfRule type="colorScale" priority="21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6">
    <cfRule type="cellIs" dxfId="6861" priority="2098" operator="greaterThan">
      <formula>0.9</formula>
    </cfRule>
    <cfRule type="cellIs" dxfId="6860" priority="2099" operator="greaterThan">
      <formula>0.85</formula>
    </cfRule>
  </conditionalFormatting>
  <conditionalFormatting sqref="N126">
    <cfRule type="cellIs" dxfId="6859" priority="2096" operator="greaterThan">
      <formula>0.9</formula>
    </cfRule>
    <cfRule type="cellIs" dxfId="6858" priority="2097" operator="greaterThan">
      <formula>0.85</formula>
    </cfRule>
  </conditionalFormatting>
  <conditionalFormatting sqref="E126">
    <cfRule type="expression" dxfId="6857" priority="2092">
      <formula>AND(IF(OR($Q126=1,$Q126=2),1,0),IF($E126&lt;=20,1,0))</formula>
    </cfRule>
    <cfRule type="expression" dxfId="6856" priority="2093">
      <formula>AND(IF($Q126=2,1,0),IF($E126&lt;30,1,0))</formula>
    </cfRule>
    <cfRule type="expression" dxfId="6855" priority="2094">
      <formula>AND(IF($Q126=3,1,0),IF($E126&lt;30,1,0))</formula>
    </cfRule>
    <cfRule type="expression" dxfId="6854" priority="2095">
      <formula>AND(IF($Q126=3,1,IF($Q126=4,1,0)),IF($F126&lt;=85,1,0))</formula>
    </cfRule>
  </conditionalFormatting>
  <conditionalFormatting sqref="Y126">
    <cfRule type="expression" dxfId="6853" priority="2088">
      <formula>AND(IF(OR($Q126=1,$Q126=2),1,0),IF($Y126&lt;=20,1,0))</formula>
    </cfRule>
    <cfRule type="expression" dxfId="6852" priority="2089">
      <formula>AND(IF($Q126=2,1,0),IF($Y126&lt;30,1,0))</formula>
    </cfRule>
    <cfRule type="expression" dxfId="6851" priority="2090">
      <formula>AND(IF($Q126=3,1,0),IF($Y126&lt;30,1,0))</formula>
    </cfRule>
    <cfRule type="expression" dxfId="6850" priority="2091">
      <formula>AND(IF($Q126=3,1,IF($Q126=4,1,0)),IF($F126&lt;=85,1,0))</formula>
    </cfRule>
  </conditionalFormatting>
  <conditionalFormatting sqref="AJ126">
    <cfRule type="expression" dxfId="6849" priority="2084">
      <formula>AND(IF(OR($Q126=1,$Q126=2),1,0),IF($Y126&lt;=20,1,0))</formula>
    </cfRule>
    <cfRule type="expression" dxfId="6848" priority="2085">
      <formula>AND(IF($Q126=2,1,0),IF($Y126&lt;30,1,0))</formula>
    </cfRule>
    <cfRule type="expression" dxfId="6847" priority="2086">
      <formula>AND(IF($Q126=3,1,0),IF($Y126&lt;30,1,0))</formula>
    </cfRule>
    <cfRule type="expression" dxfId="6846" priority="2087">
      <formula>AND(IF($Q126=3,1,IF($Q126=4,1,0)),IF($F126&lt;=85,1,0))</formula>
    </cfRule>
  </conditionalFormatting>
  <conditionalFormatting sqref="AW127">
    <cfRule type="expression" dxfId="6845" priority="2082">
      <formula>AW127="X"</formula>
    </cfRule>
    <cfRule type="expression" dxfId="6844" priority="2083">
      <formula>AW127="후보"</formula>
    </cfRule>
  </conditionalFormatting>
  <conditionalFormatting sqref="AA127">
    <cfRule type="colorScale" priority="20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7">
    <cfRule type="cellIs" dxfId="6843" priority="2079" operator="greaterThan">
      <formula>0.9</formula>
    </cfRule>
    <cfRule type="cellIs" dxfId="6842" priority="2080" operator="greaterThan">
      <formula>0.85</formula>
    </cfRule>
  </conditionalFormatting>
  <conditionalFormatting sqref="N127">
    <cfRule type="cellIs" dxfId="6841" priority="2077" operator="greaterThan">
      <formula>0.9</formula>
    </cfRule>
    <cfRule type="cellIs" dxfId="6840" priority="2078" operator="greaterThan">
      <formula>0.85</formula>
    </cfRule>
  </conditionalFormatting>
  <conditionalFormatting sqref="E127">
    <cfRule type="expression" dxfId="6839" priority="2073">
      <formula>AND(IF(OR($Q127=1,$Q127=2),1,0),IF($E127&lt;=20,1,0))</formula>
    </cfRule>
    <cfRule type="expression" dxfId="6838" priority="2074">
      <formula>AND(IF($Q127=2,1,0),IF($E127&lt;30,1,0))</formula>
    </cfRule>
    <cfRule type="expression" dxfId="6837" priority="2075">
      <formula>AND(IF($Q127=3,1,0),IF($E127&lt;30,1,0))</formula>
    </cfRule>
    <cfRule type="expression" dxfId="6836" priority="2076">
      <formula>AND(IF($Q127=3,1,IF($Q127=4,1,0)),IF($F127&lt;=85,1,0))</formula>
    </cfRule>
  </conditionalFormatting>
  <conditionalFormatting sqref="Y127">
    <cfRule type="expression" dxfId="6835" priority="2069">
      <formula>AND(IF(OR($Q127=1,$Q127=2),1,0),IF($Y127&lt;=20,1,0))</formula>
    </cfRule>
    <cfRule type="expression" dxfId="6834" priority="2070">
      <formula>AND(IF($Q127=2,1,0),IF($Y127&lt;30,1,0))</formula>
    </cfRule>
    <cfRule type="expression" dxfId="6833" priority="2071">
      <formula>AND(IF($Q127=3,1,0),IF($Y127&lt;30,1,0))</formula>
    </cfRule>
    <cfRule type="expression" dxfId="6832" priority="2072">
      <formula>AND(IF($Q127=3,1,IF($Q127=4,1,0)),IF($F127&lt;=85,1,0))</formula>
    </cfRule>
  </conditionalFormatting>
  <conditionalFormatting sqref="AJ127">
    <cfRule type="expression" dxfId="6831" priority="2065">
      <formula>AND(IF(OR($Q127=1,$Q127=2),1,0),IF($Y127&lt;=20,1,0))</formula>
    </cfRule>
    <cfRule type="expression" dxfId="6830" priority="2066">
      <formula>AND(IF($Q127=2,1,0),IF($Y127&lt;30,1,0))</formula>
    </cfRule>
    <cfRule type="expression" dxfId="6829" priority="2067">
      <formula>AND(IF($Q127=3,1,0),IF($Y127&lt;30,1,0))</formula>
    </cfRule>
    <cfRule type="expression" dxfId="6828" priority="2068">
      <formula>AND(IF($Q127=3,1,IF($Q127=4,1,0)),IF($F127&lt;=85,1,0))</formula>
    </cfRule>
  </conditionalFormatting>
  <conditionalFormatting sqref="AW128">
    <cfRule type="expression" dxfId="6827" priority="2063">
      <formula>AW128="X"</formula>
    </cfRule>
    <cfRule type="expression" dxfId="6826" priority="2064">
      <formula>AW128="후보"</formula>
    </cfRule>
  </conditionalFormatting>
  <conditionalFormatting sqref="AA128">
    <cfRule type="colorScale" priority="20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8">
    <cfRule type="cellIs" dxfId="6825" priority="2060" operator="greaterThan">
      <formula>0.9</formula>
    </cfRule>
    <cfRule type="cellIs" dxfId="6824" priority="2061" operator="greaterThan">
      <formula>0.85</formula>
    </cfRule>
  </conditionalFormatting>
  <conditionalFormatting sqref="N128">
    <cfRule type="cellIs" dxfId="6823" priority="2058" operator="greaterThan">
      <formula>0.9</formula>
    </cfRule>
    <cfRule type="cellIs" dxfId="6822" priority="2059" operator="greaterThan">
      <formula>0.85</formula>
    </cfRule>
  </conditionalFormatting>
  <conditionalFormatting sqref="E128">
    <cfRule type="expression" dxfId="6821" priority="2054">
      <formula>AND(IF(OR($Q128=1,$Q128=2),1,0),IF($E128&lt;=20,1,0))</formula>
    </cfRule>
    <cfRule type="expression" dxfId="6820" priority="2055">
      <formula>AND(IF($Q128=2,1,0),IF($E128&lt;30,1,0))</formula>
    </cfRule>
    <cfRule type="expression" dxfId="6819" priority="2056">
      <formula>AND(IF($Q128=3,1,0),IF($E128&lt;30,1,0))</formula>
    </cfRule>
    <cfRule type="expression" dxfId="6818" priority="2057">
      <formula>AND(IF($Q128=3,1,IF($Q128=4,1,0)),IF($F128&lt;=85,1,0))</formula>
    </cfRule>
  </conditionalFormatting>
  <conditionalFormatting sqref="Y128">
    <cfRule type="expression" dxfId="6817" priority="2050">
      <formula>AND(IF(OR($Q128=1,$Q128=2),1,0),IF($Y128&lt;=20,1,0))</formula>
    </cfRule>
    <cfRule type="expression" dxfId="6816" priority="2051">
      <formula>AND(IF($Q128=2,1,0),IF($Y128&lt;30,1,0))</formula>
    </cfRule>
    <cfRule type="expression" dxfId="6815" priority="2052">
      <formula>AND(IF($Q128=3,1,0),IF($Y128&lt;30,1,0))</formula>
    </cfRule>
    <cfRule type="expression" dxfId="6814" priority="2053">
      <formula>AND(IF($Q128=3,1,IF($Q128=4,1,0)),IF($F128&lt;=85,1,0))</formula>
    </cfRule>
  </conditionalFormatting>
  <conditionalFormatting sqref="AJ128">
    <cfRule type="expression" dxfId="6813" priority="2046">
      <formula>AND(IF(OR($Q128=1,$Q128=2),1,0),IF($Y128&lt;=20,1,0))</formula>
    </cfRule>
    <cfRule type="expression" dxfId="6812" priority="2047">
      <formula>AND(IF($Q128=2,1,0),IF($Y128&lt;30,1,0))</formula>
    </cfRule>
    <cfRule type="expression" dxfId="6811" priority="2048">
      <formula>AND(IF($Q128=3,1,0),IF($Y128&lt;30,1,0))</formula>
    </cfRule>
    <cfRule type="expression" dxfId="6810" priority="2049">
      <formula>AND(IF($Q128=3,1,IF($Q128=4,1,0)),IF($F128&lt;=85,1,0))</formula>
    </cfRule>
  </conditionalFormatting>
  <conditionalFormatting sqref="AW129">
    <cfRule type="expression" dxfId="6809" priority="2044">
      <formula>AW129="X"</formula>
    </cfRule>
    <cfRule type="expression" dxfId="6808" priority="2045">
      <formula>AW129="후보"</formula>
    </cfRule>
  </conditionalFormatting>
  <conditionalFormatting sqref="AA129">
    <cfRule type="colorScale" priority="20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9">
    <cfRule type="cellIs" dxfId="6807" priority="2041" operator="greaterThan">
      <formula>0.9</formula>
    </cfRule>
    <cfRule type="cellIs" dxfId="6806" priority="2042" operator="greaterThan">
      <formula>0.85</formula>
    </cfRule>
  </conditionalFormatting>
  <conditionalFormatting sqref="N129">
    <cfRule type="cellIs" dxfId="6805" priority="2039" operator="greaterThan">
      <formula>0.9</formula>
    </cfRule>
    <cfRule type="cellIs" dxfId="6804" priority="2040" operator="greaterThan">
      <formula>0.85</formula>
    </cfRule>
  </conditionalFormatting>
  <conditionalFormatting sqref="E129">
    <cfRule type="expression" dxfId="6803" priority="2035">
      <formula>AND(IF(OR($Q129=1,$Q129=2),1,0),IF($E129&lt;=20,1,0))</formula>
    </cfRule>
    <cfRule type="expression" dxfId="6802" priority="2036">
      <formula>AND(IF($Q129=2,1,0),IF($E129&lt;30,1,0))</formula>
    </cfRule>
    <cfRule type="expression" dxfId="6801" priority="2037">
      <formula>AND(IF($Q129=3,1,0),IF($E129&lt;30,1,0))</formula>
    </cfRule>
    <cfRule type="expression" dxfId="6800" priority="2038">
      <formula>AND(IF($Q129=3,1,IF($Q129=4,1,0)),IF($F129&lt;=85,1,0))</formula>
    </cfRule>
  </conditionalFormatting>
  <conditionalFormatting sqref="Y129">
    <cfRule type="expression" dxfId="6799" priority="2031">
      <formula>AND(IF(OR($Q129=1,$Q129=2),1,0),IF($Y129&lt;=20,1,0))</formula>
    </cfRule>
    <cfRule type="expression" dxfId="6798" priority="2032">
      <formula>AND(IF($Q129=2,1,0),IF($Y129&lt;30,1,0))</formula>
    </cfRule>
    <cfRule type="expression" dxfId="6797" priority="2033">
      <formula>AND(IF($Q129=3,1,0),IF($Y129&lt;30,1,0))</formula>
    </cfRule>
    <cfRule type="expression" dxfId="6796" priority="2034">
      <formula>AND(IF($Q129=3,1,IF($Q129=4,1,0)),IF($F129&lt;=85,1,0))</formula>
    </cfRule>
  </conditionalFormatting>
  <conditionalFormatting sqref="AJ129">
    <cfRule type="expression" dxfId="6795" priority="2027">
      <formula>AND(IF(OR($Q129=1,$Q129=2),1,0),IF($Y129&lt;=20,1,0))</formula>
    </cfRule>
    <cfRule type="expression" dxfId="6794" priority="2028">
      <formula>AND(IF($Q129=2,1,0),IF($Y129&lt;30,1,0))</formula>
    </cfRule>
    <cfRule type="expression" dxfId="6793" priority="2029">
      <formula>AND(IF($Q129=3,1,0),IF($Y129&lt;30,1,0))</formula>
    </cfRule>
    <cfRule type="expression" dxfId="6792" priority="2030">
      <formula>AND(IF($Q129=3,1,IF($Q129=4,1,0)),IF($F129&lt;=85,1,0))</formula>
    </cfRule>
  </conditionalFormatting>
  <conditionalFormatting sqref="AW130">
    <cfRule type="expression" dxfId="6791" priority="2025">
      <formula>AW130="X"</formula>
    </cfRule>
    <cfRule type="expression" dxfId="6790" priority="2026">
      <formula>AW130="후보"</formula>
    </cfRule>
  </conditionalFormatting>
  <conditionalFormatting sqref="AA130">
    <cfRule type="colorScale" priority="20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0">
    <cfRule type="cellIs" dxfId="6789" priority="2022" operator="greaterThan">
      <formula>0.9</formula>
    </cfRule>
    <cfRule type="cellIs" dxfId="6788" priority="2023" operator="greaterThan">
      <formula>0.85</formula>
    </cfRule>
  </conditionalFormatting>
  <conditionalFormatting sqref="N130">
    <cfRule type="cellIs" dxfId="6787" priority="2020" operator="greaterThan">
      <formula>0.9</formula>
    </cfRule>
    <cfRule type="cellIs" dxfId="6786" priority="2021" operator="greaterThan">
      <formula>0.85</formula>
    </cfRule>
  </conditionalFormatting>
  <conditionalFormatting sqref="E130">
    <cfRule type="expression" dxfId="6785" priority="2016">
      <formula>AND(IF(OR($Q130=1,$Q130=2),1,0),IF($E130&lt;=20,1,0))</formula>
    </cfRule>
    <cfRule type="expression" dxfId="6784" priority="2017">
      <formula>AND(IF($Q130=2,1,0),IF($E130&lt;30,1,0))</formula>
    </cfRule>
    <cfRule type="expression" dxfId="6783" priority="2018">
      <formula>AND(IF($Q130=3,1,0),IF($E130&lt;30,1,0))</formula>
    </cfRule>
    <cfRule type="expression" dxfId="6782" priority="2019">
      <formula>AND(IF($Q130=3,1,IF($Q130=4,1,0)),IF($F130&lt;=85,1,0))</formula>
    </cfRule>
  </conditionalFormatting>
  <conditionalFormatting sqref="Y130">
    <cfRule type="expression" dxfId="6781" priority="2012">
      <formula>AND(IF(OR($Q130=1,$Q130=2),1,0),IF($Y130&lt;=20,1,0))</formula>
    </cfRule>
    <cfRule type="expression" dxfId="6780" priority="2013">
      <formula>AND(IF($Q130=2,1,0),IF($Y130&lt;30,1,0))</formula>
    </cfRule>
    <cfRule type="expression" dxfId="6779" priority="2014">
      <formula>AND(IF($Q130=3,1,0),IF($Y130&lt;30,1,0))</formula>
    </cfRule>
    <cfRule type="expression" dxfId="6778" priority="2015">
      <formula>AND(IF($Q130=3,1,IF($Q130=4,1,0)),IF($F130&lt;=85,1,0))</formula>
    </cfRule>
  </conditionalFormatting>
  <conditionalFormatting sqref="AJ130">
    <cfRule type="expression" dxfId="6777" priority="2008">
      <formula>AND(IF(OR($Q130=1,$Q130=2),1,0),IF($Y130&lt;=20,1,0))</formula>
    </cfRule>
    <cfRule type="expression" dxfId="6776" priority="2009">
      <formula>AND(IF($Q130=2,1,0),IF($Y130&lt;30,1,0))</formula>
    </cfRule>
    <cfRule type="expression" dxfId="6775" priority="2010">
      <formula>AND(IF($Q130=3,1,0),IF($Y130&lt;30,1,0))</formula>
    </cfRule>
    <cfRule type="expression" dxfId="6774" priority="2011">
      <formula>AND(IF($Q130=3,1,IF($Q130=4,1,0)),IF($F130&lt;=85,1,0))</formula>
    </cfRule>
  </conditionalFormatting>
  <conditionalFormatting sqref="AW131">
    <cfRule type="expression" dxfId="6773" priority="2006">
      <formula>AW131="X"</formula>
    </cfRule>
    <cfRule type="expression" dxfId="6772" priority="2007">
      <formula>AW131="후보"</formula>
    </cfRule>
  </conditionalFormatting>
  <conditionalFormatting sqref="AA131">
    <cfRule type="colorScale" priority="20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1">
    <cfRule type="cellIs" dxfId="6771" priority="2003" operator="greaterThan">
      <formula>0.9</formula>
    </cfRule>
    <cfRule type="cellIs" dxfId="6770" priority="2004" operator="greaterThan">
      <formula>0.85</formula>
    </cfRule>
  </conditionalFormatting>
  <conditionalFormatting sqref="N131">
    <cfRule type="cellIs" dxfId="6769" priority="2001" operator="greaterThan">
      <formula>0.9</formula>
    </cfRule>
    <cfRule type="cellIs" dxfId="6768" priority="2002" operator="greaterThan">
      <formula>0.85</formula>
    </cfRule>
  </conditionalFormatting>
  <conditionalFormatting sqref="E131">
    <cfRule type="expression" dxfId="6767" priority="1997">
      <formula>AND(IF(OR($Q131=1,$Q131=2),1,0),IF($E131&lt;=20,1,0))</formula>
    </cfRule>
    <cfRule type="expression" dxfId="6766" priority="1998">
      <formula>AND(IF($Q131=2,1,0),IF($E131&lt;30,1,0))</formula>
    </cfRule>
    <cfRule type="expression" dxfId="6765" priority="1999">
      <formula>AND(IF($Q131=3,1,0),IF($E131&lt;30,1,0))</formula>
    </cfRule>
    <cfRule type="expression" dxfId="6764" priority="2000">
      <formula>AND(IF($Q131=3,1,IF($Q131=4,1,0)),IF($F131&lt;=85,1,0))</formula>
    </cfRule>
  </conditionalFormatting>
  <conditionalFormatting sqref="Y131">
    <cfRule type="expression" dxfId="6763" priority="1993">
      <formula>AND(IF(OR($Q131=1,$Q131=2),1,0),IF($Y131&lt;=20,1,0))</formula>
    </cfRule>
    <cfRule type="expression" dxfId="6762" priority="1994">
      <formula>AND(IF($Q131=2,1,0),IF($Y131&lt;30,1,0))</formula>
    </cfRule>
    <cfRule type="expression" dxfId="6761" priority="1995">
      <formula>AND(IF($Q131=3,1,0),IF($Y131&lt;30,1,0))</formula>
    </cfRule>
    <cfRule type="expression" dxfId="6760" priority="1996">
      <formula>AND(IF($Q131=3,1,IF($Q131=4,1,0)),IF($F131&lt;=85,1,0))</formula>
    </cfRule>
  </conditionalFormatting>
  <conditionalFormatting sqref="AJ131">
    <cfRule type="expression" dxfId="6759" priority="1989">
      <formula>AND(IF(OR($Q131=1,$Q131=2),1,0),IF($Y131&lt;=20,1,0))</formula>
    </cfRule>
    <cfRule type="expression" dxfId="6758" priority="1990">
      <formula>AND(IF($Q131=2,1,0),IF($Y131&lt;30,1,0))</formula>
    </cfRule>
    <cfRule type="expression" dxfId="6757" priority="1991">
      <formula>AND(IF($Q131=3,1,0),IF($Y131&lt;30,1,0))</formula>
    </cfRule>
    <cfRule type="expression" dxfId="6756" priority="1992">
      <formula>AND(IF($Q131=3,1,IF($Q131=4,1,0)),IF($F131&lt;=85,1,0))</formula>
    </cfRule>
  </conditionalFormatting>
  <conditionalFormatting sqref="AW132">
    <cfRule type="expression" dxfId="6755" priority="1987">
      <formula>AW132="X"</formula>
    </cfRule>
    <cfRule type="expression" dxfId="6754" priority="1988">
      <formula>AW132="후보"</formula>
    </cfRule>
  </conditionalFormatting>
  <conditionalFormatting sqref="AA132">
    <cfRule type="colorScale" priority="19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2">
    <cfRule type="cellIs" dxfId="6753" priority="1984" operator="greaterThan">
      <formula>0.9</formula>
    </cfRule>
    <cfRule type="cellIs" dxfId="6752" priority="1985" operator="greaterThan">
      <formula>0.85</formula>
    </cfRule>
  </conditionalFormatting>
  <conditionalFormatting sqref="N132">
    <cfRule type="cellIs" dxfId="6751" priority="1982" operator="greaterThan">
      <formula>0.9</formula>
    </cfRule>
    <cfRule type="cellIs" dxfId="6750" priority="1983" operator="greaterThan">
      <formula>0.85</formula>
    </cfRule>
  </conditionalFormatting>
  <conditionalFormatting sqref="E132">
    <cfRule type="expression" dxfId="6749" priority="1978">
      <formula>AND(IF(OR($Q132=1,$Q132=2),1,0),IF($E132&lt;=20,1,0))</formula>
    </cfRule>
    <cfRule type="expression" dxfId="6748" priority="1979">
      <formula>AND(IF($Q132=2,1,0),IF($E132&lt;30,1,0))</formula>
    </cfRule>
    <cfRule type="expression" dxfId="6747" priority="1980">
      <formula>AND(IF($Q132=3,1,0),IF($E132&lt;30,1,0))</formula>
    </cfRule>
    <cfRule type="expression" dxfId="6746" priority="1981">
      <formula>AND(IF($Q132=3,1,IF($Q132=4,1,0)),IF($F132&lt;=85,1,0))</formula>
    </cfRule>
  </conditionalFormatting>
  <conditionalFormatting sqref="Y132">
    <cfRule type="expression" dxfId="6745" priority="1974">
      <formula>AND(IF(OR($Q132=1,$Q132=2),1,0),IF($Y132&lt;=20,1,0))</formula>
    </cfRule>
    <cfRule type="expression" dxfId="6744" priority="1975">
      <formula>AND(IF($Q132=2,1,0),IF($Y132&lt;30,1,0))</formula>
    </cfRule>
    <cfRule type="expression" dxfId="6743" priority="1976">
      <formula>AND(IF($Q132=3,1,0),IF($Y132&lt;30,1,0))</formula>
    </cfRule>
    <cfRule type="expression" dxfId="6742" priority="1977">
      <formula>AND(IF($Q132=3,1,IF($Q132=4,1,0)),IF($F132&lt;=85,1,0))</formula>
    </cfRule>
  </conditionalFormatting>
  <conditionalFormatting sqref="AJ132">
    <cfRule type="expression" dxfId="6741" priority="1970">
      <formula>AND(IF(OR($Q132=1,$Q132=2),1,0),IF($Y132&lt;=20,1,0))</formula>
    </cfRule>
    <cfRule type="expression" dxfId="6740" priority="1971">
      <formula>AND(IF($Q132=2,1,0),IF($Y132&lt;30,1,0))</formula>
    </cfRule>
    <cfRule type="expression" dxfId="6739" priority="1972">
      <formula>AND(IF($Q132=3,1,0),IF($Y132&lt;30,1,0))</formula>
    </cfRule>
    <cfRule type="expression" dxfId="6738" priority="1973">
      <formula>AND(IF($Q132=3,1,IF($Q132=4,1,0)),IF($F132&lt;=85,1,0))</formula>
    </cfRule>
  </conditionalFormatting>
  <conditionalFormatting sqref="AW133">
    <cfRule type="expression" dxfId="6737" priority="1968">
      <formula>AW133="X"</formula>
    </cfRule>
    <cfRule type="expression" dxfId="6736" priority="1969">
      <formula>AW133="후보"</formula>
    </cfRule>
  </conditionalFormatting>
  <conditionalFormatting sqref="AA133">
    <cfRule type="colorScale" priority="196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3">
    <cfRule type="cellIs" dxfId="6735" priority="1965" operator="greaterThan">
      <formula>0.9</formula>
    </cfRule>
    <cfRule type="cellIs" dxfId="6734" priority="1966" operator="greaterThan">
      <formula>0.85</formula>
    </cfRule>
  </conditionalFormatting>
  <conditionalFormatting sqref="N133">
    <cfRule type="cellIs" dxfId="6733" priority="1963" operator="greaterThan">
      <formula>0.9</formula>
    </cfRule>
    <cfRule type="cellIs" dxfId="6732" priority="1964" operator="greaterThan">
      <formula>0.85</formula>
    </cfRule>
  </conditionalFormatting>
  <conditionalFormatting sqref="E133">
    <cfRule type="expression" dxfId="6731" priority="1959">
      <formula>AND(IF(OR($Q133=1,$Q133=2),1,0),IF($E133&lt;=20,1,0))</formula>
    </cfRule>
    <cfRule type="expression" dxfId="6730" priority="1960">
      <formula>AND(IF($Q133=2,1,0),IF($E133&lt;30,1,0))</formula>
    </cfRule>
    <cfRule type="expression" dxfId="6729" priority="1961">
      <formula>AND(IF($Q133=3,1,0),IF($E133&lt;30,1,0))</formula>
    </cfRule>
    <cfRule type="expression" dxfId="6728" priority="1962">
      <formula>AND(IF($Q133=3,1,IF($Q133=4,1,0)),IF($F133&lt;=85,1,0))</formula>
    </cfRule>
  </conditionalFormatting>
  <conditionalFormatting sqref="Y133">
    <cfRule type="expression" dxfId="6727" priority="1955">
      <formula>AND(IF(OR($Q133=1,$Q133=2),1,0),IF($Y133&lt;=20,1,0))</formula>
    </cfRule>
    <cfRule type="expression" dxfId="6726" priority="1956">
      <formula>AND(IF($Q133=2,1,0),IF($Y133&lt;30,1,0))</formula>
    </cfRule>
    <cfRule type="expression" dxfId="6725" priority="1957">
      <formula>AND(IF($Q133=3,1,0),IF($Y133&lt;30,1,0))</formula>
    </cfRule>
    <cfRule type="expression" dxfId="6724" priority="1958">
      <formula>AND(IF($Q133=3,1,IF($Q133=4,1,0)),IF($F133&lt;=85,1,0))</formula>
    </cfRule>
  </conditionalFormatting>
  <conditionalFormatting sqref="AJ133">
    <cfRule type="expression" dxfId="6723" priority="1951">
      <formula>AND(IF(OR($Q133=1,$Q133=2),1,0),IF($Y133&lt;=20,1,0))</formula>
    </cfRule>
    <cfRule type="expression" dxfId="6722" priority="1952">
      <formula>AND(IF($Q133=2,1,0),IF($Y133&lt;30,1,0))</formula>
    </cfRule>
    <cfRule type="expression" dxfId="6721" priority="1953">
      <formula>AND(IF($Q133=3,1,0),IF($Y133&lt;30,1,0))</formula>
    </cfRule>
    <cfRule type="expression" dxfId="6720" priority="1954">
      <formula>AND(IF($Q133=3,1,IF($Q133=4,1,0)),IF($F133&lt;=85,1,0))</formula>
    </cfRule>
  </conditionalFormatting>
  <conditionalFormatting sqref="AW134">
    <cfRule type="expression" dxfId="6719" priority="1949">
      <formula>AW134="X"</formula>
    </cfRule>
    <cfRule type="expression" dxfId="6718" priority="1950">
      <formula>AW134="후보"</formula>
    </cfRule>
  </conditionalFormatting>
  <conditionalFormatting sqref="AA134">
    <cfRule type="colorScale" priority="194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4">
    <cfRule type="cellIs" dxfId="6717" priority="1946" operator="greaterThan">
      <formula>0.9</formula>
    </cfRule>
    <cfRule type="cellIs" dxfId="6716" priority="1947" operator="greaterThan">
      <formula>0.85</formula>
    </cfRule>
  </conditionalFormatting>
  <conditionalFormatting sqref="N134">
    <cfRule type="cellIs" dxfId="6715" priority="1944" operator="greaterThan">
      <formula>0.9</formula>
    </cfRule>
    <cfRule type="cellIs" dxfId="6714" priority="1945" operator="greaterThan">
      <formula>0.85</formula>
    </cfRule>
  </conditionalFormatting>
  <conditionalFormatting sqref="E134">
    <cfRule type="expression" dxfId="6713" priority="1940">
      <formula>AND(IF(OR($Q134=1,$Q134=2),1,0),IF($E134&lt;=20,1,0))</formula>
    </cfRule>
    <cfRule type="expression" dxfId="6712" priority="1941">
      <formula>AND(IF($Q134=2,1,0),IF($E134&lt;30,1,0))</formula>
    </cfRule>
    <cfRule type="expression" dxfId="6711" priority="1942">
      <formula>AND(IF($Q134=3,1,0),IF($E134&lt;30,1,0))</formula>
    </cfRule>
    <cfRule type="expression" dxfId="6710" priority="1943">
      <formula>AND(IF($Q134=3,1,IF($Q134=4,1,0)),IF($F134&lt;=85,1,0))</formula>
    </cfRule>
  </conditionalFormatting>
  <conditionalFormatting sqref="Y134">
    <cfRule type="expression" dxfId="6709" priority="1936">
      <formula>AND(IF(OR($Q134=1,$Q134=2),1,0),IF($Y134&lt;=20,1,0))</formula>
    </cfRule>
    <cfRule type="expression" dxfId="6708" priority="1937">
      <formula>AND(IF($Q134=2,1,0),IF($Y134&lt;30,1,0))</formula>
    </cfRule>
    <cfRule type="expression" dxfId="6707" priority="1938">
      <formula>AND(IF($Q134=3,1,0),IF($Y134&lt;30,1,0))</formula>
    </cfRule>
    <cfRule type="expression" dxfId="6706" priority="1939">
      <formula>AND(IF($Q134=3,1,IF($Q134=4,1,0)),IF($F134&lt;=85,1,0))</formula>
    </cfRule>
  </conditionalFormatting>
  <conditionalFormatting sqref="AJ134">
    <cfRule type="expression" dxfId="6705" priority="1932">
      <formula>AND(IF(OR($Q134=1,$Q134=2),1,0),IF($Y134&lt;=20,1,0))</formula>
    </cfRule>
    <cfRule type="expression" dxfId="6704" priority="1933">
      <formula>AND(IF($Q134=2,1,0),IF($Y134&lt;30,1,0))</formula>
    </cfRule>
    <cfRule type="expression" dxfId="6703" priority="1934">
      <formula>AND(IF($Q134=3,1,0),IF($Y134&lt;30,1,0))</formula>
    </cfRule>
    <cfRule type="expression" dxfId="6702" priority="1935">
      <formula>AND(IF($Q134=3,1,IF($Q134=4,1,0)),IF($F134&lt;=85,1,0))</formula>
    </cfRule>
  </conditionalFormatting>
  <conditionalFormatting sqref="AW135">
    <cfRule type="expression" dxfId="6701" priority="1930">
      <formula>AW135="X"</formula>
    </cfRule>
    <cfRule type="expression" dxfId="6700" priority="1931">
      <formula>AW135="후보"</formula>
    </cfRule>
  </conditionalFormatting>
  <conditionalFormatting sqref="AA135">
    <cfRule type="colorScale" priority="192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5">
    <cfRule type="cellIs" dxfId="6699" priority="1927" operator="greaterThan">
      <formula>0.9</formula>
    </cfRule>
    <cfRule type="cellIs" dxfId="6698" priority="1928" operator="greaterThan">
      <formula>0.85</formula>
    </cfRule>
  </conditionalFormatting>
  <conditionalFormatting sqref="N135">
    <cfRule type="cellIs" dxfId="6697" priority="1925" operator="greaterThan">
      <formula>0.9</formula>
    </cfRule>
    <cfRule type="cellIs" dxfId="6696" priority="1926" operator="greaterThan">
      <formula>0.85</formula>
    </cfRule>
  </conditionalFormatting>
  <conditionalFormatting sqref="E135">
    <cfRule type="expression" dxfId="6695" priority="1921">
      <formula>AND(IF(OR($Q135=1,$Q135=2),1,0),IF($E135&lt;=20,1,0))</formula>
    </cfRule>
    <cfRule type="expression" dxfId="6694" priority="1922">
      <formula>AND(IF($Q135=2,1,0),IF($E135&lt;30,1,0))</formula>
    </cfRule>
    <cfRule type="expression" dxfId="6693" priority="1923">
      <formula>AND(IF($Q135=3,1,0),IF($E135&lt;30,1,0))</formula>
    </cfRule>
    <cfRule type="expression" dxfId="6692" priority="1924">
      <formula>AND(IF($Q135=3,1,IF($Q135=4,1,0)),IF($F135&lt;=85,1,0))</formula>
    </cfRule>
  </conditionalFormatting>
  <conditionalFormatting sqref="Y135">
    <cfRule type="expression" dxfId="6691" priority="1917">
      <formula>AND(IF(OR($Q135=1,$Q135=2),1,0),IF($Y135&lt;=20,1,0))</formula>
    </cfRule>
    <cfRule type="expression" dxfId="6690" priority="1918">
      <formula>AND(IF($Q135=2,1,0),IF($Y135&lt;30,1,0))</formula>
    </cfRule>
    <cfRule type="expression" dxfId="6689" priority="1919">
      <formula>AND(IF($Q135=3,1,0),IF($Y135&lt;30,1,0))</formula>
    </cfRule>
    <cfRule type="expression" dxfId="6688" priority="1920">
      <formula>AND(IF($Q135=3,1,IF($Q135=4,1,0)),IF($F135&lt;=85,1,0))</formula>
    </cfRule>
  </conditionalFormatting>
  <conditionalFormatting sqref="AJ135">
    <cfRule type="expression" dxfId="6687" priority="1913">
      <formula>AND(IF(OR($Q135=1,$Q135=2),1,0),IF($Y135&lt;=20,1,0))</formula>
    </cfRule>
    <cfRule type="expression" dxfId="6686" priority="1914">
      <formula>AND(IF($Q135=2,1,0),IF($Y135&lt;30,1,0))</formula>
    </cfRule>
    <cfRule type="expression" dxfId="6685" priority="1915">
      <formula>AND(IF($Q135=3,1,0),IF($Y135&lt;30,1,0))</formula>
    </cfRule>
    <cfRule type="expression" dxfId="6684" priority="1916">
      <formula>AND(IF($Q135=3,1,IF($Q135=4,1,0)),IF($F135&lt;=85,1,0))</formula>
    </cfRule>
  </conditionalFormatting>
  <conditionalFormatting sqref="AW136">
    <cfRule type="expression" dxfId="6683" priority="1911">
      <formula>AW136="X"</formula>
    </cfRule>
    <cfRule type="expression" dxfId="6682" priority="1912">
      <formula>AW136="후보"</formula>
    </cfRule>
  </conditionalFormatting>
  <conditionalFormatting sqref="AA136">
    <cfRule type="colorScale" priority="191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6">
    <cfRule type="cellIs" dxfId="6681" priority="1908" operator="greaterThan">
      <formula>0.9</formula>
    </cfRule>
    <cfRule type="cellIs" dxfId="6680" priority="1909" operator="greaterThan">
      <formula>0.85</formula>
    </cfRule>
  </conditionalFormatting>
  <conditionalFormatting sqref="N136">
    <cfRule type="cellIs" dxfId="6679" priority="1906" operator="greaterThan">
      <formula>0.9</formula>
    </cfRule>
    <cfRule type="cellIs" dxfId="6678" priority="1907" operator="greaterThan">
      <formula>0.85</formula>
    </cfRule>
  </conditionalFormatting>
  <conditionalFormatting sqref="E136">
    <cfRule type="expression" dxfId="6677" priority="1902">
      <formula>AND(IF(OR($Q136=1,$Q136=2),1,0),IF($E136&lt;=20,1,0))</formula>
    </cfRule>
    <cfRule type="expression" dxfId="6676" priority="1903">
      <formula>AND(IF($Q136=2,1,0),IF($E136&lt;30,1,0))</formula>
    </cfRule>
    <cfRule type="expression" dxfId="6675" priority="1904">
      <formula>AND(IF($Q136=3,1,0),IF($E136&lt;30,1,0))</formula>
    </cfRule>
    <cfRule type="expression" dxfId="6674" priority="1905">
      <formula>AND(IF($Q136=3,1,IF($Q136=4,1,0)),IF($F136&lt;=85,1,0))</formula>
    </cfRule>
  </conditionalFormatting>
  <conditionalFormatting sqref="Y136">
    <cfRule type="expression" dxfId="6673" priority="1898">
      <formula>AND(IF(OR($Q136=1,$Q136=2),1,0),IF($Y136&lt;=20,1,0))</formula>
    </cfRule>
    <cfRule type="expression" dxfId="6672" priority="1899">
      <formula>AND(IF($Q136=2,1,0),IF($Y136&lt;30,1,0))</formula>
    </cfRule>
    <cfRule type="expression" dxfId="6671" priority="1900">
      <formula>AND(IF($Q136=3,1,0),IF($Y136&lt;30,1,0))</formula>
    </cfRule>
    <cfRule type="expression" dxfId="6670" priority="1901">
      <formula>AND(IF($Q136=3,1,IF($Q136=4,1,0)),IF($F136&lt;=85,1,0))</formula>
    </cfRule>
  </conditionalFormatting>
  <conditionalFormatting sqref="AJ136">
    <cfRule type="expression" dxfId="6669" priority="1894">
      <formula>AND(IF(OR($Q136=1,$Q136=2),1,0),IF($Y136&lt;=20,1,0))</formula>
    </cfRule>
    <cfRule type="expression" dxfId="6668" priority="1895">
      <formula>AND(IF($Q136=2,1,0),IF($Y136&lt;30,1,0))</formula>
    </cfRule>
    <cfRule type="expression" dxfId="6667" priority="1896">
      <formula>AND(IF($Q136=3,1,0),IF($Y136&lt;30,1,0))</formula>
    </cfRule>
    <cfRule type="expression" dxfId="6666" priority="1897">
      <formula>AND(IF($Q136=3,1,IF($Q136=4,1,0)),IF($F136&lt;=85,1,0))</formula>
    </cfRule>
  </conditionalFormatting>
  <conditionalFormatting sqref="AW137">
    <cfRule type="expression" dxfId="6665" priority="1892">
      <formula>AW137="X"</formula>
    </cfRule>
    <cfRule type="expression" dxfId="6664" priority="1893">
      <formula>AW137="후보"</formula>
    </cfRule>
  </conditionalFormatting>
  <conditionalFormatting sqref="AA137">
    <cfRule type="colorScale" priority="189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7">
    <cfRule type="cellIs" dxfId="6663" priority="1889" operator="greaterThan">
      <formula>0.9</formula>
    </cfRule>
    <cfRule type="cellIs" dxfId="6662" priority="1890" operator="greaterThan">
      <formula>0.85</formula>
    </cfRule>
  </conditionalFormatting>
  <conditionalFormatting sqref="N137">
    <cfRule type="cellIs" dxfId="6661" priority="1887" operator="greaterThan">
      <formula>0.9</formula>
    </cfRule>
    <cfRule type="cellIs" dxfId="6660" priority="1888" operator="greaterThan">
      <formula>0.85</formula>
    </cfRule>
  </conditionalFormatting>
  <conditionalFormatting sqref="E137">
    <cfRule type="expression" dxfId="6659" priority="1883">
      <formula>AND(IF(OR($Q137=1,$Q137=2),1,0),IF($E137&lt;=20,1,0))</formula>
    </cfRule>
    <cfRule type="expression" dxfId="6658" priority="1884">
      <formula>AND(IF($Q137=2,1,0),IF($E137&lt;30,1,0))</formula>
    </cfRule>
    <cfRule type="expression" dxfId="6657" priority="1885">
      <formula>AND(IF($Q137=3,1,0),IF($E137&lt;30,1,0))</formula>
    </cfRule>
    <cfRule type="expression" dxfId="6656" priority="1886">
      <formula>AND(IF($Q137=3,1,IF($Q137=4,1,0)),IF($F137&lt;=85,1,0))</formula>
    </cfRule>
  </conditionalFormatting>
  <conditionalFormatting sqref="Y137">
    <cfRule type="expression" dxfId="6655" priority="1879">
      <formula>AND(IF(OR($Q137=1,$Q137=2),1,0),IF($Y137&lt;=20,1,0))</formula>
    </cfRule>
    <cfRule type="expression" dxfId="6654" priority="1880">
      <formula>AND(IF($Q137=2,1,0),IF($Y137&lt;30,1,0))</formula>
    </cfRule>
    <cfRule type="expression" dxfId="6653" priority="1881">
      <formula>AND(IF($Q137=3,1,0),IF($Y137&lt;30,1,0))</formula>
    </cfRule>
    <cfRule type="expression" dxfId="6652" priority="1882">
      <formula>AND(IF($Q137=3,1,IF($Q137=4,1,0)),IF($F137&lt;=85,1,0))</formula>
    </cfRule>
  </conditionalFormatting>
  <conditionalFormatting sqref="AJ137">
    <cfRule type="expression" dxfId="6651" priority="1875">
      <formula>AND(IF(OR($Q137=1,$Q137=2),1,0),IF($Y137&lt;=20,1,0))</formula>
    </cfRule>
    <cfRule type="expression" dxfId="6650" priority="1876">
      <formula>AND(IF($Q137=2,1,0),IF($Y137&lt;30,1,0))</formula>
    </cfRule>
    <cfRule type="expression" dxfId="6649" priority="1877">
      <formula>AND(IF($Q137=3,1,0),IF($Y137&lt;30,1,0))</formula>
    </cfRule>
    <cfRule type="expression" dxfId="6648" priority="1878">
      <formula>AND(IF($Q137=3,1,IF($Q137=4,1,0)),IF($F137&lt;=85,1,0))</formula>
    </cfRule>
  </conditionalFormatting>
  <conditionalFormatting sqref="AW138">
    <cfRule type="expression" dxfId="6647" priority="1873">
      <formula>AW138="X"</formula>
    </cfRule>
    <cfRule type="expression" dxfId="6646" priority="1874">
      <formula>AW138="후보"</formula>
    </cfRule>
  </conditionalFormatting>
  <conditionalFormatting sqref="AA138">
    <cfRule type="colorScale" priority="187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8">
    <cfRule type="cellIs" dxfId="6645" priority="1870" operator="greaterThan">
      <formula>0.9</formula>
    </cfRule>
    <cfRule type="cellIs" dxfId="6644" priority="1871" operator="greaterThan">
      <formula>0.85</formula>
    </cfRule>
  </conditionalFormatting>
  <conditionalFormatting sqref="N138">
    <cfRule type="cellIs" dxfId="6643" priority="1868" operator="greaterThan">
      <formula>0.9</formula>
    </cfRule>
    <cfRule type="cellIs" dxfId="6642" priority="1869" operator="greaterThan">
      <formula>0.85</formula>
    </cfRule>
  </conditionalFormatting>
  <conditionalFormatting sqref="E138">
    <cfRule type="expression" dxfId="6641" priority="1864">
      <formula>AND(IF(OR($Q138=1,$Q138=2),1,0),IF($E138&lt;=20,1,0))</formula>
    </cfRule>
    <cfRule type="expression" dxfId="6640" priority="1865">
      <formula>AND(IF($Q138=2,1,0),IF($E138&lt;30,1,0))</formula>
    </cfRule>
    <cfRule type="expression" dxfId="6639" priority="1866">
      <formula>AND(IF($Q138=3,1,0),IF($E138&lt;30,1,0))</formula>
    </cfRule>
    <cfRule type="expression" dxfId="6638" priority="1867">
      <formula>AND(IF($Q138=3,1,IF($Q138=4,1,0)),IF($F138&lt;=85,1,0))</formula>
    </cfRule>
  </conditionalFormatting>
  <conditionalFormatting sqref="Y138">
    <cfRule type="expression" dxfId="6637" priority="1860">
      <formula>AND(IF(OR($Q138=1,$Q138=2),1,0),IF($Y138&lt;=20,1,0))</formula>
    </cfRule>
    <cfRule type="expression" dxfId="6636" priority="1861">
      <formula>AND(IF($Q138=2,1,0),IF($Y138&lt;30,1,0))</formula>
    </cfRule>
    <cfRule type="expression" dxfId="6635" priority="1862">
      <formula>AND(IF($Q138=3,1,0),IF($Y138&lt;30,1,0))</formula>
    </cfRule>
    <cfRule type="expression" dxfId="6634" priority="1863">
      <formula>AND(IF($Q138=3,1,IF($Q138=4,1,0)),IF($F138&lt;=85,1,0))</formula>
    </cfRule>
  </conditionalFormatting>
  <conditionalFormatting sqref="AJ138">
    <cfRule type="expression" dxfId="6633" priority="1856">
      <formula>AND(IF(OR($Q138=1,$Q138=2),1,0),IF($Y138&lt;=20,1,0))</formula>
    </cfRule>
    <cfRule type="expression" dxfId="6632" priority="1857">
      <formula>AND(IF($Q138=2,1,0),IF($Y138&lt;30,1,0))</formula>
    </cfRule>
    <cfRule type="expression" dxfId="6631" priority="1858">
      <formula>AND(IF($Q138=3,1,0),IF($Y138&lt;30,1,0))</formula>
    </cfRule>
    <cfRule type="expression" dxfId="6630" priority="1859">
      <formula>AND(IF($Q138=3,1,IF($Q138=4,1,0)),IF($F138&lt;=85,1,0))</formula>
    </cfRule>
  </conditionalFormatting>
  <conditionalFormatting sqref="AW139">
    <cfRule type="expression" dxfId="6629" priority="1854">
      <formula>AW139="X"</formula>
    </cfRule>
    <cfRule type="expression" dxfId="6628" priority="1855">
      <formula>AW139="후보"</formula>
    </cfRule>
  </conditionalFormatting>
  <conditionalFormatting sqref="AA139">
    <cfRule type="colorScale" priority="185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9">
    <cfRule type="cellIs" dxfId="6627" priority="1851" operator="greaterThan">
      <formula>0.9</formula>
    </cfRule>
    <cfRule type="cellIs" dxfId="6626" priority="1852" operator="greaterThan">
      <formula>0.85</formula>
    </cfRule>
  </conditionalFormatting>
  <conditionalFormatting sqref="N139">
    <cfRule type="cellIs" dxfId="6625" priority="1849" operator="greaterThan">
      <formula>0.9</formula>
    </cfRule>
    <cfRule type="cellIs" dxfId="6624" priority="1850" operator="greaterThan">
      <formula>0.85</formula>
    </cfRule>
  </conditionalFormatting>
  <conditionalFormatting sqref="E139">
    <cfRule type="expression" dxfId="6623" priority="1845">
      <formula>AND(IF(OR($Q139=1,$Q139=2),1,0),IF($E139&lt;=20,1,0))</formula>
    </cfRule>
    <cfRule type="expression" dxfId="6622" priority="1846">
      <formula>AND(IF($Q139=2,1,0),IF($E139&lt;30,1,0))</formula>
    </cfRule>
    <cfRule type="expression" dxfId="6621" priority="1847">
      <formula>AND(IF($Q139=3,1,0),IF($E139&lt;30,1,0))</formula>
    </cfRule>
    <cfRule type="expression" dxfId="6620" priority="1848">
      <formula>AND(IF($Q139=3,1,IF($Q139=4,1,0)),IF($F139&lt;=85,1,0))</formula>
    </cfRule>
  </conditionalFormatting>
  <conditionalFormatting sqref="Y139">
    <cfRule type="expression" dxfId="6619" priority="1841">
      <formula>AND(IF(OR($Q139=1,$Q139=2),1,0),IF($Y139&lt;=20,1,0))</formula>
    </cfRule>
    <cfRule type="expression" dxfId="6618" priority="1842">
      <formula>AND(IF($Q139=2,1,0),IF($Y139&lt;30,1,0))</formula>
    </cfRule>
    <cfRule type="expression" dxfId="6617" priority="1843">
      <formula>AND(IF($Q139=3,1,0),IF($Y139&lt;30,1,0))</formula>
    </cfRule>
    <cfRule type="expression" dxfId="6616" priority="1844">
      <formula>AND(IF($Q139=3,1,IF($Q139=4,1,0)),IF($F139&lt;=85,1,0))</formula>
    </cfRule>
  </conditionalFormatting>
  <conditionalFormatting sqref="AJ139">
    <cfRule type="expression" dxfId="6615" priority="1837">
      <formula>AND(IF(OR($Q139=1,$Q139=2),1,0),IF($Y139&lt;=20,1,0))</formula>
    </cfRule>
    <cfRule type="expression" dxfId="6614" priority="1838">
      <formula>AND(IF($Q139=2,1,0),IF($Y139&lt;30,1,0))</formula>
    </cfRule>
    <cfRule type="expression" dxfId="6613" priority="1839">
      <formula>AND(IF($Q139=3,1,0),IF($Y139&lt;30,1,0))</formula>
    </cfRule>
    <cfRule type="expression" dxfId="6612" priority="1840">
      <formula>AND(IF($Q139=3,1,IF($Q139=4,1,0)),IF($F139&lt;=85,1,0))</formula>
    </cfRule>
  </conditionalFormatting>
  <conditionalFormatting sqref="AW140">
    <cfRule type="expression" dxfId="6611" priority="1835">
      <formula>AW140="X"</formula>
    </cfRule>
    <cfRule type="expression" dxfId="6610" priority="1836">
      <formula>AW140="후보"</formula>
    </cfRule>
  </conditionalFormatting>
  <conditionalFormatting sqref="AA140">
    <cfRule type="colorScale" priority="183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0">
    <cfRule type="cellIs" dxfId="6609" priority="1832" operator="greaterThan">
      <formula>0.9</formula>
    </cfRule>
    <cfRule type="cellIs" dxfId="6608" priority="1833" operator="greaterThan">
      <formula>0.85</formula>
    </cfRule>
  </conditionalFormatting>
  <conditionalFormatting sqref="N140">
    <cfRule type="cellIs" dxfId="6607" priority="1830" operator="greaterThan">
      <formula>0.9</formula>
    </cfRule>
    <cfRule type="cellIs" dxfId="6606" priority="1831" operator="greaterThan">
      <formula>0.85</formula>
    </cfRule>
  </conditionalFormatting>
  <conditionalFormatting sqref="E140">
    <cfRule type="expression" dxfId="6605" priority="1826">
      <formula>AND(IF(OR($Q140=1,$Q140=2),1,0),IF($E140&lt;=20,1,0))</formula>
    </cfRule>
    <cfRule type="expression" dxfId="6604" priority="1827">
      <formula>AND(IF($Q140=2,1,0),IF($E140&lt;30,1,0))</formula>
    </cfRule>
    <cfRule type="expression" dxfId="6603" priority="1828">
      <formula>AND(IF($Q140=3,1,0),IF($E140&lt;30,1,0))</formula>
    </cfRule>
    <cfRule type="expression" dxfId="6602" priority="1829">
      <formula>AND(IF($Q140=3,1,IF($Q140=4,1,0)),IF($F140&lt;=85,1,0))</formula>
    </cfRule>
  </conditionalFormatting>
  <conditionalFormatting sqref="Y140">
    <cfRule type="expression" dxfId="6601" priority="1822">
      <formula>AND(IF(OR($Q140=1,$Q140=2),1,0),IF($Y140&lt;=20,1,0))</formula>
    </cfRule>
    <cfRule type="expression" dxfId="6600" priority="1823">
      <formula>AND(IF($Q140=2,1,0),IF($Y140&lt;30,1,0))</formula>
    </cfRule>
    <cfRule type="expression" dxfId="6599" priority="1824">
      <formula>AND(IF($Q140=3,1,0),IF($Y140&lt;30,1,0))</formula>
    </cfRule>
    <cfRule type="expression" dxfId="6598" priority="1825">
      <formula>AND(IF($Q140=3,1,IF($Q140=4,1,0)),IF($F140&lt;=85,1,0))</formula>
    </cfRule>
  </conditionalFormatting>
  <conditionalFormatting sqref="AJ140">
    <cfRule type="expression" dxfId="6597" priority="1818">
      <formula>AND(IF(OR($Q140=1,$Q140=2),1,0),IF($Y140&lt;=20,1,0))</formula>
    </cfRule>
    <cfRule type="expression" dxfId="6596" priority="1819">
      <formula>AND(IF($Q140=2,1,0),IF($Y140&lt;30,1,0))</formula>
    </cfRule>
    <cfRule type="expression" dxfId="6595" priority="1820">
      <formula>AND(IF($Q140=3,1,0),IF($Y140&lt;30,1,0))</formula>
    </cfRule>
    <cfRule type="expression" dxfId="6594" priority="1821">
      <formula>AND(IF($Q140=3,1,IF($Q140=4,1,0)),IF($F140&lt;=85,1,0))</formula>
    </cfRule>
  </conditionalFormatting>
  <conditionalFormatting sqref="AW141">
    <cfRule type="expression" dxfId="6593" priority="1816">
      <formula>AW141="X"</formula>
    </cfRule>
    <cfRule type="expression" dxfId="6592" priority="1817">
      <formula>AW141="후보"</formula>
    </cfRule>
  </conditionalFormatting>
  <conditionalFormatting sqref="AA141">
    <cfRule type="colorScale" priority="181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1">
    <cfRule type="cellIs" dxfId="6591" priority="1813" operator="greaterThan">
      <formula>0.9</formula>
    </cfRule>
    <cfRule type="cellIs" dxfId="6590" priority="1814" operator="greaterThan">
      <formula>0.85</formula>
    </cfRule>
  </conditionalFormatting>
  <conditionalFormatting sqref="N141">
    <cfRule type="cellIs" dxfId="6589" priority="1811" operator="greaterThan">
      <formula>0.9</formula>
    </cfRule>
    <cfRule type="cellIs" dxfId="6588" priority="1812" operator="greaterThan">
      <formula>0.85</formula>
    </cfRule>
  </conditionalFormatting>
  <conditionalFormatting sqref="E141">
    <cfRule type="expression" dxfId="6587" priority="1807">
      <formula>AND(IF(OR($Q141=1,$Q141=2),1,0),IF($E141&lt;=20,1,0))</formula>
    </cfRule>
    <cfRule type="expression" dxfId="6586" priority="1808">
      <formula>AND(IF($Q141=2,1,0),IF($E141&lt;30,1,0))</formula>
    </cfRule>
    <cfRule type="expression" dxfId="6585" priority="1809">
      <formula>AND(IF($Q141=3,1,0),IF($E141&lt;30,1,0))</formula>
    </cfRule>
    <cfRule type="expression" dxfId="6584" priority="1810">
      <formula>AND(IF($Q141=3,1,IF($Q141=4,1,0)),IF($F141&lt;=85,1,0))</formula>
    </cfRule>
  </conditionalFormatting>
  <conditionalFormatting sqref="Y141">
    <cfRule type="expression" dxfId="6583" priority="1803">
      <formula>AND(IF(OR($Q141=1,$Q141=2),1,0),IF($Y141&lt;=20,1,0))</formula>
    </cfRule>
    <cfRule type="expression" dxfId="6582" priority="1804">
      <formula>AND(IF($Q141=2,1,0),IF($Y141&lt;30,1,0))</formula>
    </cfRule>
    <cfRule type="expression" dxfId="6581" priority="1805">
      <formula>AND(IF($Q141=3,1,0),IF($Y141&lt;30,1,0))</formula>
    </cfRule>
    <cfRule type="expression" dxfId="6580" priority="1806">
      <formula>AND(IF($Q141=3,1,IF($Q141=4,1,0)),IF($F141&lt;=85,1,0))</formula>
    </cfRule>
  </conditionalFormatting>
  <conditionalFormatting sqref="AJ141">
    <cfRule type="expression" dxfId="6579" priority="1799">
      <formula>AND(IF(OR($Q141=1,$Q141=2),1,0),IF($Y141&lt;=20,1,0))</formula>
    </cfRule>
    <cfRule type="expression" dxfId="6578" priority="1800">
      <formula>AND(IF($Q141=2,1,0),IF($Y141&lt;30,1,0))</formula>
    </cfRule>
    <cfRule type="expression" dxfId="6577" priority="1801">
      <formula>AND(IF($Q141=3,1,0),IF($Y141&lt;30,1,0))</formula>
    </cfRule>
    <cfRule type="expression" dxfId="6576" priority="1802">
      <formula>AND(IF($Q141=3,1,IF($Q141=4,1,0)),IF($F141&lt;=85,1,0))</formula>
    </cfRule>
  </conditionalFormatting>
  <conditionalFormatting sqref="AW142">
    <cfRule type="expression" dxfId="6575" priority="1797">
      <formula>AW142="X"</formula>
    </cfRule>
    <cfRule type="expression" dxfId="6574" priority="1798">
      <formula>AW142="후보"</formula>
    </cfRule>
  </conditionalFormatting>
  <conditionalFormatting sqref="AA142">
    <cfRule type="colorScale" priority="179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2">
    <cfRule type="cellIs" dxfId="6573" priority="1794" operator="greaterThan">
      <formula>0.9</formula>
    </cfRule>
    <cfRule type="cellIs" dxfId="6572" priority="1795" operator="greaterThan">
      <formula>0.85</formula>
    </cfRule>
  </conditionalFormatting>
  <conditionalFormatting sqref="N142">
    <cfRule type="cellIs" dxfId="6571" priority="1792" operator="greaterThan">
      <formula>0.9</formula>
    </cfRule>
    <cfRule type="cellIs" dxfId="6570" priority="1793" operator="greaterThan">
      <formula>0.85</formula>
    </cfRule>
  </conditionalFormatting>
  <conditionalFormatting sqref="E142">
    <cfRule type="expression" dxfId="6569" priority="1788">
      <formula>AND(IF(OR($Q142=1,$Q142=2),1,0),IF($E142&lt;=20,1,0))</formula>
    </cfRule>
    <cfRule type="expression" dxfId="6568" priority="1789">
      <formula>AND(IF($Q142=2,1,0),IF($E142&lt;30,1,0))</formula>
    </cfRule>
    <cfRule type="expression" dxfId="6567" priority="1790">
      <formula>AND(IF($Q142=3,1,0),IF($E142&lt;30,1,0))</formula>
    </cfRule>
    <cfRule type="expression" dxfId="6566" priority="1791">
      <formula>AND(IF($Q142=3,1,IF($Q142=4,1,0)),IF($F142&lt;=85,1,0))</formula>
    </cfRule>
  </conditionalFormatting>
  <conditionalFormatting sqref="Y142">
    <cfRule type="expression" dxfId="6565" priority="1784">
      <formula>AND(IF(OR($Q142=1,$Q142=2),1,0),IF($Y142&lt;=20,1,0))</formula>
    </cfRule>
    <cfRule type="expression" dxfId="6564" priority="1785">
      <formula>AND(IF($Q142=2,1,0),IF($Y142&lt;30,1,0))</formula>
    </cfRule>
    <cfRule type="expression" dxfId="6563" priority="1786">
      <formula>AND(IF($Q142=3,1,0),IF($Y142&lt;30,1,0))</formula>
    </cfRule>
    <cfRule type="expression" dxfId="6562" priority="1787">
      <formula>AND(IF($Q142=3,1,IF($Q142=4,1,0)),IF($F142&lt;=85,1,0))</formula>
    </cfRule>
  </conditionalFormatting>
  <conditionalFormatting sqref="AJ142">
    <cfRule type="expression" dxfId="6561" priority="1780">
      <formula>AND(IF(OR($Q142=1,$Q142=2),1,0),IF($Y142&lt;=20,1,0))</formula>
    </cfRule>
    <cfRule type="expression" dxfId="6560" priority="1781">
      <formula>AND(IF($Q142=2,1,0),IF($Y142&lt;30,1,0))</formula>
    </cfRule>
    <cfRule type="expression" dxfId="6559" priority="1782">
      <formula>AND(IF($Q142=3,1,0),IF($Y142&lt;30,1,0))</formula>
    </cfRule>
    <cfRule type="expression" dxfId="6558" priority="1783">
      <formula>AND(IF($Q142=3,1,IF($Q142=4,1,0)),IF($F142&lt;=85,1,0))</formula>
    </cfRule>
  </conditionalFormatting>
  <conditionalFormatting sqref="AW143">
    <cfRule type="expression" dxfId="6557" priority="1778">
      <formula>AW143="X"</formula>
    </cfRule>
    <cfRule type="expression" dxfId="6556" priority="1779">
      <formula>AW143="후보"</formula>
    </cfRule>
  </conditionalFormatting>
  <conditionalFormatting sqref="AA143">
    <cfRule type="colorScale" priority="177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3">
    <cfRule type="cellIs" dxfId="6555" priority="1775" operator="greaterThan">
      <formula>0.9</formula>
    </cfRule>
    <cfRule type="cellIs" dxfId="6554" priority="1776" operator="greaterThan">
      <formula>0.85</formula>
    </cfRule>
  </conditionalFormatting>
  <conditionalFormatting sqref="N143">
    <cfRule type="cellIs" dxfId="6553" priority="1773" operator="greaterThan">
      <formula>0.9</formula>
    </cfRule>
    <cfRule type="cellIs" dxfId="6552" priority="1774" operator="greaterThan">
      <formula>0.85</formula>
    </cfRule>
  </conditionalFormatting>
  <conditionalFormatting sqref="E143">
    <cfRule type="expression" dxfId="6551" priority="1769">
      <formula>AND(IF(OR($Q143=1,$Q143=2),1,0),IF($E143&lt;=20,1,0))</formula>
    </cfRule>
    <cfRule type="expression" dxfId="6550" priority="1770">
      <formula>AND(IF($Q143=2,1,0),IF($E143&lt;30,1,0))</formula>
    </cfRule>
    <cfRule type="expression" dxfId="6549" priority="1771">
      <formula>AND(IF($Q143=3,1,0),IF($E143&lt;30,1,0))</formula>
    </cfRule>
    <cfRule type="expression" dxfId="6548" priority="1772">
      <formula>AND(IF($Q143=3,1,IF($Q143=4,1,0)),IF($F143&lt;=85,1,0))</formula>
    </cfRule>
  </conditionalFormatting>
  <conditionalFormatting sqref="Y143">
    <cfRule type="expression" dxfId="6547" priority="1765">
      <formula>AND(IF(OR($Q143=1,$Q143=2),1,0),IF($Y143&lt;=20,1,0))</formula>
    </cfRule>
    <cfRule type="expression" dxfId="6546" priority="1766">
      <formula>AND(IF($Q143=2,1,0),IF($Y143&lt;30,1,0))</formula>
    </cfRule>
    <cfRule type="expression" dxfId="6545" priority="1767">
      <formula>AND(IF($Q143=3,1,0),IF($Y143&lt;30,1,0))</formula>
    </cfRule>
    <cfRule type="expression" dxfId="6544" priority="1768">
      <formula>AND(IF($Q143=3,1,IF($Q143=4,1,0)),IF($F143&lt;=85,1,0))</formula>
    </cfRule>
  </conditionalFormatting>
  <conditionalFormatting sqref="AJ143">
    <cfRule type="expression" dxfId="6543" priority="1761">
      <formula>AND(IF(OR($Q143=1,$Q143=2),1,0),IF($Y143&lt;=20,1,0))</formula>
    </cfRule>
    <cfRule type="expression" dxfId="6542" priority="1762">
      <formula>AND(IF($Q143=2,1,0),IF($Y143&lt;30,1,0))</formula>
    </cfRule>
    <cfRule type="expression" dxfId="6541" priority="1763">
      <formula>AND(IF($Q143=3,1,0),IF($Y143&lt;30,1,0))</formula>
    </cfRule>
    <cfRule type="expression" dxfId="6540" priority="1764">
      <formula>AND(IF($Q143=3,1,IF($Q143=4,1,0)),IF($F143&lt;=85,1,0))</formula>
    </cfRule>
  </conditionalFormatting>
  <conditionalFormatting sqref="AW144">
    <cfRule type="expression" dxfId="6539" priority="1759">
      <formula>AW144="X"</formula>
    </cfRule>
    <cfRule type="expression" dxfId="6538" priority="1760">
      <formula>AW144="후보"</formula>
    </cfRule>
  </conditionalFormatting>
  <conditionalFormatting sqref="AA144">
    <cfRule type="colorScale" priority="175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4">
    <cfRule type="cellIs" dxfId="6537" priority="1756" operator="greaterThan">
      <formula>0.9</formula>
    </cfRule>
    <cfRule type="cellIs" dxfId="6536" priority="1757" operator="greaterThan">
      <formula>0.85</formula>
    </cfRule>
  </conditionalFormatting>
  <conditionalFormatting sqref="N144">
    <cfRule type="cellIs" dxfId="6535" priority="1754" operator="greaterThan">
      <formula>0.9</formula>
    </cfRule>
    <cfRule type="cellIs" dxfId="6534" priority="1755" operator="greaterThan">
      <formula>0.85</formula>
    </cfRule>
  </conditionalFormatting>
  <conditionalFormatting sqref="E144">
    <cfRule type="expression" dxfId="6533" priority="1750">
      <formula>AND(IF(OR($Q144=1,$Q144=2),1,0),IF($E144&lt;=20,1,0))</formula>
    </cfRule>
    <cfRule type="expression" dxfId="6532" priority="1751">
      <formula>AND(IF($Q144=2,1,0),IF($E144&lt;30,1,0))</formula>
    </cfRule>
    <cfRule type="expression" dxfId="6531" priority="1752">
      <formula>AND(IF($Q144=3,1,0),IF($E144&lt;30,1,0))</formula>
    </cfRule>
    <cfRule type="expression" dxfId="6530" priority="1753">
      <formula>AND(IF($Q144=3,1,IF($Q144=4,1,0)),IF($F144&lt;=85,1,0))</formula>
    </cfRule>
  </conditionalFormatting>
  <conditionalFormatting sqref="Y144">
    <cfRule type="expression" dxfId="6529" priority="1746">
      <formula>AND(IF(OR($Q144=1,$Q144=2),1,0),IF($Y144&lt;=20,1,0))</formula>
    </cfRule>
    <cfRule type="expression" dxfId="6528" priority="1747">
      <formula>AND(IF($Q144=2,1,0),IF($Y144&lt;30,1,0))</formula>
    </cfRule>
    <cfRule type="expression" dxfId="6527" priority="1748">
      <formula>AND(IF($Q144=3,1,0),IF($Y144&lt;30,1,0))</formula>
    </cfRule>
    <cfRule type="expression" dxfId="6526" priority="1749">
      <formula>AND(IF($Q144=3,1,IF($Q144=4,1,0)),IF($F144&lt;=85,1,0))</formula>
    </cfRule>
  </conditionalFormatting>
  <conditionalFormatting sqref="AJ144">
    <cfRule type="expression" dxfId="6525" priority="1742">
      <formula>AND(IF(OR($Q144=1,$Q144=2),1,0),IF($Y144&lt;=20,1,0))</formula>
    </cfRule>
    <cfRule type="expression" dxfId="6524" priority="1743">
      <formula>AND(IF($Q144=2,1,0),IF($Y144&lt;30,1,0))</formula>
    </cfRule>
    <cfRule type="expression" dxfId="6523" priority="1744">
      <formula>AND(IF($Q144=3,1,0),IF($Y144&lt;30,1,0))</formula>
    </cfRule>
    <cfRule type="expression" dxfId="6522" priority="1745">
      <formula>AND(IF($Q144=3,1,IF($Q144=4,1,0)),IF($F144&lt;=85,1,0))</formula>
    </cfRule>
  </conditionalFormatting>
  <conditionalFormatting sqref="AW145">
    <cfRule type="expression" dxfId="6521" priority="1740">
      <formula>AW145="X"</formula>
    </cfRule>
    <cfRule type="expression" dxfId="6520" priority="1741">
      <formula>AW145="후보"</formula>
    </cfRule>
  </conditionalFormatting>
  <conditionalFormatting sqref="AA145">
    <cfRule type="colorScale" priority="173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5">
    <cfRule type="cellIs" dxfId="6519" priority="1737" operator="greaterThan">
      <formula>0.9</formula>
    </cfRule>
    <cfRule type="cellIs" dxfId="6518" priority="1738" operator="greaterThan">
      <formula>0.85</formula>
    </cfRule>
  </conditionalFormatting>
  <conditionalFormatting sqref="N145">
    <cfRule type="cellIs" dxfId="6517" priority="1735" operator="greaterThan">
      <formula>0.9</formula>
    </cfRule>
    <cfRule type="cellIs" dxfId="6516" priority="1736" operator="greaterThan">
      <formula>0.85</formula>
    </cfRule>
  </conditionalFormatting>
  <conditionalFormatting sqref="E145">
    <cfRule type="expression" dxfId="6515" priority="1731">
      <formula>AND(IF(OR($Q145=1,$Q145=2),1,0),IF($E145&lt;=20,1,0))</formula>
    </cfRule>
    <cfRule type="expression" dxfId="6514" priority="1732">
      <formula>AND(IF($Q145=2,1,0),IF($E145&lt;30,1,0))</formula>
    </cfRule>
    <cfRule type="expression" dxfId="6513" priority="1733">
      <formula>AND(IF($Q145=3,1,0),IF($E145&lt;30,1,0))</formula>
    </cfRule>
    <cfRule type="expression" dxfId="6512" priority="1734">
      <formula>AND(IF($Q145=3,1,IF($Q145=4,1,0)),IF($F145&lt;=85,1,0))</formula>
    </cfRule>
  </conditionalFormatting>
  <conditionalFormatting sqref="Y145">
    <cfRule type="expression" dxfId="6511" priority="1727">
      <formula>AND(IF(OR($Q145=1,$Q145=2),1,0),IF($Y145&lt;=20,1,0))</formula>
    </cfRule>
    <cfRule type="expression" dxfId="6510" priority="1728">
      <formula>AND(IF($Q145=2,1,0),IF($Y145&lt;30,1,0))</formula>
    </cfRule>
    <cfRule type="expression" dxfId="6509" priority="1729">
      <formula>AND(IF($Q145=3,1,0),IF($Y145&lt;30,1,0))</formula>
    </cfRule>
    <cfRule type="expression" dxfId="6508" priority="1730">
      <formula>AND(IF($Q145=3,1,IF($Q145=4,1,0)),IF($F145&lt;=85,1,0))</formula>
    </cfRule>
  </conditionalFormatting>
  <conditionalFormatting sqref="AJ145">
    <cfRule type="expression" dxfId="6507" priority="1723">
      <formula>AND(IF(OR($Q145=1,$Q145=2),1,0),IF($Y145&lt;=20,1,0))</formula>
    </cfRule>
    <cfRule type="expression" dxfId="6506" priority="1724">
      <formula>AND(IF($Q145=2,1,0),IF($Y145&lt;30,1,0))</formula>
    </cfRule>
    <cfRule type="expression" dxfId="6505" priority="1725">
      <formula>AND(IF($Q145=3,1,0),IF($Y145&lt;30,1,0))</formula>
    </cfRule>
    <cfRule type="expression" dxfId="6504" priority="1726">
      <formula>AND(IF($Q145=3,1,IF($Q145=4,1,0)),IF($F145&lt;=85,1,0))</formula>
    </cfRule>
  </conditionalFormatting>
  <conditionalFormatting sqref="AW146">
    <cfRule type="expression" dxfId="6503" priority="1721">
      <formula>AW146="X"</formula>
    </cfRule>
    <cfRule type="expression" dxfId="6502" priority="1722">
      <formula>AW146="후보"</formula>
    </cfRule>
  </conditionalFormatting>
  <conditionalFormatting sqref="AA146">
    <cfRule type="colorScale" priority="172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6">
    <cfRule type="cellIs" dxfId="6501" priority="1718" operator="greaterThan">
      <formula>0.9</formula>
    </cfRule>
    <cfRule type="cellIs" dxfId="6500" priority="1719" operator="greaterThan">
      <formula>0.85</formula>
    </cfRule>
  </conditionalFormatting>
  <conditionalFormatting sqref="N146">
    <cfRule type="cellIs" dxfId="6499" priority="1716" operator="greaterThan">
      <formula>0.9</formula>
    </cfRule>
    <cfRule type="cellIs" dxfId="6498" priority="1717" operator="greaterThan">
      <formula>0.85</formula>
    </cfRule>
  </conditionalFormatting>
  <conditionalFormatting sqref="E146">
    <cfRule type="expression" dxfId="6497" priority="1712">
      <formula>AND(IF(OR($Q146=1,$Q146=2),1,0),IF($E146&lt;=20,1,0))</formula>
    </cfRule>
    <cfRule type="expression" dxfId="6496" priority="1713">
      <formula>AND(IF($Q146=2,1,0),IF($E146&lt;30,1,0))</formula>
    </cfRule>
    <cfRule type="expression" dxfId="6495" priority="1714">
      <formula>AND(IF($Q146=3,1,0),IF($E146&lt;30,1,0))</formula>
    </cfRule>
    <cfRule type="expression" dxfId="6494" priority="1715">
      <formula>AND(IF($Q146=3,1,IF($Q146=4,1,0)),IF($F146&lt;=85,1,0))</formula>
    </cfRule>
  </conditionalFormatting>
  <conditionalFormatting sqref="Y146">
    <cfRule type="expression" dxfId="6493" priority="1708">
      <formula>AND(IF(OR($Q146=1,$Q146=2),1,0),IF($Y146&lt;=20,1,0))</formula>
    </cfRule>
    <cfRule type="expression" dxfId="6492" priority="1709">
      <formula>AND(IF($Q146=2,1,0),IF($Y146&lt;30,1,0))</formula>
    </cfRule>
    <cfRule type="expression" dxfId="6491" priority="1710">
      <formula>AND(IF($Q146=3,1,0),IF($Y146&lt;30,1,0))</formula>
    </cfRule>
    <cfRule type="expression" dxfId="6490" priority="1711">
      <formula>AND(IF($Q146=3,1,IF($Q146=4,1,0)),IF($F146&lt;=85,1,0))</formula>
    </cfRule>
  </conditionalFormatting>
  <conditionalFormatting sqref="AJ146">
    <cfRule type="expression" dxfId="6489" priority="1704">
      <formula>AND(IF(OR($Q146=1,$Q146=2),1,0),IF($Y146&lt;=20,1,0))</formula>
    </cfRule>
    <cfRule type="expression" dxfId="6488" priority="1705">
      <formula>AND(IF($Q146=2,1,0),IF($Y146&lt;30,1,0))</formula>
    </cfRule>
    <cfRule type="expression" dxfId="6487" priority="1706">
      <formula>AND(IF($Q146=3,1,0),IF($Y146&lt;30,1,0))</formula>
    </cfRule>
    <cfRule type="expression" dxfId="6486" priority="1707">
      <formula>AND(IF($Q146=3,1,IF($Q146=4,1,0)),IF($F146&lt;=85,1,0))</formula>
    </cfRule>
  </conditionalFormatting>
  <conditionalFormatting sqref="AW147">
    <cfRule type="expression" dxfId="6485" priority="1702">
      <formula>AW147="X"</formula>
    </cfRule>
    <cfRule type="expression" dxfId="6484" priority="1703">
      <formula>AW147="후보"</formula>
    </cfRule>
  </conditionalFormatting>
  <conditionalFormatting sqref="AA147">
    <cfRule type="colorScale" priority="170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7">
    <cfRule type="cellIs" dxfId="6483" priority="1699" operator="greaterThan">
      <formula>0.9</formula>
    </cfRule>
    <cfRule type="cellIs" dxfId="6482" priority="1700" operator="greaterThan">
      <formula>0.85</formula>
    </cfRule>
  </conditionalFormatting>
  <conditionalFormatting sqref="N147">
    <cfRule type="cellIs" dxfId="6481" priority="1697" operator="greaterThan">
      <formula>0.9</formula>
    </cfRule>
    <cfRule type="cellIs" dxfId="6480" priority="1698" operator="greaterThan">
      <formula>0.85</formula>
    </cfRule>
  </conditionalFormatting>
  <conditionalFormatting sqref="E147">
    <cfRule type="expression" dxfId="6479" priority="1693">
      <formula>AND(IF(OR($Q147=1,$Q147=2),1,0),IF($E147&lt;=20,1,0))</formula>
    </cfRule>
    <cfRule type="expression" dxfId="6478" priority="1694">
      <formula>AND(IF($Q147=2,1,0),IF($E147&lt;30,1,0))</formula>
    </cfRule>
    <cfRule type="expression" dxfId="6477" priority="1695">
      <formula>AND(IF($Q147=3,1,0),IF($E147&lt;30,1,0))</formula>
    </cfRule>
    <cfRule type="expression" dxfId="6476" priority="1696">
      <formula>AND(IF($Q147=3,1,IF($Q147=4,1,0)),IF($F147&lt;=85,1,0))</formula>
    </cfRule>
  </conditionalFormatting>
  <conditionalFormatting sqref="Y147">
    <cfRule type="expression" dxfId="6475" priority="1689">
      <formula>AND(IF(OR($Q147=1,$Q147=2),1,0),IF($Y147&lt;=20,1,0))</formula>
    </cfRule>
    <cfRule type="expression" dxfId="6474" priority="1690">
      <formula>AND(IF($Q147=2,1,0),IF($Y147&lt;30,1,0))</formula>
    </cfRule>
    <cfRule type="expression" dxfId="6473" priority="1691">
      <formula>AND(IF($Q147=3,1,0),IF($Y147&lt;30,1,0))</formula>
    </cfRule>
    <cfRule type="expression" dxfId="6472" priority="1692">
      <formula>AND(IF($Q147=3,1,IF($Q147=4,1,0)),IF($F147&lt;=85,1,0))</formula>
    </cfRule>
  </conditionalFormatting>
  <conditionalFormatting sqref="AJ147">
    <cfRule type="expression" dxfId="6471" priority="1685">
      <formula>AND(IF(OR($Q147=1,$Q147=2),1,0),IF($Y147&lt;=20,1,0))</formula>
    </cfRule>
    <cfRule type="expression" dxfId="6470" priority="1686">
      <formula>AND(IF($Q147=2,1,0),IF($Y147&lt;30,1,0))</formula>
    </cfRule>
    <cfRule type="expression" dxfId="6469" priority="1687">
      <formula>AND(IF($Q147=3,1,0),IF($Y147&lt;30,1,0))</formula>
    </cfRule>
    <cfRule type="expression" dxfId="6468" priority="1688">
      <formula>AND(IF($Q147=3,1,IF($Q147=4,1,0)),IF($F147&lt;=85,1,0))</formula>
    </cfRule>
  </conditionalFormatting>
  <conditionalFormatting sqref="AW148">
    <cfRule type="expression" dxfId="6467" priority="1683">
      <formula>AW148="X"</formula>
    </cfRule>
    <cfRule type="expression" dxfId="6466" priority="1684">
      <formula>AW148="후보"</formula>
    </cfRule>
  </conditionalFormatting>
  <conditionalFormatting sqref="AA148">
    <cfRule type="colorScale" priority="168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8">
    <cfRule type="cellIs" dxfId="6465" priority="1680" operator="greaterThan">
      <formula>0.9</formula>
    </cfRule>
    <cfRule type="cellIs" dxfId="6464" priority="1681" operator="greaterThan">
      <formula>0.85</formula>
    </cfRule>
  </conditionalFormatting>
  <conditionalFormatting sqref="N148">
    <cfRule type="cellIs" dxfId="6463" priority="1678" operator="greaterThan">
      <formula>0.9</formula>
    </cfRule>
    <cfRule type="cellIs" dxfId="6462" priority="1679" operator="greaterThan">
      <formula>0.85</formula>
    </cfRule>
  </conditionalFormatting>
  <conditionalFormatting sqref="E148">
    <cfRule type="expression" dxfId="6461" priority="1674">
      <formula>AND(IF(OR($Q148=1,$Q148=2),1,0),IF($E148&lt;=20,1,0))</formula>
    </cfRule>
    <cfRule type="expression" dxfId="6460" priority="1675">
      <formula>AND(IF($Q148=2,1,0),IF($E148&lt;30,1,0))</formula>
    </cfRule>
    <cfRule type="expression" dxfId="6459" priority="1676">
      <formula>AND(IF($Q148=3,1,0),IF($E148&lt;30,1,0))</formula>
    </cfRule>
    <cfRule type="expression" dxfId="6458" priority="1677">
      <formula>AND(IF($Q148=3,1,IF($Q148=4,1,0)),IF($F148&lt;=85,1,0))</formula>
    </cfRule>
  </conditionalFormatting>
  <conditionalFormatting sqref="Y148">
    <cfRule type="expression" dxfId="6457" priority="1670">
      <formula>AND(IF(OR($Q148=1,$Q148=2),1,0),IF($Y148&lt;=20,1,0))</formula>
    </cfRule>
    <cfRule type="expression" dxfId="6456" priority="1671">
      <formula>AND(IF($Q148=2,1,0),IF($Y148&lt;30,1,0))</formula>
    </cfRule>
    <cfRule type="expression" dxfId="6455" priority="1672">
      <formula>AND(IF($Q148=3,1,0),IF($Y148&lt;30,1,0))</formula>
    </cfRule>
    <cfRule type="expression" dxfId="6454" priority="1673">
      <formula>AND(IF($Q148=3,1,IF($Q148=4,1,0)),IF($F148&lt;=85,1,0))</formula>
    </cfRule>
  </conditionalFormatting>
  <conditionalFormatting sqref="AJ148">
    <cfRule type="expression" dxfId="6453" priority="1666">
      <formula>AND(IF(OR($Q148=1,$Q148=2),1,0),IF($Y148&lt;=20,1,0))</formula>
    </cfRule>
    <cfRule type="expression" dxfId="6452" priority="1667">
      <formula>AND(IF($Q148=2,1,0),IF($Y148&lt;30,1,0))</formula>
    </cfRule>
    <cfRule type="expression" dxfId="6451" priority="1668">
      <formula>AND(IF($Q148=3,1,0),IF($Y148&lt;30,1,0))</formula>
    </cfRule>
    <cfRule type="expression" dxfId="6450" priority="1669">
      <formula>AND(IF($Q148=3,1,IF($Q148=4,1,0)),IF($F148&lt;=85,1,0))</formula>
    </cfRule>
  </conditionalFormatting>
  <conditionalFormatting sqref="AW149">
    <cfRule type="expression" dxfId="6449" priority="1664">
      <formula>AW149="X"</formula>
    </cfRule>
    <cfRule type="expression" dxfId="6448" priority="1665">
      <formula>AW149="후보"</formula>
    </cfRule>
  </conditionalFormatting>
  <conditionalFormatting sqref="AA149">
    <cfRule type="colorScale" priority="166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9">
    <cfRule type="cellIs" dxfId="6447" priority="1661" operator="greaterThan">
      <formula>0.9</formula>
    </cfRule>
    <cfRule type="cellIs" dxfId="6446" priority="1662" operator="greaterThan">
      <formula>0.85</formula>
    </cfRule>
  </conditionalFormatting>
  <conditionalFormatting sqref="N149">
    <cfRule type="cellIs" dxfId="6445" priority="1659" operator="greaterThan">
      <formula>0.9</formula>
    </cfRule>
    <cfRule type="cellIs" dxfId="6444" priority="1660" operator="greaterThan">
      <formula>0.85</formula>
    </cfRule>
  </conditionalFormatting>
  <conditionalFormatting sqref="E149">
    <cfRule type="expression" dxfId="6443" priority="1655">
      <formula>AND(IF(OR($Q149=1,$Q149=2),1,0),IF($E149&lt;=20,1,0))</formula>
    </cfRule>
    <cfRule type="expression" dxfId="6442" priority="1656">
      <formula>AND(IF($Q149=2,1,0),IF($E149&lt;30,1,0))</formula>
    </cfRule>
    <cfRule type="expression" dxfId="6441" priority="1657">
      <formula>AND(IF($Q149=3,1,0),IF($E149&lt;30,1,0))</formula>
    </cfRule>
    <cfRule type="expression" dxfId="6440" priority="1658">
      <formula>AND(IF($Q149=3,1,IF($Q149=4,1,0)),IF($F149&lt;=85,1,0))</formula>
    </cfRule>
  </conditionalFormatting>
  <conditionalFormatting sqref="Y149">
    <cfRule type="expression" dxfId="6439" priority="1651">
      <formula>AND(IF(OR($Q149=1,$Q149=2),1,0),IF($Y149&lt;=20,1,0))</formula>
    </cfRule>
    <cfRule type="expression" dxfId="6438" priority="1652">
      <formula>AND(IF($Q149=2,1,0),IF($Y149&lt;30,1,0))</formula>
    </cfRule>
    <cfRule type="expression" dxfId="6437" priority="1653">
      <formula>AND(IF($Q149=3,1,0),IF($Y149&lt;30,1,0))</formula>
    </cfRule>
    <cfRule type="expression" dxfId="6436" priority="1654">
      <formula>AND(IF($Q149=3,1,IF($Q149=4,1,0)),IF($F149&lt;=85,1,0))</formula>
    </cfRule>
  </conditionalFormatting>
  <conditionalFormatting sqref="AJ149">
    <cfRule type="expression" dxfId="6435" priority="1647">
      <formula>AND(IF(OR($Q149=1,$Q149=2),1,0),IF($Y149&lt;=20,1,0))</formula>
    </cfRule>
    <cfRule type="expression" dxfId="6434" priority="1648">
      <formula>AND(IF($Q149=2,1,0),IF($Y149&lt;30,1,0))</formula>
    </cfRule>
    <cfRule type="expression" dxfId="6433" priority="1649">
      <formula>AND(IF($Q149=3,1,0),IF($Y149&lt;30,1,0))</formula>
    </cfRule>
    <cfRule type="expression" dxfId="6432" priority="1650">
      <formula>AND(IF($Q149=3,1,IF($Q149=4,1,0)),IF($F149&lt;=85,1,0))</formula>
    </cfRule>
  </conditionalFormatting>
  <conditionalFormatting sqref="AW150">
    <cfRule type="expression" dxfId="6431" priority="1645">
      <formula>AW150="X"</formula>
    </cfRule>
    <cfRule type="expression" dxfId="6430" priority="1646">
      <formula>AW150="후보"</formula>
    </cfRule>
  </conditionalFormatting>
  <conditionalFormatting sqref="AA150">
    <cfRule type="colorScale" priority="164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0">
    <cfRule type="cellIs" dxfId="6429" priority="1642" operator="greaterThan">
      <formula>0.9</formula>
    </cfRule>
    <cfRule type="cellIs" dxfId="6428" priority="1643" operator="greaterThan">
      <formula>0.85</formula>
    </cfRule>
  </conditionalFormatting>
  <conditionalFormatting sqref="N150">
    <cfRule type="cellIs" dxfId="6427" priority="1640" operator="greaterThan">
      <formula>0.9</formula>
    </cfRule>
    <cfRule type="cellIs" dxfId="6426" priority="1641" operator="greaterThan">
      <formula>0.85</formula>
    </cfRule>
  </conditionalFormatting>
  <conditionalFormatting sqref="E150">
    <cfRule type="expression" dxfId="6425" priority="1636">
      <formula>AND(IF(OR($Q150=1,$Q150=2),1,0),IF($E150&lt;=20,1,0))</formula>
    </cfRule>
    <cfRule type="expression" dxfId="6424" priority="1637">
      <formula>AND(IF($Q150=2,1,0),IF($E150&lt;30,1,0))</formula>
    </cfRule>
    <cfRule type="expression" dxfId="6423" priority="1638">
      <formula>AND(IF($Q150=3,1,0),IF($E150&lt;30,1,0))</formula>
    </cfRule>
    <cfRule type="expression" dxfId="6422" priority="1639">
      <formula>AND(IF($Q150=3,1,IF($Q150=4,1,0)),IF($F150&lt;=85,1,0))</formula>
    </cfRule>
  </conditionalFormatting>
  <conditionalFormatting sqref="Y150">
    <cfRule type="expression" dxfId="6421" priority="1632">
      <formula>AND(IF(OR($Q150=1,$Q150=2),1,0),IF($Y150&lt;=20,1,0))</formula>
    </cfRule>
    <cfRule type="expression" dxfId="6420" priority="1633">
      <formula>AND(IF($Q150=2,1,0),IF($Y150&lt;30,1,0))</formula>
    </cfRule>
    <cfRule type="expression" dxfId="6419" priority="1634">
      <formula>AND(IF($Q150=3,1,0),IF($Y150&lt;30,1,0))</formula>
    </cfRule>
    <cfRule type="expression" dxfId="6418" priority="1635">
      <formula>AND(IF($Q150=3,1,IF($Q150=4,1,0)),IF($F150&lt;=85,1,0))</formula>
    </cfRule>
  </conditionalFormatting>
  <conditionalFormatting sqref="AJ150">
    <cfRule type="expression" dxfId="6417" priority="1628">
      <formula>AND(IF(OR($Q150=1,$Q150=2),1,0),IF($Y150&lt;=20,1,0))</formula>
    </cfRule>
    <cfRule type="expression" dxfId="6416" priority="1629">
      <formula>AND(IF($Q150=2,1,0),IF($Y150&lt;30,1,0))</formula>
    </cfRule>
    <cfRule type="expression" dxfId="6415" priority="1630">
      <formula>AND(IF($Q150=3,1,0),IF($Y150&lt;30,1,0))</formula>
    </cfRule>
    <cfRule type="expression" dxfId="6414" priority="1631">
      <formula>AND(IF($Q150=3,1,IF($Q150=4,1,0)),IF($F150&lt;=85,1,0))</formula>
    </cfRule>
  </conditionalFormatting>
  <conditionalFormatting sqref="AW151">
    <cfRule type="expression" dxfId="6413" priority="1626">
      <formula>AW151="X"</formula>
    </cfRule>
    <cfRule type="expression" dxfId="6412" priority="1627">
      <formula>AW151="후보"</formula>
    </cfRule>
  </conditionalFormatting>
  <conditionalFormatting sqref="AA151">
    <cfRule type="colorScale" priority="162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1">
    <cfRule type="cellIs" dxfId="6411" priority="1623" operator="greaterThan">
      <formula>0.9</formula>
    </cfRule>
    <cfRule type="cellIs" dxfId="6410" priority="1624" operator="greaterThan">
      <formula>0.85</formula>
    </cfRule>
  </conditionalFormatting>
  <conditionalFormatting sqref="N151">
    <cfRule type="cellIs" dxfId="6409" priority="1621" operator="greaterThan">
      <formula>0.9</formula>
    </cfRule>
    <cfRule type="cellIs" dxfId="6408" priority="1622" operator="greaterThan">
      <formula>0.85</formula>
    </cfRule>
  </conditionalFormatting>
  <conditionalFormatting sqref="E151">
    <cfRule type="expression" dxfId="6407" priority="1617">
      <formula>AND(IF(OR($Q151=1,$Q151=2),1,0),IF($E151&lt;=20,1,0))</formula>
    </cfRule>
    <cfRule type="expression" dxfId="6406" priority="1618">
      <formula>AND(IF($Q151=2,1,0),IF($E151&lt;30,1,0))</formula>
    </cfRule>
    <cfRule type="expression" dxfId="6405" priority="1619">
      <formula>AND(IF($Q151=3,1,0),IF($E151&lt;30,1,0))</formula>
    </cfRule>
    <cfRule type="expression" dxfId="6404" priority="1620">
      <formula>AND(IF($Q151=3,1,IF($Q151=4,1,0)),IF($F151&lt;=85,1,0))</formula>
    </cfRule>
  </conditionalFormatting>
  <conditionalFormatting sqref="Y151">
    <cfRule type="expression" dxfId="6403" priority="1613">
      <formula>AND(IF(OR($Q151=1,$Q151=2),1,0),IF($Y151&lt;=20,1,0))</formula>
    </cfRule>
    <cfRule type="expression" dxfId="6402" priority="1614">
      <formula>AND(IF($Q151=2,1,0),IF($Y151&lt;30,1,0))</formula>
    </cfRule>
    <cfRule type="expression" dxfId="6401" priority="1615">
      <formula>AND(IF($Q151=3,1,0),IF($Y151&lt;30,1,0))</formula>
    </cfRule>
    <cfRule type="expression" dxfId="6400" priority="1616">
      <formula>AND(IF($Q151=3,1,IF($Q151=4,1,0)),IF($F151&lt;=85,1,0))</formula>
    </cfRule>
  </conditionalFormatting>
  <conditionalFormatting sqref="AJ151">
    <cfRule type="expression" dxfId="6399" priority="1609">
      <formula>AND(IF(OR($Q151=1,$Q151=2),1,0),IF($Y151&lt;=20,1,0))</formula>
    </cfRule>
    <cfRule type="expression" dxfId="6398" priority="1610">
      <formula>AND(IF($Q151=2,1,0),IF($Y151&lt;30,1,0))</formula>
    </cfRule>
    <cfRule type="expression" dxfId="6397" priority="1611">
      <formula>AND(IF($Q151=3,1,0),IF($Y151&lt;30,1,0))</formula>
    </cfRule>
    <cfRule type="expression" dxfId="6396" priority="1612">
      <formula>AND(IF($Q151=3,1,IF($Q151=4,1,0)),IF($F151&lt;=85,1,0))</formula>
    </cfRule>
  </conditionalFormatting>
  <conditionalFormatting sqref="AW152">
    <cfRule type="expression" dxfId="6395" priority="1607">
      <formula>AW152="X"</formula>
    </cfRule>
    <cfRule type="expression" dxfId="6394" priority="1608">
      <formula>AW152="후보"</formula>
    </cfRule>
  </conditionalFormatting>
  <conditionalFormatting sqref="AA152">
    <cfRule type="colorScale" priority="160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2">
    <cfRule type="cellIs" dxfId="6393" priority="1604" operator="greaterThan">
      <formula>0.9</formula>
    </cfRule>
    <cfRule type="cellIs" dxfId="6392" priority="1605" operator="greaterThan">
      <formula>0.85</formula>
    </cfRule>
  </conditionalFormatting>
  <conditionalFormatting sqref="N152">
    <cfRule type="cellIs" dxfId="6391" priority="1602" operator="greaterThan">
      <formula>0.9</formula>
    </cfRule>
    <cfRule type="cellIs" dxfId="6390" priority="1603" operator="greaterThan">
      <formula>0.85</formula>
    </cfRule>
  </conditionalFormatting>
  <conditionalFormatting sqref="E152">
    <cfRule type="expression" dxfId="6389" priority="1598">
      <formula>AND(IF(OR($Q152=1,$Q152=2),1,0),IF($E152&lt;=20,1,0))</formula>
    </cfRule>
    <cfRule type="expression" dxfId="6388" priority="1599">
      <formula>AND(IF($Q152=2,1,0),IF($E152&lt;30,1,0))</formula>
    </cfRule>
    <cfRule type="expression" dxfId="6387" priority="1600">
      <formula>AND(IF($Q152=3,1,0),IF($E152&lt;30,1,0))</formula>
    </cfRule>
    <cfRule type="expression" dxfId="6386" priority="1601">
      <formula>AND(IF($Q152=3,1,IF($Q152=4,1,0)),IF($F152&lt;=85,1,0))</formula>
    </cfRule>
  </conditionalFormatting>
  <conditionalFormatting sqref="Y152">
    <cfRule type="expression" dxfId="6385" priority="1594">
      <formula>AND(IF(OR($Q152=1,$Q152=2),1,0),IF($Y152&lt;=20,1,0))</formula>
    </cfRule>
    <cfRule type="expression" dxfId="6384" priority="1595">
      <formula>AND(IF($Q152=2,1,0),IF($Y152&lt;30,1,0))</formula>
    </cfRule>
    <cfRule type="expression" dxfId="6383" priority="1596">
      <formula>AND(IF($Q152=3,1,0),IF($Y152&lt;30,1,0))</formula>
    </cfRule>
    <cfRule type="expression" dxfId="6382" priority="1597">
      <formula>AND(IF($Q152=3,1,IF($Q152=4,1,0)),IF($F152&lt;=85,1,0))</formula>
    </cfRule>
  </conditionalFormatting>
  <conditionalFormatting sqref="AJ152">
    <cfRule type="expression" dxfId="6381" priority="1590">
      <formula>AND(IF(OR($Q152=1,$Q152=2),1,0),IF($Y152&lt;=20,1,0))</formula>
    </cfRule>
    <cfRule type="expression" dxfId="6380" priority="1591">
      <formula>AND(IF($Q152=2,1,0),IF($Y152&lt;30,1,0))</formula>
    </cfRule>
    <cfRule type="expression" dxfId="6379" priority="1592">
      <formula>AND(IF($Q152=3,1,0),IF($Y152&lt;30,1,0))</formula>
    </cfRule>
    <cfRule type="expression" dxfId="6378" priority="1593">
      <formula>AND(IF($Q152=3,1,IF($Q152=4,1,0)),IF($F152&lt;=85,1,0))</formula>
    </cfRule>
  </conditionalFormatting>
  <conditionalFormatting sqref="AW153">
    <cfRule type="expression" dxfId="6377" priority="1588">
      <formula>AW153="X"</formula>
    </cfRule>
    <cfRule type="expression" dxfId="6376" priority="1589">
      <formula>AW153="후보"</formula>
    </cfRule>
  </conditionalFormatting>
  <conditionalFormatting sqref="AA153">
    <cfRule type="colorScale" priority="158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3">
    <cfRule type="cellIs" dxfId="6375" priority="1585" operator="greaterThan">
      <formula>0.9</formula>
    </cfRule>
    <cfRule type="cellIs" dxfId="6374" priority="1586" operator="greaterThan">
      <formula>0.85</formula>
    </cfRule>
  </conditionalFormatting>
  <conditionalFormatting sqref="N153">
    <cfRule type="cellIs" dxfId="6373" priority="1583" operator="greaterThan">
      <formula>0.9</formula>
    </cfRule>
    <cfRule type="cellIs" dxfId="6372" priority="1584" operator="greaterThan">
      <formula>0.85</formula>
    </cfRule>
  </conditionalFormatting>
  <conditionalFormatting sqref="E153">
    <cfRule type="expression" dxfId="6371" priority="1579">
      <formula>AND(IF(OR($Q153=1,$Q153=2),1,0),IF($E153&lt;=20,1,0))</formula>
    </cfRule>
    <cfRule type="expression" dxfId="6370" priority="1580">
      <formula>AND(IF($Q153=2,1,0),IF($E153&lt;30,1,0))</formula>
    </cfRule>
    <cfRule type="expression" dxfId="6369" priority="1581">
      <formula>AND(IF($Q153=3,1,0),IF($E153&lt;30,1,0))</formula>
    </cfRule>
    <cfRule type="expression" dxfId="6368" priority="1582">
      <formula>AND(IF($Q153=3,1,IF($Q153=4,1,0)),IF($F153&lt;=85,1,0))</formula>
    </cfRule>
  </conditionalFormatting>
  <conditionalFormatting sqref="Y153">
    <cfRule type="expression" dxfId="6367" priority="1575">
      <formula>AND(IF(OR($Q153=1,$Q153=2),1,0),IF($Y153&lt;=20,1,0))</formula>
    </cfRule>
    <cfRule type="expression" dxfId="6366" priority="1576">
      <formula>AND(IF($Q153=2,1,0),IF($Y153&lt;30,1,0))</formula>
    </cfRule>
    <cfRule type="expression" dxfId="6365" priority="1577">
      <formula>AND(IF($Q153=3,1,0),IF($Y153&lt;30,1,0))</formula>
    </cfRule>
    <cfRule type="expression" dxfId="6364" priority="1578">
      <formula>AND(IF($Q153=3,1,IF($Q153=4,1,0)),IF($F153&lt;=85,1,0))</formula>
    </cfRule>
  </conditionalFormatting>
  <conditionalFormatting sqref="AJ153">
    <cfRule type="expression" dxfId="6363" priority="1571">
      <formula>AND(IF(OR($Q153=1,$Q153=2),1,0),IF($Y153&lt;=20,1,0))</formula>
    </cfRule>
    <cfRule type="expression" dxfId="6362" priority="1572">
      <formula>AND(IF($Q153=2,1,0),IF($Y153&lt;30,1,0))</formula>
    </cfRule>
    <cfRule type="expression" dxfId="6361" priority="1573">
      <formula>AND(IF($Q153=3,1,0),IF($Y153&lt;30,1,0))</formula>
    </cfRule>
    <cfRule type="expression" dxfId="6360" priority="1574">
      <formula>AND(IF($Q153=3,1,IF($Q153=4,1,0)),IF($F153&lt;=85,1,0))</formula>
    </cfRule>
  </conditionalFormatting>
  <conditionalFormatting sqref="AW154">
    <cfRule type="expression" dxfId="6359" priority="1569">
      <formula>AW154="X"</formula>
    </cfRule>
    <cfRule type="expression" dxfId="6358" priority="1570">
      <formula>AW154="후보"</formula>
    </cfRule>
  </conditionalFormatting>
  <conditionalFormatting sqref="AA154">
    <cfRule type="colorScale" priority="156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4">
    <cfRule type="cellIs" dxfId="6357" priority="1566" operator="greaterThan">
      <formula>0.9</formula>
    </cfRule>
    <cfRule type="cellIs" dxfId="6356" priority="1567" operator="greaterThan">
      <formula>0.85</formula>
    </cfRule>
  </conditionalFormatting>
  <conditionalFormatting sqref="N154">
    <cfRule type="cellIs" dxfId="6355" priority="1564" operator="greaterThan">
      <formula>0.9</formula>
    </cfRule>
    <cfRule type="cellIs" dxfId="6354" priority="1565" operator="greaterThan">
      <formula>0.85</formula>
    </cfRule>
  </conditionalFormatting>
  <conditionalFormatting sqref="E154">
    <cfRule type="expression" dxfId="6353" priority="1560">
      <formula>AND(IF(OR($Q154=1,$Q154=2),1,0),IF($E154&lt;=20,1,0))</formula>
    </cfRule>
    <cfRule type="expression" dxfId="6352" priority="1561">
      <formula>AND(IF($Q154=2,1,0),IF($E154&lt;30,1,0))</formula>
    </cfRule>
    <cfRule type="expression" dxfId="6351" priority="1562">
      <formula>AND(IF($Q154=3,1,0),IF($E154&lt;30,1,0))</formula>
    </cfRule>
    <cfRule type="expression" dxfId="6350" priority="1563">
      <formula>AND(IF($Q154=3,1,IF($Q154=4,1,0)),IF($F154&lt;=85,1,0))</formula>
    </cfRule>
  </conditionalFormatting>
  <conditionalFormatting sqref="Y154">
    <cfRule type="expression" dxfId="6349" priority="1556">
      <formula>AND(IF(OR($Q154=1,$Q154=2),1,0),IF($Y154&lt;=20,1,0))</formula>
    </cfRule>
    <cfRule type="expression" dxfId="6348" priority="1557">
      <formula>AND(IF($Q154=2,1,0),IF($Y154&lt;30,1,0))</formula>
    </cfRule>
    <cfRule type="expression" dxfId="6347" priority="1558">
      <formula>AND(IF($Q154=3,1,0),IF($Y154&lt;30,1,0))</formula>
    </cfRule>
    <cfRule type="expression" dxfId="6346" priority="1559">
      <formula>AND(IF($Q154=3,1,IF($Q154=4,1,0)),IF($F154&lt;=85,1,0))</formula>
    </cfRule>
  </conditionalFormatting>
  <conditionalFormatting sqref="AJ154">
    <cfRule type="expression" dxfId="6345" priority="1552">
      <formula>AND(IF(OR($Q154=1,$Q154=2),1,0),IF($Y154&lt;=20,1,0))</formula>
    </cfRule>
    <cfRule type="expression" dxfId="6344" priority="1553">
      <formula>AND(IF($Q154=2,1,0),IF($Y154&lt;30,1,0))</formula>
    </cfRule>
    <cfRule type="expression" dxfId="6343" priority="1554">
      <formula>AND(IF($Q154=3,1,0),IF($Y154&lt;30,1,0))</formula>
    </cfRule>
    <cfRule type="expression" dxfId="6342" priority="1555">
      <formula>AND(IF($Q154=3,1,IF($Q154=4,1,0)),IF($F154&lt;=85,1,0))</formula>
    </cfRule>
  </conditionalFormatting>
  <conditionalFormatting sqref="AW155">
    <cfRule type="expression" dxfId="6341" priority="1550">
      <formula>AW155="X"</formula>
    </cfRule>
    <cfRule type="expression" dxfId="6340" priority="1551">
      <formula>AW155="후보"</formula>
    </cfRule>
  </conditionalFormatting>
  <conditionalFormatting sqref="AA155">
    <cfRule type="colorScale" priority="154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5">
    <cfRule type="cellIs" dxfId="6339" priority="1547" operator="greaterThan">
      <formula>0.9</formula>
    </cfRule>
    <cfRule type="cellIs" dxfId="6338" priority="1548" operator="greaterThan">
      <formula>0.85</formula>
    </cfRule>
  </conditionalFormatting>
  <conditionalFormatting sqref="N155">
    <cfRule type="cellIs" dxfId="6337" priority="1545" operator="greaterThan">
      <formula>0.9</formula>
    </cfRule>
    <cfRule type="cellIs" dxfId="6336" priority="1546" operator="greaterThan">
      <formula>0.85</formula>
    </cfRule>
  </conditionalFormatting>
  <conditionalFormatting sqref="E155">
    <cfRule type="expression" dxfId="6335" priority="1541">
      <formula>AND(IF(OR($Q155=1,$Q155=2),1,0),IF($E155&lt;=20,1,0))</formula>
    </cfRule>
    <cfRule type="expression" dxfId="6334" priority="1542">
      <formula>AND(IF($Q155=2,1,0),IF($E155&lt;30,1,0))</formula>
    </cfRule>
    <cfRule type="expression" dxfId="6333" priority="1543">
      <formula>AND(IF($Q155=3,1,0),IF($E155&lt;30,1,0))</formula>
    </cfRule>
    <cfRule type="expression" dxfId="6332" priority="1544">
      <formula>AND(IF($Q155=3,1,IF($Q155=4,1,0)),IF($F155&lt;=85,1,0))</formula>
    </cfRule>
  </conditionalFormatting>
  <conditionalFormatting sqref="Y155">
    <cfRule type="expression" dxfId="6331" priority="1537">
      <formula>AND(IF(OR($Q155=1,$Q155=2),1,0),IF($Y155&lt;=20,1,0))</formula>
    </cfRule>
    <cfRule type="expression" dxfId="6330" priority="1538">
      <formula>AND(IF($Q155=2,1,0),IF($Y155&lt;30,1,0))</formula>
    </cfRule>
    <cfRule type="expression" dxfId="6329" priority="1539">
      <formula>AND(IF($Q155=3,1,0),IF($Y155&lt;30,1,0))</formula>
    </cfRule>
    <cfRule type="expression" dxfId="6328" priority="1540">
      <formula>AND(IF($Q155=3,1,IF($Q155=4,1,0)),IF($F155&lt;=85,1,0))</formula>
    </cfRule>
  </conditionalFormatting>
  <conditionalFormatting sqref="AJ155">
    <cfRule type="expression" dxfId="6327" priority="1533">
      <formula>AND(IF(OR($Q155=1,$Q155=2),1,0),IF($Y155&lt;=20,1,0))</formula>
    </cfRule>
    <cfRule type="expression" dxfId="6326" priority="1534">
      <formula>AND(IF($Q155=2,1,0),IF($Y155&lt;30,1,0))</formula>
    </cfRule>
    <cfRule type="expression" dxfId="6325" priority="1535">
      <formula>AND(IF($Q155=3,1,0),IF($Y155&lt;30,1,0))</formula>
    </cfRule>
    <cfRule type="expression" dxfId="6324" priority="1536">
      <formula>AND(IF($Q155=3,1,IF($Q155=4,1,0)),IF($F155&lt;=85,1,0))</formula>
    </cfRule>
  </conditionalFormatting>
  <conditionalFormatting sqref="AW156">
    <cfRule type="expression" dxfId="6323" priority="1531">
      <formula>AW156="X"</formula>
    </cfRule>
    <cfRule type="expression" dxfId="6322" priority="1532">
      <formula>AW156="후보"</formula>
    </cfRule>
  </conditionalFormatting>
  <conditionalFormatting sqref="AA156">
    <cfRule type="colorScale" priority="153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6">
    <cfRule type="cellIs" dxfId="6321" priority="1528" operator="greaterThan">
      <formula>0.9</formula>
    </cfRule>
    <cfRule type="cellIs" dxfId="6320" priority="1529" operator="greaterThan">
      <formula>0.85</formula>
    </cfRule>
  </conditionalFormatting>
  <conditionalFormatting sqref="N156">
    <cfRule type="cellIs" dxfId="6319" priority="1526" operator="greaterThan">
      <formula>0.9</formula>
    </cfRule>
    <cfRule type="cellIs" dxfId="6318" priority="1527" operator="greaterThan">
      <formula>0.85</formula>
    </cfRule>
  </conditionalFormatting>
  <conditionalFormatting sqref="E156">
    <cfRule type="expression" dxfId="6317" priority="1522">
      <formula>AND(IF(OR($Q156=1,$Q156=2),1,0),IF($E156&lt;=20,1,0))</formula>
    </cfRule>
    <cfRule type="expression" dxfId="6316" priority="1523">
      <formula>AND(IF($Q156=2,1,0),IF($E156&lt;30,1,0))</formula>
    </cfRule>
    <cfRule type="expression" dxfId="6315" priority="1524">
      <formula>AND(IF($Q156=3,1,0),IF($E156&lt;30,1,0))</formula>
    </cfRule>
    <cfRule type="expression" dxfId="6314" priority="1525">
      <formula>AND(IF($Q156=3,1,IF($Q156=4,1,0)),IF($F156&lt;=85,1,0))</formula>
    </cfRule>
  </conditionalFormatting>
  <conditionalFormatting sqref="Y156">
    <cfRule type="expression" dxfId="6313" priority="1518">
      <formula>AND(IF(OR($Q156=1,$Q156=2),1,0),IF($Y156&lt;=20,1,0))</formula>
    </cfRule>
    <cfRule type="expression" dxfId="6312" priority="1519">
      <formula>AND(IF($Q156=2,1,0),IF($Y156&lt;30,1,0))</formula>
    </cfRule>
    <cfRule type="expression" dxfId="6311" priority="1520">
      <formula>AND(IF($Q156=3,1,0),IF($Y156&lt;30,1,0))</formula>
    </cfRule>
    <cfRule type="expression" dxfId="6310" priority="1521">
      <formula>AND(IF($Q156=3,1,IF($Q156=4,1,0)),IF($F156&lt;=85,1,0))</formula>
    </cfRule>
  </conditionalFormatting>
  <conditionalFormatting sqref="AJ156">
    <cfRule type="expression" dxfId="6309" priority="1514">
      <formula>AND(IF(OR($Q156=1,$Q156=2),1,0),IF($Y156&lt;=20,1,0))</formula>
    </cfRule>
    <cfRule type="expression" dxfId="6308" priority="1515">
      <formula>AND(IF($Q156=2,1,0),IF($Y156&lt;30,1,0))</formula>
    </cfRule>
    <cfRule type="expression" dxfId="6307" priority="1516">
      <formula>AND(IF($Q156=3,1,0),IF($Y156&lt;30,1,0))</formula>
    </cfRule>
    <cfRule type="expression" dxfId="6306" priority="1517">
      <formula>AND(IF($Q156=3,1,IF($Q156=4,1,0)),IF($F156&lt;=85,1,0))</formula>
    </cfRule>
  </conditionalFormatting>
  <conditionalFormatting sqref="AW157">
    <cfRule type="expression" dxfId="6305" priority="1512">
      <formula>AW157="X"</formula>
    </cfRule>
    <cfRule type="expression" dxfId="6304" priority="1513">
      <formula>AW157="후보"</formula>
    </cfRule>
  </conditionalFormatting>
  <conditionalFormatting sqref="AA157">
    <cfRule type="colorScale" priority="151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7">
    <cfRule type="cellIs" dxfId="6303" priority="1509" operator="greaterThan">
      <formula>0.9</formula>
    </cfRule>
    <cfRule type="cellIs" dxfId="6302" priority="1510" operator="greaterThan">
      <formula>0.85</formula>
    </cfRule>
  </conditionalFormatting>
  <conditionalFormatting sqref="N157">
    <cfRule type="cellIs" dxfId="6301" priority="1507" operator="greaterThan">
      <formula>0.9</formula>
    </cfRule>
    <cfRule type="cellIs" dxfId="6300" priority="1508" operator="greaterThan">
      <formula>0.85</formula>
    </cfRule>
  </conditionalFormatting>
  <conditionalFormatting sqref="E157">
    <cfRule type="expression" dxfId="6299" priority="1503">
      <formula>AND(IF(OR($Q157=1,$Q157=2),1,0),IF($E157&lt;=20,1,0))</formula>
    </cfRule>
    <cfRule type="expression" dxfId="6298" priority="1504">
      <formula>AND(IF($Q157=2,1,0),IF($E157&lt;30,1,0))</formula>
    </cfRule>
    <cfRule type="expression" dxfId="6297" priority="1505">
      <formula>AND(IF($Q157=3,1,0),IF($E157&lt;30,1,0))</formula>
    </cfRule>
    <cfRule type="expression" dxfId="6296" priority="1506">
      <formula>AND(IF($Q157=3,1,IF($Q157=4,1,0)),IF($F157&lt;=85,1,0))</formula>
    </cfRule>
  </conditionalFormatting>
  <conditionalFormatting sqref="Y157">
    <cfRule type="expression" dxfId="6295" priority="1499">
      <formula>AND(IF(OR($Q157=1,$Q157=2),1,0),IF($Y157&lt;=20,1,0))</formula>
    </cfRule>
    <cfRule type="expression" dxfId="6294" priority="1500">
      <formula>AND(IF($Q157=2,1,0),IF($Y157&lt;30,1,0))</formula>
    </cfRule>
    <cfRule type="expression" dxfId="6293" priority="1501">
      <formula>AND(IF($Q157=3,1,0),IF($Y157&lt;30,1,0))</formula>
    </cfRule>
    <cfRule type="expression" dxfId="6292" priority="1502">
      <formula>AND(IF($Q157=3,1,IF($Q157=4,1,0)),IF($F157&lt;=85,1,0))</formula>
    </cfRule>
  </conditionalFormatting>
  <conditionalFormatting sqref="AJ157">
    <cfRule type="expression" dxfId="6291" priority="1495">
      <formula>AND(IF(OR($Q157=1,$Q157=2),1,0),IF($Y157&lt;=20,1,0))</formula>
    </cfRule>
    <cfRule type="expression" dxfId="6290" priority="1496">
      <formula>AND(IF($Q157=2,1,0),IF($Y157&lt;30,1,0))</formula>
    </cfRule>
    <cfRule type="expression" dxfId="6289" priority="1497">
      <formula>AND(IF($Q157=3,1,0),IF($Y157&lt;30,1,0))</formula>
    </cfRule>
    <cfRule type="expression" dxfId="6288" priority="1498">
      <formula>AND(IF($Q157=3,1,IF($Q157=4,1,0)),IF($F157&lt;=85,1,0))</formula>
    </cfRule>
  </conditionalFormatting>
  <conditionalFormatting sqref="AW158">
    <cfRule type="expression" dxfId="6287" priority="1493">
      <formula>AW158="X"</formula>
    </cfRule>
    <cfRule type="expression" dxfId="6286" priority="1494">
      <formula>AW158="후보"</formula>
    </cfRule>
  </conditionalFormatting>
  <conditionalFormatting sqref="AA158">
    <cfRule type="colorScale" priority="149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8">
    <cfRule type="cellIs" dxfId="6285" priority="1490" operator="greaterThan">
      <formula>0.9</formula>
    </cfRule>
    <cfRule type="cellIs" dxfId="6284" priority="1491" operator="greaterThan">
      <formula>0.85</formula>
    </cfRule>
  </conditionalFormatting>
  <conditionalFormatting sqref="N158">
    <cfRule type="cellIs" dxfId="6283" priority="1488" operator="greaterThan">
      <formula>0.9</formula>
    </cfRule>
    <cfRule type="cellIs" dxfId="6282" priority="1489" operator="greaterThan">
      <formula>0.85</formula>
    </cfRule>
  </conditionalFormatting>
  <conditionalFormatting sqref="E158">
    <cfRule type="expression" dxfId="6281" priority="1484">
      <formula>AND(IF(OR($Q158=1,$Q158=2),1,0),IF($E158&lt;=20,1,0))</formula>
    </cfRule>
    <cfRule type="expression" dxfId="6280" priority="1485">
      <formula>AND(IF($Q158=2,1,0),IF($E158&lt;30,1,0))</formula>
    </cfRule>
    <cfRule type="expression" dxfId="6279" priority="1486">
      <formula>AND(IF($Q158=3,1,0),IF($E158&lt;30,1,0))</formula>
    </cfRule>
    <cfRule type="expression" dxfId="6278" priority="1487">
      <formula>AND(IF($Q158=3,1,IF($Q158=4,1,0)),IF($F158&lt;=85,1,0))</formula>
    </cfRule>
  </conditionalFormatting>
  <conditionalFormatting sqref="Y158">
    <cfRule type="expression" dxfId="6277" priority="1480">
      <formula>AND(IF(OR($Q158=1,$Q158=2),1,0),IF($Y158&lt;=20,1,0))</formula>
    </cfRule>
    <cfRule type="expression" dxfId="6276" priority="1481">
      <formula>AND(IF($Q158=2,1,0),IF($Y158&lt;30,1,0))</formula>
    </cfRule>
    <cfRule type="expression" dxfId="6275" priority="1482">
      <formula>AND(IF($Q158=3,1,0),IF($Y158&lt;30,1,0))</formula>
    </cfRule>
    <cfRule type="expression" dxfId="6274" priority="1483">
      <formula>AND(IF($Q158=3,1,IF($Q158=4,1,0)),IF($F158&lt;=85,1,0))</formula>
    </cfRule>
  </conditionalFormatting>
  <conditionalFormatting sqref="AJ158">
    <cfRule type="expression" dxfId="6273" priority="1476">
      <formula>AND(IF(OR($Q158=1,$Q158=2),1,0),IF($Y158&lt;=20,1,0))</formula>
    </cfRule>
    <cfRule type="expression" dxfId="6272" priority="1477">
      <formula>AND(IF($Q158=2,1,0),IF($Y158&lt;30,1,0))</formula>
    </cfRule>
    <cfRule type="expression" dxfId="6271" priority="1478">
      <formula>AND(IF($Q158=3,1,0),IF($Y158&lt;30,1,0))</formula>
    </cfRule>
    <cfRule type="expression" dxfId="6270" priority="1479">
      <formula>AND(IF($Q158=3,1,IF($Q158=4,1,0)),IF($F158&lt;=85,1,0))</formula>
    </cfRule>
  </conditionalFormatting>
  <conditionalFormatting sqref="AW159">
    <cfRule type="expression" dxfId="6269" priority="1474">
      <formula>AW159="X"</formula>
    </cfRule>
    <cfRule type="expression" dxfId="6268" priority="1475">
      <formula>AW159="후보"</formula>
    </cfRule>
  </conditionalFormatting>
  <conditionalFormatting sqref="AA159">
    <cfRule type="colorScale" priority="147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9">
    <cfRule type="cellIs" dxfId="6267" priority="1471" operator="greaterThan">
      <formula>0.9</formula>
    </cfRule>
    <cfRule type="cellIs" dxfId="6266" priority="1472" operator="greaterThan">
      <formula>0.85</formula>
    </cfRule>
  </conditionalFormatting>
  <conditionalFormatting sqref="N159">
    <cfRule type="cellIs" dxfId="6265" priority="1469" operator="greaterThan">
      <formula>0.9</formula>
    </cfRule>
    <cfRule type="cellIs" dxfId="6264" priority="1470" operator="greaterThan">
      <formula>0.85</formula>
    </cfRule>
  </conditionalFormatting>
  <conditionalFormatting sqref="E159">
    <cfRule type="expression" dxfId="6263" priority="1465">
      <formula>AND(IF(OR($Q159=1,$Q159=2),1,0),IF($E159&lt;=20,1,0))</formula>
    </cfRule>
    <cfRule type="expression" dxfId="6262" priority="1466">
      <formula>AND(IF($Q159=2,1,0),IF($E159&lt;30,1,0))</formula>
    </cfRule>
    <cfRule type="expression" dxfId="6261" priority="1467">
      <formula>AND(IF($Q159=3,1,0),IF($E159&lt;30,1,0))</formula>
    </cfRule>
    <cfRule type="expression" dxfId="6260" priority="1468">
      <formula>AND(IF($Q159=3,1,IF($Q159=4,1,0)),IF($F159&lt;=85,1,0))</formula>
    </cfRule>
  </conditionalFormatting>
  <conditionalFormatting sqref="Y159">
    <cfRule type="expression" dxfId="6259" priority="1461">
      <formula>AND(IF(OR($Q159=1,$Q159=2),1,0),IF($Y159&lt;=20,1,0))</formula>
    </cfRule>
    <cfRule type="expression" dxfId="6258" priority="1462">
      <formula>AND(IF($Q159=2,1,0),IF($Y159&lt;30,1,0))</formula>
    </cfRule>
    <cfRule type="expression" dxfId="6257" priority="1463">
      <formula>AND(IF($Q159=3,1,0),IF($Y159&lt;30,1,0))</formula>
    </cfRule>
    <cfRule type="expression" dxfId="6256" priority="1464">
      <formula>AND(IF($Q159=3,1,IF($Q159=4,1,0)),IF($F159&lt;=85,1,0))</formula>
    </cfRule>
  </conditionalFormatting>
  <conditionalFormatting sqref="AJ159">
    <cfRule type="expression" dxfId="6255" priority="1457">
      <formula>AND(IF(OR($Q159=1,$Q159=2),1,0),IF($Y159&lt;=20,1,0))</formula>
    </cfRule>
    <cfRule type="expression" dxfId="6254" priority="1458">
      <formula>AND(IF($Q159=2,1,0),IF($Y159&lt;30,1,0))</formula>
    </cfRule>
    <cfRule type="expression" dxfId="6253" priority="1459">
      <formula>AND(IF($Q159=3,1,0),IF($Y159&lt;30,1,0))</formula>
    </cfRule>
    <cfRule type="expression" dxfId="6252" priority="1460">
      <formula>AND(IF($Q159=3,1,IF($Q159=4,1,0)),IF($F159&lt;=85,1,0))</formula>
    </cfRule>
  </conditionalFormatting>
  <conditionalFormatting sqref="AW160">
    <cfRule type="expression" dxfId="6251" priority="1455">
      <formula>AW160="X"</formula>
    </cfRule>
    <cfRule type="expression" dxfId="6250" priority="1456">
      <formula>AW160="후보"</formula>
    </cfRule>
  </conditionalFormatting>
  <conditionalFormatting sqref="AA160">
    <cfRule type="colorScale" priority="145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0">
    <cfRule type="cellIs" dxfId="6249" priority="1452" operator="greaterThan">
      <formula>0.9</formula>
    </cfRule>
    <cfRule type="cellIs" dxfId="6248" priority="1453" operator="greaterThan">
      <formula>0.85</formula>
    </cfRule>
  </conditionalFormatting>
  <conditionalFormatting sqref="N160">
    <cfRule type="cellIs" dxfId="6247" priority="1450" operator="greaterThan">
      <formula>0.9</formula>
    </cfRule>
    <cfRule type="cellIs" dxfId="6246" priority="1451" operator="greaterThan">
      <formula>0.85</formula>
    </cfRule>
  </conditionalFormatting>
  <conditionalFormatting sqref="E160">
    <cfRule type="expression" dxfId="6245" priority="1446">
      <formula>AND(IF(OR($Q160=1,$Q160=2),1,0),IF($E160&lt;=20,1,0))</formula>
    </cfRule>
    <cfRule type="expression" dxfId="6244" priority="1447">
      <formula>AND(IF($Q160=2,1,0),IF($E160&lt;30,1,0))</formula>
    </cfRule>
    <cfRule type="expression" dxfId="6243" priority="1448">
      <formula>AND(IF($Q160=3,1,0),IF($E160&lt;30,1,0))</formula>
    </cfRule>
    <cfRule type="expression" dxfId="6242" priority="1449">
      <formula>AND(IF($Q160=3,1,IF($Q160=4,1,0)),IF($F160&lt;=85,1,0))</formula>
    </cfRule>
  </conditionalFormatting>
  <conditionalFormatting sqref="Y160">
    <cfRule type="expression" dxfId="6241" priority="1442">
      <formula>AND(IF(OR($Q160=1,$Q160=2),1,0),IF($Y160&lt;=20,1,0))</formula>
    </cfRule>
    <cfRule type="expression" dxfId="6240" priority="1443">
      <formula>AND(IF($Q160=2,1,0),IF($Y160&lt;30,1,0))</formula>
    </cfRule>
    <cfRule type="expression" dxfId="6239" priority="1444">
      <formula>AND(IF($Q160=3,1,0),IF($Y160&lt;30,1,0))</formula>
    </cfRule>
    <cfRule type="expression" dxfId="6238" priority="1445">
      <formula>AND(IF($Q160=3,1,IF($Q160=4,1,0)),IF($F160&lt;=85,1,0))</formula>
    </cfRule>
  </conditionalFormatting>
  <conditionalFormatting sqref="AJ160">
    <cfRule type="expression" dxfId="6237" priority="1438">
      <formula>AND(IF(OR($Q160=1,$Q160=2),1,0),IF($Y160&lt;=20,1,0))</formula>
    </cfRule>
    <cfRule type="expression" dxfId="6236" priority="1439">
      <formula>AND(IF($Q160=2,1,0),IF($Y160&lt;30,1,0))</formula>
    </cfRule>
    <cfRule type="expression" dxfId="6235" priority="1440">
      <formula>AND(IF($Q160=3,1,0),IF($Y160&lt;30,1,0))</formula>
    </cfRule>
    <cfRule type="expression" dxfId="6234" priority="1441">
      <formula>AND(IF($Q160=3,1,IF($Q160=4,1,0)),IF($F160&lt;=85,1,0))</formula>
    </cfRule>
  </conditionalFormatting>
  <conditionalFormatting sqref="AW161">
    <cfRule type="expression" dxfId="6233" priority="1436">
      <formula>AW161="X"</formula>
    </cfRule>
    <cfRule type="expression" dxfId="6232" priority="1437">
      <formula>AW161="후보"</formula>
    </cfRule>
  </conditionalFormatting>
  <conditionalFormatting sqref="AA161">
    <cfRule type="colorScale" priority="143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1">
    <cfRule type="cellIs" dxfId="6231" priority="1433" operator="greaterThan">
      <formula>0.9</formula>
    </cfRule>
    <cfRule type="cellIs" dxfId="6230" priority="1434" operator="greaterThan">
      <formula>0.85</formula>
    </cfRule>
  </conditionalFormatting>
  <conditionalFormatting sqref="N161">
    <cfRule type="cellIs" dxfId="6229" priority="1431" operator="greaterThan">
      <formula>0.9</formula>
    </cfRule>
    <cfRule type="cellIs" dxfId="6228" priority="1432" operator="greaterThan">
      <formula>0.85</formula>
    </cfRule>
  </conditionalFormatting>
  <conditionalFormatting sqref="E161">
    <cfRule type="expression" dxfId="6227" priority="1427">
      <formula>AND(IF(OR($Q161=1,$Q161=2),1,0),IF($E161&lt;=20,1,0))</formula>
    </cfRule>
    <cfRule type="expression" dxfId="6226" priority="1428">
      <formula>AND(IF($Q161=2,1,0),IF($E161&lt;30,1,0))</formula>
    </cfRule>
    <cfRule type="expression" dxfId="6225" priority="1429">
      <formula>AND(IF($Q161=3,1,0),IF($E161&lt;30,1,0))</formula>
    </cfRule>
    <cfRule type="expression" dxfId="6224" priority="1430">
      <formula>AND(IF($Q161=3,1,IF($Q161=4,1,0)),IF($F161&lt;=85,1,0))</formula>
    </cfRule>
  </conditionalFormatting>
  <conditionalFormatting sqref="Y161">
    <cfRule type="expression" dxfId="6223" priority="1423">
      <formula>AND(IF(OR($Q161=1,$Q161=2),1,0),IF($Y161&lt;=20,1,0))</formula>
    </cfRule>
    <cfRule type="expression" dxfId="6222" priority="1424">
      <formula>AND(IF($Q161=2,1,0),IF($Y161&lt;30,1,0))</formula>
    </cfRule>
    <cfRule type="expression" dxfId="6221" priority="1425">
      <formula>AND(IF($Q161=3,1,0),IF($Y161&lt;30,1,0))</formula>
    </cfRule>
    <cfRule type="expression" dxfId="6220" priority="1426">
      <formula>AND(IF($Q161=3,1,IF($Q161=4,1,0)),IF($F161&lt;=85,1,0))</formula>
    </cfRule>
  </conditionalFormatting>
  <conditionalFormatting sqref="AJ161">
    <cfRule type="expression" dxfId="6219" priority="1419">
      <formula>AND(IF(OR($Q161=1,$Q161=2),1,0),IF($Y161&lt;=20,1,0))</formula>
    </cfRule>
    <cfRule type="expression" dxfId="6218" priority="1420">
      <formula>AND(IF($Q161=2,1,0),IF($Y161&lt;30,1,0))</formula>
    </cfRule>
    <cfRule type="expression" dxfId="6217" priority="1421">
      <formula>AND(IF($Q161=3,1,0),IF($Y161&lt;30,1,0))</formula>
    </cfRule>
    <cfRule type="expression" dxfId="6216" priority="1422">
      <formula>AND(IF($Q161=3,1,IF($Q161=4,1,0)),IF($F161&lt;=85,1,0))</formula>
    </cfRule>
  </conditionalFormatting>
  <conditionalFormatting sqref="AW162">
    <cfRule type="expression" dxfId="6215" priority="1417">
      <formula>AW162="X"</formula>
    </cfRule>
    <cfRule type="expression" dxfId="6214" priority="1418">
      <formula>AW162="후보"</formula>
    </cfRule>
  </conditionalFormatting>
  <conditionalFormatting sqref="AA162">
    <cfRule type="colorScale" priority="14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2 N162">
    <cfRule type="cellIs" dxfId="6213" priority="1414" operator="greaterThan">
      <formula>0.9</formula>
    </cfRule>
    <cfRule type="cellIs" dxfId="6212" priority="1415" operator="greaterThan">
      <formula>0.85</formula>
    </cfRule>
  </conditionalFormatting>
  <conditionalFormatting sqref="AW163">
    <cfRule type="expression" dxfId="6211" priority="1412">
      <formula>AW163="X"</formula>
    </cfRule>
    <cfRule type="expression" dxfId="6210" priority="1413">
      <formula>AW163="후보"</formula>
    </cfRule>
  </conditionalFormatting>
  <conditionalFormatting sqref="AA163">
    <cfRule type="colorScale" priority="141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3">
    <cfRule type="cellIs" dxfId="6209" priority="1409" operator="greaterThan">
      <formula>0.9</formula>
    </cfRule>
    <cfRule type="cellIs" dxfId="6208" priority="1410" operator="greaterThan">
      <formula>0.85</formula>
    </cfRule>
  </conditionalFormatting>
  <conditionalFormatting sqref="N163">
    <cfRule type="cellIs" dxfId="6207" priority="1407" operator="greaterThan">
      <formula>0.9</formula>
    </cfRule>
    <cfRule type="cellIs" dxfId="6206" priority="1408" operator="greaterThan">
      <formula>0.85</formula>
    </cfRule>
  </conditionalFormatting>
  <conditionalFormatting sqref="E163">
    <cfRule type="expression" dxfId="6205" priority="1403">
      <formula>AND(IF(OR($Q163=1,$Q163=2),1,0),IF($E163&lt;=20,1,0))</formula>
    </cfRule>
    <cfRule type="expression" dxfId="6204" priority="1404">
      <formula>AND(IF($Q163=2,1,0),IF($E163&lt;30,1,0))</formula>
    </cfRule>
    <cfRule type="expression" dxfId="6203" priority="1405">
      <formula>AND(IF($Q163=3,1,0),IF($E163&lt;30,1,0))</formula>
    </cfRule>
    <cfRule type="expression" dxfId="6202" priority="1406">
      <formula>AND(IF($Q163=3,1,IF($Q163=4,1,0)),IF($F163&lt;=85,1,0))</formula>
    </cfRule>
  </conditionalFormatting>
  <conditionalFormatting sqref="Y163">
    <cfRule type="expression" dxfId="6201" priority="1399">
      <formula>AND(IF(OR($Q163=1,$Q163=2),1,0),IF($Y163&lt;=20,1,0))</formula>
    </cfRule>
    <cfRule type="expression" dxfId="6200" priority="1400">
      <formula>AND(IF($Q163=2,1,0),IF($Y163&lt;30,1,0))</formula>
    </cfRule>
    <cfRule type="expression" dxfId="6199" priority="1401">
      <formula>AND(IF($Q163=3,1,0),IF($Y163&lt;30,1,0))</formula>
    </cfRule>
    <cfRule type="expression" dxfId="6198" priority="1402">
      <formula>AND(IF($Q163=3,1,IF($Q163=4,1,0)),IF($F163&lt;=85,1,0))</formula>
    </cfRule>
  </conditionalFormatting>
  <conditionalFormatting sqref="AJ163">
    <cfRule type="expression" dxfId="6197" priority="1395">
      <formula>AND(IF(OR($Q163=1,$Q163=2),1,0),IF($Y163&lt;=20,1,0))</formula>
    </cfRule>
    <cfRule type="expression" dxfId="6196" priority="1396">
      <formula>AND(IF($Q163=2,1,0),IF($Y163&lt;30,1,0))</formula>
    </cfRule>
    <cfRule type="expression" dxfId="6195" priority="1397">
      <formula>AND(IF($Q163=3,1,0),IF($Y163&lt;30,1,0))</formula>
    </cfRule>
    <cfRule type="expression" dxfId="6194" priority="1398">
      <formula>AND(IF($Q163=3,1,IF($Q163=4,1,0)),IF($F163&lt;=85,1,0))</formula>
    </cfRule>
  </conditionalFormatting>
  <conditionalFormatting sqref="AW164">
    <cfRule type="expression" dxfId="6193" priority="1393">
      <formula>AW164="X"</formula>
    </cfRule>
    <cfRule type="expression" dxfId="6192" priority="1394">
      <formula>AW164="후보"</formula>
    </cfRule>
  </conditionalFormatting>
  <conditionalFormatting sqref="AA164">
    <cfRule type="colorScale" priority="139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4">
    <cfRule type="cellIs" dxfId="6191" priority="1390" operator="greaterThan">
      <formula>0.9</formula>
    </cfRule>
    <cfRule type="cellIs" dxfId="6190" priority="1391" operator="greaterThan">
      <formula>0.85</formula>
    </cfRule>
  </conditionalFormatting>
  <conditionalFormatting sqref="N164">
    <cfRule type="cellIs" dxfId="6189" priority="1388" operator="greaterThan">
      <formula>0.9</formula>
    </cfRule>
    <cfRule type="cellIs" dxfId="6188" priority="1389" operator="greaterThan">
      <formula>0.85</formula>
    </cfRule>
  </conditionalFormatting>
  <conditionalFormatting sqref="E164">
    <cfRule type="expression" dxfId="6187" priority="1384">
      <formula>AND(IF(OR($Q164=1,$Q164=2),1,0),IF($E164&lt;=20,1,0))</formula>
    </cfRule>
    <cfRule type="expression" dxfId="6186" priority="1385">
      <formula>AND(IF($Q164=2,1,0),IF($E164&lt;30,1,0))</formula>
    </cfRule>
    <cfRule type="expression" dxfId="6185" priority="1386">
      <formula>AND(IF($Q164=3,1,0),IF($E164&lt;30,1,0))</formula>
    </cfRule>
    <cfRule type="expression" dxfId="6184" priority="1387">
      <formula>AND(IF($Q164=3,1,IF($Q164=4,1,0)),IF($F164&lt;=85,1,0))</formula>
    </cfRule>
  </conditionalFormatting>
  <conditionalFormatting sqref="Y164">
    <cfRule type="expression" dxfId="6183" priority="1380">
      <formula>AND(IF(OR($Q164=1,$Q164=2),1,0),IF($Y164&lt;=20,1,0))</formula>
    </cfRule>
    <cfRule type="expression" dxfId="6182" priority="1381">
      <formula>AND(IF($Q164=2,1,0),IF($Y164&lt;30,1,0))</formula>
    </cfRule>
    <cfRule type="expression" dxfId="6181" priority="1382">
      <formula>AND(IF($Q164=3,1,0),IF($Y164&lt;30,1,0))</formula>
    </cfRule>
    <cfRule type="expression" dxfId="6180" priority="1383">
      <formula>AND(IF($Q164=3,1,IF($Q164=4,1,0)),IF($F164&lt;=85,1,0))</formula>
    </cfRule>
  </conditionalFormatting>
  <conditionalFormatting sqref="AJ164">
    <cfRule type="expression" dxfId="6179" priority="1376">
      <formula>AND(IF(OR($Q164=1,$Q164=2),1,0),IF($Y164&lt;=20,1,0))</formula>
    </cfRule>
    <cfRule type="expression" dxfId="6178" priority="1377">
      <formula>AND(IF($Q164=2,1,0),IF($Y164&lt;30,1,0))</formula>
    </cfRule>
    <cfRule type="expression" dxfId="6177" priority="1378">
      <formula>AND(IF($Q164=3,1,0),IF($Y164&lt;30,1,0))</formula>
    </cfRule>
    <cfRule type="expression" dxfId="6176" priority="1379">
      <formula>AND(IF($Q164=3,1,IF($Q164=4,1,0)),IF($F164&lt;=85,1,0))</formula>
    </cfRule>
  </conditionalFormatting>
  <conditionalFormatting sqref="AW165">
    <cfRule type="expression" dxfId="6175" priority="1374">
      <formula>AW165="X"</formula>
    </cfRule>
    <cfRule type="expression" dxfId="6174" priority="1375">
      <formula>AW165="후보"</formula>
    </cfRule>
  </conditionalFormatting>
  <conditionalFormatting sqref="AA165">
    <cfRule type="colorScale" priority="137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5">
    <cfRule type="cellIs" dxfId="6173" priority="1371" operator="greaterThan">
      <formula>0.9</formula>
    </cfRule>
    <cfRule type="cellIs" dxfId="6172" priority="1372" operator="greaterThan">
      <formula>0.85</formula>
    </cfRule>
  </conditionalFormatting>
  <conditionalFormatting sqref="N165">
    <cfRule type="cellIs" dxfId="6171" priority="1369" operator="greaterThan">
      <formula>0.9</formula>
    </cfRule>
    <cfRule type="cellIs" dxfId="6170" priority="1370" operator="greaterThan">
      <formula>0.85</formula>
    </cfRule>
  </conditionalFormatting>
  <conditionalFormatting sqref="E165">
    <cfRule type="expression" dxfId="6169" priority="1365">
      <formula>AND(IF(OR($Q165=1,$Q165=2),1,0),IF($E165&lt;=20,1,0))</formula>
    </cfRule>
    <cfRule type="expression" dxfId="6168" priority="1366">
      <formula>AND(IF($Q165=2,1,0),IF($E165&lt;30,1,0))</formula>
    </cfRule>
    <cfRule type="expression" dxfId="6167" priority="1367">
      <formula>AND(IF($Q165=3,1,0),IF($E165&lt;30,1,0))</formula>
    </cfRule>
    <cfRule type="expression" dxfId="6166" priority="1368">
      <formula>AND(IF($Q165=3,1,IF($Q165=4,1,0)),IF($F165&lt;=85,1,0))</formula>
    </cfRule>
  </conditionalFormatting>
  <conditionalFormatting sqref="Y165">
    <cfRule type="expression" dxfId="6165" priority="1361">
      <formula>AND(IF(OR($Q165=1,$Q165=2),1,0),IF($Y165&lt;=20,1,0))</formula>
    </cfRule>
    <cfRule type="expression" dxfId="6164" priority="1362">
      <formula>AND(IF($Q165=2,1,0),IF($Y165&lt;30,1,0))</formula>
    </cfRule>
    <cfRule type="expression" dxfId="6163" priority="1363">
      <formula>AND(IF($Q165=3,1,0),IF($Y165&lt;30,1,0))</formula>
    </cfRule>
    <cfRule type="expression" dxfId="6162" priority="1364">
      <formula>AND(IF($Q165=3,1,IF($Q165=4,1,0)),IF($F165&lt;=85,1,0))</formula>
    </cfRule>
  </conditionalFormatting>
  <conditionalFormatting sqref="AJ165">
    <cfRule type="expression" dxfId="6161" priority="1357">
      <formula>AND(IF(OR($Q165=1,$Q165=2),1,0),IF($Y165&lt;=20,1,0))</formula>
    </cfRule>
    <cfRule type="expression" dxfId="6160" priority="1358">
      <formula>AND(IF($Q165=2,1,0),IF($Y165&lt;30,1,0))</formula>
    </cfRule>
    <cfRule type="expression" dxfId="6159" priority="1359">
      <formula>AND(IF($Q165=3,1,0),IF($Y165&lt;30,1,0))</formula>
    </cfRule>
    <cfRule type="expression" dxfId="6158" priority="1360">
      <formula>AND(IF($Q165=3,1,IF($Q165=4,1,0)),IF($F165&lt;=85,1,0))</formula>
    </cfRule>
  </conditionalFormatting>
  <conditionalFormatting sqref="AW166">
    <cfRule type="expression" dxfId="6157" priority="1355">
      <formula>AW166="X"</formula>
    </cfRule>
    <cfRule type="expression" dxfId="6156" priority="1356">
      <formula>AW166="후보"</formula>
    </cfRule>
  </conditionalFormatting>
  <conditionalFormatting sqref="AA166">
    <cfRule type="colorScale" priority="135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6">
    <cfRule type="cellIs" dxfId="6155" priority="1352" operator="greaterThan">
      <formula>0.9</formula>
    </cfRule>
    <cfRule type="cellIs" dxfId="6154" priority="1353" operator="greaterThan">
      <formula>0.85</formula>
    </cfRule>
  </conditionalFormatting>
  <conditionalFormatting sqref="N166">
    <cfRule type="cellIs" dxfId="6153" priority="1350" operator="greaterThan">
      <formula>0.9</formula>
    </cfRule>
    <cfRule type="cellIs" dxfId="6152" priority="1351" operator="greaterThan">
      <formula>0.85</formula>
    </cfRule>
  </conditionalFormatting>
  <conditionalFormatting sqref="E166">
    <cfRule type="expression" dxfId="6151" priority="1346">
      <formula>AND(IF(OR($Q166=1,$Q166=2),1,0),IF($E166&lt;=20,1,0))</formula>
    </cfRule>
    <cfRule type="expression" dxfId="6150" priority="1347">
      <formula>AND(IF($Q166=2,1,0),IF($E166&lt;30,1,0))</formula>
    </cfRule>
    <cfRule type="expression" dxfId="6149" priority="1348">
      <formula>AND(IF($Q166=3,1,0),IF($E166&lt;30,1,0))</formula>
    </cfRule>
    <cfRule type="expression" dxfId="6148" priority="1349">
      <formula>AND(IF($Q166=3,1,IF($Q166=4,1,0)),IF($F166&lt;=85,1,0))</formula>
    </cfRule>
  </conditionalFormatting>
  <conditionalFormatting sqref="Y166">
    <cfRule type="expression" dxfId="6147" priority="1342">
      <formula>AND(IF(OR($Q166=1,$Q166=2),1,0),IF($Y166&lt;=20,1,0))</formula>
    </cfRule>
    <cfRule type="expression" dxfId="6146" priority="1343">
      <formula>AND(IF($Q166=2,1,0),IF($Y166&lt;30,1,0))</formula>
    </cfRule>
    <cfRule type="expression" dxfId="6145" priority="1344">
      <formula>AND(IF($Q166=3,1,0),IF($Y166&lt;30,1,0))</formula>
    </cfRule>
    <cfRule type="expression" dxfId="6144" priority="1345">
      <formula>AND(IF($Q166=3,1,IF($Q166=4,1,0)),IF($F166&lt;=85,1,0))</formula>
    </cfRule>
  </conditionalFormatting>
  <conditionalFormatting sqref="AJ166">
    <cfRule type="expression" dxfId="6143" priority="1338">
      <formula>AND(IF(OR($Q166=1,$Q166=2),1,0),IF($Y166&lt;=20,1,0))</formula>
    </cfRule>
    <cfRule type="expression" dxfId="6142" priority="1339">
      <formula>AND(IF($Q166=2,1,0),IF($Y166&lt;30,1,0))</formula>
    </cfRule>
    <cfRule type="expression" dxfId="6141" priority="1340">
      <formula>AND(IF($Q166=3,1,0),IF($Y166&lt;30,1,0))</formula>
    </cfRule>
    <cfRule type="expression" dxfId="6140" priority="1341">
      <formula>AND(IF($Q166=3,1,IF($Q166=4,1,0)),IF($F166&lt;=85,1,0))</formula>
    </cfRule>
  </conditionalFormatting>
  <conditionalFormatting sqref="AW167">
    <cfRule type="expression" dxfId="6139" priority="1336">
      <formula>AW167="X"</formula>
    </cfRule>
    <cfRule type="expression" dxfId="6138" priority="1337">
      <formula>AW167="후보"</formula>
    </cfRule>
  </conditionalFormatting>
  <conditionalFormatting sqref="AA167">
    <cfRule type="colorScale" priority="133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7">
    <cfRule type="cellIs" dxfId="6137" priority="1333" operator="greaterThan">
      <formula>0.9</formula>
    </cfRule>
    <cfRule type="cellIs" dxfId="6136" priority="1334" operator="greaterThan">
      <formula>0.85</formula>
    </cfRule>
  </conditionalFormatting>
  <conditionalFormatting sqref="N167">
    <cfRule type="cellIs" dxfId="6135" priority="1331" operator="greaterThan">
      <formula>0.9</formula>
    </cfRule>
    <cfRule type="cellIs" dxfId="6134" priority="1332" operator="greaterThan">
      <formula>0.85</formula>
    </cfRule>
  </conditionalFormatting>
  <conditionalFormatting sqref="E167">
    <cfRule type="expression" dxfId="6133" priority="1327">
      <formula>AND(IF(OR($Q167=1,$Q167=2),1,0),IF($E167&lt;=20,1,0))</formula>
    </cfRule>
    <cfRule type="expression" dxfId="6132" priority="1328">
      <formula>AND(IF($Q167=2,1,0),IF($E167&lt;30,1,0))</formula>
    </cfRule>
    <cfRule type="expression" dxfId="6131" priority="1329">
      <formula>AND(IF($Q167=3,1,0),IF($E167&lt;30,1,0))</formula>
    </cfRule>
    <cfRule type="expression" dxfId="6130" priority="1330">
      <formula>AND(IF($Q167=3,1,IF($Q167=4,1,0)),IF($F167&lt;=85,1,0))</formula>
    </cfRule>
  </conditionalFormatting>
  <conditionalFormatting sqref="Y167">
    <cfRule type="expression" dxfId="6129" priority="1323">
      <formula>AND(IF(OR($Q167=1,$Q167=2),1,0),IF($Y167&lt;=20,1,0))</formula>
    </cfRule>
    <cfRule type="expression" dxfId="6128" priority="1324">
      <formula>AND(IF($Q167=2,1,0),IF($Y167&lt;30,1,0))</formula>
    </cfRule>
    <cfRule type="expression" dxfId="6127" priority="1325">
      <formula>AND(IF($Q167=3,1,0),IF($Y167&lt;30,1,0))</formula>
    </cfRule>
    <cfRule type="expression" dxfId="6126" priority="1326">
      <formula>AND(IF($Q167=3,1,IF($Q167=4,1,0)),IF($F167&lt;=85,1,0))</formula>
    </cfRule>
  </conditionalFormatting>
  <conditionalFormatting sqref="AJ167">
    <cfRule type="expression" dxfId="6125" priority="1319">
      <formula>AND(IF(OR($Q167=1,$Q167=2),1,0),IF($Y167&lt;=20,1,0))</formula>
    </cfRule>
    <cfRule type="expression" dxfId="6124" priority="1320">
      <formula>AND(IF($Q167=2,1,0),IF($Y167&lt;30,1,0))</formula>
    </cfRule>
    <cfRule type="expression" dxfId="6123" priority="1321">
      <formula>AND(IF($Q167=3,1,0),IF($Y167&lt;30,1,0))</formula>
    </cfRule>
    <cfRule type="expression" dxfId="6122" priority="1322">
      <formula>AND(IF($Q167=3,1,IF($Q167=4,1,0)),IF($F167&lt;=85,1,0))</formula>
    </cfRule>
  </conditionalFormatting>
  <conditionalFormatting sqref="AW168">
    <cfRule type="expression" dxfId="6121" priority="1317">
      <formula>AW168="X"</formula>
    </cfRule>
    <cfRule type="expression" dxfId="6120" priority="1318">
      <formula>AW168="후보"</formula>
    </cfRule>
  </conditionalFormatting>
  <conditionalFormatting sqref="AA168">
    <cfRule type="colorScale" priority="13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8">
    <cfRule type="cellIs" dxfId="6119" priority="1314" operator="greaterThan">
      <formula>0.9</formula>
    </cfRule>
    <cfRule type="cellIs" dxfId="6118" priority="1315" operator="greaterThan">
      <formula>0.85</formula>
    </cfRule>
  </conditionalFormatting>
  <conditionalFormatting sqref="N168">
    <cfRule type="cellIs" dxfId="6117" priority="1312" operator="greaterThan">
      <formula>0.9</formula>
    </cfRule>
    <cfRule type="cellIs" dxfId="6116" priority="1313" operator="greaterThan">
      <formula>0.85</formula>
    </cfRule>
  </conditionalFormatting>
  <conditionalFormatting sqref="E168">
    <cfRule type="expression" dxfId="6115" priority="1308">
      <formula>AND(IF(OR($Q168=1,$Q168=2),1,0),IF($E168&lt;=20,1,0))</formula>
    </cfRule>
    <cfRule type="expression" dxfId="6114" priority="1309">
      <formula>AND(IF($Q168=2,1,0),IF($E168&lt;30,1,0))</formula>
    </cfRule>
    <cfRule type="expression" dxfId="6113" priority="1310">
      <formula>AND(IF($Q168=3,1,0),IF($E168&lt;30,1,0))</formula>
    </cfRule>
    <cfRule type="expression" dxfId="6112" priority="1311">
      <formula>AND(IF($Q168=3,1,IF($Q168=4,1,0)),IF($F168&lt;=85,1,0))</formula>
    </cfRule>
  </conditionalFormatting>
  <conditionalFormatting sqref="Y168">
    <cfRule type="expression" dxfId="6111" priority="1304">
      <formula>AND(IF(OR($Q168=1,$Q168=2),1,0),IF($Y168&lt;=20,1,0))</formula>
    </cfRule>
    <cfRule type="expression" dxfId="6110" priority="1305">
      <formula>AND(IF($Q168=2,1,0),IF($Y168&lt;30,1,0))</formula>
    </cfRule>
    <cfRule type="expression" dxfId="6109" priority="1306">
      <formula>AND(IF($Q168=3,1,0),IF($Y168&lt;30,1,0))</formula>
    </cfRule>
    <cfRule type="expression" dxfId="6108" priority="1307">
      <formula>AND(IF($Q168=3,1,IF($Q168=4,1,0)),IF($F168&lt;=85,1,0))</formula>
    </cfRule>
  </conditionalFormatting>
  <conditionalFormatting sqref="AJ168">
    <cfRule type="expression" dxfId="6107" priority="1300">
      <formula>AND(IF(OR($Q168=1,$Q168=2),1,0),IF($Y168&lt;=20,1,0))</formula>
    </cfRule>
    <cfRule type="expression" dxfId="6106" priority="1301">
      <formula>AND(IF($Q168=2,1,0),IF($Y168&lt;30,1,0))</formula>
    </cfRule>
    <cfRule type="expression" dxfId="6105" priority="1302">
      <formula>AND(IF($Q168=3,1,0),IF($Y168&lt;30,1,0))</formula>
    </cfRule>
    <cfRule type="expression" dxfId="6104" priority="1303">
      <formula>AND(IF($Q168=3,1,IF($Q168=4,1,0)),IF($F168&lt;=85,1,0))</formula>
    </cfRule>
  </conditionalFormatting>
  <conditionalFormatting sqref="AW169">
    <cfRule type="expression" dxfId="6103" priority="1298">
      <formula>AW169="X"</formula>
    </cfRule>
    <cfRule type="expression" dxfId="6102" priority="1299">
      <formula>AW169="후보"</formula>
    </cfRule>
  </conditionalFormatting>
  <conditionalFormatting sqref="AA169">
    <cfRule type="colorScale" priority="12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9">
    <cfRule type="cellIs" dxfId="6101" priority="1295" operator="greaterThan">
      <formula>0.9</formula>
    </cfRule>
    <cfRule type="cellIs" dxfId="6100" priority="1296" operator="greaterThan">
      <formula>0.85</formula>
    </cfRule>
  </conditionalFormatting>
  <conditionalFormatting sqref="N169">
    <cfRule type="cellIs" dxfId="6099" priority="1293" operator="greaterThan">
      <formula>0.9</formula>
    </cfRule>
    <cfRule type="cellIs" dxfId="6098" priority="1294" operator="greaterThan">
      <formula>0.85</formula>
    </cfRule>
  </conditionalFormatting>
  <conditionalFormatting sqref="E169">
    <cfRule type="expression" dxfId="6097" priority="1289">
      <formula>AND(IF(OR($Q169=1,$Q169=2),1,0),IF($E169&lt;=20,1,0))</formula>
    </cfRule>
    <cfRule type="expression" dxfId="6096" priority="1290">
      <formula>AND(IF($Q169=2,1,0),IF($E169&lt;30,1,0))</formula>
    </cfRule>
    <cfRule type="expression" dxfId="6095" priority="1291">
      <formula>AND(IF($Q169=3,1,0),IF($E169&lt;30,1,0))</formula>
    </cfRule>
    <cfRule type="expression" dxfId="6094" priority="1292">
      <formula>AND(IF($Q169=3,1,IF($Q169=4,1,0)),IF($F169&lt;=85,1,0))</formula>
    </cfRule>
  </conditionalFormatting>
  <conditionalFormatting sqref="Y169">
    <cfRule type="expression" dxfId="6093" priority="1285">
      <formula>AND(IF(OR($Q169=1,$Q169=2),1,0),IF($Y169&lt;=20,1,0))</formula>
    </cfRule>
    <cfRule type="expression" dxfId="6092" priority="1286">
      <formula>AND(IF($Q169=2,1,0),IF($Y169&lt;30,1,0))</formula>
    </cfRule>
    <cfRule type="expression" dxfId="6091" priority="1287">
      <formula>AND(IF($Q169=3,1,0),IF($Y169&lt;30,1,0))</formula>
    </cfRule>
    <cfRule type="expression" dxfId="6090" priority="1288">
      <formula>AND(IF($Q169=3,1,IF($Q169=4,1,0)),IF($F169&lt;=85,1,0))</formula>
    </cfRule>
  </conditionalFormatting>
  <conditionalFormatting sqref="AJ169">
    <cfRule type="expression" dxfId="6089" priority="1281">
      <formula>AND(IF(OR($Q169=1,$Q169=2),1,0),IF($Y169&lt;=20,1,0))</formula>
    </cfRule>
    <cfRule type="expression" dxfId="6088" priority="1282">
      <formula>AND(IF($Q169=2,1,0),IF($Y169&lt;30,1,0))</formula>
    </cfRule>
    <cfRule type="expression" dxfId="6087" priority="1283">
      <formula>AND(IF($Q169=3,1,0),IF($Y169&lt;30,1,0))</formula>
    </cfRule>
    <cfRule type="expression" dxfId="6086" priority="1284">
      <formula>AND(IF($Q169=3,1,IF($Q169=4,1,0)),IF($F169&lt;=85,1,0))</formula>
    </cfRule>
  </conditionalFormatting>
  <conditionalFormatting sqref="AW170">
    <cfRule type="expression" dxfId="6085" priority="1279">
      <formula>AW170="X"</formula>
    </cfRule>
    <cfRule type="expression" dxfId="6084" priority="1280">
      <formula>AW170="후보"</formula>
    </cfRule>
  </conditionalFormatting>
  <conditionalFormatting sqref="AA170">
    <cfRule type="colorScale" priority="12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0">
    <cfRule type="cellIs" dxfId="6083" priority="1276" operator="greaterThan">
      <formula>0.9</formula>
    </cfRule>
    <cfRule type="cellIs" dxfId="6082" priority="1277" operator="greaterThan">
      <formula>0.85</formula>
    </cfRule>
  </conditionalFormatting>
  <conditionalFormatting sqref="N170">
    <cfRule type="cellIs" dxfId="6081" priority="1274" operator="greaterThan">
      <formula>0.9</formula>
    </cfRule>
    <cfRule type="cellIs" dxfId="6080" priority="1275" operator="greaterThan">
      <formula>0.85</formula>
    </cfRule>
  </conditionalFormatting>
  <conditionalFormatting sqref="E170">
    <cfRule type="expression" dxfId="6079" priority="1270">
      <formula>AND(IF(OR($Q170=1,$Q170=2),1,0),IF($E170&lt;=20,1,0))</formula>
    </cfRule>
    <cfRule type="expression" dxfId="6078" priority="1271">
      <formula>AND(IF($Q170=2,1,0),IF($E170&lt;30,1,0))</formula>
    </cfRule>
    <cfRule type="expression" dxfId="6077" priority="1272">
      <formula>AND(IF($Q170=3,1,0),IF($E170&lt;30,1,0))</formula>
    </cfRule>
    <cfRule type="expression" dxfId="6076" priority="1273">
      <formula>AND(IF($Q170=3,1,IF($Q170=4,1,0)),IF($F170&lt;=85,1,0))</formula>
    </cfRule>
  </conditionalFormatting>
  <conditionalFormatting sqref="Y170">
    <cfRule type="expression" dxfId="6075" priority="1266">
      <formula>AND(IF(OR($Q170=1,$Q170=2),1,0),IF($Y170&lt;=20,1,0))</formula>
    </cfRule>
    <cfRule type="expression" dxfId="6074" priority="1267">
      <formula>AND(IF($Q170=2,1,0),IF($Y170&lt;30,1,0))</formula>
    </cfRule>
    <cfRule type="expression" dxfId="6073" priority="1268">
      <formula>AND(IF($Q170=3,1,0),IF($Y170&lt;30,1,0))</formula>
    </cfRule>
    <cfRule type="expression" dxfId="6072" priority="1269">
      <formula>AND(IF($Q170=3,1,IF($Q170=4,1,0)),IF($F170&lt;=85,1,0))</formula>
    </cfRule>
  </conditionalFormatting>
  <conditionalFormatting sqref="AJ170">
    <cfRule type="expression" dxfId="6071" priority="1262">
      <formula>AND(IF(OR($Q170=1,$Q170=2),1,0),IF($Y170&lt;=20,1,0))</formula>
    </cfRule>
    <cfRule type="expression" dxfId="6070" priority="1263">
      <formula>AND(IF($Q170=2,1,0),IF($Y170&lt;30,1,0))</formula>
    </cfRule>
    <cfRule type="expression" dxfId="6069" priority="1264">
      <formula>AND(IF($Q170=3,1,0),IF($Y170&lt;30,1,0))</formula>
    </cfRule>
    <cfRule type="expression" dxfId="6068" priority="1265">
      <formula>AND(IF($Q170=3,1,IF($Q170=4,1,0)),IF($F170&lt;=85,1,0))</formula>
    </cfRule>
  </conditionalFormatting>
  <conditionalFormatting sqref="AW171">
    <cfRule type="expression" dxfId="6067" priority="1260">
      <formula>AW171="X"</formula>
    </cfRule>
    <cfRule type="expression" dxfId="6066" priority="1261">
      <formula>AW171="후보"</formula>
    </cfRule>
  </conditionalFormatting>
  <conditionalFormatting sqref="AA171">
    <cfRule type="colorScale" priority="12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1">
    <cfRule type="cellIs" dxfId="6065" priority="1257" operator="greaterThan">
      <formula>0.9</formula>
    </cfRule>
    <cfRule type="cellIs" dxfId="6064" priority="1258" operator="greaterThan">
      <formula>0.85</formula>
    </cfRule>
  </conditionalFormatting>
  <conditionalFormatting sqref="N171">
    <cfRule type="cellIs" dxfId="6063" priority="1255" operator="greaterThan">
      <formula>0.9</formula>
    </cfRule>
    <cfRule type="cellIs" dxfId="6062" priority="1256" operator="greaterThan">
      <formula>0.85</formula>
    </cfRule>
  </conditionalFormatting>
  <conditionalFormatting sqref="E171">
    <cfRule type="expression" dxfId="6061" priority="1251">
      <formula>AND(IF(OR($Q171=1,$Q171=2),1,0),IF($E171&lt;=20,1,0))</formula>
    </cfRule>
    <cfRule type="expression" dxfId="6060" priority="1252">
      <formula>AND(IF($Q171=2,1,0),IF($E171&lt;30,1,0))</formula>
    </cfRule>
    <cfRule type="expression" dxfId="6059" priority="1253">
      <formula>AND(IF($Q171=3,1,0),IF($E171&lt;30,1,0))</formula>
    </cfRule>
    <cfRule type="expression" dxfId="6058" priority="1254">
      <formula>AND(IF($Q171=3,1,IF($Q171=4,1,0)),IF($F171&lt;=85,1,0))</formula>
    </cfRule>
  </conditionalFormatting>
  <conditionalFormatting sqref="Y171">
    <cfRule type="expression" dxfId="6057" priority="1247">
      <formula>AND(IF(OR($Q171=1,$Q171=2),1,0),IF($Y171&lt;=20,1,0))</formula>
    </cfRule>
    <cfRule type="expression" dxfId="6056" priority="1248">
      <formula>AND(IF($Q171=2,1,0),IF($Y171&lt;30,1,0))</formula>
    </cfRule>
    <cfRule type="expression" dxfId="6055" priority="1249">
      <formula>AND(IF($Q171=3,1,0),IF($Y171&lt;30,1,0))</formula>
    </cfRule>
    <cfRule type="expression" dxfId="6054" priority="1250">
      <formula>AND(IF($Q171=3,1,IF($Q171=4,1,0)),IF($F171&lt;=85,1,0))</formula>
    </cfRule>
  </conditionalFormatting>
  <conditionalFormatting sqref="AJ171">
    <cfRule type="expression" dxfId="6053" priority="1243">
      <formula>AND(IF(OR($Q171=1,$Q171=2),1,0),IF($Y171&lt;=20,1,0))</formula>
    </cfRule>
    <cfRule type="expression" dxfId="6052" priority="1244">
      <formula>AND(IF($Q171=2,1,0),IF($Y171&lt;30,1,0))</formula>
    </cfRule>
    <cfRule type="expression" dxfId="6051" priority="1245">
      <formula>AND(IF($Q171=3,1,0),IF($Y171&lt;30,1,0))</formula>
    </cfRule>
    <cfRule type="expression" dxfId="6050" priority="1246">
      <formula>AND(IF($Q171=3,1,IF($Q171=4,1,0)),IF($F171&lt;=85,1,0))</formula>
    </cfRule>
  </conditionalFormatting>
  <conditionalFormatting sqref="AW172">
    <cfRule type="expression" dxfId="6049" priority="1241">
      <formula>AW172="X"</formula>
    </cfRule>
    <cfRule type="expression" dxfId="6048" priority="1242">
      <formula>AW172="후보"</formula>
    </cfRule>
  </conditionalFormatting>
  <conditionalFormatting sqref="AA172">
    <cfRule type="colorScale" priority="12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2">
    <cfRule type="cellIs" dxfId="6047" priority="1238" operator="greaterThan">
      <formula>0.9</formula>
    </cfRule>
    <cfRule type="cellIs" dxfId="6046" priority="1239" operator="greaterThan">
      <formula>0.85</formula>
    </cfRule>
  </conditionalFormatting>
  <conditionalFormatting sqref="N172">
    <cfRule type="cellIs" dxfId="6045" priority="1236" operator="greaterThan">
      <formula>0.9</formula>
    </cfRule>
    <cfRule type="cellIs" dxfId="6044" priority="1237" operator="greaterThan">
      <formula>0.85</formula>
    </cfRule>
  </conditionalFormatting>
  <conditionalFormatting sqref="E172">
    <cfRule type="expression" dxfId="6043" priority="1232">
      <formula>AND(IF(OR($Q172=1,$Q172=2),1,0),IF($E172&lt;=20,1,0))</formula>
    </cfRule>
    <cfRule type="expression" dxfId="6042" priority="1233">
      <formula>AND(IF($Q172=2,1,0),IF($E172&lt;30,1,0))</formula>
    </cfRule>
    <cfRule type="expression" dxfId="6041" priority="1234">
      <formula>AND(IF($Q172=3,1,0),IF($E172&lt;30,1,0))</formula>
    </cfRule>
    <cfRule type="expression" dxfId="6040" priority="1235">
      <formula>AND(IF($Q172=3,1,IF($Q172=4,1,0)),IF($F172&lt;=85,1,0))</formula>
    </cfRule>
  </conditionalFormatting>
  <conditionalFormatting sqref="Y172">
    <cfRule type="expression" dxfId="6039" priority="1228">
      <formula>AND(IF(OR($Q172=1,$Q172=2),1,0),IF($Y172&lt;=20,1,0))</formula>
    </cfRule>
    <cfRule type="expression" dxfId="6038" priority="1229">
      <formula>AND(IF($Q172=2,1,0),IF($Y172&lt;30,1,0))</formula>
    </cfRule>
    <cfRule type="expression" dxfId="6037" priority="1230">
      <formula>AND(IF($Q172=3,1,0),IF($Y172&lt;30,1,0))</formula>
    </cfRule>
    <cfRule type="expression" dxfId="6036" priority="1231">
      <formula>AND(IF($Q172=3,1,IF($Q172=4,1,0)),IF($F172&lt;=85,1,0))</formula>
    </cfRule>
  </conditionalFormatting>
  <conditionalFormatting sqref="AJ172">
    <cfRule type="expression" dxfId="6035" priority="1224">
      <formula>AND(IF(OR($Q172=1,$Q172=2),1,0),IF($Y172&lt;=20,1,0))</formula>
    </cfRule>
    <cfRule type="expression" dxfId="6034" priority="1225">
      <formula>AND(IF($Q172=2,1,0),IF($Y172&lt;30,1,0))</formula>
    </cfRule>
    <cfRule type="expression" dxfId="6033" priority="1226">
      <formula>AND(IF($Q172=3,1,0),IF($Y172&lt;30,1,0))</formula>
    </cfRule>
    <cfRule type="expression" dxfId="6032" priority="1227">
      <formula>AND(IF($Q172=3,1,IF($Q172=4,1,0)),IF($F172&lt;=85,1,0))</formula>
    </cfRule>
  </conditionalFormatting>
  <conditionalFormatting sqref="AW173">
    <cfRule type="expression" dxfId="6031" priority="1222">
      <formula>AW173="X"</formula>
    </cfRule>
    <cfRule type="expression" dxfId="6030" priority="1223">
      <formula>AW173="후보"</formula>
    </cfRule>
  </conditionalFormatting>
  <conditionalFormatting sqref="AA173">
    <cfRule type="colorScale" priority="12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3">
    <cfRule type="cellIs" dxfId="6029" priority="1219" operator="greaterThan">
      <formula>0.9</formula>
    </cfRule>
    <cfRule type="cellIs" dxfId="6028" priority="1220" operator="greaterThan">
      <formula>0.85</formula>
    </cfRule>
  </conditionalFormatting>
  <conditionalFormatting sqref="N173">
    <cfRule type="cellIs" dxfId="6027" priority="1217" operator="greaterThan">
      <formula>0.9</formula>
    </cfRule>
    <cfRule type="cellIs" dxfId="6026" priority="1218" operator="greaterThan">
      <formula>0.85</formula>
    </cfRule>
  </conditionalFormatting>
  <conditionalFormatting sqref="E173">
    <cfRule type="expression" dxfId="6025" priority="1213">
      <formula>AND(IF(OR($Q173=1,$Q173=2),1,0),IF($E173&lt;=20,1,0))</formula>
    </cfRule>
    <cfRule type="expression" dxfId="6024" priority="1214">
      <formula>AND(IF($Q173=2,1,0),IF($E173&lt;30,1,0))</formula>
    </cfRule>
    <cfRule type="expression" dxfId="6023" priority="1215">
      <formula>AND(IF($Q173=3,1,0),IF($E173&lt;30,1,0))</formula>
    </cfRule>
    <cfRule type="expression" dxfId="6022" priority="1216">
      <formula>AND(IF($Q173=3,1,IF($Q173=4,1,0)),IF($F173&lt;=85,1,0))</formula>
    </cfRule>
  </conditionalFormatting>
  <conditionalFormatting sqref="Y173">
    <cfRule type="expression" dxfId="6021" priority="1209">
      <formula>AND(IF(OR($Q173=1,$Q173=2),1,0),IF($Y173&lt;=20,1,0))</formula>
    </cfRule>
    <cfRule type="expression" dxfId="6020" priority="1210">
      <formula>AND(IF($Q173=2,1,0),IF($Y173&lt;30,1,0))</formula>
    </cfRule>
    <cfRule type="expression" dxfId="6019" priority="1211">
      <formula>AND(IF($Q173=3,1,0),IF($Y173&lt;30,1,0))</formula>
    </cfRule>
    <cfRule type="expression" dxfId="6018" priority="1212">
      <formula>AND(IF($Q173=3,1,IF($Q173=4,1,0)),IF($F173&lt;=85,1,0))</formula>
    </cfRule>
  </conditionalFormatting>
  <conditionalFormatting sqref="AJ173">
    <cfRule type="expression" dxfId="6017" priority="1205">
      <formula>AND(IF(OR($Q173=1,$Q173=2),1,0),IF($Y173&lt;=20,1,0))</formula>
    </cfRule>
    <cfRule type="expression" dxfId="6016" priority="1206">
      <formula>AND(IF($Q173=2,1,0),IF($Y173&lt;30,1,0))</formula>
    </cfRule>
    <cfRule type="expression" dxfId="6015" priority="1207">
      <formula>AND(IF($Q173=3,1,0),IF($Y173&lt;30,1,0))</formula>
    </cfRule>
    <cfRule type="expression" dxfId="6014" priority="1208">
      <formula>AND(IF($Q173=3,1,IF($Q173=4,1,0)),IF($F173&lt;=85,1,0))</formula>
    </cfRule>
  </conditionalFormatting>
  <conditionalFormatting sqref="AW174">
    <cfRule type="expression" dxfId="6013" priority="1203">
      <formula>AW174="X"</formula>
    </cfRule>
    <cfRule type="expression" dxfId="6012" priority="1204">
      <formula>AW174="후보"</formula>
    </cfRule>
  </conditionalFormatting>
  <conditionalFormatting sqref="AA174">
    <cfRule type="colorScale" priority="12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4 N174">
    <cfRule type="cellIs" dxfId="6011" priority="1200" operator="greaterThan">
      <formula>0.9</formula>
    </cfRule>
    <cfRule type="cellIs" dxfId="6010" priority="1201" operator="greaterThan">
      <formula>0.85</formula>
    </cfRule>
  </conditionalFormatting>
  <conditionalFormatting sqref="AW175">
    <cfRule type="expression" dxfId="6009" priority="1198">
      <formula>AW175="X"</formula>
    </cfRule>
    <cfRule type="expression" dxfId="6008" priority="1199">
      <formula>AW175="후보"</formula>
    </cfRule>
  </conditionalFormatting>
  <conditionalFormatting sqref="AA175">
    <cfRule type="colorScale" priority="11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5">
    <cfRule type="cellIs" dxfId="6007" priority="1195" operator="greaterThan">
      <formula>0.9</formula>
    </cfRule>
    <cfRule type="cellIs" dxfId="6006" priority="1196" operator="greaterThan">
      <formula>0.85</formula>
    </cfRule>
  </conditionalFormatting>
  <conditionalFormatting sqref="N175">
    <cfRule type="cellIs" dxfId="6005" priority="1193" operator="greaterThan">
      <formula>0.9</formula>
    </cfRule>
    <cfRule type="cellIs" dxfId="6004" priority="1194" operator="greaterThan">
      <formula>0.85</formula>
    </cfRule>
  </conditionalFormatting>
  <conditionalFormatting sqref="E175">
    <cfRule type="expression" dxfId="6003" priority="1189">
      <formula>AND(IF(OR($Q175=1,$Q175=2),1,0),IF($E175&lt;=20,1,0))</formula>
    </cfRule>
    <cfRule type="expression" dxfId="6002" priority="1190">
      <formula>AND(IF($Q175=2,1,0),IF($E175&lt;30,1,0))</formula>
    </cfRule>
    <cfRule type="expression" dxfId="6001" priority="1191">
      <formula>AND(IF($Q175=3,1,0),IF($E175&lt;30,1,0))</formula>
    </cfRule>
    <cfRule type="expression" dxfId="6000" priority="1192">
      <formula>AND(IF($Q175=3,1,IF($Q175=4,1,0)),IF($F175&lt;=85,1,0))</formula>
    </cfRule>
  </conditionalFormatting>
  <conditionalFormatting sqref="Y175">
    <cfRule type="expression" dxfId="5999" priority="1185">
      <formula>AND(IF(OR($Q175=1,$Q175=2),1,0),IF($Y175&lt;=20,1,0))</formula>
    </cfRule>
    <cfRule type="expression" dxfId="5998" priority="1186">
      <formula>AND(IF($Q175=2,1,0),IF($Y175&lt;30,1,0))</formula>
    </cfRule>
    <cfRule type="expression" dxfId="5997" priority="1187">
      <formula>AND(IF($Q175=3,1,0),IF($Y175&lt;30,1,0))</formula>
    </cfRule>
    <cfRule type="expression" dxfId="5996" priority="1188">
      <formula>AND(IF($Q175=3,1,IF($Q175=4,1,0)),IF($F175&lt;=85,1,0))</formula>
    </cfRule>
  </conditionalFormatting>
  <conditionalFormatting sqref="AJ175">
    <cfRule type="expression" dxfId="5995" priority="1181">
      <formula>AND(IF(OR($Q175=1,$Q175=2),1,0),IF($Y175&lt;=20,1,0))</formula>
    </cfRule>
    <cfRule type="expression" dxfId="5994" priority="1182">
      <formula>AND(IF($Q175=2,1,0),IF($Y175&lt;30,1,0))</formula>
    </cfRule>
    <cfRule type="expression" dxfId="5993" priority="1183">
      <formula>AND(IF($Q175=3,1,0),IF($Y175&lt;30,1,0))</formula>
    </cfRule>
    <cfRule type="expression" dxfId="5992" priority="1184">
      <formula>AND(IF($Q175=3,1,IF($Q175=4,1,0)),IF($F175&lt;=85,1,0))</formula>
    </cfRule>
  </conditionalFormatting>
  <conditionalFormatting sqref="AW176">
    <cfRule type="expression" dxfId="5991" priority="1179">
      <formula>AW176="X"</formula>
    </cfRule>
    <cfRule type="expression" dxfId="5990" priority="1180">
      <formula>AW176="후보"</formula>
    </cfRule>
  </conditionalFormatting>
  <conditionalFormatting sqref="AA176">
    <cfRule type="colorScale" priority="11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6">
    <cfRule type="cellIs" dxfId="5989" priority="1176" operator="greaterThan">
      <formula>0.9</formula>
    </cfRule>
    <cfRule type="cellIs" dxfId="5988" priority="1177" operator="greaterThan">
      <formula>0.85</formula>
    </cfRule>
  </conditionalFormatting>
  <conditionalFormatting sqref="N176">
    <cfRule type="cellIs" dxfId="5987" priority="1174" operator="greaterThan">
      <formula>0.9</formula>
    </cfRule>
    <cfRule type="cellIs" dxfId="5986" priority="1175" operator="greaterThan">
      <formula>0.85</formula>
    </cfRule>
  </conditionalFormatting>
  <conditionalFormatting sqref="E176">
    <cfRule type="expression" dxfId="5985" priority="1170">
      <formula>AND(IF(OR($Q176=1,$Q176=2),1,0),IF($E176&lt;=20,1,0))</formula>
    </cfRule>
    <cfRule type="expression" dxfId="5984" priority="1171">
      <formula>AND(IF($Q176=2,1,0),IF($E176&lt;30,1,0))</formula>
    </cfRule>
    <cfRule type="expression" dxfId="5983" priority="1172">
      <formula>AND(IF($Q176=3,1,0),IF($E176&lt;30,1,0))</formula>
    </cfRule>
    <cfRule type="expression" dxfId="5982" priority="1173">
      <formula>AND(IF($Q176=3,1,IF($Q176=4,1,0)),IF($F176&lt;=85,1,0))</formula>
    </cfRule>
  </conditionalFormatting>
  <conditionalFormatting sqref="Y176">
    <cfRule type="expression" dxfId="5981" priority="1166">
      <formula>AND(IF(OR($Q176=1,$Q176=2),1,0),IF($Y176&lt;=20,1,0))</formula>
    </cfRule>
    <cfRule type="expression" dxfId="5980" priority="1167">
      <formula>AND(IF($Q176=2,1,0),IF($Y176&lt;30,1,0))</formula>
    </cfRule>
    <cfRule type="expression" dxfId="5979" priority="1168">
      <formula>AND(IF($Q176=3,1,0),IF($Y176&lt;30,1,0))</formula>
    </cfRule>
    <cfRule type="expression" dxfId="5978" priority="1169">
      <formula>AND(IF($Q176=3,1,IF($Q176=4,1,0)),IF($F176&lt;=85,1,0))</formula>
    </cfRule>
  </conditionalFormatting>
  <conditionalFormatting sqref="AJ176">
    <cfRule type="expression" dxfId="5977" priority="1162">
      <formula>AND(IF(OR($Q176=1,$Q176=2),1,0),IF($Y176&lt;=20,1,0))</formula>
    </cfRule>
    <cfRule type="expression" dxfId="5976" priority="1163">
      <formula>AND(IF($Q176=2,1,0),IF($Y176&lt;30,1,0))</formula>
    </cfRule>
    <cfRule type="expression" dxfId="5975" priority="1164">
      <formula>AND(IF($Q176=3,1,0),IF($Y176&lt;30,1,0))</formula>
    </cfRule>
    <cfRule type="expression" dxfId="5974" priority="1165">
      <formula>AND(IF($Q176=3,1,IF($Q176=4,1,0)),IF($F176&lt;=85,1,0))</formula>
    </cfRule>
  </conditionalFormatting>
  <conditionalFormatting sqref="AW177">
    <cfRule type="expression" dxfId="5973" priority="1160">
      <formula>AW177="X"</formula>
    </cfRule>
    <cfRule type="expression" dxfId="5972" priority="1161">
      <formula>AW177="후보"</formula>
    </cfRule>
  </conditionalFormatting>
  <conditionalFormatting sqref="AA177">
    <cfRule type="colorScale" priority="11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7">
    <cfRule type="cellIs" dxfId="5971" priority="1157" operator="greaterThan">
      <formula>0.9</formula>
    </cfRule>
    <cfRule type="cellIs" dxfId="5970" priority="1158" operator="greaterThan">
      <formula>0.85</formula>
    </cfRule>
  </conditionalFormatting>
  <conditionalFormatting sqref="N177">
    <cfRule type="cellIs" dxfId="5969" priority="1155" operator="greaterThan">
      <formula>0.9</formula>
    </cfRule>
    <cfRule type="cellIs" dxfId="5968" priority="1156" operator="greaterThan">
      <formula>0.85</formula>
    </cfRule>
  </conditionalFormatting>
  <conditionalFormatting sqref="E177">
    <cfRule type="expression" dxfId="5967" priority="1151">
      <formula>AND(IF(OR($Q177=1,$Q177=2),1,0),IF($E177&lt;=20,1,0))</formula>
    </cfRule>
    <cfRule type="expression" dxfId="5966" priority="1152">
      <formula>AND(IF($Q177=2,1,0),IF($E177&lt;30,1,0))</formula>
    </cfRule>
    <cfRule type="expression" dxfId="5965" priority="1153">
      <formula>AND(IF($Q177=3,1,0),IF($E177&lt;30,1,0))</formula>
    </cfRule>
    <cfRule type="expression" dxfId="5964" priority="1154">
      <formula>AND(IF($Q177=3,1,IF($Q177=4,1,0)),IF($F177&lt;=85,1,0))</formula>
    </cfRule>
  </conditionalFormatting>
  <conditionalFormatting sqref="Y177">
    <cfRule type="expression" dxfId="5963" priority="1147">
      <formula>AND(IF(OR($Q177=1,$Q177=2),1,0),IF($Y177&lt;=20,1,0))</formula>
    </cfRule>
    <cfRule type="expression" dxfId="5962" priority="1148">
      <formula>AND(IF($Q177=2,1,0),IF($Y177&lt;30,1,0))</formula>
    </cfRule>
    <cfRule type="expression" dxfId="5961" priority="1149">
      <formula>AND(IF($Q177=3,1,0),IF($Y177&lt;30,1,0))</formula>
    </cfRule>
    <cfRule type="expression" dxfId="5960" priority="1150">
      <formula>AND(IF($Q177=3,1,IF($Q177=4,1,0)),IF($F177&lt;=85,1,0))</formula>
    </cfRule>
  </conditionalFormatting>
  <conditionalFormatting sqref="AJ177">
    <cfRule type="expression" dxfId="5959" priority="1143">
      <formula>AND(IF(OR($Q177=1,$Q177=2),1,0),IF($Y177&lt;=20,1,0))</formula>
    </cfRule>
    <cfRule type="expression" dxfId="5958" priority="1144">
      <formula>AND(IF($Q177=2,1,0),IF($Y177&lt;30,1,0))</formula>
    </cfRule>
    <cfRule type="expression" dxfId="5957" priority="1145">
      <formula>AND(IF($Q177=3,1,0),IF($Y177&lt;30,1,0))</formula>
    </cfRule>
    <cfRule type="expression" dxfId="5956" priority="1146">
      <formula>AND(IF($Q177=3,1,IF($Q177=4,1,0)),IF($F177&lt;=85,1,0))</formula>
    </cfRule>
  </conditionalFormatting>
  <conditionalFormatting sqref="AW178">
    <cfRule type="expression" dxfId="5955" priority="1141">
      <formula>AW178="X"</formula>
    </cfRule>
    <cfRule type="expression" dxfId="5954" priority="1142">
      <formula>AW178="후보"</formula>
    </cfRule>
  </conditionalFormatting>
  <conditionalFormatting sqref="AA178">
    <cfRule type="colorScale" priority="11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8">
    <cfRule type="cellIs" dxfId="5953" priority="1138" operator="greaterThan">
      <formula>0.9</formula>
    </cfRule>
    <cfRule type="cellIs" dxfId="5952" priority="1139" operator="greaterThan">
      <formula>0.85</formula>
    </cfRule>
  </conditionalFormatting>
  <conditionalFormatting sqref="N178">
    <cfRule type="cellIs" dxfId="5951" priority="1136" operator="greaterThan">
      <formula>0.9</formula>
    </cfRule>
    <cfRule type="cellIs" dxfId="5950" priority="1137" operator="greaterThan">
      <formula>0.85</formula>
    </cfRule>
  </conditionalFormatting>
  <conditionalFormatting sqref="E178">
    <cfRule type="expression" dxfId="5949" priority="1132">
      <formula>AND(IF(OR($Q178=1,$Q178=2),1,0),IF($E178&lt;=20,1,0))</formula>
    </cfRule>
    <cfRule type="expression" dxfId="5948" priority="1133">
      <formula>AND(IF($Q178=2,1,0),IF($E178&lt;30,1,0))</formula>
    </cfRule>
    <cfRule type="expression" dxfId="5947" priority="1134">
      <formula>AND(IF($Q178=3,1,0),IF($E178&lt;30,1,0))</formula>
    </cfRule>
    <cfRule type="expression" dxfId="5946" priority="1135">
      <formula>AND(IF($Q178=3,1,IF($Q178=4,1,0)),IF($F178&lt;=85,1,0))</formula>
    </cfRule>
  </conditionalFormatting>
  <conditionalFormatting sqref="Y178">
    <cfRule type="expression" dxfId="5945" priority="1128">
      <formula>AND(IF(OR($Q178=1,$Q178=2),1,0),IF($Y178&lt;=20,1,0))</formula>
    </cfRule>
    <cfRule type="expression" dxfId="5944" priority="1129">
      <formula>AND(IF($Q178=2,1,0),IF($Y178&lt;30,1,0))</formula>
    </cfRule>
    <cfRule type="expression" dxfId="5943" priority="1130">
      <formula>AND(IF($Q178=3,1,0),IF($Y178&lt;30,1,0))</formula>
    </cfRule>
    <cfRule type="expression" dxfId="5942" priority="1131">
      <formula>AND(IF($Q178=3,1,IF($Q178=4,1,0)),IF($F178&lt;=85,1,0))</formula>
    </cfRule>
  </conditionalFormatting>
  <conditionalFormatting sqref="AJ178">
    <cfRule type="expression" dxfId="5941" priority="1124">
      <formula>AND(IF(OR($Q178=1,$Q178=2),1,0),IF($Y178&lt;=20,1,0))</formula>
    </cfRule>
    <cfRule type="expression" dxfId="5940" priority="1125">
      <formula>AND(IF($Q178=2,1,0),IF($Y178&lt;30,1,0))</formula>
    </cfRule>
    <cfRule type="expression" dxfId="5939" priority="1126">
      <formula>AND(IF($Q178=3,1,0),IF($Y178&lt;30,1,0))</formula>
    </cfRule>
    <cfRule type="expression" dxfId="5938" priority="1127">
      <formula>AND(IF($Q178=3,1,IF($Q178=4,1,0)),IF($F178&lt;=85,1,0))</formula>
    </cfRule>
  </conditionalFormatting>
  <conditionalFormatting sqref="AW179">
    <cfRule type="expression" dxfId="5937" priority="1122">
      <formula>AW179="X"</formula>
    </cfRule>
    <cfRule type="expression" dxfId="5936" priority="1123">
      <formula>AW179="후보"</formula>
    </cfRule>
  </conditionalFormatting>
  <conditionalFormatting sqref="AA179">
    <cfRule type="colorScale" priority="11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9 N179">
    <cfRule type="cellIs" dxfId="5935" priority="1119" operator="greaterThan">
      <formula>0.9</formula>
    </cfRule>
    <cfRule type="cellIs" dxfId="5934" priority="1120" operator="greaterThan">
      <formula>0.85</formula>
    </cfRule>
  </conditionalFormatting>
  <conditionalFormatting sqref="AW180">
    <cfRule type="expression" dxfId="5933" priority="1117">
      <formula>AW180="X"</formula>
    </cfRule>
    <cfRule type="expression" dxfId="5932" priority="1118">
      <formula>AW180="후보"</formula>
    </cfRule>
  </conditionalFormatting>
  <conditionalFormatting sqref="AA180">
    <cfRule type="colorScale" priority="11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0">
    <cfRule type="cellIs" dxfId="5931" priority="1114" operator="greaterThan">
      <formula>0.9</formula>
    </cfRule>
    <cfRule type="cellIs" dxfId="5930" priority="1115" operator="greaterThan">
      <formula>0.85</formula>
    </cfRule>
  </conditionalFormatting>
  <conditionalFormatting sqref="N180">
    <cfRule type="cellIs" dxfId="5929" priority="1112" operator="greaterThan">
      <formula>0.9</formula>
    </cfRule>
    <cfRule type="cellIs" dxfId="5928" priority="1113" operator="greaterThan">
      <formula>0.85</formula>
    </cfRule>
  </conditionalFormatting>
  <conditionalFormatting sqref="E180">
    <cfRule type="expression" dxfId="5927" priority="1108">
      <formula>AND(IF(OR($Q180=1,$Q180=2),1,0),IF($E180&lt;=20,1,0))</formula>
    </cfRule>
    <cfRule type="expression" dxfId="5926" priority="1109">
      <formula>AND(IF($Q180=2,1,0),IF($E180&lt;30,1,0))</formula>
    </cfRule>
    <cfRule type="expression" dxfId="5925" priority="1110">
      <formula>AND(IF($Q180=3,1,0),IF($E180&lt;30,1,0))</formula>
    </cfRule>
    <cfRule type="expression" dxfId="5924" priority="1111">
      <formula>AND(IF($Q180=3,1,IF($Q180=4,1,0)),IF($F180&lt;=85,1,0))</formula>
    </cfRule>
  </conditionalFormatting>
  <conditionalFormatting sqref="Y180">
    <cfRule type="expression" dxfId="5923" priority="1104">
      <formula>AND(IF(OR($Q180=1,$Q180=2),1,0),IF($Y180&lt;=20,1,0))</formula>
    </cfRule>
    <cfRule type="expression" dxfId="5922" priority="1105">
      <formula>AND(IF($Q180=2,1,0),IF($Y180&lt;30,1,0))</formula>
    </cfRule>
    <cfRule type="expression" dxfId="5921" priority="1106">
      <formula>AND(IF($Q180=3,1,0),IF($Y180&lt;30,1,0))</formula>
    </cfRule>
    <cfRule type="expression" dxfId="5920" priority="1107">
      <formula>AND(IF($Q180=3,1,IF($Q180=4,1,0)),IF($F180&lt;=85,1,0))</formula>
    </cfRule>
  </conditionalFormatting>
  <conditionalFormatting sqref="AJ180">
    <cfRule type="expression" dxfId="5919" priority="1100">
      <formula>AND(IF(OR($Q180=1,$Q180=2),1,0),IF($Y180&lt;=20,1,0))</formula>
    </cfRule>
    <cfRule type="expression" dxfId="5918" priority="1101">
      <formula>AND(IF($Q180=2,1,0),IF($Y180&lt;30,1,0))</formula>
    </cfRule>
    <cfRule type="expression" dxfId="5917" priority="1102">
      <formula>AND(IF($Q180=3,1,0),IF($Y180&lt;30,1,0))</formula>
    </cfRule>
    <cfRule type="expression" dxfId="5916" priority="1103">
      <formula>AND(IF($Q180=3,1,IF($Q180=4,1,0)),IF($F180&lt;=85,1,0))</formula>
    </cfRule>
  </conditionalFormatting>
  <conditionalFormatting sqref="AW181">
    <cfRule type="expression" dxfId="5915" priority="1098">
      <formula>AW181="X"</formula>
    </cfRule>
    <cfRule type="expression" dxfId="5914" priority="1099">
      <formula>AW181="후보"</formula>
    </cfRule>
  </conditionalFormatting>
  <conditionalFormatting sqref="AA181">
    <cfRule type="colorScale" priority="10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1">
    <cfRule type="cellIs" dxfId="5913" priority="1095" operator="greaterThan">
      <formula>0.9</formula>
    </cfRule>
    <cfRule type="cellIs" dxfId="5912" priority="1096" operator="greaterThan">
      <formula>0.85</formula>
    </cfRule>
  </conditionalFormatting>
  <conditionalFormatting sqref="N181">
    <cfRule type="cellIs" dxfId="5911" priority="1093" operator="greaterThan">
      <formula>0.9</formula>
    </cfRule>
    <cfRule type="cellIs" dxfId="5910" priority="1094" operator="greaterThan">
      <formula>0.85</formula>
    </cfRule>
  </conditionalFormatting>
  <conditionalFormatting sqref="E181">
    <cfRule type="expression" dxfId="5909" priority="1089">
      <formula>AND(IF(OR($Q181=1,$Q181=2),1,0),IF($E181&lt;=20,1,0))</formula>
    </cfRule>
    <cfRule type="expression" dxfId="5908" priority="1090">
      <formula>AND(IF($Q181=2,1,0),IF($E181&lt;30,1,0))</formula>
    </cfRule>
    <cfRule type="expression" dxfId="5907" priority="1091">
      <formula>AND(IF($Q181=3,1,0),IF($E181&lt;30,1,0))</formula>
    </cfRule>
    <cfRule type="expression" dxfId="5906" priority="1092">
      <formula>AND(IF($Q181=3,1,IF($Q181=4,1,0)),IF($F181&lt;=85,1,0))</formula>
    </cfRule>
  </conditionalFormatting>
  <conditionalFormatting sqref="Y181">
    <cfRule type="expression" dxfId="5905" priority="1085">
      <formula>AND(IF(OR($Q181=1,$Q181=2),1,0),IF($Y181&lt;=20,1,0))</formula>
    </cfRule>
    <cfRule type="expression" dxfId="5904" priority="1086">
      <formula>AND(IF($Q181=2,1,0),IF($Y181&lt;30,1,0))</formula>
    </cfRule>
    <cfRule type="expression" dxfId="5903" priority="1087">
      <formula>AND(IF($Q181=3,1,0),IF($Y181&lt;30,1,0))</formula>
    </cfRule>
    <cfRule type="expression" dxfId="5902" priority="1088">
      <formula>AND(IF($Q181=3,1,IF($Q181=4,1,0)),IF($F181&lt;=85,1,0))</formula>
    </cfRule>
  </conditionalFormatting>
  <conditionalFormatting sqref="AJ181">
    <cfRule type="expression" dxfId="5901" priority="1081">
      <formula>AND(IF(OR($Q181=1,$Q181=2),1,0),IF($Y181&lt;=20,1,0))</formula>
    </cfRule>
    <cfRule type="expression" dxfId="5900" priority="1082">
      <formula>AND(IF($Q181=2,1,0),IF($Y181&lt;30,1,0))</formula>
    </cfRule>
    <cfRule type="expression" dxfId="5899" priority="1083">
      <formula>AND(IF($Q181=3,1,0),IF($Y181&lt;30,1,0))</formula>
    </cfRule>
    <cfRule type="expression" dxfId="5898" priority="1084">
      <formula>AND(IF($Q181=3,1,IF($Q181=4,1,0)),IF($F181&lt;=85,1,0))</formula>
    </cfRule>
  </conditionalFormatting>
  <conditionalFormatting sqref="AW182">
    <cfRule type="expression" dxfId="5897" priority="1079">
      <formula>AW182="X"</formula>
    </cfRule>
    <cfRule type="expression" dxfId="5896" priority="1080">
      <formula>AW182="후보"</formula>
    </cfRule>
  </conditionalFormatting>
  <conditionalFormatting sqref="AA182">
    <cfRule type="colorScale" priority="10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2">
    <cfRule type="cellIs" dxfId="5895" priority="1076" operator="greaterThan">
      <formula>0.9</formula>
    </cfRule>
    <cfRule type="cellIs" dxfId="5894" priority="1077" operator="greaterThan">
      <formula>0.85</formula>
    </cfRule>
  </conditionalFormatting>
  <conditionalFormatting sqref="N182">
    <cfRule type="cellIs" dxfId="5893" priority="1074" operator="greaterThan">
      <formula>0.9</formula>
    </cfRule>
    <cfRule type="cellIs" dxfId="5892" priority="1075" operator="greaterThan">
      <formula>0.85</formula>
    </cfRule>
  </conditionalFormatting>
  <conditionalFormatting sqref="E182">
    <cfRule type="expression" dxfId="5891" priority="1070">
      <formula>AND(IF(OR($Q182=1,$Q182=2),1,0),IF($E182&lt;=20,1,0))</formula>
    </cfRule>
    <cfRule type="expression" dxfId="5890" priority="1071">
      <formula>AND(IF($Q182=2,1,0),IF($E182&lt;30,1,0))</formula>
    </cfRule>
    <cfRule type="expression" dxfId="5889" priority="1072">
      <formula>AND(IF($Q182=3,1,0),IF($E182&lt;30,1,0))</formula>
    </cfRule>
    <cfRule type="expression" dxfId="5888" priority="1073">
      <formula>AND(IF($Q182=3,1,IF($Q182=4,1,0)),IF($F182&lt;=85,1,0))</formula>
    </cfRule>
  </conditionalFormatting>
  <conditionalFormatting sqref="Y182">
    <cfRule type="expression" dxfId="5887" priority="1066">
      <formula>AND(IF(OR($Q182=1,$Q182=2),1,0),IF($Y182&lt;=20,1,0))</formula>
    </cfRule>
    <cfRule type="expression" dxfId="5886" priority="1067">
      <formula>AND(IF($Q182=2,1,0),IF($Y182&lt;30,1,0))</formula>
    </cfRule>
    <cfRule type="expression" dxfId="5885" priority="1068">
      <formula>AND(IF($Q182=3,1,0),IF($Y182&lt;30,1,0))</formula>
    </cfRule>
    <cfRule type="expression" dxfId="5884" priority="1069">
      <formula>AND(IF($Q182=3,1,IF($Q182=4,1,0)),IF($F182&lt;=85,1,0))</formula>
    </cfRule>
  </conditionalFormatting>
  <conditionalFormatting sqref="AJ182">
    <cfRule type="expression" dxfId="5883" priority="1062">
      <formula>AND(IF(OR($Q182=1,$Q182=2),1,0),IF($Y182&lt;=20,1,0))</formula>
    </cfRule>
    <cfRule type="expression" dxfId="5882" priority="1063">
      <formula>AND(IF($Q182=2,1,0),IF($Y182&lt;30,1,0))</formula>
    </cfRule>
    <cfRule type="expression" dxfId="5881" priority="1064">
      <formula>AND(IF($Q182=3,1,0),IF($Y182&lt;30,1,0))</formula>
    </cfRule>
    <cfRule type="expression" dxfId="5880" priority="1065">
      <formula>AND(IF($Q182=3,1,IF($Q182=4,1,0)),IF($F182&lt;=85,1,0))</formula>
    </cfRule>
  </conditionalFormatting>
  <conditionalFormatting sqref="AW183">
    <cfRule type="expression" dxfId="5879" priority="1060">
      <formula>AW183="X"</formula>
    </cfRule>
    <cfRule type="expression" dxfId="5878" priority="1061">
      <formula>AW183="후보"</formula>
    </cfRule>
  </conditionalFormatting>
  <conditionalFormatting sqref="AA183">
    <cfRule type="colorScale" priority="10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3">
    <cfRule type="cellIs" dxfId="5877" priority="1057" operator="greaterThan">
      <formula>0.9</formula>
    </cfRule>
    <cfRule type="cellIs" dxfId="5876" priority="1058" operator="greaterThan">
      <formula>0.85</formula>
    </cfRule>
  </conditionalFormatting>
  <conditionalFormatting sqref="N183">
    <cfRule type="cellIs" dxfId="5875" priority="1055" operator="greaterThan">
      <formula>0.9</formula>
    </cfRule>
    <cfRule type="cellIs" dxfId="5874" priority="1056" operator="greaterThan">
      <formula>0.85</formula>
    </cfRule>
  </conditionalFormatting>
  <conditionalFormatting sqref="E183">
    <cfRule type="expression" dxfId="5873" priority="1051">
      <formula>AND(IF(OR($Q183=1,$Q183=2),1,0),IF($E183&lt;=20,1,0))</formula>
    </cfRule>
    <cfRule type="expression" dxfId="5872" priority="1052">
      <formula>AND(IF($Q183=2,1,0),IF($E183&lt;30,1,0))</formula>
    </cfRule>
    <cfRule type="expression" dxfId="5871" priority="1053">
      <formula>AND(IF($Q183=3,1,0),IF($E183&lt;30,1,0))</formula>
    </cfRule>
    <cfRule type="expression" dxfId="5870" priority="1054">
      <formula>AND(IF($Q183=3,1,IF($Q183=4,1,0)),IF($F183&lt;=85,1,0))</formula>
    </cfRule>
  </conditionalFormatting>
  <conditionalFormatting sqref="Y183">
    <cfRule type="expression" dxfId="5869" priority="1047">
      <formula>AND(IF(OR($Q183=1,$Q183=2),1,0),IF($Y183&lt;=20,1,0))</formula>
    </cfRule>
    <cfRule type="expression" dxfId="5868" priority="1048">
      <formula>AND(IF($Q183=2,1,0),IF($Y183&lt;30,1,0))</formula>
    </cfRule>
    <cfRule type="expression" dxfId="5867" priority="1049">
      <formula>AND(IF($Q183=3,1,0),IF($Y183&lt;30,1,0))</formula>
    </cfRule>
    <cfRule type="expression" dxfId="5866" priority="1050">
      <formula>AND(IF($Q183=3,1,IF($Q183=4,1,0)),IF($F183&lt;=85,1,0))</formula>
    </cfRule>
  </conditionalFormatting>
  <conditionalFormatting sqref="AJ183">
    <cfRule type="expression" dxfId="5865" priority="1043">
      <formula>AND(IF(OR($Q183=1,$Q183=2),1,0),IF($Y183&lt;=20,1,0))</formula>
    </cfRule>
    <cfRule type="expression" dxfId="5864" priority="1044">
      <formula>AND(IF($Q183=2,1,0),IF($Y183&lt;30,1,0))</formula>
    </cfRule>
    <cfRule type="expression" dxfId="5863" priority="1045">
      <formula>AND(IF($Q183=3,1,0),IF($Y183&lt;30,1,0))</formula>
    </cfRule>
    <cfRule type="expression" dxfId="5862" priority="1046">
      <formula>AND(IF($Q183=3,1,IF($Q183=4,1,0)),IF($F183&lt;=85,1,0))</formula>
    </cfRule>
  </conditionalFormatting>
  <conditionalFormatting sqref="AW184">
    <cfRule type="expression" dxfId="5861" priority="1041">
      <formula>AW184="X"</formula>
    </cfRule>
    <cfRule type="expression" dxfId="5860" priority="1042">
      <formula>AW184="후보"</formula>
    </cfRule>
  </conditionalFormatting>
  <conditionalFormatting sqref="AA184">
    <cfRule type="colorScale" priority="10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4">
    <cfRule type="cellIs" dxfId="5859" priority="1038" operator="greaterThan">
      <formula>0.9</formula>
    </cfRule>
    <cfRule type="cellIs" dxfId="5858" priority="1039" operator="greaterThan">
      <formula>0.85</formula>
    </cfRule>
  </conditionalFormatting>
  <conditionalFormatting sqref="N184">
    <cfRule type="cellIs" dxfId="5857" priority="1036" operator="greaterThan">
      <formula>0.9</formula>
    </cfRule>
    <cfRule type="cellIs" dxfId="5856" priority="1037" operator="greaterThan">
      <formula>0.85</formula>
    </cfRule>
  </conditionalFormatting>
  <conditionalFormatting sqref="E184">
    <cfRule type="expression" dxfId="5855" priority="1032">
      <formula>AND(IF(OR($Q184=1,$Q184=2),1,0),IF($E184&lt;=20,1,0))</formula>
    </cfRule>
    <cfRule type="expression" dxfId="5854" priority="1033">
      <formula>AND(IF($Q184=2,1,0),IF($E184&lt;30,1,0))</formula>
    </cfRule>
    <cfRule type="expression" dxfId="5853" priority="1034">
      <formula>AND(IF($Q184=3,1,0),IF($E184&lt;30,1,0))</formula>
    </cfRule>
    <cfRule type="expression" dxfId="5852" priority="1035">
      <formula>AND(IF($Q184=3,1,IF($Q184=4,1,0)),IF($F184&lt;=85,1,0))</formula>
    </cfRule>
  </conditionalFormatting>
  <conditionalFormatting sqref="Y184">
    <cfRule type="expression" dxfId="5851" priority="1028">
      <formula>AND(IF(OR($Q184=1,$Q184=2),1,0),IF($Y184&lt;=20,1,0))</formula>
    </cfRule>
    <cfRule type="expression" dxfId="5850" priority="1029">
      <formula>AND(IF($Q184=2,1,0),IF($Y184&lt;30,1,0))</formula>
    </cfRule>
    <cfRule type="expression" dxfId="5849" priority="1030">
      <formula>AND(IF($Q184=3,1,0),IF($Y184&lt;30,1,0))</formula>
    </cfRule>
    <cfRule type="expression" dxfId="5848" priority="1031">
      <formula>AND(IF($Q184=3,1,IF($Q184=4,1,0)),IF($F184&lt;=85,1,0))</formula>
    </cfRule>
  </conditionalFormatting>
  <conditionalFormatting sqref="AJ184">
    <cfRule type="expression" dxfId="5847" priority="1024">
      <formula>AND(IF(OR($Q184=1,$Q184=2),1,0),IF($Y184&lt;=20,1,0))</formula>
    </cfRule>
    <cfRule type="expression" dxfId="5846" priority="1025">
      <formula>AND(IF($Q184=2,1,0),IF($Y184&lt;30,1,0))</formula>
    </cfRule>
    <cfRule type="expression" dxfId="5845" priority="1026">
      <formula>AND(IF($Q184=3,1,0),IF($Y184&lt;30,1,0))</formula>
    </cfRule>
    <cfRule type="expression" dxfId="5844" priority="1027">
      <formula>AND(IF($Q184=3,1,IF($Q184=4,1,0)),IF($F184&lt;=85,1,0))</formula>
    </cfRule>
  </conditionalFormatting>
  <conditionalFormatting sqref="AW185">
    <cfRule type="expression" dxfId="5843" priority="1022">
      <formula>AW185="X"</formula>
    </cfRule>
    <cfRule type="expression" dxfId="5842" priority="1023">
      <formula>AW185="후보"</formula>
    </cfRule>
  </conditionalFormatting>
  <conditionalFormatting sqref="AA185">
    <cfRule type="colorScale" priority="10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5 N185">
    <cfRule type="cellIs" dxfId="5841" priority="1019" operator="greaterThan">
      <formula>0.9</formula>
    </cfRule>
    <cfRule type="cellIs" dxfId="5840" priority="1020" operator="greaterThan">
      <formula>0.85</formula>
    </cfRule>
  </conditionalFormatting>
  <conditionalFormatting sqref="AW186">
    <cfRule type="expression" dxfId="5839" priority="1017">
      <formula>AW186="X"</formula>
    </cfRule>
    <cfRule type="expression" dxfId="5838" priority="1018">
      <formula>AW186="후보"</formula>
    </cfRule>
  </conditionalFormatting>
  <conditionalFormatting sqref="AA186">
    <cfRule type="colorScale" priority="10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6">
    <cfRule type="cellIs" dxfId="5837" priority="1014" operator="greaterThan">
      <formula>0.9</formula>
    </cfRule>
    <cfRule type="cellIs" dxfId="5836" priority="1015" operator="greaterThan">
      <formula>0.85</formula>
    </cfRule>
  </conditionalFormatting>
  <conditionalFormatting sqref="N186">
    <cfRule type="cellIs" dxfId="5835" priority="1012" operator="greaterThan">
      <formula>0.9</formula>
    </cfRule>
    <cfRule type="cellIs" dxfId="5834" priority="1013" operator="greaterThan">
      <formula>0.85</formula>
    </cfRule>
  </conditionalFormatting>
  <conditionalFormatting sqref="E186">
    <cfRule type="expression" dxfId="5833" priority="1008">
      <formula>AND(IF(OR($Q186=1,$Q186=2),1,0),IF($E186&lt;=20,1,0))</formula>
    </cfRule>
    <cfRule type="expression" dxfId="5832" priority="1009">
      <formula>AND(IF($Q186=2,1,0),IF($E186&lt;30,1,0))</formula>
    </cfRule>
    <cfRule type="expression" dxfId="5831" priority="1010">
      <formula>AND(IF($Q186=3,1,0),IF($E186&lt;30,1,0))</formula>
    </cfRule>
    <cfRule type="expression" dxfId="5830" priority="1011">
      <formula>AND(IF($Q186=3,1,IF($Q186=4,1,0)),IF($F186&lt;=85,1,0))</formula>
    </cfRule>
  </conditionalFormatting>
  <conditionalFormatting sqref="Y186">
    <cfRule type="expression" dxfId="5829" priority="1004">
      <formula>AND(IF(OR($Q186=1,$Q186=2),1,0),IF($Y186&lt;=20,1,0))</formula>
    </cfRule>
    <cfRule type="expression" dxfId="5828" priority="1005">
      <formula>AND(IF($Q186=2,1,0),IF($Y186&lt;30,1,0))</formula>
    </cfRule>
    <cfRule type="expression" dxfId="5827" priority="1006">
      <formula>AND(IF($Q186=3,1,0),IF($Y186&lt;30,1,0))</formula>
    </cfRule>
    <cfRule type="expression" dxfId="5826" priority="1007">
      <formula>AND(IF($Q186=3,1,IF($Q186=4,1,0)),IF($F186&lt;=85,1,0))</formula>
    </cfRule>
  </conditionalFormatting>
  <conditionalFormatting sqref="AJ186">
    <cfRule type="expression" dxfId="5825" priority="1000">
      <formula>AND(IF(OR($Q186=1,$Q186=2),1,0),IF($Y186&lt;=20,1,0))</formula>
    </cfRule>
    <cfRule type="expression" dxfId="5824" priority="1001">
      <formula>AND(IF($Q186=2,1,0),IF($Y186&lt;30,1,0))</formula>
    </cfRule>
    <cfRule type="expression" dxfId="5823" priority="1002">
      <formula>AND(IF($Q186=3,1,0),IF($Y186&lt;30,1,0))</formula>
    </cfRule>
    <cfRule type="expression" dxfId="5822" priority="1003">
      <formula>AND(IF($Q186=3,1,IF($Q186=4,1,0)),IF($F186&lt;=85,1,0))</formula>
    </cfRule>
  </conditionalFormatting>
  <conditionalFormatting sqref="AW187">
    <cfRule type="expression" dxfId="5821" priority="998">
      <formula>AW187="X"</formula>
    </cfRule>
    <cfRule type="expression" dxfId="5820" priority="999">
      <formula>AW187="후보"</formula>
    </cfRule>
  </conditionalFormatting>
  <conditionalFormatting sqref="AA187">
    <cfRule type="colorScale" priority="9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7">
    <cfRule type="cellIs" dxfId="5819" priority="995" operator="greaterThan">
      <formula>0.9</formula>
    </cfRule>
    <cfRule type="cellIs" dxfId="5818" priority="996" operator="greaterThan">
      <formula>0.85</formula>
    </cfRule>
  </conditionalFormatting>
  <conditionalFormatting sqref="N187">
    <cfRule type="cellIs" dxfId="5817" priority="993" operator="greaterThan">
      <formula>0.9</formula>
    </cfRule>
    <cfRule type="cellIs" dxfId="5816" priority="994" operator="greaterThan">
      <formula>0.85</formula>
    </cfRule>
  </conditionalFormatting>
  <conditionalFormatting sqref="E187">
    <cfRule type="expression" dxfId="5815" priority="989">
      <formula>AND(IF(OR($Q187=1,$Q187=2),1,0),IF($E187&lt;=20,1,0))</formula>
    </cfRule>
    <cfRule type="expression" dxfId="5814" priority="990">
      <formula>AND(IF($Q187=2,1,0),IF($E187&lt;30,1,0))</formula>
    </cfRule>
    <cfRule type="expression" dxfId="5813" priority="991">
      <formula>AND(IF($Q187=3,1,0),IF($E187&lt;30,1,0))</formula>
    </cfRule>
    <cfRule type="expression" dxfId="5812" priority="992">
      <formula>AND(IF($Q187=3,1,IF($Q187=4,1,0)),IF($F187&lt;=85,1,0))</formula>
    </cfRule>
  </conditionalFormatting>
  <conditionalFormatting sqref="Y187">
    <cfRule type="expression" dxfId="5811" priority="985">
      <formula>AND(IF(OR($Q187=1,$Q187=2),1,0),IF($Y187&lt;=20,1,0))</formula>
    </cfRule>
    <cfRule type="expression" dxfId="5810" priority="986">
      <formula>AND(IF($Q187=2,1,0),IF($Y187&lt;30,1,0))</formula>
    </cfRule>
    <cfRule type="expression" dxfId="5809" priority="987">
      <formula>AND(IF($Q187=3,1,0),IF($Y187&lt;30,1,0))</formula>
    </cfRule>
    <cfRule type="expression" dxfId="5808" priority="988">
      <formula>AND(IF($Q187=3,1,IF($Q187=4,1,0)),IF($F187&lt;=85,1,0))</formula>
    </cfRule>
  </conditionalFormatting>
  <conditionalFormatting sqref="AJ187">
    <cfRule type="expression" dxfId="5807" priority="981">
      <formula>AND(IF(OR($Q187=1,$Q187=2),1,0),IF($Y187&lt;=20,1,0))</formula>
    </cfRule>
    <cfRule type="expression" dxfId="5806" priority="982">
      <formula>AND(IF($Q187=2,1,0),IF($Y187&lt;30,1,0))</formula>
    </cfRule>
    <cfRule type="expression" dxfId="5805" priority="983">
      <formula>AND(IF($Q187=3,1,0),IF($Y187&lt;30,1,0))</formula>
    </cfRule>
    <cfRule type="expression" dxfId="5804" priority="984">
      <formula>AND(IF($Q187=3,1,IF($Q187=4,1,0)),IF($F187&lt;=85,1,0))</formula>
    </cfRule>
  </conditionalFormatting>
  <conditionalFormatting sqref="AW188">
    <cfRule type="expression" dxfId="5803" priority="979">
      <formula>AW188="X"</formula>
    </cfRule>
    <cfRule type="expression" dxfId="5802" priority="980">
      <formula>AW188="후보"</formula>
    </cfRule>
  </conditionalFormatting>
  <conditionalFormatting sqref="AA188">
    <cfRule type="colorScale" priority="9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8">
    <cfRule type="cellIs" dxfId="5801" priority="976" operator="greaterThan">
      <formula>0.9</formula>
    </cfRule>
    <cfRule type="cellIs" dxfId="5800" priority="977" operator="greaterThan">
      <formula>0.85</formula>
    </cfRule>
  </conditionalFormatting>
  <conditionalFormatting sqref="N188">
    <cfRule type="cellIs" dxfId="5799" priority="974" operator="greaterThan">
      <formula>0.9</formula>
    </cfRule>
    <cfRule type="cellIs" dxfId="5798" priority="975" operator="greaterThan">
      <formula>0.85</formula>
    </cfRule>
  </conditionalFormatting>
  <conditionalFormatting sqref="E188">
    <cfRule type="expression" dxfId="5797" priority="970">
      <formula>AND(IF(OR($Q188=1,$Q188=2),1,0),IF($E188&lt;=20,1,0))</formula>
    </cfRule>
    <cfRule type="expression" dxfId="5796" priority="971">
      <formula>AND(IF($Q188=2,1,0),IF($E188&lt;30,1,0))</formula>
    </cfRule>
    <cfRule type="expression" dxfId="5795" priority="972">
      <formula>AND(IF($Q188=3,1,0),IF($E188&lt;30,1,0))</formula>
    </cfRule>
    <cfRule type="expression" dxfId="5794" priority="973">
      <formula>AND(IF($Q188=3,1,IF($Q188=4,1,0)),IF($F188&lt;=85,1,0))</formula>
    </cfRule>
  </conditionalFormatting>
  <conditionalFormatting sqref="Y188">
    <cfRule type="expression" dxfId="5793" priority="966">
      <formula>AND(IF(OR($Q188=1,$Q188=2),1,0),IF($Y188&lt;=20,1,0))</formula>
    </cfRule>
    <cfRule type="expression" dxfId="5792" priority="967">
      <formula>AND(IF($Q188=2,1,0),IF($Y188&lt;30,1,0))</formula>
    </cfRule>
    <cfRule type="expression" dxfId="5791" priority="968">
      <formula>AND(IF($Q188=3,1,0),IF($Y188&lt;30,1,0))</formula>
    </cfRule>
    <cfRule type="expression" dxfId="5790" priority="969">
      <formula>AND(IF($Q188=3,1,IF($Q188=4,1,0)),IF($F188&lt;=85,1,0))</formula>
    </cfRule>
  </conditionalFormatting>
  <conditionalFormatting sqref="AJ188">
    <cfRule type="expression" dxfId="5789" priority="962">
      <formula>AND(IF(OR($Q188=1,$Q188=2),1,0),IF($Y188&lt;=20,1,0))</formula>
    </cfRule>
    <cfRule type="expression" dxfId="5788" priority="963">
      <formula>AND(IF($Q188=2,1,0),IF($Y188&lt;30,1,0))</formula>
    </cfRule>
    <cfRule type="expression" dxfId="5787" priority="964">
      <formula>AND(IF($Q188=3,1,0),IF($Y188&lt;30,1,0))</formula>
    </cfRule>
    <cfRule type="expression" dxfId="5786" priority="965">
      <formula>AND(IF($Q188=3,1,IF($Q188=4,1,0)),IF($F188&lt;=85,1,0))</formula>
    </cfRule>
  </conditionalFormatting>
  <conditionalFormatting sqref="AW189">
    <cfRule type="expression" dxfId="5785" priority="960">
      <formula>AW189="X"</formula>
    </cfRule>
    <cfRule type="expression" dxfId="5784" priority="961">
      <formula>AW189="후보"</formula>
    </cfRule>
  </conditionalFormatting>
  <conditionalFormatting sqref="AA189">
    <cfRule type="colorScale" priority="9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9">
    <cfRule type="cellIs" dxfId="5783" priority="957" operator="greaterThan">
      <formula>0.9</formula>
    </cfRule>
    <cfRule type="cellIs" dxfId="5782" priority="958" operator="greaterThan">
      <formula>0.85</formula>
    </cfRule>
  </conditionalFormatting>
  <conditionalFormatting sqref="N189">
    <cfRule type="cellIs" dxfId="5781" priority="955" operator="greaterThan">
      <formula>0.9</formula>
    </cfRule>
    <cfRule type="cellIs" dxfId="5780" priority="956" operator="greaterThan">
      <formula>0.85</formula>
    </cfRule>
  </conditionalFormatting>
  <conditionalFormatting sqref="E189">
    <cfRule type="expression" dxfId="5779" priority="951">
      <formula>AND(IF(OR($Q189=1,$Q189=2),1,0),IF($E189&lt;=20,1,0))</formula>
    </cfRule>
    <cfRule type="expression" dxfId="5778" priority="952">
      <formula>AND(IF($Q189=2,1,0),IF($E189&lt;30,1,0))</formula>
    </cfRule>
    <cfRule type="expression" dxfId="5777" priority="953">
      <formula>AND(IF($Q189=3,1,0),IF($E189&lt;30,1,0))</formula>
    </cfRule>
    <cfRule type="expression" dxfId="5776" priority="954">
      <formula>AND(IF($Q189=3,1,IF($Q189=4,1,0)),IF($F189&lt;=85,1,0))</formula>
    </cfRule>
  </conditionalFormatting>
  <conditionalFormatting sqref="Y189">
    <cfRule type="expression" dxfId="5775" priority="947">
      <formula>AND(IF(OR($Q189=1,$Q189=2),1,0),IF($Y189&lt;=20,1,0))</formula>
    </cfRule>
    <cfRule type="expression" dxfId="5774" priority="948">
      <formula>AND(IF($Q189=2,1,0),IF($Y189&lt;30,1,0))</formula>
    </cfRule>
    <cfRule type="expression" dxfId="5773" priority="949">
      <formula>AND(IF($Q189=3,1,0),IF($Y189&lt;30,1,0))</formula>
    </cfRule>
    <cfRule type="expression" dxfId="5772" priority="950">
      <formula>AND(IF($Q189=3,1,IF($Q189=4,1,0)),IF($F189&lt;=85,1,0))</formula>
    </cfRule>
  </conditionalFormatting>
  <conditionalFormatting sqref="AJ189">
    <cfRule type="expression" dxfId="5771" priority="943">
      <formula>AND(IF(OR($Q189=1,$Q189=2),1,0),IF($Y189&lt;=20,1,0))</formula>
    </cfRule>
    <cfRule type="expression" dxfId="5770" priority="944">
      <formula>AND(IF($Q189=2,1,0),IF($Y189&lt;30,1,0))</formula>
    </cfRule>
    <cfRule type="expression" dxfId="5769" priority="945">
      <formula>AND(IF($Q189=3,1,0),IF($Y189&lt;30,1,0))</formula>
    </cfRule>
    <cfRule type="expression" dxfId="5768" priority="946">
      <formula>AND(IF($Q189=3,1,IF($Q189=4,1,0)),IF($F189&lt;=85,1,0))</formula>
    </cfRule>
  </conditionalFormatting>
  <conditionalFormatting sqref="AW190">
    <cfRule type="expression" dxfId="5767" priority="941">
      <formula>AW190="X"</formula>
    </cfRule>
    <cfRule type="expression" dxfId="5766" priority="942">
      <formula>AW190="후보"</formula>
    </cfRule>
  </conditionalFormatting>
  <conditionalFormatting sqref="AA190">
    <cfRule type="colorScale" priority="9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0">
    <cfRule type="cellIs" dxfId="5765" priority="938" operator="greaterThan">
      <formula>0.9</formula>
    </cfRule>
    <cfRule type="cellIs" dxfId="5764" priority="939" operator="greaterThan">
      <formula>0.85</formula>
    </cfRule>
  </conditionalFormatting>
  <conditionalFormatting sqref="N190">
    <cfRule type="cellIs" dxfId="5763" priority="936" operator="greaterThan">
      <formula>0.9</formula>
    </cfRule>
    <cfRule type="cellIs" dxfId="5762" priority="937" operator="greaterThan">
      <formula>0.85</formula>
    </cfRule>
  </conditionalFormatting>
  <conditionalFormatting sqref="E190">
    <cfRule type="expression" dxfId="5761" priority="932">
      <formula>AND(IF(OR($Q190=1,$Q190=2),1,0),IF($E190&lt;=20,1,0))</formula>
    </cfRule>
    <cfRule type="expression" dxfId="5760" priority="933">
      <formula>AND(IF($Q190=2,1,0),IF($E190&lt;30,1,0))</formula>
    </cfRule>
    <cfRule type="expression" dxfId="5759" priority="934">
      <formula>AND(IF($Q190=3,1,0),IF($E190&lt;30,1,0))</formula>
    </cfRule>
    <cfRule type="expression" dxfId="5758" priority="935">
      <formula>AND(IF($Q190=3,1,IF($Q190=4,1,0)),IF($F190&lt;=85,1,0))</formula>
    </cfRule>
  </conditionalFormatting>
  <conditionalFormatting sqref="Y190">
    <cfRule type="expression" dxfId="5757" priority="928">
      <formula>AND(IF(OR($Q190=1,$Q190=2),1,0),IF($Y190&lt;=20,1,0))</formula>
    </cfRule>
    <cfRule type="expression" dxfId="5756" priority="929">
      <formula>AND(IF($Q190=2,1,0),IF($Y190&lt;30,1,0))</formula>
    </cfRule>
    <cfRule type="expression" dxfId="5755" priority="930">
      <formula>AND(IF($Q190=3,1,0),IF($Y190&lt;30,1,0))</formula>
    </cfRule>
    <cfRule type="expression" dxfId="5754" priority="931">
      <formula>AND(IF($Q190=3,1,IF($Q190=4,1,0)),IF($F190&lt;=85,1,0))</formula>
    </cfRule>
  </conditionalFormatting>
  <conditionalFormatting sqref="AJ190">
    <cfRule type="expression" dxfId="5753" priority="924">
      <formula>AND(IF(OR($Q190=1,$Q190=2),1,0),IF($Y190&lt;=20,1,0))</formula>
    </cfRule>
    <cfRule type="expression" dxfId="5752" priority="925">
      <formula>AND(IF($Q190=2,1,0),IF($Y190&lt;30,1,0))</formula>
    </cfRule>
    <cfRule type="expression" dxfId="5751" priority="926">
      <formula>AND(IF($Q190=3,1,0),IF($Y190&lt;30,1,0))</formula>
    </cfRule>
    <cfRule type="expression" dxfId="5750" priority="927">
      <formula>AND(IF($Q190=3,1,IF($Q190=4,1,0)),IF($F190&lt;=85,1,0))</formula>
    </cfRule>
  </conditionalFormatting>
  <conditionalFormatting sqref="AW191">
    <cfRule type="expression" dxfId="5749" priority="922">
      <formula>AW191="X"</formula>
    </cfRule>
    <cfRule type="expression" dxfId="5748" priority="923">
      <formula>AW191="후보"</formula>
    </cfRule>
  </conditionalFormatting>
  <conditionalFormatting sqref="AA191">
    <cfRule type="colorScale" priority="9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1 N191">
    <cfRule type="cellIs" dxfId="5747" priority="919" operator="greaterThan">
      <formula>0.9</formula>
    </cfRule>
    <cfRule type="cellIs" dxfId="5746" priority="920" operator="greaterThan">
      <formula>0.85</formula>
    </cfRule>
  </conditionalFormatting>
  <conditionalFormatting sqref="AW192">
    <cfRule type="expression" dxfId="5745" priority="917">
      <formula>AW192="X"</formula>
    </cfRule>
    <cfRule type="expression" dxfId="5744" priority="918">
      <formula>AW192="후보"</formula>
    </cfRule>
  </conditionalFormatting>
  <conditionalFormatting sqref="AA192">
    <cfRule type="colorScale" priority="9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2">
    <cfRule type="cellIs" dxfId="5743" priority="914" operator="greaterThan">
      <formula>0.9</formula>
    </cfRule>
    <cfRule type="cellIs" dxfId="5742" priority="915" operator="greaterThan">
      <formula>0.85</formula>
    </cfRule>
  </conditionalFormatting>
  <conditionalFormatting sqref="N192">
    <cfRule type="cellIs" dxfId="5741" priority="912" operator="greaterThan">
      <formula>0.9</formula>
    </cfRule>
    <cfRule type="cellIs" dxfId="5740" priority="913" operator="greaterThan">
      <formula>0.85</formula>
    </cfRule>
  </conditionalFormatting>
  <conditionalFormatting sqref="E192">
    <cfRule type="expression" dxfId="5739" priority="908">
      <formula>AND(IF(OR($Q192=1,$Q192=2),1,0),IF($E192&lt;=20,1,0))</formula>
    </cfRule>
    <cfRule type="expression" dxfId="5738" priority="909">
      <formula>AND(IF($Q192=2,1,0),IF($E192&lt;30,1,0))</formula>
    </cfRule>
    <cfRule type="expression" dxfId="5737" priority="910">
      <formula>AND(IF($Q192=3,1,0),IF($E192&lt;30,1,0))</formula>
    </cfRule>
    <cfRule type="expression" dxfId="5736" priority="911">
      <formula>AND(IF($Q192=3,1,IF($Q192=4,1,0)),IF($F192&lt;=85,1,0))</formula>
    </cfRule>
  </conditionalFormatting>
  <conditionalFormatting sqref="Y192">
    <cfRule type="expression" dxfId="5735" priority="904">
      <formula>AND(IF(OR($Q192=1,$Q192=2),1,0),IF($Y192&lt;=20,1,0))</formula>
    </cfRule>
    <cfRule type="expression" dxfId="5734" priority="905">
      <formula>AND(IF($Q192=2,1,0),IF($Y192&lt;30,1,0))</formula>
    </cfRule>
    <cfRule type="expression" dxfId="5733" priority="906">
      <formula>AND(IF($Q192=3,1,0),IF($Y192&lt;30,1,0))</formula>
    </cfRule>
    <cfRule type="expression" dxfId="5732" priority="907">
      <formula>AND(IF($Q192=3,1,IF($Q192=4,1,0)),IF($F192&lt;=85,1,0))</formula>
    </cfRule>
  </conditionalFormatting>
  <conditionalFormatting sqref="AJ192">
    <cfRule type="expression" dxfId="5731" priority="900">
      <formula>AND(IF(OR($Q192=1,$Q192=2),1,0),IF($Y192&lt;=20,1,0))</formula>
    </cfRule>
    <cfRule type="expression" dxfId="5730" priority="901">
      <formula>AND(IF($Q192=2,1,0),IF($Y192&lt;30,1,0))</formula>
    </cfRule>
    <cfRule type="expression" dxfId="5729" priority="902">
      <formula>AND(IF($Q192=3,1,0),IF($Y192&lt;30,1,0))</formula>
    </cfRule>
    <cfRule type="expression" dxfId="5728" priority="903">
      <formula>AND(IF($Q192=3,1,IF($Q192=4,1,0)),IF($F192&lt;=85,1,0))</formula>
    </cfRule>
  </conditionalFormatting>
  <conditionalFormatting sqref="AW193">
    <cfRule type="expression" dxfId="5727" priority="898">
      <formula>AW193="X"</formula>
    </cfRule>
    <cfRule type="expression" dxfId="5726" priority="899">
      <formula>AW193="후보"</formula>
    </cfRule>
  </conditionalFormatting>
  <conditionalFormatting sqref="AA193">
    <cfRule type="colorScale" priority="8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3">
    <cfRule type="cellIs" dxfId="5725" priority="895" operator="greaterThan">
      <formula>0.9</formula>
    </cfRule>
    <cfRule type="cellIs" dxfId="5724" priority="896" operator="greaterThan">
      <formula>0.85</formula>
    </cfRule>
  </conditionalFormatting>
  <conditionalFormatting sqref="N193">
    <cfRule type="cellIs" dxfId="5723" priority="893" operator="greaterThan">
      <formula>0.9</formula>
    </cfRule>
    <cfRule type="cellIs" dxfId="5722" priority="894" operator="greaterThan">
      <formula>0.85</formula>
    </cfRule>
  </conditionalFormatting>
  <conditionalFormatting sqref="E193">
    <cfRule type="expression" dxfId="5721" priority="889">
      <formula>AND(IF(OR($Q193=1,$Q193=2),1,0),IF($E193&lt;=20,1,0))</formula>
    </cfRule>
    <cfRule type="expression" dxfId="5720" priority="890">
      <formula>AND(IF($Q193=2,1,0),IF($E193&lt;30,1,0))</formula>
    </cfRule>
    <cfRule type="expression" dxfId="5719" priority="891">
      <formula>AND(IF($Q193=3,1,0),IF($E193&lt;30,1,0))</formula>
    </cfRule>
    <cfRule type="expression" dxfId="5718" priority="892">
      <formula>AND(IF($Q193=3,1,IF($Q193=4,1,0)),IF($F193&lt;=85,1,0))</formula>
    </cfRule>
  </conditionalFormatting>
  <conditionalFormatting sqref="Y193">
    <cfRule type="expression" dxfId="5717" priority="885">
      <formula>AND(IF(OR($Q193=1,$Q193=2),1,0),IF($Y193&lt;=20,1,0))</formula>
    </cfRule>
    <cfRule type="expression" dxfId="5716" priority="886">
      <formula>AND(IF($Q193=2,1,0),IF($Y193&lt;30,1,0))</formula>
    </cfRule>
    <cfRule type="expression" dxfId="5715" priority="887">
      <formula>AND(IF($Q193=3,1,0),IF($Y193&lt;30,1,0))</formula>
    </cfRule>
    <cfRule type="expression" dxfId="5714" priority="888">
      <formula>AND(IF($Q193=3,1,IF($Q193=4,1,0)),IF($F193&lt;=85,1,0))</formula>
    </cfRule>
  </conditionalFormatting>
  <conditionalFormatting sqref="AJ193">
    <cfRule type="expression" dxfId="5713" priority="881">
      <formula>AND(IF(OR($Q193=1,$Q193=2),1,0),IF($Y193&lt;=20,1,0))</formula>
    </cfRule>
    <cfRule type="expression" dxfId="5712" priority="882">
      <formula>AND(IF($Q193=2,1,0),IF($Y193&lt;30,1,0))</formula>
    </cfRule>
    <cfRule type="expression" dxfId="5711" priority="883">
      <formula>AND(IF($Q193=3,1,0),IF($Y193&lt;30,1,0))</formula>
    </cfRule>
    <cfRule type="expression" dxfId="5710" priority="884">
      <formula>AND(IF($Q193=3,1,IF($Q193=4,1,0)),IF($F193&lt;=85,1,0))</formula>
    </cfRule>
  </conditionalFormatting>
  <conditionalFormatting sqref="AW194">
    <cfRule type="expression" dxfId="5709" priority="879">
      <formula>AW194="X"</formula>
    </cfRule>
    <cfRule type="expression" dxfId="5708" priority="880">
      <formula>AW194="후보"</formula>
    </cfRule>
  </conditionalFormatting>
  <conditionalFormatting sqref="AA194">
    <cfRule type="colorScale" priority="8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4">
    <cfRule type="cellIs" dxfId="5707" priority="876" operator="greaterThan">
      <formula>0.9</formula>
    </cfRule>
    <cfRule type="cellIs" dxfId="5706" priority="877" operator="greaterThan">
      <formula>0.85</formula>
    </cfRule>
  </conditionalFormatting>
  <conditionalFormatting sqref="N194">
    <cfRule type="cellIs" dxfId="5705" priority="874" operator="greaterThan">
      <formula>0.9</formula>
    </cfRule>
    <cfRule type="cellIs" dxfId="5704" priority="875" operator="greaterThan">
      <formula>0.85</formula>
    </cfRule>
  </conditionalFormatting>
  <conditionalFormatting sqref="E194">
    <cfRule type="expression" dxfId="5703" priority="870">
      <formula>AND(IF(OR($Q194=1,$Q194=2),1,0),IF($E194&lt;=20,1,0))</formula>
    </cfRule>
    <cfRule type="expression" dxfId="5702" priority="871">
      <formula>AND(IF($Q194=2,1,0),IF($E194&lt;30,1,0))</formula>
    </cfRule>
    <cfRule type="expression" dxfId="5701" priority="872">
      <formula>AND(IF($Q194=3,1,0),IF($E194&lt;30,1,0))</formula>
    </cfRule>
    <cfRule type="expression" dxfId="5700" priority="873">
      <formula>AND(IF($Q194=3,1,IF($Q194=4,1,0)),IF($F194&lt;=85,1,0))</formula>
    </cfRule>
  </conditionalFormatting>
  <conditionalFormatting sqref="Y194">
    <cfRule type="expression" dxfId="5699" priority="866">
      <formula>AND(IF(OR($Q194=1,$Q194=2),1,0),IF($Y194&lt;=20,1,0))</formula>
    </cfRule>
    <cfRule type="expression" dxfId="5698" priority="867">
      <formula>AND(IF($Q194=2,1,0),IF($Y194&lt;30,1,0))</formula>
    </cfRule>
    <cfRule type="expression" dxfId="5697" priority="868">
      <formula>AND(IF($Q194=3,1,0),IF($Y194&lt;30,1,0))</formula>
    </cfRule>
    <cfRule type="expression" dxfId="5696" priority="869">
      <formula>AND(IF($Q194=3,1,IF($Q194=4,1,0)),IF($F194&lt;=85,1,0))</formula>
    </cfRule>
  </conditionalFormatting>
  <conditionalFormatting sqref="AJ194">
    <cfRule type="expression" dxfId="5695" priority="862">
      <formula>AND(IF(OR($Q194=1,$Q194=2),1,0),IF($Y194&lt;=20,1,0))</formula>
    </cfRule>
    <cfRule type="expression" dxfId="5694" priority="863">
      <formula>AND(IF($Q194=2,1,0),IF($Y194&lt;30,1,0))</formula>
    </cfRule>
    <cfRule type="expression" dxfId="5693" priority="864">
      <formula>AND(IF($Q194=3,1,0),IF($Y194&lt;30,1,0))</formula>
    </cfRule>
    <cfRule type="expression" dxfId="5692" priority="865">
      <formula>AND(IF($Q194=3,1,IF($Q194=4,1,0)),IF($F194&lt;=85,1,0))</formula>
    </cfRule>
  </conditionalFormatting>
  <conditionalFormatting sqref="AW195">
    <cfRule type="expression" dxfId="5691" priority="860">
      <formula>AW195="X"</formula>
    </cfRule>
    <cfRule type="expression" dxfId="5690" priority="861">
      <formula>AW195="후보"</formula>
    </cfRule>
  </conditionalFormatting>
  <conditionalFormatting sqref="AA195">
    <cfRule type="colorScale" priority="8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5">
    <cfRule type="cellIs" dxfId="5689" priority="857" operator="greaterThan">
      <formula>0.9</formula>
    </cfRule>
    <cfRule type="cellIs" dxfId="5688" priority="858" operator="greaterThan">
      <formula>0.85</formula>
    </cfRule>
  </conditionalFormatting>
  <conditionalFormatting sqref="N195">
    <cfRule type="cellIs" dxfId="5687" priority="855" operator="greaterThan">
      <formula>0.9</formula>
    </cfRule>
    <cfRule type="cellIs" dxfId="5686" priority="856" operator="greaterThan">
      <formula>0.85</formula>
    </cfRule>
  </conditionalFormatting>
  <conditionalFormatting sqref="E195">
    <cfRule type="expression" dxfId="5685" priority="851">
      <formula>AND(IF(OR($Q195=1,$Q195=2),1,0),IF($E195&lt;=20,1,0))</formula>
    </cfRule>
    <cfRule type="expression" dxfId="5684" priority="852">
      <formula>AND(IF($Q195=2,1,0),IF($E195&lt;30,1,0))</formula>
    </cfRule>
    <cfRule type="expression" dxfId="5683" priority="853">
      <formula>AND(IF($Q195=3,1,0),IF($E195&lt;30,1,0))</formula>
    </cfRule>
    <cfRule type="expression" dxfId="5682" priority="854">
      <formula>AND(IF($Q195=3,1,IF($Q195=4,1,0)),IF($F195&lt;=85,1,0))</formula>
    </cfRule>
  </conditionalFormatting>
  <conditionalFormatting sqref="Y195">
    <cfRule type="expression" dxfId="5681" priority="847">
      <formula>AND(IF(OR($Q195=1,$Q195=2),1,0),IF($Y195&lt;=20,1,0))</formula>
    </cfRule>
    <cfRule type="expression" dxfId="5680" priority="848">
      <formula>AND(IF($Q195=2,1,0),IF($Y195&lt;30,1,0))</formula>
    </cfRule>
    <cfRule type="expression" dxfId="5679" priority="849">
      <formula>AND(IF($Q195=3,1,0),IF($Y195&lt;30,1,0))</formula>
    </cfRule>
    <cfRule type="expression" dxfId="5678" priority="850">
      <formula>AND(IF($Q195=3,1,IF($Q195=4,1,0)),IF($F195&lt;=85,1,0))</formula>
    </cfRule>
  </conditionalFormatting>
  <conditionalFormatting sqref="AJ195">
    <cfRule type="expression" dxfId="5677" priority="843">
      <formula>AND(IF(OR($Q195=1,$Q195=2),1,0),IF($Y195&lt;=20,1,0))</formula>
    </cfRule>
    <cfRule type="expression" dxfId="5676" priority="844">
      <formula>AND(IF($Q195=2,1,0),IF($Y195&lt;30,1,0))</formula>
    </cfRule>
    <cfRule type="expression" dxfId="5675" priority="845">
      <formula>AND(IF($Q195=3,1,0),IF($Y195&lt;30,1,0))</formula>
    </cfRule>
    <cfRule type="expression" dxfId="5674" priority="846">
      <formula>AND(IF($Q195=3,1,IF($Q195=4,1,0)),IF($F195&lt;=85,1,0))</formula>
    </cfRule>
  </conditionalFormatting>
  <conditionalFormatting sqref="AW196">
    <cfRule type="expression" dxfId="5673" priority="841">
      <formula>AW196="X"</formula>
    </cfRule>
    <cfRule type="expression" dxfId="5672" priority="842">
      <formula>AW196="후보"</formula>
    </cfRule>
  </conditionalFormatting>
  <conditionalFormatting sqref="AA196">
    <cfRule type="colorScale" priority="8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6">
    <cfRule type="cellIs" dxfId="5671" priority="838" operator="greaterThan">
      <formula>0.9</formula>
    </cfRule>
    <cfRule type="cellIs" dxfId="5670" priority="839" operator="greaterThan">
      <formula>0.85</formula>
    </cfRule>
  </conditionalFormatting>
  <conditionalFormatting sqref="N196">
    <cfRule type="cellIs" dxfId="5669" priority="836" operator="greaterThan">
      <formula>0.9</formula>
    </cfRule>
    <cfRule type="cellIs" dxfId="5668" priority="837" operator="greaterThan">
      <formula>0.85</formula>
    </cfRule>
  </conditionalFormatting>
  <conditionalFormatting sqref="E196">
    <cfRule type="expression" dxfId="5667" priority="832">
      <formula>AND(IF(OR($Q196=1,$Q196=2),1,0),IF($E196&lt;=20,1,0))</formula>
    </cfRule>
    <cfRule type="expression" dxfId="5666" priority="833">
      <formula>AND(IF($Q196=2,1,0),IF($E196&lt;30,1,0))</formula>
    </cfRule>
    <cfRule type="expression" dxfId="5665" priority="834">
      <formula>AND(IF($Q196=3,1,0),IF($E196&lt;30,1,0))</formula>
    </cfRule>
    <cfRule type="expression" dxfId="5664" priority="835">
      <formula>AND(IF($Q196=3,1,IF($Q196=4,1,0)),IF($F196&lt;=85,1,0))</formula>
    </cfRule>
  </conditionalFormatting>
  <conditionalFormatting sqref="Y196">
    <cfRule type="expression" dxfId="5663" priority="828">
      <formula>AND(IF(OR($Q196=1,$Q196=2),1,0),IF($Y196&lt;=20,1,0))</formula>
    </cfRule>
    <cfRule type="expression" dxfId="5662" priority="829">
      <formula>AND(IF($Q196=2,1,0),IF($Y196&lt;30,1,0))</formula>
    </cfRule>
    <cfRule type="expression" dxfId="5661" priority="830">
      <formula>AND(IF($Q196=3,1,0),IF($Y196&lt;30,1,0))</formula>
    </cfRule>
    <cfRule type="expression" dxfId="5660" priority="831">
      <formula>AND(IF($Q196=3,1,IF($Q196=4,1,0)),IF($F196&lt;=85,1,0))</formula>
    </cfRule>
  </conditionalFormatting>
  <conditionalFormatting sqref="AJ196">
    <cfRule type="expression" dxfId="5659" priority="824">
      <formula>AND(IF(OR($Q196=1,$Q196=2),1,0),IF($Y196&lt;=20,1,0))</formula>
    </cfRule>
    <cfRule type="expression" dxfId="5658" priority="825">
      <formula>AND(IF($Q196=2,1,0),IF($Y196&lt;30,1,0))</formula>
    </cfRule>
    <cfRule type="expression" dxfId="5657" priority="826">
      <formula>AND(IF($Q196=3,1,0),IF($Y196&lt;30,1,0))</formula>
    </cfRule>
    <cfRule type="expression" dxfId="5656" priority="827">
      <formula>AND(IF($Q196=3,1,IF($Q196=4,1,0)),IF($F196&lt;=85,1,0))</formula>
    </cfRule>
  </conditionalFormatting>
  <conditionalFormatting sqref="AW197">
    <cfRule type="expression" dxfId="5655" priority="822">
      <formula>AW197="X"</formula>
    </cfRule>
    <cfRule type="expression" dxfId="5654" priority="823">
      <formula>AW197="후보"</formula>
    </cfRule>
  </conditionalFormatting>
  <conditionalFormatting sqref="AA197">
    <cfRule type="colorScale" priority="8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7">
    <cfRule type="cellIs" dxfId="5653" priority="819" operator="greaterThan">
      <formula>0.9</formula>
    </cfRule>
    <cfRule type="cellIs" dxfId="5652" priority="820" operator="greaterThan">
      <formula>0.85</formula>
    </cfRule>
  </conditionalFormatting>
  <conditionalFormatting sqref="N197">
    <cfRule type="cellIs" dxfId="5651" priority="817" operator="greaterThan">
      <formula>0.9</formula>
    </cfRule>
    <cfRule type="cellIs" dxfId="5650" priority="818" operator="greaterThan">
      <formula>0.85</formula>
    </cfRule>
  </conditionalFormatting>
  <conditionalFormatting sqref="E197">
    <cfRule type="expression" dxfId="5649" priority="813">
      <formula>AND(IF(OR($Q197=1,$Q197=2),1,0),IF($E197&lt;=20,1,0))</formula>
    </cfRule>
    <cfRule type="expression" dxfId="5648" priority="814">
      <formula>AND(IF($Q197=2,1,0),IF($E197&lt;30,1,0))</formula>
    </cfRule>
    <cfRule type="expression" dxfId="5647" priority="815">
      <formula>AND(IF($Q197=3,1,0),IF($E197&lt;30,1,0))</formula>
    </cfRule>
    <cfRule type="expression" dxfId="5646" priority="816">
      <formula>AND(IF($Q197=3,1,IF($Q197=4,1,0)),IF($F197&lt;=85,1,0))</formula>
    </cfRule>
  </conditionalFormatting>
  <conditionalFormatting sqref="Y197">
    <cfRule type="expression" dxfId="5645" priority="809">
      <formula>AND(IF(OR($Q197=1,$Q197=2),1,0),IF($Y197&lt;=20,1,0))</formula>
    </cfRule>
    <cfRule type="expression" dxfId="5644" priority="810">
      <formula>AND(IF($Q197=2,1,0),IF($Y197&lt;30,1,0))</formula>
    </cfRule>
    <cfRule type="expression" dxfId="5643" priority="811">
      <formula>AND(IF($Q197=3,1,0),IF($Y197&lt;30,1,0))</formula>
    </cfRule>
    <cfRule type="expression" dxfId="5642" priority="812">
      <formula>AND(IF($Q197=3,1,IF($Q197=4,1,0)),IF($F197&lt;=85,1,0))</formula>
    </cfRule>
  </conditionalFormatting>
  <conditionalFormatting sqref="AJ197">
    <cfRule type="expression" dxfId="5641" priority="805">
      <formula>AND(IF(OR($Q197=1,$Q197=2),1,0),IF($Y197&lt;=20,1,0))</formula>
    </cfRule>
    <cfRule type="expression" dxfId="5640" priority="806">
      <formula>AND(IF($Q197=2,1,0),IF($Y197&lt;30,1,0))</formula>
    </cfRule>
    <cfRule type="expression" dxfId="5639" priority="807">
      <formula>AND(IF($Q197=3,1,0),IF($Y197&lt;30,1,0))</formula>
    </cfRule>
    <cfRule type="expression" dxfId="5638" priority="808">
      <formula>AND(IF($Q197=3,1,IF($Q197=4,1,0)),IF($F197&lt;=85,1,0))</formula>
    </cfRule>
  </conditionalFormatting>
  <conditionalFormatting sqref="AW198">
    <cfRule type="expression" dxfId="5637" priority="803">
      <formula>AW198="X"</formula>
    </cfRule>
    <cfRule type="expression" dxfId="5636" priority="804">
      <formula>AW198="후보"</formula>
    </cfRule>
  </conditionalFormatting>
  <conditionalFormatting sqref="AA198">
    <cfRule type="colorScale" priority="8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8">
    <cfRule type="cellIs" dxfId="5635" priority="800" operator="greaterThan">
      <formula>0.9</formula>
    </cfRule>
    <cfRule type="cellIs" dxfId="5634" priority="801" operator="greaterThan">
      <formula>0.85</formula>
    </cfRule>
  </conditionalFormatting>
  <conditionalFormatting sqref="N198">
    <cfRule type="cellIs" dxfId="5633" priority="798" operator="greaterThan">
      <formula>0.9</formula>
    </cfRule>
    <cfRule type="cellIs" dxfId="5632" priority="799" operator="greaterThan">
      <formula>0.85</formula>
    </cfRule>
  </conditionalFormatting>
  <conditionalFormatting sqref="E198">
    <cfRule type="expression" dxfId="5631" priority="794">
      <formula>AND(IF(OR($Q198=1,$Q198=2),1,0),IF($E198&lt;=20,1,0))</formula>
    </cfRule>
    <cfRule type="expression" dxfId="5630" priority="795">
      <formula>AND(IF($Q198=2,1,0),IF($E198&lt;30,1,0))</formula>
    </cfRule>
    <cfRule type="expression" dxfId="5629" priority="796">
      <formula>AND(IF($Q198=3,1,0),IF($E198&lt;30,1,0))</formula>
    </cfRule>
    <cfRule type="expression" dxfId="5628" priority="797">
      <formula>AND(IF($Q198=3,1,IF($Q198=4,1,0)),IF($F198&lt;=85,1,0))</formula>
    </cfRule>
  </conditionalFormatting>
  <conditionalFormatting sqref="Y198">
    <cfRule type="expression" dxfId="5627" priority="790">
      <formula>AND(IF(OR($Q198=1,$Q198=2),1,0),IF($Y198&lt;=20,1,0))</formula>
    </cfRule>
    <cfRule type="expression" dxfId="5626" priority="791">
      <formula>AND(IF($Q198=2,1,0),IF($Y198&lt;30,1,0))</formula>
    </cfRule>
    <cfRule type="expression" dxfId="5625" priority="792">
      <formula>AND(IF($Q198=3,1,0),IF($Y198&lt;30,1,0))</formula>
    </cfRule>
    <cfRule type="expression" dxfId="5624" priority="793">
      <formula>AND(IF($Q198=3,1,IF($Q198=4,1,0)),IF($F198&lt;=85,1,0))</formula>
    </cfRule>
  </conditionalFormatting>
  <conditionalFormatting sqref="AJ198">
    <cfRule type="expression" dxfId="5623" priority="786">
      <formula>AND(IF(OR($Q198=1,$Q198=2),1,0),IF($Y198&lt;=20,1,0))</formula>
    </cfRule>
    <cfRule type="expression" dxfId="5622" priority="787">
      <formula>AND(IF($Q198=2,1,0),IF($Y198&lt;30,1,0))</formula>
    </cfRule>
    <cfRule type="expression" dxfId="5621" priority="788">
      <formula>AND(IF($Q198=3,1,0),IF($Y198&lt;30,1,0))</formula>
    </cfRule>
    <cfRule type="expression" dxfId="5620" priority="789">
      <formula>AND(IF($Q198=3,1,IF($Q198=4,1,0)),IF($F198&lt;=85,1,0))</formula>
    </cfRule>
  </conditionalFormatting>
  <conditionalFormatting sqref="AW199">
    <cfRule type="expression" dxfId="5619" priority="784">
      <formula>AW199="X"</formula>
    </cfRule>
    <cfRule type="expression" dxfId="5618" priority="785">
      <formula>AW199="후보"</formula>
    </cfRule>
  </conditionalFormatting>
  <conditionalFormatting sqref="AA199">
    <cfRule type="colorScale" priority="7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9">
    <cfRule type="cellIs" dxfId="5617" priority="781" operator="greaterThan">
      <formula>0.9</formula>
    </cfRule>
    <cfRule type="cellIs" dxfId="5616" priority="782" operator="greaterThan">
      <formula>0.85</formula>
    </cfRule>
  </conditionalFormatting>
  <conditionalFormatting sqref="N199">
    <cfRule type="cellIs" dxfId="5615" priority="779" operator="greaterThan">
      <formula>0.9</formula>
    </cfRule>
    <cfRule type="cellIs" dxfId="5614" priority="780" operator="greaterThan">
      <formula>0.85</formula>
    </cfRule>
  </conditionalFormatting>
  <conditionalFormatting sqref="E199">
    <cfRule type="expression" dxfId="5613" priority="775">
      <formula>AND(IF(OR($Q199=1,$Q199=2),1,0),IF($E199&lt;=20,1,0))</formula>
    </cfRule>
    <cfRule type="expression" dxfId="5612" priority="776">
      <formula>AND(IF($Q199=2,1,0),IF($E199&lt;30,1,0))</formula>
    </cfRule>
    <cfRule type="expression" dxfId="5611" priority="777">
      <formula>AND(IF($Q199=3,1,0),IF($E199&lt;30,1,0))</formula>
    </cfRule>
    <cfRule type="expression" dxfId="5610" priority="778">
      <formula>AND(IF($Q199=3,1,IF($Q199=4,1,0)),IF($F199&lt;=85,1,0))</formula>
    </cfRule>
  </conditionalFormatting>
  <conditionalFormatting sqref="Y199">
    <cfRule type="expression" dxfId="5609" priority="771">
      <formula>AND(IF(OR($Q199=1,$Q199=2),1,0),IF($Y199&lt;=20,1,0))</formula>
    </cfRule>
    <cfRule type="expression" dxfId="5608" priority="772">
      <formula>AND(IF($Q199=2,1,0),IF($Y199&lt;30,1,0))</formula>
    </cfRule>
    <cfRule type="expression" dxfId="5607" priority="773">
      <formula>AND(IF($Q199=3,1,0),IF($Y199&lt;30,1,0))</formula>
    </cfRule>
    <cfRule type="expression" dxfId="5606" priority="774">
      <formula>AND(IF($Q199=3,1,IF($Q199=4,1,0)),IF($F199&lt;=85,1,0))</formula>
    </cfRule>
  </conditionalFormatting>
  <conditionalFormatting sqref="AJ199">
    <cfRule type="expression" dxfId="5605" priority="767">
      <formula>AND(IF(OR($Q199=1,$Q199=2),1,0),IF($Y199&lt;=20,1,0))</formula>
    </cfRule>
    <cfRule type="expression" dxfId="5604" priority="768">
      <formula>AND(IF($Q199=2,1,0),IF($Y199&lt;30,1,0))</formula>
    </cfRule>
    <cfRule type="expression" dxfId="5603" priority="769">
      <formula>AND(IF($Q199=3,1,0),IF($Y199&lt;30,1,0))</formula>
    </cfRule>
    <cfRule type="expression" dxfId="5602" priority="770">
      <formula>AND(IF($Q199=3,1,IF($Q199=4,1,0)),IF($F199&lt;=85,1,0))</formula>
    </cfRule>
  </conditionalFormatting>
  <conditionalFormatting sqref="AW200">
    <cfRule type="expression" dxfId="5601" priority="765">
      <formula>AW200="X"</formula>
    </cfRule>
    <cfRule type="expression" dxfId="5600" priority="766">
      <formula>AW200="후보"</formula>
    </cfRule>
  </conditionalFormatting>
  <conditionalFormatting sqref="AA200">
    <cfRule type="colorScale" priority="7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0">
    <cfRule type="cellIs" dxfId="5599" priority="762" operator="greaterThan">
      <formula>0.9</formula>
    </cfRule>
    <cfRule type="cellIs" dxfId="5598" priority="763" operator="greaterThan">
      <formula>0.85</formula>
    </cfRule>
  </conditionalFormatting>
  <conditionalFormatting sqref="N200">
    <cfRule type="cellIs" dxfId="5597" priority="760" operator="greaterThan">
      <formula>0.9</formula>
    </cfRule>
    <cfRule type="cellIs" dxfId="5596" priority="761" operator="greaterThan">
      <formula>0.85</formula>
    </cfRule>
  </conditionalFormatting>
  <conditionalFormatting sqref="E200">
    <cfRule type="expression" dxfId="5595" priority="756">
      <formula>AND(IF(OR($Q200=1,$Q200=2),1,0),IF($E200&lt;=20,1,0))</formula>
    </cfRule>
    <cfRule type="expression" dxfId="5594" priority="757">
      <formula>AND(IF($Q200=2,1,0),IF($E200&lt;30,1,0))</formula>
    </cfRule>
    <cfRule type="expression" dxfId="5593" priority="758">
      <formula>AND(IF($Q200=3,1,0),IF($E200&lt;30,1,0))</formula>
    </cfRule>
    <cfRule type="expression" dxfId="5592" priority="759">
      <formula>AND(IF($Q200=3,1,IF($Q200=4,1,0)),IF($F200&lt;=85,1,0))</formula>
    </cfRule>
  </conditionalFormatting>
  <conditionalFormatting sqref="Y200">
    <cfRule type="expression" dxfId="5591" priority="752">
      <formula>AND(IF(OR($Q200=1,$Q200=2),1,0),IF($Y200&lt;=20,1,0))</formula>
    </cfRule>
    <cfRule type="expression" dxfId="5590" priority="753">
      <formula>AND(IF($Q200=2,1,0),IF($Y200&lt;30,1,0))</formula>
    </cfRule>
    <cfRule type="expression" dxfId="5589" priority="754">
      <formula>AND(IF($Q200=3,1,0),IF($Y200&lt;30,1,0))</formula>
    </cfRule>
    <cfRule type="expression" dxfId="5588" priority="755">
      <formula>AND(IF($Q200=3,1,IF($Q200=4,1,0)),IF($F200&lt;=85,1,0))</formula>
    </cfRule>
  </conditionalFormatting>
  <conditionalFormatting sqref="AJ200">
    <cfRule type="expression" dxfId="5587" priority="748">
      <formula>AND(IF(OR($Q200=1,$Q200=2),1,0),IF($Y200&lt;=20,1,0))</formula>
    </cfRule>
    <cfRule type="expression" dxfId="5586" priority="749">
      <formula>AND(IF($Q200=2,1,0),IF($Y200&lt;30,1,0))</formula>
    </cfRule>
    <cfRule type="expression" dxfId="5585" priority="750">
      <formula>AND(IF($Q200=3,1,0),IF($Y200&lt;30,1,0))</formula>
    </cfRule>
    <cfRule type="expression" dxfId="5584" priority="751">
      <formula>AND(IF($Q200=3,1,IF($Q200=4,1,0)),IF($F200&lt;=85,1,0))</formula>
    </cfRule>
  </conditionalFormatting>
  <conditionalFormatting sqref="AW201">
    <cfRule type="expression" dxfId="5583" priority="746">
      <formula>AW201="X"</formula>
    </cfRule>
    <cfRule type="expression" dxfId="5582" priority="747">
      <formula>AW201="후보"</formula>
    </cfRule>
  </conditionalFormatting>
  <conditionalFormatting sqref="AA201">
    <cfRule type="colorScale" priority="7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1">
    <cfRule type="cellIs" dxfId="5581" priority="743" operator="greaterThan">
      <formula>0.9</formula>
    </cfRule>
    <cfRule type="cellIs" dxfId="5580" priority="744" operator="greaterThan">
      <formula>0.85</formula>
    </cfRule>
  </conditionalFormatting>
  <conditionalFormatting sqref="N201">
    <cfRule type="cellIs" dxfId="5579" priority="741" operator="greaterThan">
      <formula>0.9</formula>
    </cfRule>
    <cfRule type="cellIs" dxfId="5578" priority="742" operator="greaterThan">
      <formula>0.85</formula>
    </cfRule>
  </conditionalFormatting>
  <conditionalFormatting sqref="E201">
    <cfRule type="expression" dxfId="5577" priority="737">
      <formula>AND(IF(OR($Q201=1,$Q201=2),1,0),IF($E201&lt;=20,1,0))</formula>
    </cfRule>
    <cfRule type="expression" dxfId="5576" priority="738">
      <formula>AND(IF($Q201=2,1,0),IF($E201&lt;30,1,0))</formula>
    </cfRule>
    <cfRule type="expression" dxfId="5575" priority="739">
      <formula>AND(IF($Q201=3,1,0),IF($E201&lt;30,1,0))</formula>
    </cfRule>
    <cfRule type="expression" dxfId="5574" priority="740">
      <formula>AND(IF($Q201=3,1,IF($Q201=4,1,0)),IF($F201&lt;=85,1,0))</formula>
    </cfRule>
  </conditionalFormatting>
  <conditionalFormatting sqref="Y201">
    <cfRule type="expression" dxfId="5573" priority="733">
      <formula>AND(IF(OR($Q201=1,$Q201=2),1,0),IF($Y201&lt;=20,1,0))</formula>
    </cfRule>
    <cfRule type="expression" dxfId="5572" priority="734">
      <formula>AND(IF($Q201=2,1,0),IF($Y201&lt;30,1,0))</formula>
    </cfRule>
    <cfRule type="expression" dxfId="5571" priority="735">
      <formula>AND(IF($Q201=3,1,0),IF($Y201&lt;30,1,0))</formula>
    </cfRule>
    <cfRule type="expression" dxfId="5570" priority="736">
      <formula>AND(IF($Q201=3,1,IF($Q201=4,1,0)),IF($F201&lt;=85,1,0))</formula>
    </cfRule>
  </conditionalFormatting>
  <conditionalFormatting sqref="AJ201">
    <cfRule type="expression" dxfId="5569" priority="729">
      <formula>AND(IF(OR($Q201=1,$Q201=2),1,0),IF($Y201&lt;=20,1,0))</formula>
    </cfRule>
    <cfRule type="expression" dxfId="5568" priority="730">
      <formula>AND(IF($Q201=2,1,0),IF($Y201&lt;30,1,0))</formula>
    </cfRule>
    <cfRule type="expression" dxfId="5567" priority="731">
      <formula>AND(IF($Q201=3,1,0),IF($Y201&lt;30,1,0))</formula>
    </cfRule>
    <cfRule type="expression" dxfId="5566" priority="732">
      <formula>AND(IF($Q201=3,1,IF($Q201=4,1,0)),IF($F201&lt;=85,1,0))</formula>
    </cfRule>
  </conditionalFormatting>
  <conditionalFormatting sqref="AW202">
    <cfRule type="expression" dxfId="5565" priority="727">
      <formula>AW202="X"</formula>
    </cfRule>
    <cfRule type="expression" dxfId="5564" priority="728">
      <formula>AW202="후보"</formula>
    </cfRule>
  </conditionalFormatting>
  <conditionalFormatting sqref="AA202">
    <cfRule type="colorScale" priority="7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2">
    <cfRule type="cellIs" dxfId="5563" priority="724" operator="greaterThan">
      <formula>0.9</formula>
    </cfRule>
    <cfRule type="cellIs" dxfId="5562" priority="725" operator="greaterThan">
      <formula>0.85</formula>
    </cfRule>
  </conditionalFormatting>
  <conditionalFormatting sqref="N202">
    <cfRule type="cellIs" dxfId="5561" priority="722" operator="greaterThan">
      <formula>0.9</formula>
    </cfRule>
    <cfRule type="cellIs" dxfId="5560" priority="723" operator="greaterThan">
      <formula>0.85</formula>
    </cfRule>
  </conditionalFormatting>
  <conditionalFormatting sqref="E202">
    <cfRule type="expression" dxfId="5559" priority="718">
      <formula>AND(IF(OR($Q202=1,$Q202=2),1,0),IF($E202&lt;=20,1,0))</formula>
    </cfRule>
    <cfRule type="expression" dxfId="5558" priority="719">
      <formula>AND(IF($Q202=2,1,0),IF($E202&lt;30,1,0))</formula>
    </cfRule>
    <cfRule type="expression" dxfId="5557" priority="720">
      <formula>AND(IF($Q202=3,1,0),IF($E202&lt;30,1,0))</formula>
    </cfRule>
    <cfRule type="expression" dxfId="5556" priority="721">
      <formula>AND(IF($Q202=3,1,IF($Q202=4,1,0)),IF($F202&lt;=85,1,0))</formula>
    </cfRule>
  </conditionalFormatting>
  <conditionalFormatting sqref="Y202">
    <cfRule type="expression" dxfId="5555" priority="714">
      <formula>AND(IF(OR($Q202=1,$Q202=2),1,0),IF($Y202&lt;=20,1,0))</formula>
    </cfRule>
    <cfRule type="expression" dxfId="5554" priority="715">
      <formula>AND(IF($Q202=2,1,0),IF($Y202&lt;30,1,0))</formula>
    </cfRule>
    <cfRule type="expression" dxfId="5553" priority="716">
      <formula>AND(IF($Q202=3,1,0),IF($Y202&lt;30,1,0))</formula>
    </cfRule>
    <cfRule type="expression" dxfId="5552" priority="717">
      <formula>AND(IF($Q202=3,1,IF($Q202=4,1,0)),IF($F202&lt;=85,1,0))</formula>
    </cfRule>
  </conditionalFormatting>
  <conditionalFormatting sqref="AJ202">
    <cfRule type="expression" dxfId="5551" priority="710">
      <formula>AND(IF(OR($Q202=1,$Q202=2),1,0),IF($Y202&lt;=20,1,0))</formula>
    </cfRule>
    <cfRule type="expression" dxfId="5550" priority="711">
      <formula>AND(IF($Q202=2,1,0),IF($Y202&lt;30,1,0))</formula>
    </cfRule>
    <cfRule type="expression" dxfId="5549" priority="712">
      <formula>AND(IF($Q202=3,1,0),IF($Y202&lt;30,1,0))</formula>
    </cfRule>
    <cfRule type="expression" dxfId="5548" priority="713">
      <formula>AND(IF($Q202=3,1,IF($Q202=4,1,0)),IF($F202&lt;=85,1,0))</formula>
    </cfRule>
  </conditionalFormatting>
  <conditionalFormatting sqref="AW203">
    <cfRule type="expression" dxfId="5547" priority="708">
      <formula>AW203="X"</formula>
    </cfRule>
    <cfRule type="expression" dxfId="5546" priority="709">
      <formula>AW203="후보"</formula>
    </cfRule>
  </conditionalFormatting>
  <conditionalFormatting sqref="AA203">
    <cfRule type="colorScale" priority="7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3">
    <cfRule type="cellIs" dxfId="5545" priority="705" operator="greaterThan">
      <formula>0.9</formula>
    </cfRule>
    <cfRule type="cellIs" dxfId="5544" priority="706" operator="greaterThan">
      <formula>0.85</formula>
    </cfRule>
  </conditionalFormatting>
  <conditionalFormatting sqref="N203">
    <cfRule type="cellIs" dxfId="5543" priority="703" operator="greaterThan">
      <formula>0.9</formula>
    </cfRule>
    <cfRule type="cellIs" dxfId="5542" priority="704" operator="greaterThan">
      <formula>0.85</formula>
    </cfRule>
  </conditionalFormatting>
  <conditionalFormatting sqref="E203">
    <cfRule type="expression" dxfId="5541" priority="699">
      <formula>AND(IF(OR($Q203=1,$Q203=2),1,0),IF($E203&lt;=20,1,0))</formula>
    </cfRule>
    <cfRule type="expression" dxfId="5540" priority="700">
      <formula>AND(IF($Q203=2,1,0),IF($E203&lt;30,1,0))</formula>
    </cfRule>
    <cfRule type="expression" dxfId="5539" priority="701">
      <formula>AND(IF($Q203=3,1,0),IF($E203&lt;30,1,0))</formula>
    </cfRule>
    <cfRule type="expression" dxfId="5538" priority="702">
      <formula>AND(IF($Q203=3,1,IF($Q203=4,1,0)),IF($F203&lt;=85,1,0))</formula>
    </cfRule>
  </conditionalFormatting>
  <conditionalFormatting sqref="Y203">
    <cfRule type="expression" dxfId="5537" priority="695">
      <formula>AND(IF(OR($Q203=1,$Q203=2),1,0),IF($Y203&lt;=20,1,0))</formula>
    </cfRule>
    <cfRule type="expression" dxfId="5536" priority="696">
      <formula>AND(IF($Q203=2,1,0),IF($Y203&lt;30,1,0))</formula>
    </cfRule>
    <cfRule type="expression" dxfId="5535" priority="697">
      <formula>AND(IF($Q203=3,1,0),IF($Y203&lt;30,1,0))</formula>
    </cfRule>
    <cfRule type="expression" dxfId="5534" priority="698">
      <formula>AND(IF($Q203=3,1,IF($Q203=4,1,0)),IF($F203&lt;=85,1,0))</formula>
    </cfRule>
  </conditionalFormatting>
  <conditionalFormatting sqref="AJ203">
    <cfRule type="expression" dxfId="5533" priority="691">
      <formula>AND(IF(OR($Q203=1,$Q203=2),1,0),IF($Y203&lt;=20,1,0))</formula>
    </cfRule>
    <cfRule type="expression" dxfId="5532" priority="692">
      <formula>AND(IF($Q203=2,1,0),IF($Y203&lt;30,1,0))</formula>
    </cfRule>
    <cfRule type="expression" dxfId="5531" priority="693">
      <formula>AND(IF($Q203=3,1,0),IF($Y203&lt;30,1,0))</formula>
    </cfRule>
    <cfRule type="expression" dxfId="5530" priority="694">
      <formula>AND(IF($Q203=3,1,IF($Q203=4,1,0)),IF($F203&lt;=85,1,0))</formula>
    </cfRule>
  </conditionalFormatting>
  <conditionalFormatting sqref="AW204">
    <cfRule type="expression" dxfId="5529" priority="689">
      <formula>AW204="X"</formula>
    </cfRule>
    <cfRule type="expression" dxfId="5528" priority="690">
      <formula>AW204="후보"</formula>
    </cfRule>
  </conditionalFormatting>
  <conditionalFormatting sqref="AA204">
    <cfRule type="colorScale" priority="6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4">
    <cfRule type="cellIs" dxfId="5527" priority="686" operator="greaterThan">
      <formula>0.9</formula>
    </cfRule>
    <cfRule type="cellIs" dxfId="5526" priority="687" operator="greaterThan">
      <formula>0.85</formula>
    </cfRule>
  </conditionalFormatting>
  <conditionalFormatting sqref="N204">
    <cfRule type="cellIs" dxfId="5525" priority="684" operator="greaterThan">
      <formula>0.9</formula>
    </cfRule>
    <cfRule type="cellIs" dxfId="5524" priority="685" operator="greaterThan">
      <formula>0.85</formula>
    </cfRule>
  </conditionalFormatting>
  <conditionalFormatting sqref="E204">
    <cfRule type="expression" dxfId="5523" priority="680">
      <formula>AND(IF(OR($Q204=1,$Q204=2),1,0),IF($E204&lt;=20,1,0))</formula>
    </cfRule>
    <cfRule type="expression" dxfId="5522" priority="681">
      <formula>AND(IF($Q204=2,1,0),IF($E204&lt;30,1,0))</formula>
    </cfRule>
    <cfRule type="expression" dxfId="5521" priority="682">
      <formula>AND(IF($Q204=3,1,0),IF($E204&lt;30,1,0))</formula>
    </cfRule>
    <cfRule type="expression" dxfId="5520" priority="683">
      <formula>AND(IF($Q204=3,1,IF($Q204=4,1,0)),IF($F204&lt;=85,1,0))</formula>
    </cfRule>
  </conditionalFormatting>
  <conditionalFormatting sqref="Y204">
    <cfRule type="expression" dxfId="5519" priority="676">
      <formula>AND(IF(OR($Q204=1,$Q204=2),1,0),IF($Y204&lt;=20,1,0))</formula>
    </cfRule>
    <cfRule type="expression" dxfId="5518" priority="677">
      <formula>AND(IF($Q204=2,1,0),IF($Y204&lt;30,1,0))</formula>
    </cfRule>
    <cfRule type="expression" dxfId="5517" priority="678">
      <formula>AND(IF($Q204=3,1,0),IF($Y204&lt;30,1,0))</formula>
    </cfRule>
    <cfRule type="expression" dxfId="5516" priority="679">
      <formula>AND(IF($Q204=3,1,IF($Q204=4,1,0)),IF($F204&lt;=85,1,0))</formula>
    </cfRule>
  </conditionalFormatting>
  <conditionalFormatting sqref="AJ204">
    <cfRule type="expression" dxfId="5515" priority="672">
      <formula>AND(IF(OR($Q204=1,$Q204=2),1,0),IF($Y204&lt;=20,1,0))</formula>
    </cfRule>
    <cfRule type="expression" dxfId="5514" priority="673">
      <formula>AND(IF($Q204=2,1,0),IF($Y204&lt;30,1,0))</formula>
    </cfRule>
    <cfRule type="expression" dxfId="5513" priority="674">
      <formula>AND(IF($Q204=3,1,0),IF($Y204&lt;30,1,0))</formula>
    </cfRule>
    <cfRule type="expression" dxfId="5512" priority="675">
      <formula>AND(IF($Q204=3,1,IF($Q204=4,1,0)),IF($F204&lt;=85,1,0))</formula>
    </cfRule>
  </conditionalFormatting>
  <conditionalFormatting sqref="AW205">
    <cfRule type="expression" dxfId="5511" priority="670">
      <formula>AW205="X"</formula>
    </cfRule>
    <cfRule type="expression" dxfId="5510" priority="671">
      <formula>AW205="후보"</formula>
    </cfRule>
  </conditionalFormatting>
  <conditionalFormatting sqref="AA205">
    <cfRule type="colorScale" priority="6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5">
    <cfRule type="cellIs" dxfId="5509" priority="667" operator="greaterThan">
      <formula>0.9</formula>
    </cfRule>
    <cfRule type="cellIs" dxfId="5508" priority="668" operator="greaterThan">
      <formula>0.85</formula>
    </cfRule>
  </conditionalFormatting>
  <conditionalFormatting sqref="N205">
    <cfRule type="cellIs" dxfId="5507" priority="665" operator="greaterThan">
      <formula>0.9</formula>
    </cfRule>
    <cfRule type="cellIs" dxfId="5506" priority="666" operator="greaterThan">
      <formula>0.85</formula>
    </cfRule>
  </conditionalFormatting>
  <conditionalFormatting sqref="E205">
    <cfRule type="expression" dxfId="5505" priority="661">
      <formula>AND(IF(OR($Q205=1,$Q205=2),1,0),IF($E205&lt;=20,1,0))</formula>
    </cfRule>
    <cfRule type="expression" dxfId="5504" priority="662">
      <formula>AND(IF($Q205=2,1,0),IF($E205&lt;30,1,0))</formula>
    </cfRule>
    <cfRule type="expression" dxfId="5503" priority="663">
      <formula>AND(IF($Q205=3,1,0),IF($E205&lt;30,1,0))</formula>
    </cfRule>
    <cfRule type="expression" dxfId="5502" priority="664">
      <formula>AND(IF($Q205=3,1,IF($Q205=4,1,0)),IF($F205&lt;=85,1,0))</formula>
    </cfRule>
  </conditionalFormatting>
  <conditionalFormatting sqref="Y205">
    <cfRule type="expression" dxfId="5501" priority="657">
      <formula>AND(IF(OR($Q205=1,$Q205=2),1,0),IF($Y205&lt;=20,1,0))</formula>
    </cfRule>
    <cfRule type="expression" dxfId="5500" priority="658">
      <formula>AND(IF($Q205=2,1,0),IF($Y205&lt;30,1,0))</formula>
    </cfRule>
    <cfRule type="expression" dxfId="5499" priority="659">
      <formula>AND(IF($Q205=3,1,0),IF($Y205&lt;30,1,0))</formula>
    </cfRule>
    <cfRule type="expression" dxfId="5498" priority="660">
      <formula>AND(IF($Q205=3,1,IF($Q205=4,1,0)),IF($F205&lt;=85,1,0))</formula>
    </cfRule>
  </conditionalFormatting>
  <conditionalFormatting sqref="AJ205">
    <cfRule type="expression" dxfId="5497" priority="653">
      <formula>AND(IF(OR($Q205=1,$Q205=2),1,0),IF($Y205&lt;=20,1,0))</formula>
    </cfRule>
    <cfRule type="expression" dxfId="5496" priority="654">
      <formula>AND(IF($Q205=2,1,0),IF($Y205&lt;30,1,0))</formula>
    </cfRule>
    <cfRule type="expression" dxfId="5495" priority="655">
      <formula>AND(IF($Q205=3,1,0),IF($Y205&lt;30,1,0))</formula>
    </cfRule>
    <cfRule type="expression" dxfId="5494" priority="656">
      <formula>AND(IF($Q205=3,1,IF($Q205=4,1,0)),IF($F205&lt;=85,1,0))</formula>
    </cfRule>
  </conditionalFormatting>
  <conditionalFormatting sqref="AW206">
    <cfRule type="expression" dxfId="5493" priority="651">
      <formula>AW206="X"</formula>
    </cfRule>
    <cfRule type="expression" dxfId="5492" priority="652">
      <formula>AW206="후보"</formula>
    </cfRule>
  </conditionalFormatting>
  <conditionalFormatting sqref="AA206">
    <cfRule type="colorScale" priority="6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6">
    <cfRule type="cellIs" dxfId="5491" priority="648" operator="greaterThan">
      <formula>0.9</formula>
    </cfRule>
    <cfRule type="cellIs" dxfId="5490" priority="649" operator="greaterThan">
      <formula>0.85</formula>
    </cfRule>
  </conditionalFormatting>
  <conditionalFormatting sqref="N206">
    <cfRule type="cellIs" dxfId="5489" priority="646" operator="greaterThan">
      <formula>0.9</formula>
    </cfRule>
    <cfRule type="cellIs" dxfId="5488" priority="647" operator="greaterThan">
      <formula>0.85</formula>
    </cfRule>
  </conditionalFormatting>
  <conditionalFormatting sqref="E206">
    <cfRule type="expression" dxfId="5487" priority="642">
      <formula>AND(IF(OR($Q206=1,$Q206=2),1,0),IF($E206&lt;=20,1,0))</formula>
    </cfRule>
    <cfRule type="expression" dxfId="5486" priority="643">
      <formula>AND(IF($Q206=2,1,0),IF($E206&lt;30,1,0))</formula>
    </cfRule>
    <cfRule type="expression" dxfId="5485" priority="644">
      <formula>AND(IF($Q206=3,1,0),IF($E206&lt;30,1,0))</formula>
    </cfRule>
    <cfRule type="expression" dxfId="5484" priority="645">
      <formula>AND(IF($Q206=3,1,IF($Q206=4,1,0)),IF($F206&lt;=85,1,0))</formula>
    </cfRule>
  </conditionalFormatting>
  <conditionalFormatting sqref="Y206">
    <cfRule type="expression" dxfId="5483" priority="638">
      <formula>AND(IF(OR($Q206=1,$Q206=2),1,0),IF($Y206&lt;=20,1,0))</formula>
    </cfRule>
    <cfRule type="expression" dxfId="5482" priority="639">
      <formula>AND(IF($Q206=2,1,0),IF($Y206&lt;30,1,0))</formula>
    </cfRule>
    <cfRule type="expression" dxfId="5481" priority="640">
      <formula>AND(IF($Q206=3,1,0),IF($Y206&lt;30,1,0))</formula>
    </cfRule>
    <cfRule type="expression" dxfId="5480" priority="641">
      <formula>AND(IF($Q206=3,1,IF($Q206=4,1,0)),IF($F206&lt;=85,1,0))</formula>
    </cfRule>
  </conditionalFormatting>
  <conditionalFormatting sqref="AJ206">
    <cfRule type="expression" dxfId="5479" priority="634">
      <formula>AND(IF(OR($Q206=1,$Q206=2),1,0),IF($Y206&lt;=20,1,0))</formula>
    </cfRule>
    <cfRule type="expression" dxfId="5478" priority="635">
      <formula>AND(IF($Q206=2,1,0),IF($Y206&lt;30,1,0))</formula>
    </cfRule>
    <cfRule type="expression" dxfId="5477" priority="636">
      <formula>AND(IF($Q206=3,1,0),IF($Y206&lt;30,1,0))</formula>
    </cfRule>
    <cfRule type="expression" dxfId="5476" priority="637">
      <formula>AND(IF($Q206=3,1,IF($Q206=4,1,0)),IF($F206&lt;=85,1,0))</formula>
    </cfRule>
  </conditionalFormatting>
  <conditionalFormatting sqref="AW207">
    <cfRule type="expression" dxfId="5475" priority="632">
      <formula>AW207="X"</formula>
    </cfRule>
    <cfRule type="expression" dxfId="5474" priority="633">
      <formula>AW207="후보"</formula>
    </cfRule>
  </conditionalFormatting>
  <conditionalFormatting sqref="AA207">
    <cfRule type="colorScale" priority="6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7">
    <cfRule type="cellIs" dxfId="5473" priority="629" operator="greaterThan">
      <formula>0.9</formula>
    </cfRule>
    <cfRule type="cellIs" dxfId="5472" priority="630" operator="greaterThan">
      <formula>0.85</formula>
    </cfRule>
  </conditionalFormatting>
  <conditionalFormatting sqref="N207">
    <cfRule type="cellIs" dxfId="5471" priority="627" operator="greaterThan">
      <formula>0.9</formula>
    </cfRule>
    <cfRule type="cellIs" dxfId="5470" priority="628" operator="greaterThan">
      <formula>0.85</formula>
    </cfRule>
  </conditionalFormatting>
  <conditionalFormatting sqref="E207">
    <cfRule type="expression" dxfId="5469" priority="623">
      <formula>AND(IF(OR($Q207=1,$Q207=2),1,0),IF($E207&lt;=20,1,0))</formula>
    </cfRule>
    <cfRule type="expression" dxfId="5468" priority="624">
      <formula>AND(IF($Q207=2,1,0),IF($E207&lt;30,1,0))</formula>
    </cfRule>
    <cfRule type="expression" dxfId="5467" priority="625">
      <formula>AND(IF($Q207=3,1,0),IF($E207&lt;30,1,0))</formula>
    </cfRule>
    <cfRule type="expression" dxfId="5466" priority="626">
      <formula>AND(IF($Q207=3,1,IF($Q207=4,1,0)),IF($F207&lt;=85,1,0))</formula>
    </cfRule>
  </conditionalFormatting>
  <conditionalFormatting sqref="Y207">
    <cfRule type="expression" dxfId="5465" priority="619">
      <formula>AND(IF(OR($Q207=1,$Q207=2),1,0),IF($Y207&lt;=20,1,0))</formula>
    </cfRule>
    <cfRule type="expression" dxfId="5464" priority="620">
      <formula>AND(IF($Q207=2,1,0),IF($Y207&lt;30,1,0))</formula>
    </cfRule>
    <cfRule type="expression" dxfId="5463" priority="621">
      <formula>AND(IF($Q207=3,1,0),IF($Y207&lt;30,1,0))</formula>
    </cfRule>
    <cfRule type="expression" dxfId="5462" priority="622">
      <formula>AND(IF($Q207=3,1,IF($Q207=4,1,0)),IF($F207&lt;=85,1,0))</formula>
    </cfRule>
  </conditionalFormatting>
  <conditionalFormatting sqref="AJ207">
    <cfRule type="expression" dxfId="5461" priority="615">
      <formula>AND(IF(OR($Q207=1,$Q207=2),1,0),IF($Y207&lt;=20,1,0))</formula>
    </cfRule>
    <cfRule type="expression" dxfId="5460" priority="616">
      <formula>AND(IF($Q207=2,1,0),IF($Y207&lt;30,1,0))</formula>
    </cfRule>
    <cfRule type="expression" dxfId="5459" priority="617">
      <formula>AND(IF($Q207=3,1,0),IF($Y207&lt;30,1,0))</formula>
    </cfRule>
    <cfRule type="expression" dxfId="5458" priority="618">
      <formula>AND(IF($Q207=3,1,IF($Q207=4,1,0)),IF($F207&lt;=85,1,0))</formula>
    </cfRule>
  </conditionalFormatting>
  <conditionalFormatting sqref="AW208">
    <cfRule type="expression" dxfId="5457" priority="613">
      <formula>AW208="X"</formula>
    </cfRule>
    <cfRule type="expression" dxfId="5456" priority="614">
      <formula>AW208="후보"</formula>
    </cfRule>
  </conditionalFormatting>
  <conditionalFormatting sqref="AA208">
    <cfRule type="colorScale" priority="6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8">
    <cfRule type="cellIs" dxfId="5455" priority="610" operator="greaterThan">
      <formula>0.9</formula>
    </cfRule>
    <cfRule type="cellIs" dxfId="5454" priority="611" operator="greaterThan">
      <formula>0.85</formula>
    </cfRule>
  </conditionalFormatting>
  <conditionalFormatting sqref="N208">
    <cfRule type="cellIs" dxfId="5453" priority="608" operator="greaterThan">
      <formula>0.9</formula>
    </cfRule>
    <cfRule type="cellIs" dxfId="5452" priority="609" operator="greaterThan">
      <formula>0.85</formula>
    </cfRule>
  </conditionalFormatting>
  <conditionalFormatting sqref="E208">
    <cfRule type="expression" dxfId="5451" priority="604">
      <formula>AND(IF(OR($Q208=1,$Q208=2),1,0),IF($E208&lt;=20,1,0))</formula>
    </cfRule>
    <cfRule type="expression" dxfId="5450" priority="605">
      <formula>AND(IF($Q208=2,1,0),IF($E208&lt;30,1,0))</formula>
    </cfRule>
    <cfRule type="expression" dxfId="5449" priority="606">
      <formula>AND(IF($Q208=3,1,0),IF($E208&lt;30,1,0))</formula>
    </cfRule>
    <cfRule type="expression" dxfId="5448" priority="607">
      <formula>AND(IF($Q208=3,1,IF($Q208=4,1,0)),IF($F208&lt;=85,1,0))</formula>
    </cfRule>
  </conditionalFormatting>
  <conditionalFormatting sqref="Y208">
    <cfRule type="expression" dxfId="5447" priority="600">
      <formula>AND(IF(OR($Q208=1,$Q208=2),1,0),IF($Y208&lt;=20,1,0))</formula>
    </cfRule>
    <cfRule type="expression" dxfId="5446" priority="601">
      <formula>AND(IF($Q208=2,1,0),IF($Y208&lt;30,1,0))</formula>
    </cfRule>
    <cfRule type="expression" dxfId="5445" priority="602">
      <formula>AND(IF($Q208=3,1,0),IF($Y208&lt;30,1,0))</formula>
    </cfRule>
    <cfRule type="expression" dxfId="5444" priority="603">
      <formula>AND(IF($Q208=3,1,IF($Q208=4,1,0)),IF($F208&lt;=85,1,0))</formula>
    </cfRule>
  </conditionalFormatting>
  <conditionalFormatting sqref="AJ208">
    <cfRule type="expression" dxfId="5443" priority="596">
      <formula>AND(IF(OR($Q208=1,$Q208=2),1,0),IF($Y208&lt;=20,1,0))</formula>
    </cfRule>
    <cfRule type="expression" dxfId="5442" priority="597">
      <formula>AND(IF($Q208=2,1,0),IF($Y208&lt;30,1,0))</formula>
    </cfRule>
    <cfRule type="expression" dxfId="5441" priority="598">
      <formula>AND(IF($Q208=3,1,0),IF($Y208&lt;30,1,0))</formula>
    </cfRule>
    <cfRule type="expression" dxfId="5440" priority="599">
      <formula>AND(IF($Q208=3,1,IF($Q208=4,1,0)),IF($F208&lt;=85,1,0))</formula>
    </cfRule>
  </conditionalFormatting>
  <conditionalFormatting sqref="AW209">
    <cfRule type="expression" dxfId="5439" priority="594">
      <formula>AW209="X"</formula>
    </cfRule>
    <cfRule type="expression" dxfId="5438" priority="595">
      <formula>AW209="후보"</formula>
    </cfRule>
  </conditionalFormatting>
  <conditionalFormatting sqref="AA209">
    <cfRule type="colorScale" priority="5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9">
    <cfRule type="cellIs" dxfId="5437" priority="591" operator="greaterThan">
      <formula>0.9</formula>
    </cfRule>
    <cfRule type="cellIs" dxfId="5436" priority="592" operator="greaterThan">
      <formula>0.85</formula>
    </cfRule>
  </conditionalFormatting>
  <conditionalFormatting sqref="N209">
    <cfRule type="cellIs" dxfId="5435" priority="589" operator="greaterThan">
      <formula>0.9</formula>
    </cfRule>
    <cfRule type="cellIs" dxfId="5434" priority="590" operator="greaterThan">
      <formula>0.85</formula>
    </cfRule>
  </conditionalFormatting>
  <conditionalFormatting sqref="E209">
    <cfRule type="expression" dxfId="5433" priority="585">
      <formula>AND(IF(OR($Q209=1,$Q209=2),1,0),IF($E209&lt;=20,1,0))</formula>
    </cfRule>
    <cfRule type="expression" dxfId="5432" priority="586">
      <formula>AND(IF($Q209=2,1,0),IF($E209&lt;30,1,0))</formula>
    </cfRule>
    <cfRule type="expression" dxfId="5431" priority="587">
      <formula>AND(IF($Q209=3,1,0),IF($E209&lt;30,1,0))</formula>
    </cfRule>
    <cfRule type="expression" dxfId="5430" priority="588">
      <formula>AND(IF($Q209=3,1,IF($Q209=4,1,0)),IF($F209&lt;=85,1,0))</formula>
    </cfRule>
  </conditionalFormatting>
  <conditionalFormatting sqref="Y209">
    <cfRule type="expression" dxfId="5429" priority="581">
      <formula>AND(IF(OR($Q209=1,$Q209=2),1,0),IF($Y209&lt;=20,1,0))</formula>
    </cfRule>
    <cfRule type="expression" dxfId="5428" priority="582">
      <formula>AND(IF($Q209=2,1,0),IF($Y209&lt;30,1,0))</formula>
    </cfRule>
    <cfRule type="expression" dxfId="5427" priority="583">
      <formula>AND(IF($Q209=3,1,0),IF($Y209&lt;30,1,0))</formula>
    </cfRule>
    <cfRule type="expression" dxfId="5426" priority="584">
      <formula>AND(IF($Q209=3,1,IF($Q209=4,1,0)),IF($F209&lt;=85,1,0))</formula>
    </cfRule>
  </conditionalFormatting>
  <conditionalFormatting sqref="AJ209">
    <cfRule type="expression" dxfId="5425" priority="577">
      <formula>AND(IF(OR($Q209=1,$Q209=2),1,0),IF($Y209&lt;=20,1,0))</formula>
    </cfRule>
    <cfRule type="expression" dxfId="5424" priority="578">
      <formula>AND(IF($Q209=2,1,0),IF($Y209&lt;30,1,0))</formula>
    </cfRule>
    <cfRule type="expression" dxfId="5423" priority="579">
      <formula>AND(IF($Q209=3,1,0),IF($Y209&lt;30,1,0))</formula>
    </cfRule>
    <cfRule type="expression" dxfId="5422" priority="580">
      <formula>AND(IF($Q209=3,1,IF($Q209=4,1,0)),IF($F209&lt;=85,1,0))</formula>
    </cfRule>
  </conditionalFormatting>
  <conditionalFormatting sqref="AW210">
    <cfRule type="expression" dxfId="5421" priority="575">
      <formula>AW210="X"</formula>
    </cfRule>
    <cfRule type="expression" dxfId="5420" priority="576">
      <formula>AW210="후보"</formula>
    </cfRule>
  </conditionalFormatting>
  <conditionalFormatting sqref="AA210">
    <cfRule type="colorScale" priority="5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0">
    <cfRule type="cellIs" dxfId="5419" priority="572" operator="greaterThan">
      <formula>0.9</formula>
    </cfRule>
    <cfRule type="cellIs" dxfId="5418" priority="573" operator="greaterThan">
      <formula>0.85</formula>
    </cfRule>
  </conditionalFormatting>
  <conditionalFormatting sqref="N210">
    <cfRule type="cellIs" dxfId="5417" priority="570" operator="greaterThan">
      <formula>0.9</formula>
    </cfRule>
    <cfRule type="cellIs" dxfId="5416" priority="571" operator="greaterThan">
      <formula>0.85</formula>
    </cfRule>
  </conditionalFormatting>
  <conditionalFormatting sqref="E210">
    <cfRule type="expression" dxfId="5415" priority="566">
      <formula>AND(IF(OR($Q210=1,$Q210=2),1,0),IF($E210&lt;=20,1,0))</formula>
    </cfRule>
    <cfRule type="expression" dxfId="5414" priority="567">
      <formula>AND(IF($Q210=2,1,0),IF($E210&lt;30,1,0))</formula>
    </cfRule>
    <cfRule type="expression" dxfId="5413" priority="568">
      <formula>AND(IF($Q210=3,1,0),IF($E210&lt;30,1,0))</formula>
    </cfRule>
    <cfRule type="expression" dxfId="5412" priority="569">
      <formula>AND(IF($Q210=3,1,IF($Q210=4,1,0)),IF($F210&lt;=85,1,0))</formula>
    </cfRule>
  </conditionalFormatting>
  <conditionalFormatting sqref="Y210">
    <cfRule type="expression" dxfId="5411" priority="562">
      <formula>AND(IF(OR($Q210=1,$Q210=2),1,0),IF($Y210&lt;=20,1,0))</formula>
    </cfRule>
    <cfRule type="expression" dxfId="5410" priority="563">
      <formula>AND(IF($Q210=2,1,0),IF($Y210&lt;30,1,0))</formula>
    </cfRule>
    <cfRule type="expression" dxfId="5409" priority="564">
      <formula>AND(IF($Q210=3,1,0),IF($Y210&lt;30,1,0))</formula>
    </cfRule>
    <cfRule type="expression" dxfId="5408" priority="565">
      <formula>AND(IF($Q210=3,1,IF($Q210=4,1,0)),IF($F210&lt;=85,1,0))</formula>
    </cfRule>
  </conditionalFormatting>
  <conditionalFormatting sqref="AJ210">
    <cfRule type="expression" dxfId="5407" priority="558">
      <formula>AND(IF(OR($Q210=1,$Q210=2),1,0),IF($Y210&lt;=20,1,0))</formula>
    </cfRule>
    <cfRule type="expression" dxfId="5406" priority="559">
      <formula>AND(IF($Q210=2,1,0),IF($Y210&lt;30,1,0))</formula>
    </cfRule>
    <cfRule type="expression" dxfId="5405" priority="560">
      <formula>AND(IF($Q210=3,1,0),IF($Y210&lt;30,1,0))</formula>
    </cfRule>
    <cfRule type="expression" dxfId="5404" priority="561">
      <formula>AND(IF($Q210=3,1,IF($Q210=4,1,0)),IF($F210&lt;=85,1,0))</formula>
    </cfRule>
  </conditionalFormatting>
  <conditionalFormatting sqref="AW211">
    <cfRule type="expression" dxfId="5403" priority="556">
      <formula>AW211="X"</formula>
    </cfRule>
    <cfRule type="expression" dxfId="5402" priority="557">
      <formula>AW211="후보"</formula>
    </cfRule>
  </conditionalFormatting>
  <conditionalFormatting sqref="AA211">
    <cfRule type="colorScale" priority="5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1">
    <cfRule type="cellIs" dxfId="5401" priority="553" operator="greaterThan">
      <formula>0.9</formula>
    </cfRule>
    <cfRule type="cellIs" dxfId="5400" priority="554" operator="greaterThan">
      <formula>0.85</formula>
    </cfRule>
  </conditionalFormatting>
  <conditionalFormatting sqref="N211">
    <cfRule type="cellIs" dxfId="5399" priority="551" operator="greaterThan">
      <formula>0.9</formula>
    </cfRule>
    <cfRule type="cellIs" dxfId="5398" priority="552" operator="greaterThan">
      <formula>0.85</formula>
    </cfRule>
  </conditionalFormatting>
  <conditionalFormatting sqref="E211">
    <cfRule type="expression" dxfId="5397" priority="547">
      <formula>AND(IF(OR($Q211=1,$Q211=2),1,0),IF($E211&lt;=20,1,0))</formula>
    </cfRule>
    <cfRule type="expression" dxfId="5396" priority="548">
      <formula>AND(IF($Q211=2,1,0),IF($E211&lt;30,1,0))</formula>
    </cfRule>
    <cfRule type="expression" dxfId="5395" priority="549">
      <formula>AND(IF($Q211=3,1,0),IF($E211&lt;30,1,0))</formula>
    </cfRule>
    <cfRule type="expression" dxfId="5394" priority="550">
      <formula>AND(IF($Q211=3,1,IF($Q211=4,1,0)),IF($F211&lt;=85,1,0))</formula>
    </cfRule>
  </conditionalFormatting>
  <conditionalFormatting sqref="Y211">
    <cfRule type="expression" dxfId="5393" priority="543">
      <formula>AND(IF(OR($Q211=1,$Q211=2),1,0),IF($Y211&lt;=20,1,0))</formula>
    </cfRule>
    <cfRule type="expression" dxfId="5392" priority="544">
      <formula>AND(IF($Q211=2,1,0),IF($Y211&lt;30,1,0))</formula>
    </cfRule>
    <cfRule type="expression" dxfId="5391" priority="545">
      <formula>AND(IF($Q211=3,1,0),IF($Y211&lt;30,1,0))</formula>
    </cfRule>
    <cfRule type="expression" dxfId="5390" priority="546">
      <formula>AND(IF($Q211=3,1,IF($Q211=4,1,0)),IF($F211&lt;=85,1,0))</formula>
    </cfRule>
  </conditionalFormatting>
  <conditionalFormatting sqref="AJ211">
    <cfRule type="expression" dxfId="5389" priority="539">
      <formula>AND(IF(OR($Q211=1,$Q211=2),1,0),IF($Y211&lt;=20,1,0))</formula>
    </cfRule>
    <cfRule type="expression" dxfId="5388" priority="540">
      <formula>AND(IF($Q211=2,1,0),IF($Y211&lt;30,1,0))</formula>
    </cfRule>
    <cfRule type="expression" dxfId="5387" priority="541">
      <formula>AND(IF($Q211=3,1,0),IF($Y211&lt;30,1,0))</formula>
    </cfRule>
    <cfRule type="expression" dxfId="5386" priority="542">
      <formula>AND(IF($Q211=3,1,IF($Q211=4,1,0)),IF($F211&lt;=85,1,0))</formula>
    </cfRule>
  </conditionalFormatting>
  <conditionalFormatting sqref="AW212">
    <cfRule type="expression" dxfId="5385" priority="537">
      <formula>AW212="X"</formula>
    </cfRule>
    <cfRule type="expression" dxfId="5384" priority="538">
      <formula>AW212="후보"</formula>
    </cfRule>
  </conditionalFormatting>
  <conditionalFormatting sqref="AA212">
    <cfRule type="colorScale" priority="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2 N212">
    <cfRule type="cellIs" dxfId="5383" priority="534" operator="greaterThan">
      <formula>0.9</formula>
    </cfRule>
    <cfRule type="cellIs" dxfId="5382" priority="535" operator="greaterThan">
      <formula>0.85</formula>
    </cfRule>
  </conditionalFormatting>
  <conditionalFormatting sqref="AW213">
    <cfRule type="expression" dxfId="5381" priority="532">
      <formula>AW213="X"</formula>
    </cfRule>
    <cfRule type="expression" dxfId="5380" priority="533">
      <formula>AW213="후보"</formula>
    </cfRule>
  </conditionalFormatting>
  <conditionalFormatting sqref="AA213">
    <cfRule type="colorScale" priority="5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3">
    <cfRule type="cellIs" dxfId="5379" priority="529" operator="greaterThan">
      <formula>0.9</formula>
    </cfRule>
    <cfRule type="cellIs" dxfId="5378" priority="530" operator="greaterThan">
      <formula>0.85</formula>
    </cfRule>
  </conditionalFormatting>
  <conditionalFormatting sqref="N213">
    <cfRule type="cellIs" dxfId="5377" priority="527" operator="greaterThan">
      <formula>0.9</formula>
    </cfRule>
    <cfRule type="cellIs" dxfId="5376" priority="528" operator="greaterThan">
      <formula>0.85</formula>
    </cfRule>
  </conditionalFormatting>
  <conditionalFormatting sqref="E213">
    <cfRule type="expression" dxfId="5375" priority="523">
      <formula>AND(IF(OR($Q213=1,$Q213=2),1,0),IF($E213&lt;=20,1,0))</formula>
    </cfRule>
    <cfRule type="expression" dxfId="5374" priority="524">
      <formula>AND(IF($Q213=2,1,0),IF($E213&lt;30,1,0))</formula>
    </cfRule>
    <cfRule type="expression" dxfId="5373" priority="525">
      <formula>AND(IF($Q213=3,1,0),IF($E213&lt;30,1,0))</formula>
    </cfRule>
    <cfRule type="expression" dxfId="5372" priority="526">
      <formula>AND(IF($Q213=3,1,IF($Q213=4,1,0)),IF($F213&lt;=85,1,0))</formula>
    </cfRule>
  </conditionalFormatting>
  <conditionalFormatting sqref="Y213">
    <cfRule type="expression" dxfId="5371" priority="519">
      <formula>AND(IF(OR($Q213=1,$Q213=2),1,0),IF($Y213&lt;=20,1,0))</formula>
    </cfRule>
    <cfRule type="expression" dxfId="5370" priority="520">
      <formula>AND(IF($Q213=2,1,0),IF($Y213&lt;30,1,0))</formula>
    </cfRule>
    <cfRule type="expression" dxfId="5369" priority="521">
      <formula>AND(IF($Q213=3,1,0),IF($Y213&lt;30,1,0))</formula>
    </cfRule>
    <cfRule type="expression" dxfId="5368" priority="522">
      <formula>AND(IF($Q213=3,1,IF($Q213=4,1,0)),IF($F213&lt;=85,1,0))</formula>
    </cfRule>
  </conditionalFormatting>
  <conditionalFormatting sqref="AJ213">
    <cfRule type="expression" dxfId="5367" priority="515">
      <formula>AND(IF(OR($Q213=1,$Q213=2),1,0),IF($Y213&lt;=20,1,0))</formula>
    </cfRule>
    <cfRule type="expression" dxfId="5366" priority="516">
      <formula>AND(IF($Q213=2,1,0),IF($Y213&lt;30,1,0))</formula>
    </cfRule>
    <cfRule type="expression" dxfId="5365" priority="517">
      <formula>AND(IF($Q213=3,1,0),IF($Y213&lt;30,1,0))</formula>
    </cfRule>
    <cfRule type="expression" dxfId="5364" priority="518">
      <formula>AND(IF($Q213=3,1,IF($Q213=4,1,0)),IF($F213&lt;=85,1,0))</formula>
    </cfRule>
  </conditionalFormatting>
  <conditionalFormatting sqref="AW214">
    <cfRule type="expression" dxfId="5363" priority="513">
      <formula>AW214="X"</formula>
    </cfRule>
    <cfRule type="expression" dxfId="5362" priority="514">
      <formula>AW214="후보"</formula>
    </cfRule>
  </conditionalFormatting>
  <conditionalFormatting sqref="AA214">
    <cfRule type="colorScale" priority="5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4">
    <cfRule type="cellIs" dxfId="5361" priority="510" operator="greaterThan">
      <formula>0.9</formula>
    </cfRule>
    <cfRule type="cellIs" dxfId="5360" priority="511" operator="greaterThan">
      <formula>0.85</formula>
    </cfRule>
  </conditionalFormatting>
  <conditionalFormatting sqref="N214">
    <cfRule type="cellIs" dxfId="5359" priority="508" operator="greaterThan">
      <formula>0.9</formula>
    </cfRule>
    <cfRule type="cellIs" dxfId="5358" priority="509" operator="greaterThan">
      <formula>0.85</formula>
    </cfRule>
  </conditionalFormatting>
  <conditionalFormatting sqref="E214">
    <cfRule type="expression" dxfId="5357" priority="504">
      <formula>AND(IF(OR($Q214=1,$Q214=2),1,0),IF($E214&lt;=20,1,0))</formula>
    </cfRule>
    <cfRule type="expression" dxfId="5356" priority="505">
      <formula>AND(IF($Q214=2,1,0),IF($E214&lt;30,1,0))</formula>
    </cfRule>
    <cfRule type="expression" dxfId="5355" priority="506">
      <formula>AND(IF($Q214=3,1,0),IF($E214&lt;30,1,0))</formula>
    </cfRule>
    <cfRule type="expression" dxfId="5354" priority="507">
      <formula>AND(IF($Q214=3,1,IF($Q214=4,1,0)),IF($F214&lt;=85,1,0))</formula>
    </cfRule>
  </conditionalFormatting>
  <conditionalFormatting sqref="Y214">
    <cfRule type="expression" dxfId="5353" priority="500">
      <formula>AND(IF(OR($Q214=1,$Q214=2),1,0),IF($Y214&lt;=20,1,0))</formula>
    </cfRule>
    <cfRule type="expression" dxfId="5352" priority="501">
      <formula>AND(IF($Q214=2,1,0),IF($Y214&lt;30,1,0))</formula>
    </cfRule>
    <cfRule type="expression" dxfId="5351" priority="502">
      <formula>AND(IF($Q214=3,1,0),IF($Y214&lt;30,1,0))</formula>
    </cfRule>
    <cfRule type="expression" dxfId="5350" priority="503">
      <formula>AND(IF($Q214=3,1,IF($Q214=4,1,0)),IF($F214&lt;=85,1,0))</formula>
    </cfRule>
  </conditionalFormatting>
  <conditionalFormatting sqref="AJ214">
    <cfRule type="expression" dxfId="5349" priority="496">
      <formula>AND(IF(OR($Q214=1,$Q214=2),1,0),IF($Y214&lt;=20,1,0))</formula>
    </cfRule>
    <cfRule type="expression" dxfId="5348" priority="497">
      <formula>AND(IF($Q214=2,1,0),IF($Y214&lt;30,1,0))</formula>
    </cfRule>
    <cfRule type="expression" dxfId="5347" priority="498">
      <formula>AND(IF($Q214=3,1,0),IF($Y214&lt;30,1,0))</formula>
    </cfRule>
    <cfRule type="expression" dxfId="5346" priority="499">
      <formula>AND(IF($Q214=3,1,IF($Q214=4,1,0)),IF($F214&lt;=85,1,0))</formula>
    </cfRule>
  </conditionalFormatting>
  <conditionalFormatting sqref="AW215">
    <cfRule type="expression" dxfId="5345" priority="494">
      <formula>AW215="X"</formula>
    </cfRule>
    <cfRule type="expression" dxfId="5344" priority="495">
      <formula>AW215="후보"</formula>
    </cfRule>
  </conditionalFormatting>
  <conditionalFormatting sqref="AA215">
    <cfRule type="colorScale" priority="4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5 N215">
    <cfRule type="cellIs" dxfId="5343" priority="491" operator="greaterThan">
      <formula>0.9</formula>
    </cfRule>
    <cfRule type="cellIs" dxfId="5342" priority="492" operator="greaterThan">
      <formula>0.85</formula>
    </cfRule>
  </conditionalFormatting>
  <conditionalFormatting sqref="AW216">
    <cfRule type="expression" dxfId="5341" priority="489">
      <formula>AW216="X"</formula>
    </cfRule>
    <cfRule type="expression" dxfId="5340" priority="490">
      <formula>AW216="후보"</formula>
    </cfRule>
  </conditionalFormatting>
  <conditionalFormatting sqref="AA216">
    <cfRule type="colorScale" priority="4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6">
    <cfRule type="cellIs" dxfId="5339" priority="486" operator="greaterThan">
      <formula>0.9</formula>
    </cfRule>
    <cfRule type="cellIs" dxfId="5338" priority="487" operator="greaterThan">
      <formula>0.85</formula>
    </cfRule>
  </conditionalFormatting>
  <conditionalFormatting sqref="N216">
    <cfRule type="cellIs" dxfId="5337" priority="484" operator="greaterThan">
      <formula>0.9</formula>
    </cfRule>
    <cfRule type="cellIs" dxfId="5336" priority="485" operator="greaterThan">
      <formula>0.85</formula>
    </cfRule>
  </conditionalFormatting>
  <conditionalFormatting sqref="E216">
    <cfRule type="expression" dxfId="5335" priority="480">
      <formula>AND(IF(OR($Q216=1,$Q216=2),1,0),IF($E216&lt;=20,1,0))</formula>
    </cfRule>
    <cfRule type="expression" dxfId="5334" priority="481">
      <formula>AND(IF($Q216=2,1,0),IF($E216&lt;30,1,0))</formula>
    </cfRule>
    <cfRule type="expression" dxfId="5333" priority="482">
      <formula>AND(IF($Q216=3,1,0),IF($E216&lt;30,1,0))</formula>
    </cfRule>
    <cfRule type="expression" dxfId="5332" priority="483">
      <formula>AND(IF($Q216=3,1,IF($Q216=4,1,0)),IF($F216&lt;=85,1,0))</formula>
    </cfRule>
  </conditionalFormatting>
  <conditionalFormatting sqref="Y216">
    <cfRule type="expression" dxfId="5331" priority="476">
      <formula>AND(IF(OR($Q216=1,$Q216=2),1,0),IF($Y216&lt;=20,1,0))</formula>
    </cfRule>
    <cfRule type="expression" dxfId="5330" priority="477">
      <formula>AND(IF($Q216=2,1,0),IF($Y216&lt;30,1,0))</formula>
    </cfRule>
    <cfRule type="expression" dxfId="5329" priority="478">
      <formula>AND(IF($Q216=3,1,0),IF($Y216&lt;30,1,0))</formula>
    </cfRule>
    <cfRule type="expression" dxfId="5328" priority="479">
      <formula>AND(IF($Q216=3,1,IF($Q216=4,1,0)),IF($F216&lt;=85,1,0))</formula>
    </cfRule>
  </conditionalFormatting>
  <conditionalFormatting sqref="AJ216">
    <cfRule type="expression" dxfId="5327" priority="472">
      <formula>AND(IF(OR($Q216=1,$Q216=2),1,0),IF($Y216&lt;=20,1,0))</formula>
    </cfRule>
    <cfRule type="expression" dxfId="5326" priority="473">
      <formula>AND(IF($Q216=2,1,0),IF($Y216&lt;30,1,0))</formula>
    </cfRule>
    <cfRule type="expression" dxfId="5325" priority="474">
      <formula>AND(IF($Q216=3,1,0),IF($Y216&lt;30,1,0))</formula>
    </cfRule>
    <cfRule type="expression" dxfId="5324" priority="475">
      <formula>AND(IF($Q216=3,1,IF($Q216=4,1,0)),IF($F216&lt;=85,1,0))</formula>
    </cfRule>
  </conditionalFormatting>
  <conditionalFormatting sqref="AW217">
    <cfRule type="expression" dxfId="5323" priority="470">
      <formula>AW217="X"</formula>
    </cfRule>
    <cfRule type="expression" dxfId="5322" priority="471">
      <formula>AW217="후보"</formula>
    </cfRule>
  </conditionalFormatting>
  <conditionalFormatting sqref="AA217">
    <cfRule type="colorScale" priority="4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7">
    <cfRule type="cellIs" dxfId="5321" priority="467" operator="greaterThan">
      <formula>0.9</formula>
    </cfRule>
    <cfRule type="cellIs" dxfId="5320" priority="468" operator="greaterThan">
      <formula>0.85</formula>
    </cfRule>
  </conditionalFormatting>
  <conditionalFormatting sqref="N217">
    <cfRule type="cellIs" dxfId="5319" priority="465" operator="greaterThan">
      <formula>0.9</formula>
    </cfRule>
    <cfRule type="cellIs" dxfId="5318" priority="466" operator="greaterThan">
      <formula>0.85</formula>
    </cfRule>
  </conditionalFormatting>
  <conditionalFormatting sqref="E217">
    <cfRule type="expression" dxfId="5317" priority="461">
      <formula>AND(IF(OR($Q217=1,$Q217=2),1,0),IF($E217&lt;=20,1,0))</formula>
    </cfRule>
    <cfRule type="expression" dxfId="5316" priority="462">
      <formula>AND(IF($Q217=2,1,0),IF($E217&lt;30,1,0))</formula>
    </cfRule>
    <cfRule type="expression" dxfId="5315" priority="463">
      <formula>AND(IF($Q217=3,1,0),IF($E217&lt;30,1,0))</formula>
    </cfRule>
    <cfRule type="expression" dxfId="5314" priority="464">
      <formula>AND(IF($Q217=3,1,IF($Q217=4,1,0)),IF($F217&lt;=85,1,0))</formula>
    </cfRule>
  </conditionalFormatting>
  <conditionalFormatting sqref="Y217">
    <cfRule type="expression" dxfId="5313" priority="457">
      <formula>AND(IF(OR($Q217=1,$Q217=2),1,0),IF($Y217&lt;=20,1,0))</formula>
    </cfRule>
    <cfRule type="expression" dxfId="5312" priority="458">
      <formula>AND(IF($Q217=2,1,0),IF($Y217&lt;30,1,0))</formula>
    </cfRule>
    <cfRule type="expression" dxfId="5311" priority="459">
      <formula>AND(IF($Q217=3,1,0),IF($Y217&lt;30,1,0))</formula>
    </cfRule>
    <cfRule type="expression" dxfId="5310" priority="460">
      <formula>AND(IF($Q217=3,1,IF($Q217=4,1,0)),IF($F217&lt;=85,1,0))</formula>
    </cfRule>
  </conditionalFormatting>
  <conditionalFormatting sqref="AJ217">
    <cfRule type="expression" dxfId="5309" priority="453">
      <formula>AND(IF(OR($Q217=1,$Q217=2),1,0),IF($Y217&lt;=20,1,0))</formula>
    </cfRule>
    <cfRule type="expression" dxfId="5308" priority="454">
      <formula>AND(IF($Q217=2,1,0),IF($Y217&lt;30,1,0))</formula>
    </cfRule>
    <cfRule type="expression" dxfId="5307" priority="455">
      <formula>AND(IF($Q217=3,1,0),IF($Y217&lt;30,1,0))</formula>
    </cfRule>
    <cfRule type="expression" dxfId="5306" priority="456">
      <formula>AND(IF($Q217=3,1,IF($Q217=4,1,0)),IF($F217&lt;=85,1,0))</formula>
    </cfRule>
  </conditionalFormatting>
  <conditionalFormatting sqref="AW218">
    <cfRule type="expression" dxfId="5305" priority="451">
      <formula>AW218="X"</formula>
    </cfRule>
    <cfRule type="expression" dxfId="5304" priority="452">
      <formula>AW218="후보"</formula>
    </cfRule>
  </conditionalFormatting>
  <conditionalFormatting sqref="AA218">
    <cfRule type="colorScale" priority="4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8">
    <cfRule type="cellIs" dxfId="5303" priority="448" operator="greaterThan">
      <formula>0.9</formula>
    </cfRule>
    <cfRule type="cellIs" dxfId="5302" priority="449" operator="greaterThan">
      <formula>0.85</formula>
    </cfRule>
  </conditionalFormatting>
  <conditionalFormatting sqref="N218">
    <cfRule type="cellIs" dxfId="5301" priority="446" operator="greaterThan">
      <formula>0.9</formula>
    </cfRule>
    <cfRule type="cellIs" dxfId="5300" priority="447" operator="greaterThan">
      <formula>0.85</formula>
    </cfRule>
  </conditionalFormatting>
  <conditionalFormatting sqref="E218">
    <cfRule type="expression" dxfId="5299" priority="442">
      <formula>AND(IF(OR($Q218=1,$Q218=2),1,0),IF($E218&lt;=20,1,0))</formula>
    </cfRule>
    <cfRule type="expression" dxfId="5298" priority="443">
      <formula>AND(IF($Q218=2,1,0),IF($E218&lt;30,1,0))</formula>
    </cfRule>
    <cfRule type="expression" dxfId="5297" priority="444">
      <formula>AND(IF($Q218=3,1,0),IF($E218&lt;30,1,0))</formula>
    </cfRule>
    <cfRule type="expression" dxfId="5296" priority="445">
      <formula>AND(IF($Q218=3,1,IF($Q218=4,1,0)),IF($F218&lt;=85,1,0))</formula>
    </cfRule>
  </conditionalFormatting>
  <conditionalFormatting sqref="Y218">
    <cfRule type="expression" dxfId="5295" priority="438">
      <formula>AND(IF(OR($Q218=1,$Q218=2),1,0),IF($Y218&lt;=20,1,0))</formula>
    </cfRule>
    <cfRule type="expression" dxfId="5294" priority="439">
      <formula>AND(IF($Q218=2,1,0),IF($Y218&lt;30,1,0))</formula>
    </cfRule>
    <cfRule type="expression" dxfId="5293" priority="440">
      <formula>AND(IF($Q218=3,1,0),IF($Y218&lt;30,1,0))</formula>
    </cfRule>
    <cfRule type="expression" dxfId="5292" priority="441">
      <formula>AND(IF($Q218=3,1,IF($Q218=4,1,0)),IF($F218&lt;=85,1,0))</formula>
    </cfRule>
  </conditionalFormatting>
  <conditionalFormatting sqref="AJ218">
    <cfRule type="expression" dxfId="5291" priority="434">
      <formula>AND(IF(OR($Q218=1,$Q218=2),1,0),IF($Y218&lt;=20,1,0))</formula>
    </cfRule>
    <cfRule type="expression" dxfId="5290" priority="435">
      <formula>AND(IF($Q218=2,1,0),IF($Y218&lt;30,1,0))</formula>
    </cfRule>
    <cfRule type="expression" dxfId="5289" priority="436">
      <formula>AND(IF($Q218=3,1,0),IF($Y218&lt;30,1,0))</formula>
    </cfRule>
    <cfRule type="expression" dxfId="5288" priority="437">
      <formula>AND(IF($Q218=3,1,IF($Q218=4,1,0)),IF($F218&lt;=85,1,0))</formula>
    </cfRule>
  </conditionalFormatting>
  <conditionalFormatting sqref="AW219">
    <cfRule type="expression" dxfId="5287" priority="432">
      <formula>AW219="X"</formula>
    </cfRule>
    <cfRule type="expression" dxfId="5286" priority="433">
      <formula>AW219="후보"</formula>
    </cfRule>
  </conditionalFormatting>
  <conditionalFormatting sqref="AA219">
    <cfRule type="colorScale" priority="4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9 N219">
    <cfRule type="cellIs" dxfId="5285" priority="429" operator="greaterThan">
      <formula>0.9</formula>
    </cfRule>
    <cfRule type="cellIs" dxfId="5284" priority="430" operator="greaterThan">
      <formula>0.85</formula>
    </cfRule>
  </conditionalFormatting>
  <conditionalFormatting sqref="AW220">
    <cfRule type="expression" dxfId="5283" priority="427">
      <formula>AW220="X"</formula>
    </cfRule>
    <cfRule type="expression" dxfId="5282" priority="428">
      <formula>AW220="후보"</formula>
    </cfRule>
  </conditionalFormatting>
  <conditionalFormatting sqref="AA220">
    <cfRule type="colorScale" priority="4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0">
    <cfRule type="cellIs" dxfId="5281" priority="424" operator="greaterThan">
      <formula>0.9</formula>
    </cfRule>
    <cfRule type="cellIs" dxfId="5280" priority="425" operator="greaterThan">
      <formula>0.85</formula>
    </cfRule>
  </conditionalFormatting>
  <conditionalFormatting sqref="N220">
    <cfRule type="cellIs" dxfId="5279" priority="422" operator="greaterThan">
      <formula>0.9</formula>
    </cfRule>
    <cfRule type="cellIs" dxfId="5278" priority="423" operator="greaterThan">
      <formula>0.85</formula>
    </cfRule>
  </conditionalFormatting>
  <conditionalFormatting sqref="E220">
    <cfRule type="expression" dxfId="5277" priority="418">
      <formula>AND(IF(OR($Q220=1,$Q220=2),1,0),IF($E220&lt;=20,1,0))</formula>
    </cfRule>
    <cfRule type="expression" dxfId="5276" priority="419">
      <formula>AND(IF($Q220=2,1,0),IF($E220&lt;30,1,0))</formula>
    </cfRule>
    <cfRule type="expression" dxfId="5275" priority="420">
      <formula>AND(IF($Q220=3,1,0),IF($E220&lt;30,1,0))</formula>
    </cfRule>
    <cfRule type="expression" dxfId="5274" priority="421">
      <formula>AND(IF($Q220=3,1,IF($Q220=4,1,0)),IF($F220&lt;=85,1,0))</formula>
    </cfRule>
  </conditionalFormatting>
  <conditionalFormatting sqref="Y220">
    <cfRule type="expression" dxfId="5273" priority="414">
      <formula>AND(IF(OR($Q220=1,$Q220=2),1,0),IF($Y220&lt;=20,1,0))</formula>
    </cfRule>
    <cfRule type="expression" dxfId="5272" priority="415">
      <formula>AND(IF($Q220=2,1,0),IF($Y220&lt;30,1,0))</formula>
    </cfRule>
    <cfRule type="expression" dxfId="5271" priority="416">
      <formula>AND(IF($Q220=3,1,0),IF($Y220&lt;30,1,0))</formula>
    </cfRule>
    <cfRule type="expression" dxfId="5270" priority="417">
      <formula>AND(IF($Q220=3,1,IF($Q220=4,1,0)),IF($F220&lt;=85,1,0))</formula>
    </cfRule>
  </conditionalFormatting>
  <conditionalFormatting sqref="AJ220">
    <cfRule type="expression" dxfId="5269" priority="410">
      <formula>AND(IF(OR($Q220=1,$Q220=2),1,0),IF($Y220&lt;=20,1,0))</formula>
    </cfRule>
    <cfRule type="expression" dxfId="5268" priority="411">
      <formula>AND(IF($Q220=2,1,0),IF($Y220&lt;30,1,0))</formula>
    </cfRule>
    <cfRule type="expression" dxfId="5267" priority="412">
      <formula>AND(IF($Q220=3,1,0),IF($Y220&lt;30,1,0))</formula>
    </cfRule>
    <cfRule type="expression" dxfId="5266" priority="413">
      <formula>AND(IF($Q220=3,1,IF($Q220=4,1,0)),IF($F220&lt;=85,1,0))</formula>
    </cfRule>
  </conditionalFormatting>
  <conditionalFormatting sqref="AW221">
    <cfRule type="expression" dxfId="5265" priority="408">
      <formula>AW221="X"</formula>
    </cfRule>
    <cfRule type="expression" dxfId="5264" priority="409">
      <formula>AW221="후보"</formula>
    </cfRule>
  </conditionalFormatting>
  <conditionalFormatting sqref="AA221">
    <cfRule type="colorScale" priority="4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1">
    <cfRule type="cellIs" dxfId="5263" priority="405" operator="greaterThan">
      <formula>0.9</formula>
    </cfRule>
    <cfRule type="cellIs" dxfId="5262" priority="406" operator="greaterThan">
      <formula>0.85</formula>
    </cfRule>
  </conditionalFormatting>
  <conditionalFormatting sqref="N221">
    <cfRule type="cellIs" dxfId="5261" priority="403" operator="greaterThan">
      <formula>0.9</formula>
    </cfRule>
    <cfRule type="cellIs" dxfId="5260" priority="404" operator="greaterThan">
      <formula>0.85</formula>
    </cfRule>
  </conditionalFormatting>
  <conditionalFormatting sqref="E221">
    <cfRule type="expression" dxfId="5259" priority="399">
      <formula>AND(IF(OR($Q221=1,$Q221=2),1,0),IF($E221&lt;=20,1,0))</formula>
    </cfRule>
    <cfRule type="expression" dxfId="5258" priority="400">
      <formula>AND(IF($Q221=2,1,0),IF($E221&lt;30,1,0))</formula>
    </cfRule>
    <cfRule type="expression" dxfId="5257" priority="401">
      <formula>AND(IF($Q221=3,1,0),IF($E221&lt;30,1,0))</formula>
    </cfRule>
    <cfRule type="expression" dxfId="5256" priority="402">
      <formula>AND(IF($Q221=3,1,IF($Q221=4,1,0)),IF($F221&lt;=85,1,0))</formula>
    </cfRule>
  </conditionalFormatting>
  <conditionalFormatting sqref="Y221">
    <cfRule type="expression" dxfId="5255" priority="395">
      <formula>AND(IF(OR($Q221=1,$Q221=2),1,0),IF($Y221&lt;=20,1,0))</formula>
    </cfRule>
    <cfRule type="expression" dxfId="5254" priority="396">
      <formula>AND(IF($Q221=2,1,0),IF($Y221&lt;30,1,0))</formula>
    </cfRule>
    <cfRule type="expression" dxfId="5253" priority="397">
      <formula>AND(IF($Q221=3,1,0),IF($Y221&lt;30,1,0))</formula>
    </cfRule>
    <cfRule type="expression" dxfId="5252" priority="398">
      <formula>AND(IF($Q221=3,1,IF($Q221=4,1,0)),IF($F221&lt;=85,1,0))</formula>
    </cfRule>
  </conditionalFormatting>
  <conditionalFormatting sqref="AJ221">
    <cfRule type="expression" dxfId="5251" priority="391">
      <formula>AND(IF(OR($Q221=1,$Q221=2),1,0),IF($Y221&lt;=20,1,0))</formula>
    </cfRule>
    <cfRule type="expression" dxfId="5250" priority="392">
      <formula>AND(IF($Q221=2,1,0),IF($Y221&lt;30,1,0))</formula>
    </cfRule>
    <cfRule type="expression" dxfId="5249" priority="393">
      <formula>AND(IF($Q221=3,1,0),IF($Y221&lt;30,1,0))</formula>
    </cfRule>
    <cfRule type="expression" dxfId="5248" priority="394">
      <formula>AND(IF($Q221=3,1,IF($Q221=4,1,0)),IF($F221&lt;=85,1,0))</formula>
    </cfRule>
  </conditionalFormatting>
  <conditionalFormatting sqref="AW222">
    <cfRule type="expression" dxfId="5247" priority="389">
      <formula>AW222="X"</formula>
    </cfRule>
    <cfRule type="expression" dxfId="5246" priority="390">
      <formula>AW222="후보"</formula>
    </cfRule>
  </conditionalFormatting>
  <conditionalFormatting sqref="AA222">
    <cfRule type="colorScale" priority="3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2 N222">
    <cfRule type="cellIs" dxfId="5245" priority="386" operator="greaterThan">
      <formula>0.9</formula>
    </cfRule>
    <cfRule type="cellIs" dxfId="5244" priority="387" operator="greaterThan">
      <formula>0.85</formula>
    </cfRule>
  </conditionalFormatting>
  <conditionalFormatting sqref="AW223">
    <cfRule type="expression" dxfId="5243" priority="384">
      <formula>AW223="X"</formula>
    </cfRule>
    <cfRule type="expression" dxfId="5242" priority="385">
      <formula>AW223="후보"</formula>
    </cfRule>
  </conditionalFormatting>
  <conditionalFormatting sqref="AA223">
    <cfRule type="colorScale" priority="3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3">
    <cfRule type="cellIs" dxfId="5241" priority="381" operator="greaterThan">
      <formula>0.9</formula>
    </cfRule>
    <cfRule type="cellIs" dxfId="5240" priority="382" operator="greaterThan">
      <formula>0.85</formula>
    </cfRule>
  </conditionalFormatting>
  <conditionalFormatting sqref="N223">
    <cfRule type="cellIs" dxfId="5239" priority="379" operator="greaterThan">
      <formula>0.9</formula>
    </cfRule>
    <cfRule type="cellIs" dxfId="5238" priority="380" operator="greaterThan">
      <formula>0.85</formula>
    </cfRule>
  </conditionalFormatting>
  <conditionalFormatting sqref="E223">
    <cfRule type="expression" dxfId="5237" priority="375">
      <formula>AND(IF(OR($Q223=1,$Q223=2),1,0),IF($E223&lt;=20,1,0))</formula>
    </cfRule>
    <cfRule type="expression" dxfId="5236" priority="376">
      <formula>AND(IF($Q223=2,1,0),IF($E223&lt;30,1,0))</formula>
    </cfRule>
    <cfRule type="expression" dxfId="5235" priority="377">
      <formula>AND(IF($Q223=3,1,0),IF($E223&lt;30,1,0))</formula>
    </cfRule>
    <cfRule type="expression" dxfId="5234" priority="378">
      <formula>AND(IF($Q223=3,1,IF($Q223=4,1,0)),IF($F223&lt;=85,1,0))</formula>
    </cfRule>
  </conditionalFormatting>
  <conditionalFormatting sqref="Y223">
    <cfRule type="expression" dxfId="5233" priority="371">
      <formula>AND(IF(OR($Q223=1,$Q223=2),1,0),IF($Y223&lt;=20,1,0))</formula>
    </cfRule>
    <cfRule type="expression" dxfId="5232" priority="372">
      <formula>AND(IF($Q223=2,1,0),IF($Y223&lt;30,1,0))</formula>
    </cfRule>
    <cfRule type="expression" dxfId="5231" priority="373">
      <formula>AND(IF($Q223=3,1,0),IF($Y223&lt;30,1,0))</formula>
    </cfRule>
    <cfRule type="expression" dxfId="5230" priority="374">
      <formula>AND(IF($Q223=3,1,IF($Q223=4,1,0)),IF($F223&lt;=85,1,0))</formula>
    </cfRule>
  </conditionalFormatting>
  <conditionalFormatting sqref="AJ223">
    <cfRule type="expression" dxfId="5229" priority="367">
      <formula>AND(IF(OR($Q223=1,$Q223=2),1,0),IF($Y223&lt;=20,1,0))</formula>
    </cfRule>
    <cfRule type="expression" dxfId="5228" priority="368">
      <formula>AND(IF($Q223=2,1,0),IF($Y223&lt;30,1,0))</formula>
    </cfRule>
    <cfRule type="expression" dxfId="5227" priority="369">
      <formula>AND(IF($Q223=3,1,0),IF($Y223&lt;30,1,0))</formula>
    </cfRule>
    <cfRule type="expression" dxfId="5226" priority="370">
      <formula>AND(IF($Q223=3,1,IF($Q223=4,1,0)),IF($F223&lt;=85,1,0))</formula>
    </cfRule>
  </conditionalFormatting>
  <conditionalFormatting sqref="AW224">
    <cfRule type="expression" dxfId="5225" priority="365">
      <formula>AW224="X"</formula>
    </cfRule>
    <cfRule type="expression" dxfId="5224" priority="366">
      <formula>AW224="후보"</formula>
    </cfRule>
  </conditionalFormatting>
  <conditionalFormatting sqref="AA224">
    <cfRule type="colorScale" priority="3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4">
    <cfRule type="cellIs" dxfId="5223" priority="362" operator="greaterThan">
      <formula>0.9</formula>
    </cfRule>
    <cfRule type="cellIs" dxfId="5222" priority="363" operator="greaterThan">
      <formula>0.85</formula>
    </cfRule>
  </conditionalFormatting>
  <conditionalFormatting sqref="N224">
    <cfRule type="cellIs" dxfId="5221" priority="360" operator="greaterThan">
      <formula>0.9</formula>
    </cfRule>
    <cfRule type="cellIs" dxfId="5220" priority="361" operator="greaterThan">
      <formula>0.85</formula>
    </cfRule>
  </conditionalFormatting>
  <conditionalFormatting sqref="E224">
    <cfRule type="expression" dxfId="5219" priority="356">
      <formula>AND(IF(OR($Q224=1,$Q224=2),1,0),IF($E224&lt;=20,1,0))</formula>
    </cfRule>
    <cfRule type="expression" dxfId="5218" priority="357">
      <formula>AND(IF($Q224=2,1,0),IF($E224&lt;30,1,0))</formula>
    </cfRule>
    <cfRule type="expression" dxfId="5217" priority="358">
      <formula>AND(IF($Q224=3,1,0),IF($E224&lt;30,1,0))</formula>
    </cfRule>
    <cfRule type="expression" dxfId="5216" priority="359">
      <formula>AND(IF($Q224=3,1,IF($Q224=4,1,0)),IF($F224&lt;=85,1,0))</formula>
    </cfRule>
  </conditionalFormatting>
  <conditionalFormatting sqref="Y224">
    <cfRule type="expression" dxfId="5215" priority="352">
      <formula>AND(IF(OR($Q224=1,$Q224=2),1,0),IF($Y224&lt;=20,1,0))</formula>
    </cfRule>
    <cfRule type="expression" dxfId="5214" priority="353">
      <formula>AND(IF($Q224=2,1,0),IF($Y224&lt;30,1,0))</formula>
    </cfRule>
    <cfRule type="expression" dxfId="5213" priority="354">
      <formula>AND(IF($Q224=3,1,0),IF($Y224&lt;30,1,0))</formula>
    </cfRule>
    <cfRule type="expression" dxfId="5212" priority="355">
      <formula>AND(IF($Q224=3,1,IF($Q224=4,1,0)),IF($F224&lt;=85,1,0))</formula>
    </cfRule>
  </conditionalFormatting>
  <conditionalFormatting sqref="AJ224">
    <cfRule type="expression" dxfId="5211" priority="348">
      <formula>AND(IF(OR($Q224=1,$Q224=2),1,0),IF($Y224&lt;=20,1,0))</formula>
    </cfRule>
    <cfRule type="expression" dxfId="5210" priority="349">
      <formula>AND(IF($Q224=2,1,0),IF($Y224&lt;30,1,0))</formula>
    </cfRule>
    <cfRule type="expression" dxfId="5209" priority="350">
      <formula>AND(IF($Q224=3,1,0),IF($Y224&lt;30,1,0))</formula>
    </cfRule>
    <cfRule type="expression" dxfId="5208" priority="351">
      <formula>AND(IF($Q224=3,1,IF($Q224=4,1,0)),IF($F224&lt;=85,1,0))</formula>
    </cfRule>
  </conditionalFormatting>
  <conditionalFormatting sqref="AW225">
    <cfRule type="expression" dxfId="5207" priority="346">
      <formula>AW225="X"</formula>
    </cfRule>
    <cfRule type="expression" dxfId="5206" priority="347">
      <formula>AW225="후보"</formula>
    </cfRule>
  </conditionalFormatting>
  <conditionalFormatting sqref="AA225">
    <cfRule type="colorScale" priority="3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5">
    <cfRule type="cellIs" dxfId="5205" priority="343" operator="greaterThan">
      <formula>0.9</formula>
    </cfRule>
    <cfRule type="cellIs" dxfId="5204" priority="344" operator="greaterThan">
      <formula>0.85</formula>
    </cfRule>
  </conditionalFormatting>
  <conditionalFormatting sqref="N225">
    <cfRule type="cellIs" dxfId="5203" priority="341" operator="greaterThan">
      <formula>0.9</formula>
    </cfRule>
    <cfRule type="cellIs" dxfId="5202" priority="342" operator="greaterThan">
      <formula>0.85</formula>
    </cfRule>
  </conditionalFormatting>
  <conditionalFormatting sqref="E225">
    <cfRule type="expression" dxfId="5201" priority="337">
      <formula>AND(IF(OR($Q225=1,$Q225=2),1,0),IF($E225&lt;=20,1,0))</formula>
    </cfRule>
    <cfRule type="expression" dxfId="5200" priority="338">
      <formula>AND(IF($Q225=2,1,0),IF($E225&lt;30,1,0))</formula>
    </cfRule>
    <cfRule type="expression" dxfId="5199" priority="339">
      <formula>AND(IF($Q225=3,1,0),IF($E225&lt;30,1,0))</formula>
    </cfRule>
    <cfRule type="expression" dxfId="5198" priority="340">
      <formula>AND(IF($Q225=3,1,IF($Q225=4,1,0)),IF($F225&lt;=85,1,0))</formula>
    </cfRule>
  </conditionalFormatting>
  <conditionalFormatting sqref="Y225">
    <cfRule type="expression" dxfId="5197" priority="333">
      <formula>AND(IF(OR($Q225=1,$Q225=2),1,0),IF($Y225&lt;=20,1,0))</formula>
    </cfRule>
    <cfRule type="expression" dxfId="5196" priority="334">
      <formula>AND(IF($Q225=2,1,0),IF($Y225&lt;30,1,0))</formula>
    </cfRule>
    <cfRule type="expression" dxfId="5195" priority="335">
      <formula>AND(IF($Q225=3,1,0),IF($Y225&lt;30,1,0))</formula>
    </cfRule>
    <cfRule type="expression" dxfId="5194" priority="336">
      <formula>AND(IF($Q225=3,1,IF($Q225=4,1,0)),IF($F225&lt;=85,1,0))</formula>
    </cfRule>
  </conditionalFormatting>
  <conditionalFormatting sqref="AJ225">
    <cfRule type="expression" dxfId="5193" priority="329">
      <formula>AND(IF(OR($Q225=1,$Q225=2),1,0),IF($Y225&lt;=20,1,0))</formula>
    </cfRule>
    <cfRule type="expression" dxfId="5192" priority="330">
      <formula>AND(IF($Q225=2,1,0),IF($Y225&lt;30,1,0))</formula>
    </cfRule>
    <cfRule type="expression" dxfId="5191" priority="331">
      <formula>AND(IF($Q225=3,1,0),IF($Y225&lt;30,1,0))</formula>
    </cfRule>
    <cfRule type="expression" dxfId="5190" priority="332">
      <formula>AND(IF($Q225=3,1,IF($Q225=4,1,0)),IF($F225&lt;=85,1,0))</formula>
    </cfRule>
  </conditionalFormatting>
  <conditionalFormatting sqref="AW226">
    <cfRule type="expression" dxfId="5189" priority="327">
      <formula>AW226="X"</formula>
    </cfRule>
    <cfRule type="expression" dxfId="5188" priority="328">
      <formula>AW226="후보"</formula>
    </cfRule>
  </conditionalFormatting>
  <conditionalFormatting sqref="AA226">
    <cfRule type="colorScale" priority="3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6 N226">
    <cfRule type="cellIs" dxfId="5187" priority="324" operator="greaterThan">
      <formula>0.9</formula>
    </cfRule>
    <cfRule type="cellIs" dxfId="5186" priority="325" operator="greaterThan">
      <formula>0.85</formula>
    </cfRule>
  </conditionalFormatting>
  <conditionalFormatting sqref="AW227">
    <cfRule type="expression" dxfId="5185" priority="322">
      <formula>AW227="X"</formula>
    </cfRule>
    <cfRule type="expression" dxfId="5184" priority="323">
      <formula>AW227="후보"</formula>
    </cfRule>
  </conditionalFormatting>
  <conditionalFormatting sqref="AA227">
    <cfRule type="colorScale" priority="3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7">
    <cfRule type="cellIs" dxfId="5183" priority="319" operator="greaterThan">
      <formula>0.9</formula>
    </cfRule>
    <cfRule type="cellIs" dxfId="5182" priority="320" operator="greaterThan">
      <formula>0.85</formula>
    </cfRule>
  </conditionalFormatting>
  <conditionalFormatting sqref="N227">
    <cfRule type="cellIs" dxfId="5181" priority="317" operator="greaterThan">
      <formula>0.9</formula>
    </cfRule>
    <cfRule type="cellIs" dxfId="5180" priority="318" operator="greaterThan">
      <formula>0.85</formula>
    </cfRule>
  </conditionalFormatting>
  <conditionalFormatting sqref="E227">
    <cfRule type="expression" dxfId="5179" priority="313">
      <formula>AND(IF(OR($Q227=1,$Q227=2),1,0),IF($E227&lt;=20,1,0))</formula>
    </cfRule>
    <cfRule type="expression" dxfId="5178" priority="314">
      <formula>AND(IF($Q227=2,1,0),IF($E227&lt;30,1,0))</formula>
    </cfRule>
    <cfRule type="expression" dxfId="5177" priority="315">
      <formula>AND(IF($Q227=3,1,0),IF($E227&lt;30,1,0))</formula>
    </cfRule>
    <cfRule type="expression" dxfId="5176" priority="316">
      <formula>AND(IF($Q227=3,1,IF($Q227=4,1,0)),IF($F227&lt;=85,1,0))</formula>
    </cfRule>
  </conditionalFormatting>
  <conditionalFormatting sqref="Y227">
    <cfRule type="expression" dxfId="5175" priority="309">
      <formula>AND(IF(OR($Q227=1,$Q227=2),1,0),IF($Y227&lt;=20,1,0))</formula>
    </cfRule>
    <cfRule type="expression" dxfId="5174" priority="310">
      <formula>AND(IF($Q227=2,1,0),IF($Y227&lt;30,1,0))</formula>
    </cfRule>
    <cfRule type="expression" dxfId="5173" priority="311">
      <formula>AND(IF($Q227=3,1,0),IF($Y227&lt;30,1,0))</formula>
    </cfRule>
    <cfRule type="expression" dxfId="5172" priority="312">
      <formula>AND(IF($Q227=3,1,IF($Q227=4,1,0)),IF($F227&lt;=85,1,0))</formula>
    </cfRule>
  </conditionalFormatting>
  <conditionalFormatting sqref="AJ227">
    <cfRule type="expression" dxfId="5171" priority="305">
      <formula>AND(IF(OR($Q227=1,$Q227=2),1,0),IF($Y227&lt;=20,1,0))</formula>
    </cfRule>
    <cfRule type="expression" dxfId="5170" priority="306">
      <formula>AND(IF($Q227=2,1,0),IF($Y227&lt;30,1,0))</formula>
    </cfRule>
    <cfRule type="expression" dxfId="5169" priority="307">
      <formula>AND(IF($Q227=3,1,0),IF($Y227&lt;30,1,0))</formula>
    </cfRule>
    <cfRule type="expression" dxfId="5168" priority="308">
      <formula>AND(IF($Q227=3,1,IF($Q227=4,1,0)),IF($F227&lt;=85,1,0))</formula>
    </cfRule>
  </conditionalFormatting>
  <conditionalFormatting sqref="AW228">
    <cfRule type="expression" dxfId="5167" priority="303">
      <formula>AW228="X"</formula>
    </cfRule>
    <cfRule type="expression" dxfId="5166" priority="304">
      <formula>AW228="후보"</formula>
    </cfRule>
  </conditionalFormatting>
  <conditionalFormatting sqref="AA228">
    <cfRule type="colorScale" priority="3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8">
    <cfRule type="cellIs" dxfId="5165" priority="300" operator="greaterThan">
      <formula>0.9</formula>
    </cfRule>
    <cfRule type="cellIs" dxfId="5164" priority="301" operator="greaterThan">
      <formula>0.85</formula>
    </cfRule>
  </conditionalFormatting>
  <conditionalFormatting sqref="N228">
    <cfRule type="cellIs" dxfId="5163" priority="298" operator="greaterThan">
      <formula>0.9</formula>
    </cfRule>
    <cfRule type="cellIs" dxfId="5162" priority="299" operator="greaterThan">
      <formula>0.85</formula>
    </cfRule>
  </conditionalFormatting>
  <conditionalFormatting sqref="E228">
    <cfRule type="expression" dxfId="5161" priority="294">
      <formula>AND(IF(OR($Q228=1,$Q228=2),1,0),IF($E228&lt;=20,1,0))</formula>
    </cfRule>
    <cfRule type="expression" dxfId="5160" priority="295">
      <formula>AND(IF($Q228=2,1,0),IF($E228&lt;30,1,0))</formula>
    </cfRule>
    <cfRule type="expression" dxfId="5159" priority="296">
      <formula>AND(IF($Q228=3,1,0),IF($E228&lt;30,1,0))</formula>
    </cfRule>
    <cfRule type="expression" dxfId="5158" priority="297">
      <formula>AND(IF($Q228=3,1,IF($Q228=4,1,0)),IF($F228&lt;=85,1,0))</formula>
    </cfRule>
  </conditionalFormatting>
  <conditionalFormatting sqref="Y228">
    <cfRule type="expression" dxfId="5157" priority="290">
      <formula>AND(IF(OR($Q228=1,$Q228=2),1,0),IF($Y228&lt;=20,1,0))</formula>
    </cfRule>
    <cfRule type="expression" dxfId="5156" priority="291">
      <formula>AND(IF($Q228=2,1,0),IF($Y228&lt;30,1,0))</formula>
    </cfRule>
    <cfRule type="expression" dxfId="5155" priority="292">
      <formula>AND(IF($Q228=3,1,0),IF($Y228&lt;30,1,0))</formula>
    </cfRule>
    <cfRule type="expression" dxfId="5154" priority="293">
      <formula>AND(IF($Q228=3,1,IF($Q228=4,1,0)),IF($F228&lt;=85,1,0))</formula>
    </cfRule>
  </conditionalFormatting>
  <conditionalFormatting sqref="AJ228">
    <cfRule type="expression" dxfId="5153" priority="286">
      <formula>AND(IF(OR($Q228=1,$Q228=2),1,0),IF($Y228&lt;=20,1,0))</formula>
    </cfRule>
    <cfRule type="expression" dxfId="5152" priority="287">
      <formula>AND(IF($Q228=2,1,0),IF($Y228&lt;30,1,0))</formula>
    </cfRule>
    <cfRule type="expression" dxfId="5151" priority="288">
      <formula>AND(IF($Q228=3,1,0),IF($Y228&lt;30,1,0))</formula>
    </cfRule>
    <cfRule type="expression" dxfId="5150" priority="289">
      <formula>AND(IF($Q228=3,1,IF($Q228=4,1,0)),IF($F228&lt;=85,1,0))</formula>
    </cfRule>
  </conditionalFormatting>
  <conditionalFormatting sqref="AW229">
    <cfRule type="expression" dxfId="5149" priority="284">
      <formula>AW229="X"</formula>
    </cfRule>
    <cfRule type="expression" dxfId="5148" priority="285">
      <formula>AW229="후보"</formula>
    </cfRule>
  </conditionalFormatting>
  <conditionalFormatting sqref="AA229">
    <cfRule type="colorScale" priority="2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9">
    <cfRule type="cellIs" dxfId="5147" priority="281" operator="greaterThan">
      <formula>0.9</formula>
    </cfRule>
    <cfRule type="cellIs" dxfId="5146" priority="282" operator="greaterThan">
      <formula>0.85</formula>
    </cfRule>
  </conditionalFormatting>
  <conditionalFormatting sqref="N229">
    <cfRule type="cellIs" dxfId="5145" priority="279" operator="greaterThan">
      <formula>0.9</formula>
    </cfRule>
    <cfRule type="cellIs" dxfId="5144" priority="280" operator="greaterThan">
      <formula>0.85</formula>
    </cfRule>
  </conditionalFormatting>
  <conditionalFormatting sqref="E229">
    <cfRule type="expression" dxfId="5143" priority="275">
      <formula>AND(IF(OR($Q229=1,$Q229=2),1,0),IF($E229&lt;=20,1,0))</formula>
    </cfRule>
    <cfRule type="expression" dxfId="5142" priority="276">
      <formula>AND(IF($Q229=2,1,0),IF($E229&lt;30,1,0))</formula>
    </cfRule>
    <cfRule type="expression" dxfId="5141" priority="277">
      <formula>AND(IF($Q229=3,1,0),IF($E229&lt;30,1,0))</formula>
    </cfRule>
    <cfRule type="expression" dxfId="5140" priority="278">
      <formula>AND(IF($Q229=3,1,IF($Q229=4,1,0)),IF($F229&lt;=85,1,0))</formula>
    </cfRule>
  </conditionalFormatting>
  <conditionalFormatting sqref="Y229">
    <cfRule type="expression" dxfId="5139" priority="271">
      <formula>AND(IF(OR($Q229=1,$Q229=2),1,0),IF($Y229&lt;=20,1,0))</formula>
    </cfRule>
    <cfRule type="expression" dxfId="5138" priority="272">
      <formula>AND(IF($Q229=2,1,0),IF($Y229&lt;30,1,0))</formula>
    </cfRule>
    <cfRule type="expression" dxfId="5137" priority="273">
      <formula>AND(IF($Q229=3,1,0),IF($Y229&lt;30,1,0))</formula>
    </cfRule>
    <cfRule type="expression" dxfId="5136" priority="274">
      <formula>AND(IF($Q229=3,1,IF($Q229=4,1,0)),IF($F229&lt;=85,1,0))</formula>
    </cfRule>
  </conditionalFormatting>
  <conditionalFormatting sqref="AJ229">
    <cfRule type="expression" dxfId="5135" priority="267">
      <formula>AND(IF(OR($Q229=1,$Q229=2),1,0),IF($Y229&lt;=20,1,0))</formula>
    </cfRule>
    <cfRule type="expression" dxfId="5134" priority="268">
      <formula>AND(IF($Q229=2,1,0),IF($Y229&lt;30,1,0))</formula>
    </cfRule>
    <cfRule type="expression" dxfId="5133" priority="269">
      <formula>AND(IF($Q229=3,1,0),IF($Y229&lt;30,1,0))</formula>
    </cfRule>
    <cfRule type="expression" dxfId="5132" priority="270">
      <formula>AND(IF($Q229=3,1,IF($Q229=4,1,0)),IF($F229&lt;=85,1,0))</formula>
    </cfRule>
  </conditionalFormatting>
  <conditionalFormatting sqref="AW230">
    <cfRule type="expression" dxfId="5131" priority="265">
      <formula>AW230="X"</formula>
    </cfRule>
    <cfRule type="expression" dxfId="5130" priority="266">
      <formula>AW230="후보"</formula>
    </cfRule>
  </conditionalFormatting>
  <conditionalFormatting sqref="AA230">
    <cfRule type="colorScale" priority="2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0">
    <cfRule type="cellIs" dxfId="5129" priority="262" operator="greaterThan">
      <formula>0.9</formula>
    </cfRule>
    <cfRule type="cellIs" dxfId="5128" priority="263" operator="greaterThan">
      <formula>0.85</formula>
    </cfRule>
  </conditionalFormatting>
  <conditionalFormatting sqref="N230">
    <cfRule type="cellIs" dxfId="5127" priority="260" operator="greaterThan">
      <formula>0.9</formula>
    </cfRule>
    <cfRule type="cellIs" dxfId="5126" priority="261" operator="greaterThan">
      <formula>0.85</formula>
    </cfRule>
  </conditionalFormatting>
  <conditionalFormatting sqref="E230">
    <cfRule type="expression" dxfId="5125" priority="256">
      <formula>AND(IF(OR($Q230=1,$Q230=2),1,0),IF($E230&lt;=20,1,0))</formula>
    </cfRule>
    <cfRule type="expression" dxfId="5124" priority="257">
      <formula>AND(IF($Q230=2,1,0),IF($E230&lt;30,1,0))</formula>
    </cfRule>
    <cfRule type="expression" dxfId="5123" priority="258">
      <formula>AND(IF($Q230=3,1,0),IF($E230&lt;30,1,0))</formula>
    </cfRule>
    <cfRule type="expression" dxfId="5122" priority="259">
      <formula>AND(IF($Q230=3,1,IF($Q230=4,1,0)),IF($F230&lt;=85,1,0))</formula>
    </cfRule>
  </conditionalFormatting>
  <conditionalFormatting sqref="Y230">
    <cfRule type="expression" dxfId="5121" priority="252">
      <formula>AND(IF(OR($Q230=1,$Q230=2),1,0),IF($Y230&lt;=20,1,0))</formula>
    </cfRule>
    <cfRule type="expression" dxfId="5120" priority="253">
      <formula>AND(IF($Q230=2,1,0),IF($Y230&lt;30,1,0))</formula>
    </cfRule>
    <cfRule type="expression" dxfId="5119" priority="254">
      <formula>AND(IF($Q230=3,1,0),IF($Y230&lt;30,1,0))</formula>
    </cfRule>
    <cfRule type="expression" dxfId="5118" priority="255">
      <formula>AND(IF($Q230=3,1,IF($Q230=4,1,0)),IF($F230&lt;=85,1,0))</formula>
    </cfRule>
  </conditionalFormatting>
  <conditionalFormatting sqref="AJ230">
    <cfRule type="expression" dxfId="5117" priority="248">
      <formula>AND(IF(OR($Q230=1,$Q230=2),1,0),IF($Y230&lt;=20,1,0))</formula>
    </cfRule>
    <cfRule type="expression" dxfId="5116" priority="249">
      <formula>AND(IF($Q230=2,1,0),IF($Y230&lt;30,1,0))</formula>
    </cfRule>
    <cfRule type="expression" dxfId="5115" priority="250">
      <formula>AND(IF($Q230=3,1,0),IF($Y230&lt;30,1,0))</formula>
    </cfRule>
    <cfRule type="expression" dxfId="5114" priority="251">
      <formula>AND(IF($Q230=3,1,IF($Q230=4,1,0)),IF($F230&lt;=85,1,0))</formula>
    </cfRule>
  </conditionalFormatting>
  <conditionalFormatting sqref="AW231">
    <cfRule type="expression" dxfId="5113" priority="246">
      <formula>AW231="X"</formula>
    </cfRule>
    <cfRule type="expression" dxfId="5112" priority="247">
      <formula>AW231="후보"</formula>
    </cfRule>
  </conditionalFormatting>
  <conditionalFormatting sqref="AA231">
    <cfRule type="colorScale" priority="2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1">
    <cfRule type="cellIs" dxfId="5111" priority="243" operator="greaterThan">
      <formula>0.9</formula>
    </cfRule>
    <cfRule type="cellIs" dxfId="5110" priority="244" operator="greaterThan">
      <formula>0.85</formula>
    </cfRule>
  </conditionalFormatting>
  <conditionalFormatting sqref="N231">
    <cfRule type="cellIs" dxfId="5109" priority="241" operator="greaterThan">
      <formula>0.9</formula>
    </cfRule>
    <cfRule type="cellIs" dxfId="5108" priority="242" operator="greaterThan">
      <formula>0.85</formula>
    </cfRule>
  </conditionalFormatting>
  <conditionalFormatting sqref="E231">
    <cfRule type="expression" dxfId="5107" priority="237">
      <formula>AND(IF(OR($Q231=1,$Q231=2),1,0),IF($E231&lt;=20,1,0))</formula>
    </cfRule>
    <cfRule type="expression" dxfId="5106" priority="238">
      <formula>AND(IF($Q231=2,1,0),IF($E231&lt;30,1,0))</formula>
    </cfRule>
    <cfRule type="expression" dxfId="5105" priority="239">
      <formula>AND(IF($Q231=3,1,0),IF($E231&lt;30,1,0))</formula>
    </cfRule>
    <cfRule type="expression" dxfId="5104" priority="240">
      <formula>AND(IF($Q231=3,1,IF($Q231=4,1,0)),IF($F231&lt;=85,1,0))</formula>
    </cfRule>
  </conditionalFormatting>
  <conditionalFormatting sqref="Y231">
    <cfRule type="expression" dxfId="5103" priority="233">
      <formula>AND(IF(OR($Q231=1,$Q231=2),1,0),IF($Y231&lt;=20,1,0))</formula>
    </cfRule>
    <cfRule type="expression" dxfId="5102" priority="234">
      <formula>AND(IF($Q231=2,1,0),IF($Y231&lt;30,1,0))</formula>
    </cfRule>
    <cfRule type="expression" dxfId="5101" priority="235">
      <formula>AND(IF($Q231=3,1,0),IF($Y231&lt;30,1,0))</formula>
    </cfRule>
    <cfRule type="expression" dxfId="5100" priority="236">
      <formula>AND(IF($Q231=3,1,IF($Q231=4,1,0)),IF($F231&lt;=85,1,0))</formula>
    </cfRule>
  </conditionalFormatting>
  <conditionalFormatting sqref="AJ231">
    <cfRule type="expression" dxfId="5099" priority="229">
      <formula>AND(IF(OR($Q231=1,$Q231=2),1,0),IF($Y231&lt;=20,1,0))</formula>
    </cfRule>
    <cfRule type="expression" dxfId="5098" priority="230">
      <formula>AND(IF($Q231=2,1,0),IF($Y231&lt;30,1,0))</formula>
    </cfRule>
    <cfRule type="expression" dxfId="5097" priority="231">
      <formula>AND(IF($Q231=3,1,0),IF($Y231&lt;30,1,0))</formula>
    </cfRule>
    <cfRule type="expression" dxfId="5096" priority="232">
      <formula>AND(IF($Q231=3,1,IF($Q231=4,1,0)),IF($F231&lt;=85,1,0))</formula>
    </cfRule>
  </conditionalFormatting>
  <conditionalFormatting sqref="AW232">
    <cfRule type="expression" dxfId="5095" priority="227">
      <formula>AW232="X"</formula>
    </cfRule>
    <cfRule type="expression" dxfId="5094" priority="228">
      <formula>AW232="후보"</formula>
    </cfRule>
  </conditionalFormatting>
  <conditionalFormatting sqref="AA232">
    <cfRule type="colorScale" priority="2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2">
    <cfRule type="cellIs" dxfId="5093" priority="224" operator="greaterThan">
      <formula>0.9</formula>
    </cfRule>
    <cfRule type="cellIs" dxfId="5092" priority="225" operator="greaterThan">
      <formula>0.85</formula>
    </cfRule>
  </conditionalFormatting>
  <conditionalFormatting sqref="N232">
    <cfRule type="cellIs" dxfId="5091" priority="222" operator="greaterThan">
      <formula>0.9</formula>
    </cfRule>
    <cfRule type="cellIs" dxfId="5090" priority="223" operator="greaterThan">
      <formula>0.85</formula>
    </cfRule>
  </conditionalFormatting>
  <conditionalFormatting sqref="E232">
    <cfRule type="expression" dxfId="5089" priority="218">
      <formula>AND(IF(OR($Q232=1,$Q232=2),1,0),IF($E232&lt;=20,1,0))</formula>
    </cfRule>
    <cfRule type="expression" dxfId="5088" priority="219">
      <formula>AND(IF($Q232=2,1,0),IF($E232&lt;30,1,0))</formula>
    </cfRule>
    <cfRule type="expression" dxfId="5087" priority="220">
      <formula>AND(IF($Q232=3,1,0),IF($E232&lt;30,1,0))</formula>
    </cfRule>
    <cfRule type="expression" dxfId="5086" priority="221">
      <formula>AND(IF($Q232=3,1,IF($Q232=4,1,0)),IF($F232&lt;=85,1,0))</formula>
    </cfRule>
  </conditionalFormatting>
  <conditionalFormatting sqref="Y232">
    <cfRule type="expression" dxfId="5085" priority="214">
      <formula>AND(IF(OR($Q232=1,$Q232=2),1,0),IF($Y232&lt;=20,1,0))</formula>
    </cfRule>
    <cfRule type="expression" dxfId="5084" priority="215">
      <formula>AND(IF($Q232=2,1,0),IF($Y232&lt;30,1,0))</formula>
    </cfRule>
    <cfRule type="expression" dxfId="5083" priority="216">
      <formula>AND(IF($Q232=3,1,0),IF($Y232&lt;30,1,0))</formula>
    </cfRule>
    <cfRule type="expression" dxfId="5082" priority="217">
      <formula>AND(IF($Q232=3,1,IF($Q232=4,1,0)),IF($F232&lt;=85,1,0))</formula>
    </cfRule>
  </conditionalFormatting>
  <conditionalFormatting sqref="AJ232">
    <cfRule type="expression" dxfId="5081" priority="210">
      <formula>AND(IF(OR($Q232=1,$Q232=2),1,0),IF($Y232&lt;=20,1,0))</formula>
    </cfRule>
    <cfRule type="expression" dxfId="5080" priority="211">
      <formula>AND(IF($Q232=2,1,0),IF($Y232&lt;30,1,0))</formula>
    </cfRule>
    <cfRule type="expression" dxfId="5079" priority="212">
      <formula>AND(IF($Q232=3,1,0),IF($Y232&lt;30,1,0))</formula>
    </cfRule>
    <cfRule type="expression" dxfId="5078" priority="213">
      <formula>AND(IF($Q232=3,1,IF($Q232=4,1,0)),IF($F232&lt;=85,1,0))</formula>
    </cfRule>
  </conditionalFormatting>
  <conditionalFormatting sqref="AW233">
    <cfRule type="expression" dxfId="5077" priority="208">
      <formula>AW233="X"</formula>
    </cfRule>
    <cfRule type="expression" dxfId="5076" priority="209">
      <formula>AW233="후보"</formula>
    </cfRule>
  </conditionalFormatting>
  <conditionalFormatting sqref="AA233">
    <cfRule type="colorScale" priority="2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3">
    <cfRule type="cellIs" dxfId="5075" priority="205" operator="greaterThan">
      <formula>0.9</formula>
    </cfRule>
    <cfRule type="cellIs" dxfId="5074" priority="206" operator="greaterThan">
      <formula>0.85</formula>
    </cfRule>
  </conditionalFormatting>
  <conditionalFormatting sqref="N233">
    <cfRule type="cellIs" dxfId="5073" priority="203" operator="greaterThan">
      <formula>0.9</formula>
    </cfRule>
    <cfRule type="cellIs" dxfId="5072" priority="204" operator="greaterThan">
      <formula>0.85</formula>
    </cfRule>
  </conditionalFormatting>
  <conditionalFormatting sqref="E233">
    <cfRule type="expression" dxfId="5071" priority="199">
      <formula>AND(IF(OR($Q233=1,$Q233=2),1,0),IF($E233&lt;=20,1,0))</formula>
    </cfRule>
    <cfRule type="expression" dxfId="5070" priority="200">
      <formula>AND(IF($Q233=2,1,0),IF($E233&lt;30,1,0))</formula>
    </cfRule>
    <cfRule type="expression" dxfId="5069" priority="201">
      <formula>AND(IF($Q233=3,1,0),IF($E233&lt;30,1,0))</formula>
    </cfRule>
    <cfRule type="expression" dxfId="5068" priority="202">
      <formula>AND(IF($Q233=3,1,IF($Q233=4,1,0)),IF($F233&lt;=85,1,0))</formula>
    </cfRule>
  </conditionalFormatting>
  <conditionalFormatting sqref="Y233">
    <cfRule type="expression" dxfId="5067" priority="195">
      <formula>AND(IF(OR($Q233=1,$Q233=2),1,0),IF($Y233&lt;=20,1,0))</formula>
    </cfRule>
    <cfRule type="expression" dxfId="5066" priority="196">
      <formula>AND(IF($Q233=2,1,0),IF($Y233&lt;30,1,0))</formula>
    </cfRule>
    <cfRule type="expression" dxfId="5065" priority="197">
      <formula>AND(IF($Q233=3,1,0),IF($Y233&lt;30,1,0))</formula>
    </cfRule>
    <cfRule type="expression" dxfId="5064" priority="198">
      <formula>AND(IF($Q233=3,1,IF($Q233=4,1,0)),IF($F233&lt;=85,1,0))</formula>
    </cfRule>
  </conditionalFormatting>
  <conditionalFormatting sqref="AJ233">
    <cfRule type="expression" dxfId="5063" priority="191">
      <formula>AND(IF(OR($Q233=1,$Q233=2),1,0),IF($Y233&lt;=20,1,0))</formula>
    </cfRule>
    <cfRule type="expression" dxfId="5062" priority="192">
      <formula>AND(IF($Q233=2,1,0),IF($Y233&lt;30,1,0))</formula>
    </cfRule>
    <cfRule type="expression" dxfId="5061" priority="193">
      <formula>AND(IF($Q233=3,1,0),IF($Y233&lt;30,1,0))</formula>
    </cfRule>
    <cfRule type="expression" dxfId="5060" priority="194">
      <formula>AND(IF($Q233=3,1,IF($Q233=4,1,0)),IF($F233&lt;=85,1,0))</formula>
    </cfRule>
  </conditionalFormatting>
  <conditionalFormatting sqref="AW234">
    <cfRule type="expression" dxfId="5059" priority="189">
      <formula>AW234="X"</formula>
    </cfRule>
    <cfRule type="expression" dxfId="5058" priority="190">
      <formula>AW234="후보"</formula>
    </cfRule>
  </conditionalFormatting>
  <conditionalFormatting sqref="AA234">
    <cfRule type="colorScale" priority="1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4">
    <cfRule type="cellIs" dxfId="5057" priority="186" operator="greaterThan">
      <formula>0.9</formula>
    </cfRule>
    <cfRule type="cellIs" dxfId="5056" priority="187" operator="greaterThan">
      <formula>0.85</formula>
    </cfRule>
  </conditionalFormatting>
  <conditionalFormatting sqref="N234">
    <cfRule type="cellIs" dxfId="5055" priority="184" operator="greaterThan">
      <formula>0.9</formula>
    </cfRule>
    <cfRule type="cellIs" dxfId="5054" priority="185" operator="greaterThan">
      <formula>0.85</formula>
    </cfRule>
  </conditionalFormatting>
  <conditionalFormatting sqref="E234">
    <cfRule type="expression" dxfId="5053" priority="180">
      <formula>AND(IF(OR($Q234=1,$Q234=2),1,0),IF($E234&lt;=20,1,0))</formula>
    </cfRule>
    <cfRule type="expression" dxfId="5052" priority="181">
      <formula>AND(IF($Q234=2,1,0),IF($E234&lt;30,1,0))</formula>
    </cfRule>
    <cfRule type="expression" dxfId="5051" priority="182">
      <formula>AND(IF($Q234=3,1,0),IF($E234&lt;30,1,0))</formula>
    </cfRule>
    <cfRule type="expression" dxfId="5050" priority="183">
      <formula>AND(IF($Q234=3,1,IF($Q234=4,1,0)),IF($F234&lt;=85,1,0))</formula>
    </cfRule>
  </conditionalFormatting>
  <conditionalFormatting sqref="Y234">
    <cfRule type="expression" dxfId="5049" priority="176">
      <formula>AND(IF(OR($Q234=1,$Q234=2),1,0),IF($Y234&lt;=20,1,0))</formula>
    </cfRule>
    <cfRule type="expression" dxfId="5048" priority="177">
      <formula>AND(IF($Q234=2,1,0),IF($Y234&lt;30,1,0))</formula>
    </cfRule>
    <cfRule type="expression" dxfId="5047" priority="178">
      <formula>AND(IF($Q234=3,1,0),IF($Y234&lt;30,1,0))</formula>
    </cfRule>
    <cfRule type="expression" dxfId="5046" priority="179">
      <formula>AND(IF($Q234=3,1,IF($Q234=4,1,0)),IF($F234&lt;=85,1,0))</formula>
    </cfRule>
  </conditionalFormatting>
  <conditionalFormatting sqref="AJ234">
    <cfRule type="expression" dxfId="5045" priority="172">
      <formula>AND(IF(OR($Q234=1,$Q234=2),1,0),IF($Y234&lt;=20,1,0))</formula>
    </cfRule>
    <cfRule type="expression" dxfId="5044" priority="173">
      <formula>AND(IF($Q234=2,1,0),IF($Y234&lt;30,1,0))</formula>
    </cfRule>
    <cfRule type="expression" dxfId="5043" priority="174">
      <formula>AND(IF($Q234=3,1,0),IF($Y234&lt;30,1,0))</formula>
    </cfRule>
    <cfRule type="expression" dxfId="5042" priority="175">
      <formula>AND(IF($Q234=3,1,IF($Q234=4,1,0)),IF($F234&lt;=85,1,0))</formula>
    </cfRule>
  </conditionalFormatting>
  <conditionalFormatting sqref="AW235">
    <cfRule type="expression" dxfId="5041" priority="170">
      <formula>AW235="X"</formula>
    </cfRule>
    <cfRule type="expression" dxfId="5040" priority="171">
      <formula>AW235="후보"</formula>
    </cfRule>
  </conditionalFormatting>
  <conditionalFormatting sqref="AA235">
    <cfRule type="colorScale" priority="1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5">
    <cfRule type="cellIs" dxfId="5039" priority="167" operator="greaterThan">
      <formula>0.9</formula>
    </cfRule>
    <cfRule type="cellIs" dxfId="5038" priority="168" operator="greaterThan">
      <formula>0.85</formula>
    </cfRule>
  </conditionalFormatting>
  <conditionalFormatting sqref="N235">
    <cfRule type="cellIs" dxfId="5037" priority="165" operator="greaterThan">
      <formula>0.9</formula>
    </cfRule>
    <cfRule type="cellIs" dxfId="5036" priority="166" operator="greaterThan">
      <formula>0.85</formula>
    </cfRule>
  </conditionalFormatting>
  <conditionalFormatting sqref="E235">
    <cfRule type="expression" dxfId="5035" priority="161">
      <formula>AND(IF(OR($Q235=1,$Q235=2),1,0),IF($E235&lt;=20,1,0))</formula>
    </cfRule>
    <cfRule type="expression" dxfId="5034" priority="162">
      <formula>AND(IF($Q235=2,1,0),IF($E235&lt;30,1,0))</formula>
    </cfRule>
    <cfRule type="expression" dxfId="5033" priority="163">
      <formula>AND(IF($Q235=3,1,0),IF($E235&lt;30,1,0))</formula>
    </cfRule>
    <cfRule type="expression" dxfId="5032" priority="164">
      <formula>AND(IF($Q235=3,1,IF($Q235=4,1,0)),IF($F235&lt;=85,1,0))</formula>
    </cfRule>
  </conditionalFormatting>
  <conditionalFormatting sqref="Y235">
    <cfRule type="expression" dxfId="5031" priority="157">
      <formula>AND(IF(OR($Q235=1,$Q235=2),1,0),IF($Y235&lt;=20,1,0))</formula>
    </cfRule>
    <cfRule type="expression" dxfId="5030" priority="158">
      <formula>AND(IF($Q235=2,1,0),IF($Y235&lt;30,1,0))</formula>
    </cfRule>
    <cfRule type="expression" dxfId="5029" priority="159">
      <formula>AND(IF($Q235=3,1,0),IF($Y235&lt;30,1,0))</formula>
    </cfRule>
    <cfRule type="expression" dxfId="5028" priority="160">
      <formula>AND(IF($Q235=3,1,IF($Q235=4,1,0)),IF($F235&lt;=85,1,0))</formula>
    </cfRule>
  </conditionalFormatting>
  <conditionalFormatting sqref="AJ235">
    <cfRule type="expression" dxfId="5027" priority="153">
      <formula>AND(IF(OR($Q235=1,$Q235=2),1,0),IF($Y235&lt;=20,1,0))</formula>
    </cfRule>
    <cfRule type="expression" dxfId="5026" priority="154">
      <formula>AND(IF($Q235=2,1,0),IF($Y235&lt;30,1,0))</formula>
    </cfRule>
    <cfRule type="expression" dxfId="5025" priority="155">
      <formula>AND(IF($Q235=3,1,0),IF($Y235&lt;30,1,0))</formula>
    </cfRule>
    <cfRule type="expression" dxfId="5024" priority="156">
      <formula>AND(IF($Q235=3,1,IF($Q235=4,1,0)),IF($F235&lt;=85,1,0))</formula>
    </cfRule>
  </conditionalFormatting>
  <conditionalFormatting sqref="AW236">
    <cfRule type="expression" dxfId="5023" priority="151">
      <formula>AW236="X"</formula>
    </cfRule>
    <cfRule type="expression" dxfId="5022" priority="152">
      <formula>AW236="후보"</formula>
    </cfRule>
  </conditionalFormatting>
  <conditionalFormatting sqref="AA236">
    <cfRule type="colorScale" priority="1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6">
    <cfRule type="cellIs" dxfId="5021" priority="148" operator="greaterThan">
      <formula>0.9</formula>
    </cfRule>
    <cfRule type="cellIs" dxfId="5020" priority="149" operator="greaterThan">
      <formula>0.85</formula>
    </cfRule>
  </conditionalFormatting>
  <conditionalFormatting sqref="N236">
    <cfRule type="cellIs" dxfId="5019" priority="146" operator="greaterThan">
      <formula>0.9</formula>
    </cfRule>
    <cfRule type="cellIs" dxfId="5018" priority="147" operator="greaterThan">
      <formula>0.85</formula>
    </cfRule>
  </conditionalFormatting>
  <conditionalFormatting sqref="E236">
    <cfRule type="expression" dxfId="5017" priority="142">
      <formula>AND(IF(OR($Q236=1,$Q236=2),1,0),IF($E236&lt;=20,1,0))</formula>
    </cfRule>
    <cfRule type="expression" dxfId="5016" priority="143">
      <formula>AND(IF($Q236=2,1,0),IF($E236&lt;30,1,0))</formula>
    </cfRule>
    <cfRule type="expression" dxfId="5015" priority="144">
      <formula>AND(IF($Q236=3,1,0),IF($E236&lt;30,1,0))</formula>
    </cfRule>
    <cfRule type="expression" dxfId="5014" priority="145">
      <formula>AND(IF($Q236=3,1,IF($Q236=4,1,0)),IF($F236&lt;=85,1,0))</formula>
    </cfRule>
  </conditionalFormatting>
  <conditionalFormatting sqref="Y236">
    <cfRule type="expression" dxfId="5013" priority="138">
      <formula>AND(IF(OR($Q236=1,$Q236=2),1,0),IF($Y236&lt;=20,1,0))</formula>
    </cfRule>
    <cfRule type="expression" dxfId="5012" priority="139">
      <formula>AND(IF($Q236=2,1,0),IF($Y236&lt;30,1,0))</formula>
    </cfRule>
    <cfRule type="expression" dxfId="5011" priority="140">
      <formula>AND(IF($Q236=3,1,0),IF($Y236&lt;30,1,0))</formula>
    </cfRule>
    <cfRule type="expression" dxfId="5010" priority="141">
      <formula>AND(IF($Q236=3,1,IF($Q236=4,1,0)),IF($F236&lt;=85,1,0))</formula>
    </cfRule>
  </conditionalFormatting>
  <conditionalFormatting sqref="AJ236">
    <cfRule type="expression" dxfId="5009" priority="134">
      <formula>AND(IF(OR($Q236=1,$Q236=2),1,0),IF($Y236&lt;=20,1,0))</formula>
    </cfRule>
    <cfRule type="expression" dxfId="5008" priority="135">
      <formula>AND(IF($Q236=2,1,0),IF($Y236&lt;30,1,0))</formula>
    </cfRule>
    <cfRule type="expression" dxfId="5007" priority="136">
      <formula>AND(IF($Q236=3,1,0),IF($Y236&lt;30,1,0))</formula>
    </cfRule>
    <cfRule type="expression" dxfId="5006" priority="137">
      <formula>AND(IF($Q236=3,1,IF($Q236=4,1,0)),IF($F236&lt;=85,1,0))</formula>
    </cfRule>
  </conditionalFormatting>
  <conditionalFormatting sqref="AW237">
    <cfRule type="expression" dxfId="5005" priority="132">
      <formula>AW237="X"</formula>
    </cfRule>
    <cfRule type="expression" dxfId="5004" priority="133">
      <formula>AW237="후보"</formula>
    </cfRule>
  </conditionalFormatting>
  <conditionalFormatting sqref="AA237">
    <cfRule type="colorScale" priority="1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7">
    <cfRule type="cellIs" dxfId="5003" priority="129" operator="greaterThan">
      <formula>0.9</formula>
    </cfRule>
    <cfRule type="cellIs" dxfId="5002" priority="130" operator="greaterThan">
      <formula>0.85</formula>
    </cfRule>
  </conditionalFormatting>
  <conditionalFormatting sqref="N237">
    <cfRule type="cellIs" dxfId="5001" priority="127" operator="greaterThan">
      <formula>0.9</formula>
    </cfRule>
    <cfRule type="cellIs" dxfId="5000" priority="128" operator="greaterThan">
      <formula>0.85</formula>
    </cfRule>
  </conditionalFormatting>
  <conditionalFormatting sqref="E237">
    <cfRule type="expression" dxfId="4999" priority="123">
      <formula>AND(IF(OR($Q237=1,$Q237=2),1,0),IF($E237&lt;=20,1,0))</formula>
    </cfRule>
    <cfRule type="expression" dxfId="4998" priority="124">
      <formula>AND(IF($Q237=2,1,0),IF($E237&lt;30,1,0))</formula>
    </cfRule>
    <cfRule type="expression" dxfId="4997" priority="125">
      <formula>AND(IF($Q237=3,1,0),IF($E237&lt;30,1,0))</formula>
    </cfRule>
    <cfRule type="expression" dxfId="4996" priority="126">
      <formula>AND(IF($Q237=3,1,IF($Q237=4,1,0)),IF($F237&lt;=85,1,0))</formula>
    </cfRule>
  </conditionalFormatting>
  <conditionalFormatting sqref="Y237">
    <cfRule type="expression" dxfId="4995" priority="119">
      <formula>AND(IF(OR($Q237=1,$Q237=2),1,0),IF($Y237&lt;=20,1,0))</formula>
    </cfRule>
    <cfRule type="expression" dxfId="4994" priority="120">
      <formula>AND(IF($Q237=2,1,0),IF($Y237&lt;30,1,0))</formula>
    </cfRule>
    <cfRule type="expression" dxfId="4993" priority="121">
      <formula>AND(IF($Q237=3,1,0),IF($Y237&lt;30,1,0))</formula>
    </cfRule>
    <cfRule type="expression" dxfId="4992" priority="122">
      <formula>AND(IF($Q237=3,1,IF($Q237=4,1,0)),IF($F237&lt;=85,1,0))</formula>
    </cfRule>
  </conditionalFormatting>
  <conditionalFormatting sqref="AJ237">
    <cfRule type="expression" dxfId="4991" priority="115">
      <formula>AND(IF(OR($Q237=1,$Q237=2),1,0),IF($Y237&lt;=20,1,0))</formula>
    </cfRule>
    <cfRule type="expression" dxfId="4990" priority="116">
      <formula>AND(IF($Q237=2,1,0),IF($Y237&lt;30,1,0))</formula>
    </cfRule>
    <cfRule type="expression" dxfId="4989" priority="117">
      <formula>AND(IF($Q237=3,1,0),IF($Y237&lt;30,1,0))</formula>
    </cfRule>
    <cfRule type="expression" dxfId="4988" priority="118">
      <formula>AND(IF($Q237=3,1,IF($Q237=4,1,0)),IF($F237&lt;=85,1,0))</formula>
    </cfRule>
  </conditionalFormatting>
  <conditionalFormatting sqref="AW238">
    <cfRule type="expression" dxfId="4987" priority="113">
      <formula>AW238="X"</formula>
    </cfRule>
    <cfRule type="expression" dxfId="4986" priority="114">
      <formula>AW238="후보"</formula>
    </cfRule>
  </conditionalFormatting>
  <conditionalFormatting sqref="AA238">
    <cfRule type="colorScale" priority="1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8">
    <cfRule type="cellIs" dxfId="4985" priority="110" operator="greaterThan">
      <formula>0.9</formula>
    </cfRule>
    <cfRule type="cellIs" dxfId="4984" priority="111" operator="greaterThan">
      <formula>0.85</formula>
    </cfRule>
  </conditionalFormatting>
  <conditionalFormatting sqref="N238">
    <cfRule type="cellIs" dxfId="4983" priority="108" operator="greaterThan">
      <formula>0.9</formula>
    </cfRule>
    <cfRule type="cellIs" dxfId="4982" priority="109" operator="greaterThan">
      <formula>0.85</formula>
    </cfRule>
  </conditionalFormatting>
  <conditionalFormatting sqref="E238">
    <cfRule type="expression" dxfId="4981" priority="104">
      <formula>AND(IF(OR($Q238=1,$Q238=2),1,0),IF($E238&lt;=20,1,0))</formula>
    </cfRule>
    <cfRule type="expression" dxfId="4980" priority="105">
      <formula>AND(IF($Q238=2,1,0),IF($E238&lt;30,1,0))</formula>
    </cfRule>
    <cfRule type="expression" dxfId="4979" priority="106">
      <formula>AND(IF($Q238=3,1,0),IF($E238&lt;30,1,0))</formula>
    </cfRule>
    <cfRule type="expression" dxfId="4978" priority="107">
      <formula>AND(IF($Q238=3,1,IF($Q238=4,1,0)),IF($F238&lt;=85,1,0))</formula>
    </cfRule>
  </conditionalFormatting>
  <conditionalFormatting sqref="Y238">
    <cfRule type="expression" dxfId="4977" priority="100">
      <formula>AND(IF(OR($Q238=1,$Q238=2),1,0),IF($Y238&lt;=20,1,0))</formula>
    </cfRule>
    <cfRule type="expression" dxfId="4976" priority="101">
      <formula>AND(IF($Q238=2,1,0),IF($Y238&lt;30,1,0))</formula>
    </cfRule>
    <cfRule type="expression" dxfId="4975" priority="102">
      <formula>AND(IF($Q238=3,1,0),IF($Y238&lt;30,1,0))</formula>
    </cfRule>
    <cfRule type="expression" dxfId="4974" priority="103">
      <formula>AND(IF($Q238=3,1,IF($Q238=4,1,0)),IF($F238&lt;=85,1,0))</formula>
    </cfRule>
  </conditionalFormatting>
  <conditionalFormatting sqref="AJ238">
    <cfRule type="expression" dxfId="4973" priority="96">
      <formula>AND(IF(OR($Q238=1,$Q238=2),1,0),IF($Y238&lt;=20,1,0))</formula>
    </cfRule>
    <cfRule type="expression" dxfId="4972" priority="97">
      <formula>AND(IF($Q238=2,1,0),IF($Y238&lt;30,1,0))</formula>
    </cfRule>
    <cfRule type="expression" dxfId="4971" priority="98">
      <formula>AND(IF($Q238=3,1,0),IF($Y238&lt;30,1,0))</formula>
    </cfRule>
    <cfRule type="expression" dxfId="4970" priority="99">
      <formula>AND(IF($Q238=3,1,IF($Q238=4,1,0)),IF($F238&lt;=85,1,0))</formula>
    </cfRule>
  </conditionalFormatting>
  <conditionalFormatting sqref="AW239">
    <cfRule type="expression" dxfId="4969" priority="94">
      <formula>AW239="X"</formula>
    </cfRule>
    <cfRule type="expression" dxfId="4968" priority="95">
      <formula>AW239="후보"</formula>
    </cfRule>
  </conditionalFormatting>
  <conditionalFormatting sqref="AA239">
    <cfRule type="colorScale" priority="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9">
    <cfRule type="cellIs" dxfId="4967" priority="91" operator="greaterThan">
      <formula>0.9</formula>
    </cfRule>
    <cfRule type="cellIs" dxfId="4966" priority="92" operator="greaterThan">
      <formula>0.85</formula>
    </cfRule>
  </conditionalFormatting>
  <conditionalFormatting sqref="N239">
    <cfRule type="cellIs" dxfId="4965" priority="89" operator="greaterThan">
      <formula>0.9</formula>
    </cfRule>
    <cfRule type="cellIs" dxfId="4964" priority="90" operator="greaterThan">
      <formula>0.85</formula>
    </cfRule>
  </conditionalFormatting>
  <conditionalFormatting sqref="E239">
    <cfRule type="expression" dxfId="4963" priority="85">
      <formula>AND(IF(OR($Q239=1,$Q239=2),1,0),IF($E239&lt;=20,1,0))</formula>
    </cfRule>
    <cfRule type="expression" dxfId="4962" priority="86">
      <formula>AND(IF($Q239=2,1,0),IF($E239&lt;30,1,0))</formula>
    </cfRule>
    <cfRule type="expression" dxfId="4961" priority="87">
      <formula>AND(IF($Q239=3,1,0),IF($E239&lt;30,1,0))</formula>
    </cfRule>
    <cfRule type="expression" dxfId="4960" priority="88">
      <formula>AND(IF($Q239=3,1,IF($Q239=4,1,0)),IF($F239&lt;=85,1,0))</formula>
    </cfRule>
  </conditionalFormatting>
  <conditionalFormatting sqref="Y239">
    <cfRule type="expression" dxfId="4959" priority="81">
      <formula>AND(IF(OR($Q239=1,$Q239=2),1,0),IF($Y239&lt;=20,1,0))</formula>
    </cfRule>
    <cfRule type="expression" dxfId="4958" priority="82">
      <formula>AND(IF($Q239=2,1,0),IF($Y239&lt;30,1,0))</formula>
    </cfRule>
    <cfRule type="expression" dxfId="4957" priority="83">
      <formula>AND(IF($Q239=3,1,0),IF($Y239&lt;30,1,0))</formula>
    </cfRule>
    <cfRule type="expression" dxfId="4956" priority="84">
      <formula>AND(IF($Q239=3,1,IF($Q239=4,1,0)),IF($F239&lt;=85,1,0))</formula>
    </cfRule>
  </conditionalFormatting>
  <conditionalFormatting sqref="AJ239">
    <cfRule type="expression" dxfId="4955" priority="77">
      <formula>AND(IF(OR($Q239=1,$Q239=2),1,0),IF($Y239&lt;=20,1,0))</formula>
    </cfRule>
    <cfRule type="expression" dxfId="4954" priority="78">
      <formula>AND(IF($Q239=2,1,0),IF($Y239&lt;30,1,0))</formula>
    </cfRule>
    <cfRule type="expression" dxfId="4953" priority="79">
      <formula>AND(IF($Q239=3,1,0),IF($Y239&lt;30,1,0))</formula>
    </cfRule>
    <cfRule type="expression" dxfId="4952" priority="80">
      <formula>AND(IF($Q239=3,1,IF($Q239=4,1,0)),IF($F239&lt;=85,1,0))</formula>
    </cfRule>
  </conditionalFormatting>
  <conditionalFormatting sqref="AW240">
    <cfRule type="expression" dxfId="4951" priority="75">
      <formula>AW240="X"</formula>
    </cfRule>
    <cfRule type="expression" dxfId="4950" priority="76">
      <formula>AW240="후보"</formula>
    </cfRule>
  </conditionalFormatting>
  <conditionalFormatting sqref="AA240">
    <cfRule type="colorScale" priority="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0">
    <cfRule type="cellIs" dxfId="4949" priority="72" operator="greaterThan">
      <formula>0.9</formula>
    </cfRule>
    <cfRule type="cellIs" dxfId="4948" priority="73" operator="greaterThan">
      <formula>0.85</formula>
    </cfRule>
  </conditionalFormatting>
  <conditionalFormatting sqref="N240">
    <cfRule type="cellIs" dxfId="4947" priority="70" operator="greaterThan">
      <formula>0.9</formula>
    </cfRule>
    <cfRule type="cellIs" dxfId="4946" priority="71" operator="greaterThan">
      <formula>0.85</formula>
    </cfRule>
  </conditionalFormatting>
  <conditionalFormatting sqref="E240">
    <cfRule type="expression" dxfId="4945" priority="66">
      <formula>AND(IF(OR($Q240=1,$Q240=2),1,0),IF($E240&lt;=20,1,0))</formula>
    </cfRule>
    <cfRule type="expression" dxfId="4944" priority="67">
      <formula>AND(IF($Q240=2,1,0),IF($E240&lt;30,1,0))</formula>
    </cfRule>
    <cfRule type="expression" dxfId="4943" priority="68">
      <formula>AND(IF($Q240=3,1,0),IF($E240&lt;30,1,0))</formula>
    </cfRule>
    <cfRule type="expression" dxfId="4942" priority="69">
      <formula>AND(IF($Q240=3,1,IF($Q240=4,1,0)),IF($F240&lt;=85,1,0))</formula>
    </cfRule>
  </conditionalFormatting>
  <conditionalFormatting sqref="Y240">
    <cfRule type="expression" dxfId="4941" priority="62">
      <formula>AND(IF(OR($Q240=1,$Q240=2),1,0),IF($Y240&lt;=20,1,0))</formula>
    </cfRule>
    <cfRule type="expression" dxfId="4940" priority="63">
      <formula>AND(IF($Q240=2,1,0),IF($Y240&lt;30,1,0))</formula>
    </cfRule>
    <cfRule type="expression" dxfId="4939" priority="64">
      <formula>AND(IF($Q240=3,1,0),IF($Y240&lt;30,1,0))</formula>
    </cfRule>
    <cfRule type="expression" dxfId="4938" priority="65">
      <formula>AND(IF($Q240=3,1,IF($Q240=4,1,0)),IF($F240&lt;=85,1,0))</formula>
    </cfRule>
  </conditionalFormatting>
  <conditionalFormatting sqref="AJ240">
    <cfRule type="expression" dxfId="4937" priority="58">
      <formula>AND(IF(OR($Q240=1,$Q240=2),1,0),IF($Y240&lt;=20,1,0))</formula>
    </cfRule>
    <cfRule type="expression" dxfId="4936" priority="59">
      <formula>AND(IF($Q240=2,1,0),IF($Y240&lt;30,1,0))</formula>
    </cfRule>
    <cfRule type="expression" dxfId="4935" priority="60">
      <formula>AND(IF($Q240=3,1,0),IF($Y240&lt;30,1,0))</formula>
    </cfRule>
    <cfRule type="expression" dxfId="4934" priority="61">
      <formula>AND(IF($Q240=3,1,IF($Q240=4,1,0)),IF($F240&lt;=85,1,0))</formula>
    </cfRule>
  </conditionalFormatting>
  <conditionalFormatting sqref="AW241">
    <cfRule type="expression" dxfId="4933" priority="56">
      <formula>AW241="X"</formula>
    </cfRule>
    <cfRule type="expression" dxfId="4932" priority="57">
      <formula>AW241="후보"</formula>
    </cfRule>
  </conditionalFormatting>
  <conditionalFormatting sqref="AA241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1">
    <cfRule type="cellIs" dxfId="4931" priority="53" operator="greaterThan">
      <formula>0.9</formula>
    </cfRule>
    <cfRule type="cellIs" dxfId="4930" priority="54" operator="greaterThan">
      <formula>0.85</formula>
    </cfRule>
  </conditionalFormatting>
  <conditionalFormatting sqref="N241">
    <cfRule type="cellIs" dxfId="4929" priority="51" operator="greaterThan">
      <formula>0.9</formula>
    </cfRule>
    <cfRule type="cellIs" dxfId="4928" priority="52" operator="greaterThan">
      <formula>0.85</formula>
    </cfRule>
  </conditionalFormatting>
  <conditionalFormatting sqref="E241">
    <cfRule type="expression" dxfId="4927" priority="47">
      <formula>AND(IF(OR($Q241=1,$Q241=2),1,0),IF($E241&lt;=20,1,0))</formula>
    </cfRule>
    <cfRule type="expression" dxfId="4926" priority="48">
      <formula>AND(IF($Q241=2,1,0),IF($E241&lt;30,1,0))</formula>
    </cfRule>
    <cfRule type="expression" dxfId="4925" priority="49">
      <formula>AND(IF($Q241=3,1,0),IF($E241&lt;30,1,0))</formula>
    </cfRule>
    <cfRule type="expression" dxfId="4924" priority="50">
      <formula>AND(IF($Q241=3,1,IF($Q241=4,1,0)),IF($F241&lt;=85,1,0))</formula>
    </cfRule>
  </conditionalFormatting>
  <conditionalFormatting sqref="Y241">
    <cfRule type="expression" dxfId="4923" priority="43">
      <formula>AND(IF(OR($Q241=1,$Q241=2),1,0),IF($Y241&lt;=20,1,0))</formula>
    </cfRule>
    <cfRule type="expression" dxfId="4922" priority="44">
      <formula>AND(IF($Q241=2,1,0),IF($Y241&lt;30,1,0))</formula>
    </cfRule>
    <cfRule type="expression" dxfId="4921" priority="45">
      <formula>AND(IF($Q241=3,1,0),IF($Y241&lt;30,1,0))</formula>
    </cfRule>
    <cfRule type="expression" dxfId="4920" priority="46">
      <formula>AND(IF($Q241=3,1,IF($Q241=4,1,0)),IF($F241&lt;=85,1,0))</formula>
    </cfRule>
  </conditionalFormatting>
  <conditionalFormatting sqref="AJ241">
    <cfRule type="expression" dxfId="4919" priority="39">
      <formula>AND(IF(OR($Q241=1,$Q241=2),1,0),IF($Y241&lt;=20,1,0))</formula>
    </cfRule>
    <cfRule type="expression" dxfId="4918" priority="40">
      <formula>AND(IF($Q241=2,1,0),IF($Y241&lt;30,1,0))</formula>
    </cfRule>
    <cfRule type="expression" dxfId="4917" priority="41">
      <formula>AND(IF($Q241=3,1,0),IF($Y241&lt;30,1,0))</formula>
    </cfRule>
    <cfRule type="expression" dxfId="4916" priority="42">
      <formula>AND(IF($Q241=3,1,IF($Q241=4,1,0)),IF($F241&lt;=85,1,0))</formula>
    </cfRule>
  </conditionalFormatting>
  <conditionalFormatting sqref="AW242">
    <cfRule type="expression" dxfId="4915" priority="37">
      <formula>AW242="X"</formula>
    </cfRule>
    <cfRule type="expression" dxfId="4914" priority="38">
      <formula>AW242="후보"</formula>
    </cfRule>
  </conditionalFormatting>
  <conditionalFormatting sqref="AA242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2">
    <cfRule type="cellIs" dxfId="4913" priority="34" operator="greaterThan">
      <formula>0.9</formula>
    </cfRule>
    <cfRule type="cellIs" dxfId="4912" priority="35" operator="greaterThan">
      <formula>0.85</formula>
    </cfRule>
  </conditionalFormatting>
  <conditionalFormatting sqref="N242">
    <cfRule type="cellIs" dxfId="4911" priority="32" operator="greaterThan">
      <formula>0.9</formula>
    </cfRule>
    <cfRule type="cellIs" dxfId="4910" priority="33" operator="greaterThan">
      <formula>0.85</formula>
    </cfRule>
  </conditionalFormatting>
  <conditionalFormatting sqref="E242">
    <cfRule type="expression" dxfId="4909" priority="28">
      <formula>AND(IF(OR($Q242=1,$Q242=2),1,0),IF($E242&lt;=20,1,0))</formula>
    </cfRule>
    <cfRule type="expression" dxfId="4908" priority="29">
      <formula>AND(IF($Q242=2,1,0),IF($E242&lt;30,1,0))</formula>
    </cfRule>
    <cfRule type="expression" dxfId="4907" priority="30">
      <formula>AND(IF($Q242=3,1,0),IF($E242&lt;30,1,0))</formula>
    </cfRule>
    <cfRule type="expression" dxfId="4906" priority="31">
      <formula>AND(IF($Q242=3,1,IF($Q242=4,1,0)),IF($F242&lt;=85,1,0))</formula>
    </cfRule>
  </conditionalFormatting>
  <conditionalFormatting sqref="Y242">
    <cfRule type="expression" dxfId="4905" priority="24">
      <formula>AND(IF(OR($Q242=1,$Q242=2),1,0),IF($Y242&lt;=20,1,0))</formula>
    </cfRule>
    <cfRule type="expression" dxfId="4904" priority="25">
      <formula>AND(IF($Q242=2,1,0),IF($Y242&lt;30,1,0))</formula>
    </cfRule>
    <cfRule type="expression" dxfId="4903" priority="26">
      <formula>AND(IF($Q242=3,1,0),IF($Y242&lt;30,1,0))</formula>
    </cfRule>
    <cfRule type="expression" dxfId="4902" priority="27">
      <formula>AND(IF($Q242=3,1,IF($Q242=4,1,0)),IF($F242&lt;=85,1,0))</formula>
    </cfRule>
  </conditionalFormatting>
  <conditionalFormatting sqref="AJ242">
    <cfRule type="expression" dxfId="4901" priority="20">
      <formula>AND(IF(OR($Q242=1,$Q242=2),1,0),IF($Y242&lt;=20,1,0))</formula>
    </cfRule>
    <cfRule type="expression" dxfId="4900" priority="21">
      <formula>AND(IF($Q242=2,1,0),IF($Y242&lt;30,1,0))</formula>
    </cfRule>
    <cfRule type="expression" dxfId="4899" priority="22">
      <formula>AND(IF($Q242=3,1,0),IF($Y242&lt;30,1,0))</formula>
    </cfRule>
    <cfRule type="expression" dxfId="4898" priority="23">
      <formula>AND(IF($Q242=3,1,IF($Q242=4,1,0)),IF($F242&lt;=85,1,0))</formula>
    </cfRule>
  </conditionalFormatting>
  <conditionalFormatting sqref="AW18">
    <cfRule type="expression" dxfId="4897" priority="18">
      <formula>AW18="X"</formula>
    </cfRule>
    <cfRule type="expression" dxfId="4896" priority="19">
      <formula>AW18="후보"</formula>
    </cfRule>
  </conditionalFormatting>
  <conditionalFormatting sqref="AA18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4895" priority="15" operator="greaterThan">
      <formula>0.9</formula>
    </cfRule>
    <cfRule type="cellIs" dxfId="4894" priority="16" operator="greaterThan">
      <formula>0.85</formula>
    </cfRule>
  </conditionalFormatting>
  <conditionalFormatting sqref="N18">
    <cfRule type="cellIs" dxfId="4893" priority="13" operator="greaterThan">
      <formula>0.9</formula>
    </cfRule>
    <cfRule type="cellIs" dxfId="4892" priority="14" operator="greaterThan">
      <formula>0.85</formula>
    </cfRule>
  </conditionalFormatting>
  <conditionalFormatting sqref="E18">
    <cfRule type="expression" dxfId="4891" priority="9">
      <formula>AND(IF(OR($Q18=1,$Q18=2),1,0),IF($E18&lt;=20,1,0))</formula>
    </cfRule>
    <cfRule type="expression" dxfId="4890" priority="10">
      <formula>AND(IF($Q18=2,1,0),IF($E18&lt;30,1,0))</formula>
    </cfRule>
    <cfRule type="expression" dxfId="4889" priority="11">
      <formula>AND(IF($Q18=3,1,0),IF($E18&lt;30,1,0))</formula>
    </cfRule>
    <cfRule type="expression" dxfId="4888" priority="12">
      <formula>AND(IF($Q18=3,1,IF($Q18=4,1,0)),IF($F18&lt;=85,1,0))</formula>
    </cfRule>
  </conditionalFormatting>
  <conditionalFormatting sqref="Y18">
    <cfRule type="expression" dxfId="4887" priority="5">
      <formula>AND(IF(OR($Q18=1,$Q18=2),1,0),IF($Y18&lt;=20,1,0))</formula>
    </cfRule>
    <cfRule type="expression" dxfId="4886" priority="6">
      <formula>AND(IF($Q18=2,1,0),IF($Y18&lt;30,1,0))</formula>
    </cfRule>
    <cfRule type="expression" dxfId="4885" priority="7">
      <formula>AND(IF($Q18=3,1,0),IF($Y18&lt;30,1,0))</formula>
    </cfRule>
    <cfRule type="expression" dxfId="4884" priority="8">
      <formula>AND(IF($Q18=3,1,IF($Q18=4,1,0)),IF($F18&lt;=85,1,0))</formula>
    </cfRule>
  </conditionalFormatting>
  <conditionalFormatting sqref="AJ18">
    <cfRule type="expression" dxfId="4883" priority="1">
      <formula>AND(IF(OR($Q18=1,$Q18=2),1,0),IF($Y18&lt;=20,1,0))</formula>
    </cfRule>
    <cfRule type="expression" dxfId="4882" priority="2">
      <formula>AND(IF($Q18=2,1,0),IF($Y18&lt;30,1,0))</formula>
    </cfRule>
    <cfRule type="expression" dxfId="4881" priority="3">
      <formula>AND(IF($Q18=3,1,0),IF($Y18&lt;30,1,0))</formula>
    </cfRule>
    <cfRule type="expression" dxfId="488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2E801-980F-483E-B5DC-D138CCEF14D1}">
  <sheetPr codeName="Sheet9">
    <pageSetUpPr fitToPage="1"/>
  </sheetPr>
  <dimension ref="A1:AW89"/>
  <sheetViews>
    <sheetView zoomScaleNormal="100" zoomScaleSheetLayoutView="85" workbookViewId="0">
      <pane xSplit="1" ySplit="3" topLeftCell="B55" activePane="bottomRight" state="frozen"/>
      <selection activeCell="AO10" sqref="AO10"/>
      <selection pane="topRight" activeCell="AO10" sqref="AO10"/>
      <selection pane="bottomLeft" activeCell="AO10" sqref="AO10"/>
      <selection pane="bottomRight" activeCell="M93" sqref="M9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8.5" style="4" bestFit="1" customWidth="1"/>
    <col min="11" max="11" width="7.625" style="1" bestFit="1" customWidth="1"/>
    <col min="12" max="12" width="5.625" style="4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5" t="str">
        <f>A1&amp;" 전체 등급"</f>
        <v>OO시 OO구 전체 등급</v>
      </c>
      <c r="AL1" s="116"/>
      <c r="AM1" s="116"/>
      <c r="AN1" s="116"/>
      <c r="AO1" s="117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평촌동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7" t="s">
        <v>22</v>
      </c>
      <c r="K3" s="19" t="s">
        <v>15</v>
      </c>
      <c r="L3" s="17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 t="shared" ref="AJ3:AJ34" si="0"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1624</v>
      </c>
      <c r="B4" s="13"/>
      <c r="C4" s="9"/>
      <c r="D4" s="5"/>
      <c r="E4" s="5"/>
      <c r="F4" s="5"/>
      <c r="G4" s="5"/>
      <c r="H4" s="9"/>
      <c r="I4" s="5"/>
      <c r="J4" s="8"/>
      <c r="K4" s="5"/>
      <c r="L4" s="8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 t="shared" si="0"/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8"/>
      <c r="K5" s="5"/>
      <c r="L5" s="8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평촌동 푸른마을인덕원대우('01.04,1996^)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 t="shared" ref="AI5:AI36" si="1">IF(A5="","",A5)</f>
        <v/>
      </c>
      <c r="AJ5" s="33" t="str">
        <f t="shared" si="0"/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1625</v>
      </c>
      <c r="B6" s="14" t="s">
        <v>1626</v>
      </c>
      <c r="C6" s="25">
        <v>1996</v>
      </c>
      <c r="D6" s="23">
        <v>81</v>
      </c>
      <c r="E6" s="21">
        <v>25</v>
      </c>
      <c r="F6" s="23">
        <v>59.9</v>
      </c>
      <c r="G6" s="24">
        <v>18</v>
      </c>
      <c r="H6" s="25">
        <v>236</v>
      </c>
      <c r="I6" s="29">
        <v>63000</v>
      </c>
      <c r="J6" s="106" t="s">
        <v>1966</v>
      </c>
      <c r="K6" s="29">
        <v>35000</v>
      </c>
      <c r="L6" s="106">
        <v>17</v>
      </c>
      <c r="M6" s="6">
        <f>I6-K6</f>
        <v>28000</v>
      </c>
      <c r="N6" s="7">
        <f>IF(ISERROR(K6/I6),"",K6/I6)</f>
        <v>0.55555555555555558</v>
      </c>
      <c r="O6" s="12">
        <f>I6/E6</f>
        <v>2520</v>
      </c>
      <c r="P6" s="12">
        <f>K6/E6</f>
        <v>1400</v>
      </c>
      <c r="Q6" s="13">
        <v>3</v>
      </c>
      <c r="R6" s="13">
        <v>2</v>
      </c>
      <c r="S6" s="13" t="s">
        <v>51</v>
      </c>
      <c r="T6" s="8" t="s">
        <v>465</v>
      </c>
      <c r="U6" s="5"/>
      <c r="V6" s="5" t="s">
        <v>1627</v>
      </c>
      <c r="X6" s="23">
        <f t="shared" ref="X6:Y8" si="2">D6</f>
        <v>81</v>
      </c>
      <c r="Y6" s="21">
        <f t="shared" si="2"/>
        <v>25</v>
      </c>
      <c r="Z6" s="28">
        <f t="shared" ref="Z6:AA8" si="3">H6</f>
        <v>236</v>
      </c>
      <c r="AA6" s="6">
        <f t="shared" si="3"/>
        <v>63000</v>
      </c>
      <c r="AB6" s="6">
        <f>K6</f>
        <v>35000</v>
      </c>
      <c r="AC6" s="6">
        <f t="shared" ref="AC6:AE8" si="4">M6</f>
        <v>28000</v>
      </c>
      <c r="AD6" s="7">
        <f t="shared" si="4"/>
        <v>0.55555555555555558</v>
      </c>
      <c r="AE6" s="12">
        <f t="shared" si="4"/>
        <v>2520</v>
      </c>
      <c r="AF6" s="13" t="str">
        <f>S6</f>
        <v>계</v>
      </c>
      <c r="AG6" s="13" t="str">
        <f>Q6&amp;"/"&amp;R6</f>
        <v>3/2</v>
      </c>
      <c r="AI6" s="32" t="str">
        <f t="shared" si="1"/>
        <v>푸른마을인덕원대우</v>
      </c>
      <c r="AJ6" s="21">
        <f t="shared" si="0"/>
        <v>25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>X</v>
      </c>
      <c r="AQ6" s="13" t="str">
        <f>IF(I6="","",IF(I6&lt;=$AQ$1,"O","X"))</f>
        <v>X</v>
      </c>
      <c r="AR6" s="13" t="str">
        <f>IF(O6="","",IF(O6&lt;=$AR$1,"O","X"))</f>
        <v>X</v>
      </c>
      <c r="AS6" s="13" t="str">
        <f>IF(M6="","",IF(M6&lt;=$AS$1,"O","X"))</f>
        <v>X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>X</v>
      </c>
    </row>
    <row r="7" spans="1:49" x14ac:dyDescent="0.3">
      <c r="A7" s="5" t="s">
        <v>1625</v>
      </c>
      <c r="B7" s="14" t="s">
        <v>1626</v>
      </c>
      <c r="C7" s="25">
        <v>1996</v>
      </c>
      <c r="D7" s="23">
        <v>81.099999999999994</v>
      </c>
      <c r="E7" s="21">
        <v>25</v>
      </c>
      <c r="F7" s="23">
        <v>60</v>
      </c>
      <c r="G7" s="24">
        <v>18</v>
      </c>
      <c r="H7" s="25">
        <v>168</v>
      </c>
      <c r="I7" s="29">
        <v>60000</v>
      </c>
      <c r="J7" s="106" t="s">
        <v>1967</v>
      </c>
      <c r="K7" s="29">
        <v>35000</v>
      </c>
      <c r="L7" s="106" t="s">
        <v>1969</v>
      </c>
      <c r="M7" s="6">
        <f>I7-K7</f>
        <v>25000</v>
      </c>
      <c r="N7" s="7">
        <f>IF(ISERROR(K7/I7),"",K7/I7)</f>
        <v>0.58333333333333337</v>
      </c>
      <c r="O7" s="12">
        <f>I7/E7</f>
        <v>2400</v>
      </c>
      <c r="P7" s="12">
        <f>K7/E7</f>
        <v>1400</v>
      </c>
      <c r="Q7" s="13">
        <v>2</v>
      </c>
      <c r="R7" s="13">
        <v>1</v>
      </c>
      <c r="S7" s="13" t="s">
        <v>51</v>
      </c>
      <c r="T7" s="8" t="s">
        <v>1385</v>
      </c>
      <c r="U7" s="5"/>
      <c r="V7" s="5" t="s">
        <v>1628</v>
      </c>
      <c r="X7" s="23">
        <f t="shared" si="2"/>
        <v>81.099999999999994</v>
      </c>
      <c r="Y7" s="21">
        <f t="shared" si="2"/>
        <v>25</v>
      </c>
      <c r="Z7" s="28">
        <f t="shared" si="3"/>
        <v>168</v>
      </c>
      <c r="AA7" s="6">
        <f t="shared" si="3"/>
        <v>60000</v>
      </c>
      <c r="AB7" s="6">
        <f>K7</f>
        <v>35000</v>
      </c>
      <c r="AC7" s="6">
        <f t="shared" si="4"/>
        <v>25000</v>
      </c>
      <c r="AD7" s="7">
        <f t="shared" si="4"/>
        <v>0.58333333333333337</v>
      </c>
      <c r="AE7" s="12">
        <f t="shared" si="4"/>
        <v>2400</v>
      </c>
      <c r="AF7" s="13" t="str">
        <f>S7</f>
        <v>계</v>
      </c>
      <c r="AG7" s="13" t="str">
        <f>Q7&amp;"/"&amp;R7</f>
        <v>2/1</v>
      </c>
      <c r="AI7" s="32" t="str">
        <f t="shared" si="1"/>
        <v>푸른마을인덕원대우</v>
      </c>
      <c r="AJ7" s="21">
        <f t="shared" si="0"/>
        <v>25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>X</v>
      </c>
      <c r="AQ7" s="13" t="str">
        <f>IF(I7="","",IF(I7&lt;=$AQ$1,"O","X"))</f>
        <v>X</v>
      </c>
      <c r="AR7" s="13" t="str">
        <f>IF(O7="","",IF(O7&lt;=$AR$1,"O","X"))</f>
        <v>X</v>
      </c>
      <c r="AS7" s="13" t="str">
        <f>IF(M7="","",IF(M7&lt;=$AS$1,"O","X"))</f>
        <v>X</v>
      </c>
      <c r="AT7" s="13" t="s">
        <v>32</v>
      </c>
      <c r="AU7" s="13" t="str">
        <f>IF(OR(F7="",AJ7=""),"",IF(AND((F7&lt;=85),(AJ7&gt;=15)),"O","X"))</f>
        <v>O</v>
      </c>
      <c r="AV7" s="13" t="str">
        <f>IF(C7="","",IF(C7&gt;=$AV$1,"O","X"))</f>
        <v>O</v>
      </c>
      <c r="AW7" s="13" t="str">
        <f>IF(AP7="","",IF(AND(AP7="O",AQ7="O",AS7="O",AU7="O",AV7="O"),"후보","X"))</f>
        <v>X</v>
      </c>
    </row>
    <row r="8" spans="1:49" x14ac:dyDescent="0.3">
      <c r="A8" s="5" t="s">
        <v>1625</v>
      </c>
      <c r="B8" s="14" t="s">
        <v>1626</v>
      </c>
      <c r="C8" s="25">
        <v>1996</v>
      </c>
      <c r="D8" s="23">
        <v>108.3</v>
      </c>
      <c r="E8" s="21">
        <v>33</v>
      </c>
      <c r="F8" s="23">
        <v>85</v>
      </c>
      <c r="G8" s="24">
        <v>26</v>
      </c>
      <c r="H8" s="25">
        <v>1592</v>
      </c>
      <c r="I8" s="29">
        <v>76000</v>
      </c>
      <c r="J8" s="106" t="s">
        <v>1968</v>
      </c>
      <c r="K8" s="29">
        <v>60000</v>
      </c>
      <c r="L8" s="106" t="s">
        <v>1970</v>
      </c>
      <c r="M8" s="6">
        <f>I8-K8</f>
        <v>16000</v>
      </c>
      <c r="N8" s="7">
        <f>IF(ISERROR(K8/I8),"",K8/I8)</f>
        <v>0.78947368421052633</v>
      </c>
      <c r="O8" s="12">
        <f>I8/E8</f>
        <v>2303.030303030303</v>
      </c>
      <c r="P8" s="12">
        <f>K8/E8</f>
        <v>1818.1818181818182</v>
      </c>
      <c r="Q8" s="13">
        <v>3</v>
      </c>
      <c r="R8" s="13">
        <v>2</v>
      </c>
      <c r="S8" s="13" t="s">
        <v>51</v>
      </c>
      <c r="T8" s="8">
        <v>108</v>
      </c>
      <c r="U8" s="5"/>
      <c r="V8" s="5" t="s">
        <v>1629</v>
      </c>
      <c r="X8" s="23">
        <f t="shared" si="2"/>
        <v>108.3</v>
      </c>
      <c r="Y8" s="21">
        <f t="shared" si="2"/>
        <v>33</v>
      </c>
      <c r="Z8" s="28">
        <f t="shared" si="3"/>
        <v>1592</v>
      </c>
      <c r="AA8" s="6">
        <f t="shared" si="3"/>
        <v>76000</v>
      </c>
      <c r="AB8" s="6">
        <f>K8</f>
        <v>60000</v>
      </c>
      <c r="AC8" s="6">
        <f t="shared" si="4"/>
        <v>16000</v>
      </c>
      <c r="AD8" s="7">
        <f t="shared" si="4"/>
        <v>0.78947368421052633</v>
      </c>
      <c r="AE8" s="12">
        <f t="shared" si="4"/>
        <v>2303.030303030303</v>
      </c>
      <c r="AF8" s="13" t="str">
        <f>S8</f>
        <v>계</v>
      </c>
      <c r="AG8" s="13" t="str">
        <f>Q8&amp;"/"&amp;R8</f>
        <v>3/2</v>
      </c>
      <c r="AI8" s="32" t="str">
        <f t="shared" si="1"/>
        <v>푸른마을인덕원대우</v>
      </c>
      <c r="AJ8" s="21">
        <f t="shared" si="0"/>
        <v>33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>X</v>
      </c>
      <c r="AQ8" s="13" t="str">
        <f>IF(I8="","",IF(I8&lt;=$AQ$1,"O","X"))</f>
        <v>X</v>
      </c>
      <c r="AR8" s="13" t="str">
        <f>IF(O8="","",IF(O8&lt;=$AR$1,"O","X"))</f>
        <v>X</v>
      </c>
      <c r="AS8" s="13" t="str">
        <f>IF(M8="","",IF(M8&lt;=$AS$1,"O","X"))</f>
        <v>X</v>
      </c>
      <c r="AT8" s="13" t="s">
        <v>32</v>
      </c>
      <c r="AU8" s="13" t="str">
        <f>IF(OR(F8="",AJ8=""),"",IF(AND((F8&lt;=85),(AJ8&gt;=15)),"O","X"))</f>
        <v>O</v>
      </c>
      <c r="AV8" s="13" t="str">
        <f>IF(C8="","",IF(C8&gt;=$AV$1,"O","X"))</f>
        <v>O</v>
      </c>
      <c r="AW8" s="13" t="str">
        <f>IF(AP8="","",IF(AND(AP8="O",AQ8="O",AS8="O",AU8="O",AV8="O"),"후보","X"))</f>
        <v>X</v>
      </c>
    </row>
    <row r="9" spans="1:49" x14ac:dyDescent="0.3">
      <c r="A9" s="5"/>
      <c r="B9" s="13"/>
      <c r="C9" s="9"/>
      <c r="D9" s="5"/>
      <c r="E9" s="18"/>
      <c r="F9" s="23"/>
      <c r="G9" s="5"/>
      <c r="H9" s="5"/>
      <c r="I9" s="5"/>
      <c r="J9" s="8"/>
      <c r="K9" s="5"/>
      <c r="L9" s="8"/>
      <c r="M9" s="5"/>
      <c r="N9" s="5"/>
      <c r="O9" s="12"/>
      <c r="P9" s="12"/>
      <c r="Q9" s="21"/>
      <c r="R9" s="21"/>
      <c r="S9" s="5"/>
      <c r="T9" s="59"/>
      <c r="U9" s="5"/>
      <c r="V9" s="5"/>
      <c r="X9" s="90" t="str">
        <f>$A$4&amp;" "&amp;A10&amp;"("&amp;B10&amp;","&amp;C10&amp;"^)"</f>
        <v>평촌동 향촌현대5차('93.04,780^)</v>
      </c>
      <c r="Y9" s="91"/>
      <c r="Z9" s="91"/>
      <c r="AA9" s="91"/>
      <c r="AB9" s="91"/>
      <c r="AC9" s="91"/>
      <c r="AD9" s="91"/>
      <c r="AE9" s="91"/>
      <c r="AF9" s="91"/>
      <c r="AG9" s="92"/>
      <c r="AI9" s="32" t="str">
        <f t="shared" si="1"/>
        <v/>
      </c>
      <c r="AJ9" s="33" t="str">
        <f t="shared" si="0"/>
        <v/>
      </c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x14ac:dyDescent="0.3">
      <c r="A10" s="5" t="s">
        <v>1630</v>
      </c>
      <c r="B10" s="14" t="s">
        <v>1609</v>
      </c>
      <c r="C10" s="25">
        <v>780</v>
      </c>
      <c r="D10" s="23">
        <v>75.900000000000006</v>
      </c>
      <c r="E10" s="21">
        <v>23</v>
      </c>
      <c r="F10" s="23">
        <v>59.8</v>
      </c>
      <c r="G10" s="24">
        <v>18</v>
      </c>
      <c r="H10" s="25">
        <v>270</v>
      </c>
      <c r="I10" s="29">
        <v>77000</v>
      </c>
      <c r="J10" s="106" t="s">
        <v>1971</v>
      </c>
      <c r="K10" s="29">
        <v>45000</v>
      </c>
      <c r="L10" s="106" t="s">
        <v>1973</v>
      </c>
      <c r="M10" s="6">
        <f>I10-K10</f>
        <v>32000</v>
      </c>
      <c r="N10" s="7">
        <f>IF(ISERROR(K10/I10),"",K10/I10)</f>
        <v>0.58441558441558439</v>
      </c>
      <c r="O10" s="12">
        <f>I10/E10</f>
        <v>3347.8260869565215</v>
      </c>
      <c r="P10" s="12">
        <f>K10/E10</f>
        <v>1956.5217391304348</v>
      </c>
      <c r="Q10" s="13">
        <v>3</v>
      </c>
      <c r="R10" s="13">
        <v>1</v>
      </c>
      <c r="S10" s="13" t="s">
        <v>51</v>
      </c>
      <c r="T10" s="8">
        <v>75</v>
      </c>
      <c r="U10" s="5"/>
      <c r="V10" s="5" t="s">
        <v>1631</v>
      </c>
      <c r="X10" s="23">
        <f>D10</f>
        <v>75.900000000000006</v>
      </c>
      <c r="Y10" s="21">
        <f>E10</f>
        <v>23</v>
      </c>
      <c r="Z10" s="28">
        <f>H10</f>
        <v>270</v>
      </c>
      <c r="AA10" s="6">
        <f>I10</f>
        <v>77000</v>
      </c>
      <c r="AB10" s="6">
        <f>K10</f>
        <v>45000</v>
      </c>
      <c r="AC10" s="6">
        <f t="shared" ref="AC10:AE11" si="5">M10</f>
        <v>32000</v>
      </c>
      <c r="AD10" s="7">
        <f t="shared" si="5"/>
        <v>0.58441558441558439</v>
      </c>
      <c r="AE10" s="12">
        <f t="shared" si="5"/>
        <v>3347.8260869565215</v>
      </c>
      <c r="AF10" s="13" t="str">
        <f>S10</f>
        <v>계</v>
      </c>
      <c r="AG10" s="13" t="str">
        <f>Q10&amp;"/"&amp;R10</f>
        <v>3/1</v>
      </c>
      <c r="AI10" s="32" t="str">
        <f t="shared" si="1"/>
        <v>향촌현대5차</v>
      </c>
      <c r="AJ10" s="21">
        <f t="shared" si="0"/>
        <v>23</v>
      </c>
      <c r="AK10" s="13" t="str">
        <f>IF(AJ10="","",$AK$2)</f>
        <v>A-</v>
      </c>
      <c r="AL10" s="13"/>
      <c r="AM10" s="13"/>
      <c r="AN10" s="13"/>
      <c r="AO10" s="13" t="str">
        <f>IF(AJ10="","",$AO$2)</f>
        <v>C</v>
      </c>
      <c r="AP10" s="13" t="str">
        <f>IF(N10="","",IF(N10&gt;=$AP$1/100,"O","X"))</f>
        <v>X</v>
      </c>
      <c r="AQ10" s="13" t="str">
        <f>IF(I10="","",IF(I10&lt;=$AQ$1,"O","X"))</f>
        <v>X</v>
      </c>
      <c r="AR10" s="13" t="str">
        <f>IF(O10="","",IF(O10&lt;=$AR$1,"O","X"))</f>
        <v>X</v>
      </c>
      <c r="AS10" s="13" t="str">
        <f>IF(M10="","",IF(M10&lt;=$AS$1,"O","X"))</f>
        <v>X</v>
      </c>
      <c r="AT10" s="13" t="s">
        <v>32</v>
      </c>
      <c r="AU10" s="13" t="str">
        <f>IF(OR(F10="",AJ10=""),"",IF(AND((F10&lt;=85),(AJ10&gt;=15)),"O","X"))</f>
        <v>O</v>
      </c>
      <c r="AV10" s="13" t="str">
        <f>IF(C10="","",IF(C10&gt;=$AV$1,"O","X"))</f>
        <v>O</v>
      </c>
      <c r="AW10" s="13" t="str">
        <f>IF(AP10="","",IF(AND(AP10="O",AQ10="O",AS10="O",AU10="O",AV10="O"),"후보","X"))</f>
        <v>X</v>
      </c>
    </row>
    <row r="11" spans="1:49" x14ac:dyDescent="0.3">
      <c r="A11" s="5" t="s">
        <v>1630</v>
      </c>
      <c r="B11" s="14" t="s">
        <v>1609</v>
      </c>
      <c r="C11" s="25">
        <v>780</v>
      </c>
      <c r="D11" s="23">
        <v>105.6</v>
      </c>
      <c r="E11" s="21">
        <v>32</v>
      </c>
      <c r="F11" s="23">
        <v>84.8</v>
      </c>
      <c r="G11" s="24">
        <v>26</v>
      </c>
      <c r="H11" s="25">
        <v>510</v>
      </c>
      <c r="I11" s="29">
        <v>100000</v>
      </c>
      <c r="J11" s="106" t="s">
        <v>1972</v>
      </c>
      <c r="K11" s="29">
        <v>65000</v>
      </c>
      <c r="L11" s="106" t="s">
        <v>1974</v>
      </c>
      <c r="M11" s="6">
        <f>I11-K11</f>
        <v>35000</v>
      </c>
      <c r="N11" s="7">
        <f>IF(ISERROR(K11/I11),"",K11/I11)</f>
        <v>0.65</v>
      </c>
      <c r="O11" s="12">
        <f>I11/E11</f>
        <v>3125</v>
      </c>
      <c r="P11" s="12">
        <f>K11/E11</f>
        <v>2031.25</v>
      </c>
      <c r="Q11" s="13">
        <v>3</v>
      </c>
      <c r="R11" s="13">
        <v>2</v>
      </c>
      <c r="S11" s="13" t="s">
        <v>51</v>
      </c>
      <c r="T11" s="8">
        <v>105</v>
      </c>
      <c r="U11" s="5"/>
      <c r="V11" s="5" t="s">
        <v>1632</v>
      </c>
      <c r="X11" s="23">
        <f>D11</f>
        <v>105.6</v>
      </c>
      <c r="Y11" s="21">
        <f>E11</f>
        <v>32</v>
      </c>
      <c r="Z11" s="28">
        <f>H11</f>
        <v>510</v>
      </c>
      <c r="AA11" s="6">
        <f>I11</f>
        <v>100000</v>
      </c>
      <c r="AB11" s="6">
        <f>K11</f>
        <v>65000</v>
      </c>
      <c r="AC11" s="6">
        <f t="shared" si="5"/>
        <v>35000</v>
      </c>
      <c r="AD11" s="7">
        <f t="shared" si="5"/>
        <v>0.65</v>
      </c>
      <c r="AE11" s="12">
        <f t="shared" si="5"/>
        <v>3125</v>
      </c>
      <c r="AF11" s="13" t="str">
        <f>S11</f>
        <v>계</v>
      </c>
      <c r="AG11" s="13" t="str">
        <f>Q11&amp;"/"&amp;R11</f>
        <v>3/2</v>
      </c>
      <c r="AI11" s="32" t="str">
        <f t="shared" si="1"/>
        <v>향촌현대5차</v>
      </c>
      <c r="AJ11" s="21">
        <f t="shared" si="0"/>
        <v>32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>X</v>
      </c>
      <c r="AQ11" s="13" t="str">
        <f>IF(I11="","",IF(I11&lt;=$AQ$1,"O","X"))</f>
        <v>X</v>
      </c>
      <c r="AR11" s="13" t="str">
        <f>IF(O11="","",IF(O11&lt;=$AR$1,"O","X"))</f>
        <v>X</v>
      </c>
      <c r="AS11" s="13" t="str">
        <f>IF(M11="","",IF(M11&lt;=$AS$1,"O","X"))</f>
        <v>X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O</v>
      </c>
      <c r="AW11" s="13" t="str">
        <f>IF(AP11="","",IF(AND(AP11="O",AQ11="O",AS11="O",AU11="O",AV11="O"),"후보","X"))</f>
        <v>X</v>
      </c>
    </row>
    <row r="12" spans="1:49" x14ac:dyDescent="0.3">
      <c r="A12" s="5"/>
      <c r="B12" s="13"/>
      <c r="C12" s="9"/>
      <c r="D12" s="5"/>
      <c r="E12" s="18"/>
      <c r="F12" s="23"/>
      <c r="G12" s="5"/>
      <c r="H12" s="5"/>
      <c r="I12" s="5"/>
      <c r="J12" s="8"/>
      <c r="K12" s="5"/>
      <c r="L12" s="8"/>
      <c r="M12" s="5"/>
      <c r="N12" s="5"/>
      <c r="O12" s="12"/>
      <c r="P12" s="12"/>
      <c r="Q12" s="21"/>
      <c r="R12" s="21"/>
      <c r="S12" s="5"/>
      <c r="T12" s="59"/>
      <c r="U12" s="5"/>
      <c r="V12" s="5"/>
      <c r="X12" s="90" t="str">
        <f>$A$4&amp;" "&amp;A13&amp;"("&amp;B13&amp;","&amp;C13&amp;"^)"</f>
        <v>평촌동 평촌e-편한세상('10.06,220^)</v>
      </c>
      <c r="Y12" s="91"/>
      <c r="Z12" s="91"/>
      <c r="AA12" s="91"/>
      <c r="AB12" s="91"/>
      <c r="AC12" s="91"/>
      <c r="AD12" s="91"/>
      <c r="AE12" s="91"/>
      <c r="AF12" s="91"/>
      <c r="AG12" s="92"/>
      <c r="AI12" s="32" t="str">
        <f t="shared" si="1"/>
        <v/>
      </c>
      <c r="AJ12" s="33" t="str">
        <f t="shared" si="0"/>
        <v/>
      </c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</row>
    <row r="13" spans="1:49" x14ac:dyDescent="0.3">
      <c r="A13" s="5" t="s">
        <v>1633</v>
      </c>
      <c r="B13" s="14" t="s">
        <v>1634</v>
      </c>
      <c r="C13" s="25">
        <v>220</v>
      </c>
      <c r="D13" s="23">
        <v>157.80000000000001</v>
      </c>
      <c r="E13" s="21">
        <v>48</v>
      </c>
      <c r="F13" s="23">
        <v>130.6</v>
      </c>
      <c r="G13" s="24">
        <v>40</v>
      </c>
      <c r="H13" s="25">
        <v>92</v>
      </c>
      <c r="I13" s="29">
        <v>165000</v>
      </c>
      <c r="J13" s="106" t="s">
        <v>1975</v>
      </c>
      <c r="K13" s="29">
        <v>75000</v>
      </c>
      <c r="L13" s="106" t="s">
        <v>1977</v>
      </c>
      <c r="M13" s="6">
        <f>I13-K13</f>
        <v>90000</v>
      </c>
      <c r="N13" s="7">
        <f>IF(ISERROR(K13/I13),"",K13/I13)</f>
        <v>0.45454545454545453</v>
      </c>
      <c r="O13" s="12">
        <f>I13/E13</f>
        <v>3437.5</v>
      </c>
      <c r="P13" s="12">
        <f>K13/E13</f>
        <v>1562.5</v>
      </c>
      <c r="Q13" s="13">
        <v>4</v>
      </c>
      <c r="R13" s="13">
        <v>2</v>
      </c>
      <c r="S13" s="13" t="s">
        <v>51</v>
      </c>
      <c r="T13" s="8">
        <v>157</v>
      </c>
      <c r="U13" s="5"/>
      <c r="V13" s="5" t="s">
        <v>1635</v>
      </c>
      <c r="X13" s="23">
        <f t="shared" ref="X13:Y16" si="6">D13</f>
        <v>157.80000000000001</v>
      </c>
      <c r="Y13" s="21">
        <f t="shared" si="6"/>
        <v>48</v>
      </c>
      <c r="Z13" s="28">
        <f t="shared" ref="Z13:AA16" si="7">H13</f>
        <v>92</v>
      </c>
      <c r="AA13" s="6">
        <f t="shared" si="7"/>
        <v>165000</v>
      </c>
      <c r="AB13" s="6">
        <f>K13</f>
        <v>75000</v>
      </c>
      <c r="AC13" s="6">
        <f t="shared" ref="AC13:AE16" si="8">M13</f>
        <v>90000</v>
      </c>
      <c r="AD13" s="7">
        <f t="shared" si="8"/>
        <v>0.45454545454545453</v>
      </c>
      <c r="AE13" s="12">
        <f t="shared" si="8"/>
        <v>3437.5</v>
      </c>
      <c r="AF13" s="13" t="str">
        <f>S13</f>
        <v>계</v>
      </c>
      <c r="AG13" s="13" t="str">
        <f>Q13&amp;"/"&amp;R13</f>
        <v>4/2</v>
      </c>
      <c r="AI13" s="32" t="str">
        <f t="shared" si="1"/>
        <v>평촌e-편한세상</v>
      </c>
      <c r="AJ13" s="21">
        <f t="shared" si="0"/>
        <v>48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>X</v>
      </c>
      <c r="AQ13" s="13" t="str">
        <f>IF(I13="","",IF(I13&lt;=$AQ$1,"O","X"))</f>
        <v>X</v>
      </c>
      <c r="AR13" s="13" t="str">
        <f>IF(O13="","",IF(O13&lt;=$AR$1,"O","X"))</f>
        <v>X</v>
      </c>
      <c r="AS13" s="13" t="str">
        <f>IF(M13="","",IF(M13&lt;=$AS$1,"O","X"))</f>
        <v>X</v>
      </c>
      <c r="AT13" s="13" t="s">
        <v>32</v>
      </c>
      <c r="AU13" s="13" t="str">
        <f>IF(OR(F13="",AJ13=""),"",IF(AND((F13&lt;=85),(AJ13&gt;=15)),"O","X"))</f>
        <v>X</v>
      </c>
      <c r="AV13" s="13" t="str">
        <f>IF(C13="","",IF(C13&gt;=$AV$1,"O","X"))</f>
        <v>X</v>
      </c>
      <c r="AW13" s="13" t="str">
        <f>IF(AP13="","",IF(AND(AP13="O",AQ13="O",AS13="O",AU13="O",AV13="O"),"후보","X"))</f>
        <v>X</v>
      </c>
    </row>
    <row r="14" spans="1:49" x14ac:dyDescent="0.3">
      <c r="A14" s="5" t="s">
        <v>1633</v>
      </c>
      <c r="B14" s="14" t="s">
        <v>1634</v>
      </c>
      <c r="C14" s="25">
        <v>220</v>
      </c>
      <c r="D14" s="23">
        <v>186.5</v>
      </c>
      <c r="E14" s="21">
        <v>56</v>
      </c>
      <c r="F14" s="23">
        <v>152.5</v>
      </c>
      <c r="G14" s="24">
        <v>46</v>
      </c>
      <c r="H14" s="25">
        <v>13</v>
      </c>
      <c r="I14" s="29">
        <v>136000</v>
      </c>
      <c r="J14" s="106"/>
      <c r="K14" s="29">
        <v>85000</v>
      </c>
      <c r="L14" s="106"/>
      <c r="M14" s="6">
        <f>I14-K14</f>
        <v>51000</v>
      </c>
      <c r="N14" s="7">
        <f>IF(ISERROR(K14/I14),"",K14/I14)</f>
        <v>0.625</v>
      </c>
      <c r="O14" s="12">
        <f>I14/E14</f>
        <v>2428.5714285714284</v>
      </c>
      <c r="P14" s="12">
        <f>K14/E14</f>
        <v>1517.8571428571429</v>
      </c>
      <c r="Q14" s="13">
        <v>4</v>
      </c>
      <c r="R14" s="13">
        <v>2</v>
      </c>
      <c r="S14" s="13" t="s">
        <v>51</v>
      </c>
      <c r="T14" s="8">
        <v>186</v>
      </c>
      <c r="U14" s="5"/>
      <c r="V14" s="5" t="s">
        <v>1636</v>
      </c>
      <c r="X14" s="23">
        <f t="shared" si="6"/>
        <v>186.5</v>
      </c>
      <c r="Y14" s="21">
        <f t="shared" si="6"/>
        <v>56</v>
      </c>
      <c r="Z14" s="28">
        <f t="shared" si="7"/>
        <v>13</v>
      </c>
      <c r="AA14" s="6">
        <f t="shared" si="7"/>
        <v>136000</v>
      </c>
      <c r="AB14" s="6">
        <f>K14</f>
        <v>85000</v>
      </c>
      <c r="AC14" s="6">
        <f t="shared" si="8"/>
        <v>51000</v>
      </c>
      <c r="AD14" s="7">
        <f t="shared" si="8"/>
        <v>0.625</v>
      </c>
      <c r="AE14" s="12">
        <f t="shared" si="8"/>
        <v>2428.5714285714284</v>
      </c>
      <c r="AF14" s="13" t="str">
        <f>S14</f>
        <v>계</v>
      </c>
      <c r="AG14" s="13" t="str">
        <f>Q14&amp;"/"&amp;R14</f>
        <v>4/2</v>
      </c>
      <c r="AI14" s="32" t="str">
        <f t="shared" si="1"/>
        <v>평촌e-편한세상</v>
      </c>
      <c r="AJ14" s="21">
        <f t="shared" si="0"/>
        <v>56</v>
      </c>
      <c r="AK14" s="13" t="str">
        <f>IF(AJ14="","",$AK$2)</f>
        <v>A-</v>
      </c>
      <c r="AL14" s="13"/>
      <c r="AM14" s="13"/>
      <c r="AN14" s="13"/>
      <c r="AO14" s="13" t="str">
        <f>IF(AJ14="","",$AO$2)</f>
        <v>C</v>
      </c>
      <c r="AP14" s="13" t="str">
        <f>IF(N14="","",IF(N14&gt;=$AP$1/100,"O","X"))</f>
        <v>X</v>
      </c>
      <c r="AQ14" s="13" t="str">
        <f>IF(I14="","",IF(I14&lt;=$AQ$1,"O","X"))</f>
        <v>X</v>
      </c>
      <c r="AR14" s="13" t="str">
        <f>IF(O14="","",IF(O14&lt;=$AR$1,"O","X"))</f>
        <v>X</v>
      </c>
      <c r="AS14" s="13" t="str">
        <f>IF(M14="","",IF(M14&lt;=$AS$1,"O","X"))</f>
        <v>X</v>
      </c>
      <c r="AT14" s="13" t="s">
        <v>32</v>
      </c>
      <c r="AU14" s="13" t="str">
        <f>IF(OR(F14="",AJ14=""),"",IF(AND((F14&lt;=85),(AJ14&gt;=15)),"O","X"))</f>
        <v>X</v>
      </c>
      <c r="AV14" s="13" t="str">
        <f>IF(C14="","",IF(C14&gt;=$AV$1,"O","X"))</f>
        <v>X</v>
      </c>
      <c r="AW14" s="13" t="str">
        <f>IF(AP14="","",IF(AND(AP14="O",AQ14="O",AS14="O",AU14="O",AV14="O"),"후보","X"))</f>
        <v>X</v>
      </c>
    </row>
    <row r="15" spans="1:49" x14ac:dyDescent="0.3">
      <c r="A15" s="5" t="s">
        <v>1633</v>
      </c>
      <c r="B15" s="14" t="s">
        <v>1634</v>
      </c>
      <c r="C15" s="25">
        <v>220</v>
      </c>
      <c r="D15" s="23">
        <v>187.2</v>
      </c>
      <c r="E15" s="21">
        <v>57</v>
      </c>
      <c r="F15" s="23">
        <v>157.9</v>
      </c>
      <c r="G15" s="24">
        <v>48</v>
      </c>
      <c r="H15" s="25">
        <v>100</v>
      </c>
      <c r="I15" s="29">
        <v>170000</v>
      </c>
      <c r="J15" s="106" t="s">
        <v>1976</v>
      </c>
      <c r="K15" s="29">
        <v>80000</v>
      </c>
      <c r="L15" s="106" t="s">
        <v>1978</v>
      </c>
      <c r="M15" s="6">
        <f>I15-K15</f>
        <v>90000</v>
      </c>
      <c r="N15" s="7">
        <f>IF(ISERROR(K15/I15),"",K15/I15)</f>
        <v>0.47058823529411764</v>
      </c>
      <c r="O15" s="12">
        <f>I15/E15</f>
        <v>2982.4561403508774</v>
      </c>
      <c r="P15" s="12">
        <f>K15/E15</f>
        <v>1403.5087719298247</v>
      </c>
      <c r="Q15" s="13">
        <v>4</v>
      </c>
      <c r="R15" s="13">
        <v>2</v>
      </c>
      <c r="S15" s="13" t="s">
        <v>51</v>
      </c>
      <c r="T15" s="8" t="s">
        <v>1637</v>
      </c>
      <c r="U15" s="5"/>
      <c r="V15" s="5" t="s">
        <v>1638</v>
      </c>
      <c r="X15" s="23">
        <f t="shared" si="6"/>
        <v>187.2</v>
      </c>
      <c r="Y15" s="21">
        <f t="shared" si="6"/>
        <v>57</v>
      </c>
      <c r="Z15" s="28">
        <f t="shared" si="7"/>
        <v>100</v>
      </c>
      <c r="AA15" s="6">
        <f t="shared" si="7"/>
        <v>170000</v>
      </c>
      <c r="AB15" s="6">
        <f>K15</f>
        <v>80000</v>
      </c>
      <c r="AC15" s="6">
        <f t="shared" si="8"/>
        <v>90000</v>
      </c>
      <c r="AD15" s="7">
        <f t="shared" si="8"/>
        <v>0.47058823529411764</v>
      </c>
      <c r="AE15" s="12">
        <f t="shared" si="8"/>
        <v>2982.4561403508774</v>
      </c>
      <c r="AF15" s="13" t="str">
        <f>S15</f>
        <v>계</v>
      </c>
      <c r="AG15" s="13" t="str">
        <f>Q15&amp;"/"&amp;R15</f>
        <v>4/2</v>
      </c>
      <c r="AI15" s="32" t="str">
        <f t="shared" si="1"/>
        <v>평촌e-편한세상</v>
      </c>
      <c r="AJ15" s="21">
        <f t="shared" si="0"/>
        <v>57</v>
      </c>
      <c r="AK15" s="13" t="str">
        <f>IF(AJ15="","",$AK$2)</f>
        <v>A-</v>
      </c>
      <c r="AL15" s="13"/>
      <c r="AM15" s="13"/>
      <c r="AN15" s="13"/>
      <c r="AO15" s="13" t="str">
        <f>IF(AJ15="","",$AO$2)</f>
        <v>C</v>
      </c>
      <c r="AP15" s="13" t="str">
        <f>IF(N15="","",IF(N15&gt;=$AP$1/100,"O","X"))</f>
        <v>X</v>
      </c>
      <c r="AQ15" s="13" t="str">
        <f>IF(I15="","",IF(I15&lt;=$AQ$1,"O","X"))</f>
        <v>X</v>
      </c>
      <c r="AR15" s="13" t="str">
        <f>IF(O15="","",IF(O15&lt;=$AR$1,"O","X"))</f>
        <v>X</v>
      </c>
      <c r="AS15" s="13" t="str">
        <f>IF(M15="","",IF(M15&lt;=$AS$1,"O","X"))</f>
        <v>X</v>
      </c>
      <c r="AT15" s="13" t="s">
        <v>32</v>
      </c>
      <c r="AU15" s="13" t="str">
        <f>IF(OR(F15="",AJ15=""),"",IF(AND((F15&lt;=85),(AJ15&gt;=15)),"O","X"))</f>
        <v>X</v>
      </c>
      <c r="AV15" s="13" t="str">
        <f>IF(C15="","",IF(C15&gt;=$AV$1,"O","X"))</f>
        <v>X</v>
      </c>
      <c r="AW15" s="13" t="str">
        <f>IF(AP15="","",IF(AND(AP15="O",AQ15="O",AS15="O",AU15="O",AV15="O"),"후보","X"))</f>
        <v>X</v>
      </c>
    </row>
    <row r="16" spans="1:49" x14ac:dyDescent="0.3">
      <c r="A16" s="5" t="s">
        <v>1633</v>
      </c>
      <c r="B16" s="14" t="s">
        <v>1634</v>
      </c>
      <c r="C16" s="25">
        <v>220</v>
      </c>
      <c r="D16" s="23">
        <v>187.5</v>
      </c>
      <c r="E16" s="21">
        <v>57</v>
      </c>
      <c r="F16" s="23">
        <v>151.9</v>
      </c>
      <c r="G16" s="24">
        <v>46</v>
      </c>
      <c r="H16" s="25">
        <v>15</v>
      </c>
      <c r="I16" s="29">
        <v>136000</v>
      </c>
      <c r="J16" s="106"/>
      <c r="K16" s="29">
        <v>85000</v>
      </c>
      <c r="L16" s="106"/>
      <c r="M16" s="6">
        <f>I16-K16</f>
        <v>51000</v>
      </c>
      <c r="N16" s="7">
        <f>IF(ISERROR(K16/I16),"",K16/I16)</f>
        <v>0.625</v>
      </c>
      <c r="O16" s="12">
        <f>I16/E16</f>
        <v>2385.9649122807018</v>
      </c>
      <c r="P16" s="12">
        <f>K16/E16</f>
        <v>1491.2280701754387</v>
      </c>
      <c r="Q16" s="13">
        <v>4</v>
      </c>
      <c r="R16" s="13">
        <v>2</v>
      </c>
      <c r="S16" s="13" t="s">
        <v>51</v>
      </c>
      <c r="T16" s="8" t="s">
        <v>1639</v>
      </c>
      <c r="U16" s="5"/>
      <c r="V16" s="5" t="s">
        <v>1638</v>
      </c>
      <c r="X16" s="23">
        <f t="shared" si="6"/>
        <v>187.5</v>
      </c>
      <c r="Y16" s="21">
        <f t="shared" si="6"/>
        <v>57</v>
      </c>
      <c r="Z16" s="28">
        <f t="shared" si="7"/>
        <v>15</v>
      </c>
      <c r="AA16" s="6">
        <f t="shared" si="7"/>
        <v>136000</v>
      </c>
      <c r="AB16" s="6">
        <f>K16</f>
        <v>85000</v>
      </c>
      <c r="AC16" s="6">
        <f t="shared" si="8"/>
        <v>51000</v>
      </c>
      <c r="AD16" s="7">
        <f t="shared" si="8"/>
        <v>0.625</v>
      </c>
      <c r="AE16" s="12">
        <f t="shared" si="8"/>
        <v>2385.9649122807018</v>
      </c>
      <c r="AF16" s="13" t="str">
        <f>S16</f>
        <v>계</v>
      </c>
      <c r="AG16" s="13" t="str">
        <f>Q16&amp;"/"&amp;R16</f>
        <v>4/2</v>
      </c>
      <c r="AI16" s="32" t="str">
        <f t="shared" si="1"/>
        <v>평촌e-편한세상</v>
      </c>
      <c r="AJ16" s="21">
        <f t="shared" si="0"/>
        <v>57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>X</v>
      </c>
      <c r="AQ16" s="13" t="str">
        <f>IF(I16="","",IF(I16&lt;=$AQ$1,"O","X"))</f>
        <v>X</v>
      </c>
      <c r="AR16" s="13" t="str">
        <f>IF(O16="","",IF(O16&lt;=$AR$1,"O","X"))</f>
        <v>X</v>
      </c>
      <c r="AS16" s="13" t="str">
        <f>IF(M16="","",IF(M16&lt;=$AS$1,"O","X"))</f>
        <v>X</v>
      </c>
      <c r="AT16" s="13" t="s">
        <v>32</v>
      </c>
      <c r="AU16" s="13" t="str">
        <f>IF(OR(F16="",AJ16=""),"",IF(AND((F16&lt;=85),(AJ16&gt;=15)),"O","X"))</f>
        <v>X</v>
      </c>
      <c r="AV16" s="13" t="str">
        <f>IF(C16="","",IF(C16&gt;=$AV$1,"O","X"))</f>
        <v>X</v>
      </c>
      <c r="AW16" s="13" t="str">
        <f>IF(AP16="","",IF(AND(AP16="O",AQ16="O",AS16="O",AU16="O",AV16="O"),"후보","X"))</f>
        <v>X</v>
      </c>
    </row>
    <row r="17" spans="1:49" x14ac:dyDescent="0.3">
      <c r="A17" s="5"/>
      <c r="B17" s="13"/>
      <c r="C17" s="9"/>
      <c r="D17" s="5"/>
      <c r="E17" s="18"/>
      <c r="F17" s="23"/>
      <c r="G17" s="5"/>
      <c r="H17" s="5"/>
      <c r="I17" s="5"/>
      <c r="J17" s="8"/>
      <c r="K17" s="5"/>
      <c r="L17" s="8"/>
      <c r="M17" s="5"/>
      <c r="N17" s="5"/>
      <c r="O17" s="12"/>
      <c r="P17" s="12"/>
      <c r="Q17" s="21"/>
      <c r="R17" s="21"/>
      <c r="S17" s="5"/>
      <c r="T17" s="59"/>
      <c r="U17" s="5"/>
      <c r="V17" s="5"/>
      <c r="X17" s="90" t="str">
        <f>$A$4&amp;" "&amp;A18&amp;"("&amp;B18&amp;","&amp;C18&amp;"^)"</f>
        <v>평촌동 초원7단지부영('92.1,1743^)</v>
      </c>
      <c r="Y17" s="91"/>
      <c r="Z17" s="91"/>
      <c r="AA17" s="91"/>
      <c r="AB17" s="91"/>
      <c r="AC17" s="91"/>
      <c r="AD17" s="91"/>
      <c r="AE17" s="91"/>
      <c r="AF17" s="91"/>
      <c r="AG17" s="92"/>
      <c r="AI17" s="32" t="str">
        <f t="shared" si="1"/>
        <v/>
      </c>
      <c r="AJ17" s="33" t="str">
        <f t="shared" si="0"/>
        <v/>
      </c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</row>
    <row r="18" spans="1:49" x14ac:dyDescent="0.3">
      <c r="A18" s="5" t="s">
        <v>1640</v>
      </c>
      <c r="B18" s="14" t="s">
        <v>1641</v>
      </c>
      <c r="C18" s="25">
        <v>1743</v>
      </c>
      <c r="D18" s="23">
        <v>51.8</v>
      </c>
      <c r="E18" s="21">
        <v>16</v>
      </c>
      <c r="F18" s="23">
        <v>37.9</v>
      </c>
      <c r="G18" s="24">
        <v>11</v>
      </c>
      <c r="H18" s="25">
        <v>768</v>
      </c>
      <c r="I18" s="29">
        <v>37000</v>
      </c>
      <c r="J18" s="106" t="s">
        <v>1979</v>
      </c>
      <c r="K18" s="29">
        <v>21000</v>
      </c>
      <c r="L18" s="106" t="s">
        <v>1979</v>
      </c>
      <c r="M18" s="6">
        <f>I18-K18</f>
        <v>16000</v>
      </c>
      <c r="N18" s="7">
        <f>IF(ISERROR(K18/I18),"",K18/I18)</f>
        <v>0.56756756756756754</v>
      </c>
      <c r="O18" s="12">
        <f>I18/E18</f>
        <v>2312.5</v>
      </c>
      <c r="P18" s="12">
        <f>K18/E18</f>
        <v>1312.5</v>
      </c>
      <c r="Q18" s="13">
        <v>2</v>
      </c>
      <c r="R18" s="13">
        <v>1</v>
      </c>
      <c r="S18" s="13" t="s">
        <v>1356</v>
      </c>
      <c r="T18" s="8">
        <v>51</v>
      </c>
      <c r="U18" s="5"/>
      <c r="V18" s="5" t="s">
        <v>1642</v>
      </c>
      <c r="X18" s="23">
        <f t="shared" ref="X18:Y20" si="9">D18</f>
        <v>51.8</v>
      </c>
      <c r="Y18" s="21">
        <f t="shared" si="9"/>
        <v>16</v>
      </c>
      <c r="Z18" s="28">
        <f t="shared" ref="Z18:AA20" si="10">H18</f>
        <v>768</v>
      </c>
      <c r="AA18" s="6">
        <f t="shared" si="10"/>
        <v>37000</v>
      </c>
      <c r="AB18" s="6">
        <f>K18</f>
        <v>21000</v>
      </c>
      <c r="AC18" s="6">
        <f t="shared" ref="AC18:AE20" si="11">M18</f>
        <v>16000</v>
      </c>
      <c r="AD18" s="7">
        <f t="shared" si="11"/>
        <v>0.56756756756756754</v>
      </c>
      <c r="AE18" s="12">
        <f t="shared" si="11"/>
        <v>2312.5</v>
      </c>
      <c r="AF18" s="13" t="str">
        <f>S18</f>
        <v>복</v>
      </c>
      <c r="AG18" s="13" t="str">
        <f>Q18&amp;"/"&amp;R18</f>
        <v>2/1</v>
      </c>
      <c r="AI18" s="32" t="str">
        <f t="shared" si="1"/>
        <v>초원7단지부영</v>
      </c>
      <c r="AJ18" s="21">
        <f t="shared" si="0"/>
        <v>16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>X</v>
      </c>
      <c r="AQ18" s="13" t="str">
        <f>IF(I18="","",IF(I18&lt;=$AQ$1,"O","X"))</f>
        <v>O</v>
      </c>
      <c r="AR18" s="13" t="str">
        <f>IF(O18="","",IF(O18&lt;=$AR$1,"O","X"))</f>
        <v>X</v>
      </c>
      <c r="AS18" s="13" t="str">
        <f>IF(M18="","",IF(M18&lt;=$AS$1,"O","X"))</f>
        <v>X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O</v>
      </c>
      <c r="AW18" s="13" t="str">
        <f>IF(AP18="","",IF(AND(AP18="O",AQ18="O",AS18="O",AU18="O",AV18="O"),"후보","X"))</f>
        <v>X</v>
      </c>
    </row>
    <row r="19" spans="1:49" x14ac:dyDescent="0.3">
      <c r="A19" s="5" t="s">
        <v>1640</v>
      </c>
      <c r="B19" s="14" t="s">
        <v>1641</v>
      </c>
      <c r="C19" s="25">
        <v>1743</v>
      </c>
      <c r="D19" s="23">
        <v>68.2</v>
      </c>
      <c r="E19" s="21">
        <v>21</v>
      </c>
      <c r="F19" s="23">
        <v>50</v>
      </c>
      <c r="G19" s="24">
        <v>15</v>
      </c>
      <c r="H19" s="25">
        <v>525</v>
      </c>
      <c r="I19" s="29">
        <v>57000</v>
      </c>
      <c r="J19" s="106" t="s">
        <v>1980</v>
      </c>
      <c r="K19" s="29">
        <v>28000</v>
      </c>
      <c r="L19" s="106" t="s">
        <v>1981</v>
      </c>
      <c r="M19" s="6">
        <f>I19-K19</f>
        <v>29000</v>
      </c>
      <c r="N19" s="7">
        <f>IF(ISERROR(K19/I19),"",K19/I19)</f>
        <v>0.49122807017543857</v>
      </c>
      <c r="O19" s="12">
        <f>I19/E19</f>
        <v>2714.2857142857142</v>
      </c>
      <c r="P19" s="12">
        <f>K19/E19</f>
        <v>1333.3333333333333</v>
      </c>
      <c r="Q19" s="13">
        <v>3</v>
      </c>
      <c r="R19" s="13">
        <v>1</v>
      </c>
      <c r="S19" s="13" t="s">
        <v>1356</v>
      </c>
      <c r="T19" s="8">
        <v>68</v>
      </c>
      <c r="U19" s="5"/>
      <c r="V19" s="5" t="s">
        <v>1643</v>
      </c>
      <c r="X19" s="23">
        <f t="shared" si="9"/>
        <v>68.2</v>
      </c>
      <c r="Y19" s="21">
        <f t="shared" si="9"/>
        <v>21</v>
      </c>
      <c r="Z19" s="28">
        <f t="shared" si="10"/>
        <v>525</v>
      </c>
      <c r="AA19" s="6">
        <f t="shared" si="10"/>
        <v>57000</v>
      </c>
      <c r="AB19" s="6">
        <f>K19</f>
        <v>28000</v>
      </c>
      <c r="AC19" s="6">
        <f t="shared" si="11"/>
        <v>29000</v>
      </c>
      <c r="AD19" s="7">
        <f t="shared" si="11"/>
        <v>0.49122807017543857</v>
      </c>
      <c r="AE19" s="12">
        <f t="shared" si="11"/>
        <v>2714.2857142857142</v>
      </c>
      <c r="AF19" s="13" t="str">
        <f>S19</f>
        <v>복</v>
      </c>
      <c r="AG19" s="13" t="str">
        <f>Q19&amp;"/"&amp;R19</f>
        <v>3/1</v>
      </c>
      <c r="AI19" s="32" t="str">
        <f t="shared" si="1"/>
        <v>초원7단지부영</v>
      </c>
      <c r="AJ19" s="21">
        <f t="shared" si="0"/>
        <v>21</v>
      </c>
      <c r="AK19" s="13" t="str">
        <f>IF(AJ19="","",$AK$2)</f>
        <v>A-</v>
      </c>
      <c r="AL19" s="13"/>
      <c r="AM19" s="13"/>
      <c r="AN19" s="13"/>
      <c r="AO19" s="13" t="str">
        <f>IF(AJ19="","",$AO$2)</f>
        <v>C</v>
      </c>
      <c r="AP19" s="13" t="str">
        <f>IF(N19="","",IF(N19&gt;=$AP$1/100,"O","X"))</f>
        <v>X</v>
      </c>
      <c r="AQ19" s="13" t="str">
        <f>IF(I19="","",IF(I19&lt;=$AQ$1,"O","X"))</f>
        <v>X</v>
      </c>
      <c r="AR19" s="13" t="str">
        <f>IF(O19="","",IF(O19&lt;=$AR$1,"O","X"))</f>
        <v>X</v>
      </c>
      <c r="AS19" s="13" t="str">
        <f>IF(M19="","",IF(M19&lt;=$AS$1,"O","X"))</f>
        <v>X</v>
      </c>
      <c r="AT19" s="13" t="s">
        <v>32</v>
      </c>
      <c r="AU19" s="13" t="str">
        <f>IF(OR(F19="",AJ19=""),"",IF(AND((F19&lt;=85),(AJ19&gt;=15)),"O","X"))</f>
        <v>O</v>
      </c>
      <c r="AV19" s="13" t="str">
        <f>IF(C19="","",IF(C19&gt;=$AV$1,"O","X"))</f>
        <v>O</v>
      </c>
      <c r="AW19" s="13" t="str">
        <f>IF(AP19="","",IF(AND(AP19="O",AQ19="O",AS19="O",AU19="O",AV19="O"),"후보","X"))</f>
        <v>X</v>
      </c>
    </row>
    <row r="20" spans="1:49" x14ac:dyDescent="0.3">
      <c r="A20" s="5" t="s">
        <v>1640</v>
      </c>
      <c r="B20" s="14" t="s">
        <v>1641</v>
      </c>
      <c r="C20" s="25">
        <v>1743</v>
      </c>
      <c r="D20" s="23">
        <v>81.7</v>
      </c>
      <c r="E20" s="21">
        <v>25</v>
      </c>
      <c r="F20" s="23">
        <v>60</v>
      </c>
      <c r="G20" s="24">
        <v>18</v>
      </c>
      <c r="H20" s="25">
        <v>450</v>
      </c>
      <c r="I20" s="29">
        <v>66000</v>
      </c>
      <c r="J20" s="106" t="s">
        <v>1977</v>
      </c>
      <c r="K20" s="29">
        <v>35000</v>
      </c>
      <c r="L20" s="106" t="s">
        <v>1982</v>
      </c>
      <c r="M20" s="6">
        <f>I20-K20</f>
        <v>31000</v>
      </c>
      <c r="N20" s="7">
        <f>IF(ISERROR(K20/I20),"",K20/I20)</f>
        <v>0.53030303030303028</v>
      </c>
      <c r="O20" s="12">
        <f>I20/E20</f>
        <v>2640</v>
      </c>
      <c r="P20" s="12">
        <f>K20/E20</f>
        <v>1400</v>
      </c>
      <c r="Q20" s="13">
        <v>3</v>
      </c>
      <c r="R20" s="13">
        <v>1</v>
      </c>
      <c r="S20" s="13" t="s">
        <v>1356</v>
      </c>
      <c r="T20" s="8">
        <v>81</v>
      </c>
      <c r="U20" s="5"/>
      <c r="V20" s="5" t="s">
        <v>1644</v>
      </c>
      <c r="X20" s="23">
        <f t="shared" si="9"/>
        <v>81.7</v>
      </c>
      <c r="Y20" s="21">
        <f t="shared" si="9"/>
        <v>25</v>
      </c>
      <c r="Z20" s="28">
        <f t="shared" si="10"/>
        <v>450</v>
      </c>
      <c r="AA20" s="6">
        <f t="shared" si="10"/>
        <v>66000</v>
      </c>
      <c r="AB20" s="6">
        <f>K20</f>
        <v>35000</v>
      </c>
      <c r="AC20" s="6">
        <f t="shared" si="11"/>
        <v>31000</v>
      </c>
      <c r="AD20" s="7">
        <f t="shared" si="11"/>
        <v>0.53030303030303028</v>
      </c>
      <c r="AE20" s="12">
        <f t="shared" si="11"/>
        <v>2640</v>
      </c>
      <c r="AF20" s="13" t="str">
        <f>S20</f>
        <v>복</v>
      </c>
      <c r="AG20" s="13" t="str">
        <f>Q20&amp;"/"&amp;R20</f>
        <v>3/1</v>
      </c>
      <c r="AI20" s="32" t="str">
        <f t="shared" si="1"/>
        <v>초원7단지부영</v>
      </c>
      <c r="AJ20" s="21">
        <f t="shared" si="0"/>
        <v>25</v>
      </c>
      <c r="AK20" s="13" t="str">
        <f>IF(AJ20="","",$AK$2)</f>
        <v>A-</v>
      </c>
      <c r="AL20" s="13"/>
      <c r="AM20" s="13"/>
      <c r="AN20" s="13"/>
      <c r="AO20" s="13" t="str">
        <f>IF(AJ20="","",$AO$2)</f>
        <v>C</v>
      </c>
      <c r="AP20" s="13" t="str">
        <f>IF(N20="","",IF(N20&gt;=$AP$1/100,"O","X"))</f>
        <v>X</v>
      </c>
      <c r="AQ20" s="13" t="str">
        <f>IF(I20="","",IF(I20&lt;=$AQ$1,"O","X"))</f>
        <v>X</v>
      </c>
      <c r="AR20" s="13" t="str">
        <f>IF(O20="","",IF(O20&lt;=$AR$1,"O","X"))</f>
        <v>X</v>
      </c>
      <c r="AS20" s="13" t="str">
        <f>IF(M20="","",IF(M20&lt;=$AS$1,"O","X"))</f>
        <v>X</v>
      </c>
      <c r="AT20" s="13" t="s">
        <v>32</v>
      </c>
      <c r="AU20" s="13" t="str">
        <f>IF(OR(F20="",AJ20=""),"",IF(AND((F20&lt;=85),(AJ20&gt;=15)),"O","X"))</f>
        <v>O</v>
      </c>
      <c r="AV20" s="13" t="str">
        <f>IF(C20="","",IF(C20&gt;=$AV$1,"O","X"))</f>
        <v>O</v>
      </c>
      <c r="AW20" s="13" t="str">
        <f>IF(AP20="","",IF(AND(AP20="O",AQ20="O",AS20="O",AU20="O",AV20="O"),"후보","X"))</f>
        <v>X</v>
      </c>
    </row>
    <row r="21" spans="1:49" x14ac:dyDescent="0.3">
      <c r="A21" s="5"/>
      <c r="B21" s="13"/>
      <c r="C21" s="9"/>
      <c r="D21" s="5"/>
      <c r="E21" s="18"/>
      <c r="F21" s="23"/>
      <c r="G21" s="5"/>
      <c r="H21" s="5"/>
      <c r="I21" s="5"/>
      <c r="J21" s="8"/>
      <c r="K21" s="5"/>
      <c r="L21" s="8"/>
      <c r="M21" s="5"/>
      <c r="N21" s="5"/>
      <c r="O21" s="12"/>
      <c r="P21" s="12"/>
      <c r="Q21" s="21"/>
      <c r="R21" s="21"/>
      <c r="S21" s="5"/>
      <c r="T21" s="59"/>
      <c r="U21" s="5"/>
      <c r="V21" s="5"/>
      <c r="X21" s="90" t="str">
        <f>$A$4&amp;" "&amp;A22&amp;"("&amp;B22&amp;","&amp;C22&amp;"^)"</f>
        <v>평촌동 초원2단지대림('93.11,1035^)</v>
      </c>
      <c r="Y21" s="91"/>
      <c r="Z21" s="91"/>
      <c r="AA21" s="91"/>
      <c r="AB21" s="91"/>
      <c r="AC21" s="91"/>
      <c r="AD21" s="91"/>
      <c r="AE21" s="91"/>
      <c r="AF21" s="91"/>
      <c r="AG21" s="92"/>
      <c r="AI21" s="32" t="str">
        <f t="shared" si="1"/>
        <v/>
      </c>
      <c r="AJ21" s="33" t="str">
        <f t="shared" si="0"/>
        <v/>
      </c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</row>
    <row r="22" spans="1:49" x14ac:dyDescent="0.3">
      <c r="A22" s="5" t="s">
        <v>1645</v>
      </c>
      <c r="B22" s="14" t="s">
        <v>1489</v>
      </c>
      <c r="C22" s="25">
        <v>1035</v>
      </c>
      <c r="D22" s="23">
        <v>81.5</v>
      </c>
      <c r="E22" s="21">
        <v>25</v>
      </c>
      <c r="F22" s="23">
        <v>59.7</v>
      </c>
      <c r="G22" s="24">
        <v>18</v>
      </c>
      <c r="H22" s="25">
        <v>344</v>
      </c>
      <c r="I22" s="29">
        <v>60000</v>
      </c>
      <c r="J22" s="106" t="s">
        <v>1983</v>
      </c>
      <c r="K22" s="29">
        <v>43000</v>
      </c>
      <c r="L22" s="106" t="s">
        <v>1986</v>
      </c>
      <c r="M22" s="6">
        <f>I22-K22</f>
        <v>17000</v>
      </c>
      <c r="N22" s="7">
        <f>IF(ISERROR(K22/I22),"",K22/I22)</f>
        <v>0.71666666666666667</v>
      </c>
      <c r="O22" s="12">
        <f>I22/E22</f>
        <v>2400</v>
      </c>
      <c r="P22" s="12">
        <f>K22/E22</f>
        <v>1720</v>
      </c>
      <c r="Q22" s="13">
        <v>3</v>
      </c>
      <c r="R22" s="13">
        <v>1</v>
      </c>
      <c r="S22" s="13" t="s">
        <v>1356</v>
      </c>
      <c r="T22" s="8">
        <v>81</v>
      </c>
      <c r="U22" s="5"/>
      <c r="V22" s="5" t="s">
        <v>1646</v>
      </c>
      <c r="X22" s="23">
        <f>D22</f>
        <v>81.5</v>
      </c>
      <c r="Y22" s="21">
        <f>E22</f>
        <v>25</v>
      </c>
      <c r="Z22" s="28">
        <f>H22</f>
        <v>344</v>
      </c>
      <c r="AA22" s="6">
        <f>I22</f>
        <v>60000</v>
      </c>
      <c r="AB22" s="6">
        <f>K22</f>
        <v>43000</v>
      </c>
      <c r="AC22" s="6">
        <f t="shared" ref="AC22:AE23" si="12">M22</f>
        <v>17000</v>
      </c>
      <c r="AD22" s="7">
        <f t="shared" si="12"/>
        <v>0.71666666666666667</v>
      </c>
      <c r="AE22" s="12">
        <f t="shared" si="12"/>
        <v>2400</v>
      </c>
      <c r="AF22" s="13" t="str">
        <f>S22</f>
        <v>복</v>
      </c>
      <c r="AG22" s="13" t="str">
        <f>Q22&amp;"/"&amp;R22</f>
        <v>3/1</v>
      </c>
      <c r="AI22" s="32" t="str">
        <f t="shared" si="1"/>
        <v>초원2단지대림</v>
      </c>
      <c r="AJ22" s="21">
        <f t="shared" si="0"/>
        <v>25</v>
      </c>
      <c r="AK22" s="13" t="str">
        <f>IF(AJ22="","",$AK$2)</f>
        <v>A-</v>
      </c>
      <c r="AL22" s="13"/>
      <c r="AM22" s="13"/>
      <c r="AN22" s="13"/>
      <c r="AO22" s="13" t="str">
        <f>IF(AJ22="","",$AO$2)</f>
        <v>C</v>
      </c>
      <c r="AP22" s="13" t="str">
        <f>IF(N22="","",IF(N22&gt;=$AP$1/100,"O","X"))</f>
        <v>X</v>
      </c>
      <c r="AQ22" s="13" t="str">
        <f>IF(I22="","",IF(I22&lt;=$AQ$1,"O","X"))</f>
        <v>X</v>
      </c>
      <c r="AR22" s="13" t="str">
        <f>IF(O22="","",IF(O22&lt;=$AR$1,"O","X"))</f>
        <v>X</v>
      </c>
      <c r="AS22" s="13" t="str">
        <f>IF(M22="","",IF(M22&lt;=$AS$1,"O","X"))</f>
        <v>X</v>
      </c>
      <c r="AT22" s="13" t="s">
        <v>32</v>
      </c>
      <c r="AU22" s="13" t="str">
        <f>IF(OR(F22="",AJ22=""),"",IF(AND((F22&lt;=85),(AJ22&gt;=15)),"O","X"))</f>
        <v>O</v>
      </c>
      <c r="AV22" s="13" t="str">
        <f>IF(C22="","",IF(C22&gt;=$AV$1,"O","X"))</f>
        <v>O</v>
      </c>
      <c r="AW22" s="13" t="str">
        <f>IF(AP22="","",IF(AND(AP22="O",AQ22="O",AS22="O",AU22="O",AV22="O"),"후보","X"))</f>
        <v>X</v>
      </c>
    </row>
    <row r="23" spans="1:49" x14ac:dyDescent="0.3">
      <c r="A23" s="5" t="s">
        <v>1645</v>
      </c>
      <c r="B23" s="14" t="s">
        <v>1489</v>
      </c>
      <c r="C23" s="25">
        <v>1035</v>
      </c>
      <c r="D23" s="23">
        <v>106.8</v>
      </c>
      <c r="E23" s="21">
        <v>32</v>
      </c>
      <c r="F23" s="23">
        <v>84.9</v>
      </c>
      <c r="G23" s="24">
        <v>26</v>
      </c>
      <c r="H23" s="25">
        <v>691</v>
      </c>
      <c r="I23" s="29">
        <v>85000</v>
      </c>
      <c r="J23" s="106" t="s">
        <v>1984</v>
      </c>
      <c r="K23" s="29">
        <v>50000</v>
      </c>
      <c r="L23" s="106" t="s">
        <v>1985</v>
      </c>
      <c r="M23" s="6">
        <f>I23-K23</f>
        <v>35000</v>
      </c>
      <c r="N23" s="7">
        <f>IF(ISERROR(K23/I23),"",K23/I23)</f>
        <v>0.58823529411764708</v>
      </c>
      <c r="O23" s="12">
        <f>I23/E23</f>
        <v>2656.25</v>
      </c>
      <c r="P23" s="12">
        <f>K23/E23</f>
        <v>1562.5</v>
      </c>
      <c r="Q23" s="13">
        <v>3</v>
      </c>
      <c r="R23" s="13">
        <v>2</v>
      </c>
      <c r="S23" s="13" t="s">
        <v>51</v>
      </c>
      <c r="T23" s="8">
        <v>106</v>
      </c>
      <c r="U23" s="5"/>
      <c r="V23" s="5" t="s">
        <v>1647</v>
      </c>
      <c r="X23" s="23">
        <f>D23</f>
        <v>106.8</v>
      </c>
      <c r="Y23" s="21">
        <f>E23</f>
        <v>32</v>
      </c>
      <c r="Z23" s="28">
        <f>H23</f>
        <v>691</v>
      </c>
      <c r="AA23" s="6">
        <f>I23</f>
        <v>85000</v>
      </c>
      <c r="AB23" s="6">
        <f>K23</f>
        <v>50000</v>
      </c>
      <c r="AC23" s="6">
        <f t="shared" si="12"/>
        <v>35000</v>
      </c>
      <c r="AD23" s="7">
        <f t="shared" si="12"/>
        <v>0.58823529411764708</v>
      </c>
      <c r="AE23" s="12">
        <f t="shared" si="12"/>
        <v>2656.25</v>
      </c>
      <c r="AF23" s="13" t="str">
        <f>S23</f>
        <v>계</v>
      </c>
      <c r="AG23" s="13" t="str">
        <f>Q23&amp;"/"&amp;R23</f>
        <v>3/2</v>
      </c>
      <c r="AI23" s="32" t="str">
        <f t="shared" si="1"/>
        <v>초원2단지대림</v>
      </c>
      <c r="AJ23" s="21">
        <f t="shared" si="0"/>
        <v>32</v>
      </c>
      <c r="AK23" s="13" t="str">
        <f>IF(AJ23="","",$AK$2)</f>
        <v>A-</v>
      </c>
      <c r="AL23" s="13"/>
      <c r="AM23" s="13"/>
      <c r="AN23" s="13"/>
      <c r="AO23" s="13" t="str">
        <f>IF(AJ23="","",$AO$2)</f>
        <v>C</v>
      </c>
      <c r="AP23" s="13" t="str">
        <f>IF(N23="","",IF(N23&gt;=$AP$1/100,"O","X"))</f>
        <v>X</v>
      </c>
      <c r="AQ23" s="13" t="str">
        <f>IF(I23="","",IF(I23&lt;=$AQ$1,"O","X"))</f>
        <v>X</v>
      </c>
      <c r="AR23" s="13" t="str">
        <f>IF(O23="","",IF(O23&lt;=$AR$1,"O","X"))</f>
        <v>X</v>
      </c>
      <c r="AS23" s="13" t="str">
        <f>IF(M23="","",IF(M23&lt;=$AS$1,"O","X"))</f>
        <v>X</v>
      </c>
      <c r="AT23" s="13" t="s">
        <v>32</v>
      </c>
      <c r="AU23" s="13" t="str">
        <f>IF(OR(F23="",AJ23=""),"",IF(AND((F23&lt;=85),(AJ23&gt;=15)),"O","X"))</f>
        <v>O</v>
      </c>
      <c r="AV23" s="13" t="str">
        <f>IF(C23="","",IF(C23&gt;=$AV$1,"O","X"))</f>
        <v>O</v>
      </c>
      <c r="AW23" s="13" t="str">
        <f>IF(AP23="","",IF(AND(AP23="O",AQ23="O",AS23="O",AU23="O",AV23="O"),"후보","X"))</f>
        <v>X</v>
      </c>
    </row>
    <row r="24" spans="1:49" x14ac:dyDescent="0.3">
      <c r="A24" s="5"/>
      <c r="B24" s="13"/>
      <c r="C24" s="9"/>
      <c r="D24" s="5"/>
      <c r="E24" s="18"/>
      <c r="F24" s="23"/>
      <c r="G24" s="5"/>
      <c r="H24" s="5"/>
      <c r="I24" s="5"/>
      <c r="J24" s="8"/>
      <c r="K24" s="5"/>
      <c r="L24" s="8"/>
      <c r="M24" s="5"/>
      <c r="N24" s="5"/>
      <c r="O24" s="12"/>
      <c r="P24" s="12"/>
      <c r="Q24" s="21"/>
      <c r="R24" s="21"/>
      <c r="S24" s="5"/>
      <c r="T24" s="59"/>
      <c r="U24" s="5"/>
      <c r="V24" s="5"/>
      <c r="X24" s="90" t="str">
        <f>$A$4&amp;" "&amp;A25&amp;"("&amp;B25&amp;","&amp;C25&amp;"^)"</f>
        <v>평촌동 꿈라이프('92.09,548^)</v>
      </c>
      <c r="Y24" s="91"/>
      <c r="Z24" s="91"/>
      <c r="AA24" s="91"/>
      <c r="AB24" s="91"/>
      <c r="AC24" s="91"/>
      <c r="AD24" s="91"/>
      <c r="AE24" s="91"/>
      <c r="AF24" s="91"/>
      <c r="AG24" s="92"/>
      <c r="AI24" s="32" t="str">
        <f t="shared" si="1"/>
        <v/>
      </c>
      <c r="AJ24" s="33" t="str">
        <f t="shared" si="0"/>
        <v/>
      </c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</row>
    <row r="25" spans="1:49" x14ac:dyDescent="0.3">
      <c r="A25" s="5" t="s">
        <v>1648</v>
      </c>
      <c r="B25" s="14" t="s">
        <v>1649</v>
      </c>
      <c r="C25" s="25">
        <v>548</v>
      </c>
      <c r="D25" s="23">
        <v>107.2</v>
      </c>
      <c r="E25" s="21">
        <v>32</v>
      </c>
      <c r="F25" s="23">
        <v>85</v>
      </c>
      <c r="G25" s="24">
        <v>26</v>
      </c>
      <c r="H25" s="25">
        <v>50</v>
      </c>
      <c r="I25" s="29">
        <v>102000</v>
      </c>
      <c r="J25" s="106" t="s">
        <v>1987</v>
      </c>
      <c r="K25" s="29">
        <v>62000</v>
      </c>
      <c r="L25" s="106"/>
      <c r="M25" s="6">
        <f>I25-K25</f>
        <v>40000</v>
      </c>
      <c r="N25" s="7">
        <f>IF(ISERROR(K25/I25),"",K25/I25)</f>
        <v>0.60784313725490191</v>
      </c>
      <c r="O25" s="12">
        <f>I25/E25</f>
        <v>3187.5</v>
      </c>
      <c r="P25" s="12">
        <f>K25/E25</f>
        <v>1937.5</v>
      </c>
      <c r="Q25" s="13">
        <v>3</v>
      </c>
      <c r="R25" s="13">
        <v>2</v>
      </c>
      <c r="S25" s="13" t="s">
        <v>51</v>
      </c>
      <c r="T25" s="8" t="s">
        <v>1650</v>
      </c>
      <c r="U25" s="5"/>
      <c r="V25" s="5" t="s">
        <v>1651</v>
      </c>
      <c r="X25" s="23">
        <f t="shared" ref="X25:Y28" si="13">D25</f>
        <v>107.2</v>
      </c>
      <c r="Y25" s="21">
        <f t="shared" si="13"/>
        <v>32</v>
      </c>
      <c r="Z25" s="28">
        <f t="shared" ref="Z25:AA28" si="14">H25</f>
        <v>50</v>
      </c>
      <c r="AA25" s="6">
        <f t="shared" si="14"/>
        <v>102000</v>
      </c>
      <c r="AB25" s="6">
        <f>K25</f>
        <v>62000</v>
      </c>
      <c r="AC25" s="6">
        <f t="shared" ref="AC25:AE28" si="15">M25</f>
        <v>40000</v>
      </c>
      <c r="AD25" s="7">
        <f t="shared" si="15"/>
        <v>0.60784313725490191</v>
      </c>
      <c r="AE25" s="12">
        <f t="shared" si="15"/>
        <v>3187.5</v>
      </c>
      <c r="AF25" s="13" t="str">
        <f>S25</f>
        <v>계</v>
      </c>
      <c r="AG25" s="13" t="str">
        <f>Q25&amp;"/"&amp;R25</f>
        <v>3/2</v>
      </c>
      <c r="AI25" s="32" t="str">
        <f t="shared" si="1"/>
        <v>꿈라이프</v>
      </c>
      <c r="AJ25" s="21">
        <f t="shared" si="0"/>
        <v>32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>X</v>
      </c>
      <c r="AQ25" s="13" t="str">
        <f>IF(I25="","",IF(I25&lt;=$AQ$1,"O","X"))</f>
        <v>X</v>
      </c>
      <c r="AR25" s="13" t="str">
        <f>IF(O25="","",IF(O25&lt;=$AR$1,"O","X"))</f>
        <v>X</v>
      </c>
      <c r="AS25" s="13" t="str">
        <f>IF(M25="","",IF(M25&lt;=$AS$1,"O","X"))</f>
        <v>X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>X</v>
      </c>
    </row>
    <row r="26" spans="1:49" x14ac:dyDescent="0.3">
      <c r="A26" s="5" t="s">
        <v>1648</v>
      </c>
      <c r="B26" s="14" t="s">
        <v>1649</v>
      </c>
      <c r="C26" s="25">
        <v>548</v>
      </c>
      <c r="D26" s="23">
        <v>107.1</v>
      </c>
      <c r="E26" s="21">
        <v>32</v>
      </c>
      <c r="F26" s="23">
        <v>84.9</v>
      </c>
      <c r="G26" s="24">
        <v>26</v>
      </c>
      <c r="H26" s="25">
        <v>48</v>
      </c>
      <c r="I26" s="29">
        <v>103000</v>
      </c>
      <c r="J26" s="106" t="s">
        <v>1984</v>
      </c>
      <c r="K26" s="29">
        <v>70000</v>
      </c>
      <c r="L26" s="106" t="s">
        <v>1990</v>
      </c>
      <c r="M26" s="6">
        <f>I26-K26</f>
        <v>33000</v>
      </c>
      <c r="N26" s="7">
        <f>IF(ISERROR(K26/I26),"",K26/I26)</f>
        <v>0.67961165048543692</v>
      </c>
      <c r="O26" s="12">
        <f>I26/E26</f>
        <v>3218.75</v>
      </c>
      <c r="P26" s="12">
        <f>K26/E26</f>
        <v>2187.5</v>
      </c>
      <c r="Q26" s="13">
        <v>3</v>
      </c>
      <c r="R26" s="13">
        <v>2</v>
      </c>
      <c r="S26" s="13" t="s">
        <v>51</v>
      </c>
      <c r="T26" s="8" t="s">
        <v>1652</v>
      </c>
      <c r="U26" s="5"/>
      <c r="V26" s="5" t="s">
        <v>1651</v>
      </c>
      <c r="X26" s="23">
        <f t="shared" si="13"/>
        <v>107.1</v>
      </c>
      <c r="Y26" s="21">
        <f t="shared" si="13"/>
        <v>32</v>
      </c>
      <c r="Z26" s="28">
        <f t="shared" si="14"/>
        <v>48</v>
      </c>
      <c r="AA26" s="6">
        <f t="shared" si="14"/>
        <v>103000</v>
      </c>
      <c r="AB26" s="6">
        <f>K26</f>
        <v>70000</v>
      </c>
      <c r="AC26" s="6">
        <f t="shared" si="15"/>
        <v>33000</v>
      </c>
      <c r="AD26" s="7">
        <f t="shared" si="15"/>
        <v>0.67961165048543692</v>
      </c>
      <c r="AE26" s="12">
        <f t="shared" si="15"/>
        <v>3218.75</v>
      </c>
      <c r="AF26" s="13" t="str">
        <f>S26</f>
        <v>계</v>
      </c>
      <c r="AG26" s="13" t="str">
        <f>Q26&amp;"/"&amp;R26</f>
        <v>3/2</v>
      </c>
      <c r="AI26" s="32" t="str">
        <f t="shared" si="1"/>
        <v>꿈라이프</v>
      </c>
      <c r="AJ26" s="21">
        <f t="shared" si="0"/>
        <v>32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>X</v>
      </c>
      <c r="AQ26" s="13" t="str">
        <f>IF(I26="","",IF(I26&lt;=$AQ$1,"O","X"))</f>
        <v>X</v>
      </c>
      <c r="AR26" s="13" t="str">
        <f>IF(O26="","",IF(O26&lt;=$AR$1,"O","X"))</f>
        <v>X</v>
      </c>
      <c r="AS26" s="13" t="str">
        <f>IF(M26="","",IF(M26&lt;=$AS$1,"O","X"))</f>
        <v>X</v>
      </c>
      <c r="AT26" s="13" t="s">
        <v>32</v>
      </c>
      <c r="AU26" s="13" t="str">
        <f>IF(OR(F26="",AJ26=""),"",IF(AND((F26&lt;=85),(AJ26&gt;=15)),"O","X"))</f>
        <v>O</v>
      </c>
      <c r="AV26" s="13" t="str">
        <f>IF(C26="","",IF(C26&gt;=$AV$1,"O","X"))</f>
        <v>O</v>
      </c>
      <c r="AW26" s="13" t="str">
        <f>IF(AP26="","",IF(AND(AP26="O",AQ26="O",AS26="O",AU26="O",AV26="O"),"후보","X"))</f>
        <v>X</v>
      </c>
    </row>
    <row r="27" spans="1:49" x14ac:dyDescent="0.3">
      <c r="A27" s="5" t="s">
        <v>1648</v>
      </c>
      <c r="B27" s="14" t="s">
        <v>1649</v>
      </c>
      <c r="C27" s="25">
        <v>548</v>
      </c>
      <c r="D27" s="23">
        <v>128.5</v>
      </c>
      <c r="E27" s="21">
        <v>39</v>
      </c>
      <c r="F27" s="23">
        <v>110.4</v>
      </c>
      <c r="G27" s="24">
        <v>33</v>
      </c>
      <c r="H27" s="25">
        <v>390</v>
      </c>
      <c r="I27" s="29">
        <v>105000</v>
      </c>
      <c r="J27" s="106" t="s">
        <v>1971</v>
      </c>
      <c r="K27" s="29">
        <v>75000</v>
      </c>
      <c r="L27" s="106" t="s">
        <v>1989</v>
      </c>
      <c r="M27" s="6">
        <f>I27-K27</f>
        <v>30000</v>
      </c>
      <c r="N27" s="7">
        <f>IF(ISERROR(K27/I27),"",K27/I27)</f>
        <v>0.7142857142857143</v>
      </c>
      <c r="O27" s="12">
        <f>I27/E27</f>
        <v>2692.3076923076924</v>
      </c>
      <c r="P27" s="12">
        <f>K27/E27</f>
        <v>1923.0769230769231</v>
      </c>
      <c r="Q27" s="13">
        <v>4</v>
      </c>
      <c r="R27" s="13">
        <v>2</v>
      </c>
      <c r="S27" s="13" t="s">
        <v>51</v>
      </c>
      <c r="T27" s="8">
        <v>128</v>
      </c>
      <c r="U27" s="5"/>
      <c r="V27" s="5" t="s">
        <v>1653</v>
      </c>
      <c r="X27" s="23">
        <f t="shared" si="13"/>
        <v>128.5</v>
      </c>
      <c r="Y27" s="21">
        <f t="shared" si="13"/>
        <v>39</v>
      </c>
      <c r="Z27" s="28">
        <f t="shared" si="14"/>
        <v>390</v>
      </c>
      <c r="AA27" s="6">
        <f t="shared" si="14"/>
        <v>105000</v>
      </c>
      <c r="AB27" s="6">
        <f>K27</f>
        <v>75000</v>
      </c>
      <c r="AC27" s="6">
        <f t="shared" si="15"/>
        <v>30000</v>
      </c>
      <c r="AD27" s="7">
        <f t="shared" si="15"/>
        <v>0.7142857142857143</v>
      </c>
      <c r="AE27" s="12">
        <f t="shared" si="15"/>
        <v>2692.3076923076924</v>
      </c>
      <c r="AF27" s="13" t="str">
        <f>S27</f>
        <v>계</v>
      </c>
      <c r="AG27" s="13" t="str">
        <f>Q27&amp;"/"&amp;R27</f>
        <v>4/2</v>
      </c>
      <c r="AI27" s="32" t="str">
        <f t="shared" si="1"/>
        <v>꿈라이프</v>
      </c>
      <c r="AJ27" s="21">
        <f t="shared" si="0"/>
        <v>39</v>
      </c>
      <c r="AK27" s="13" t="str">
        <f>IF(AJ27="","",$AK$2)</f>
        <v>A-</v>
      </c>
      <c r="AL27" s="13"/>
      <c r="AM27" s="13"/>
      <c r="AN27" s="13"/>
      <c r="AO27" s="13" t="str">
        <f>IF(AJ27="","",$AO$2)</f>
        <v>C</v>
      </c>
      <c r="AP27" s="13" t="str">
        <f>IF(N27="","",IF(N27&gt;=$AP$1/100,"O","X"))</f>
        <v>X</v>
      </c>
      <c r="AQ27" s="13" t="str">
        <f>IF(I27="","",IF(I27&lt;=$AQ$1,"O","X"))</f>
        <v>X</v>
      </c>
      <c r="AR27" s="13" t="str">
        <f>IF(O27="","",IF(O27&lt;=$AR$1,"O","X"))</f>
        <v>X</v>
      </c>
      <c r="AS27" s="13" t="str">
        <f>IF(M27="","",IF(M27&lt;=$AS$1,"O","X"))</f>
        <v>X</v>
      </c>
      <c r="AT27" s="13" t="s">
        <v>32</v>
      </c>
      <c r="AU27" s="13" t="str">
        <f>IF(OR(F27="",AJ27=""),"",IF(AND((F27&lt;=85),(AJ27&gt;=15)),"O","X"))</f>
        <v>X</v>
      </c>
      <c r="AV27" s="13" t="str">
        <f>IF(C27="","",IF(C27&gt;=$AV$1,"O","X"))</f>
        <v>O</v>
      </c>
      <c r="AW27" s="13" t="str">
        <f>IF(AP27="","",IF(AND(AP27="O",AQ27="O",AS27="O",AU27="O",AV27="O"),"후보","X"))</f>
        <v>X</v>
      </c>
    </row>
    <row r="28" spans="1:49" x14ac:dyDescent="0.3">
      <c r="A28" s="5" t="s">
        <v>1648</v>
      </c>
      <c r="B28" s="14" t="s">
        <v>1649</v>
      </c>
      <c r="C28" s="25">
        <v>548</v>
      </c>
      <c r="D28" s="23">
        <v>177.5</v>
      </c>
      <c r="E28" s="21">
        <v>54</v>
      </c>
      <c r="F28" s="23">
        <v>154.19999999999999</v>
      </c>
      <c r="G28" s="24">
        <v>47</v>
      </c>
      <c r="H28" s="25">
        <v>60</v>
      </c>
      <c r="I28" s="29">
        <v>140000</v>
      </c>
      <c r="J28" s="106" t="s">
        <v>1972</v>
      </c>
      <c r="K28" s="29">
        <v>90000</v>
      </c>
      <c r="L28" s="106" t="s">
        <v>1988</v>
      </c>
      <c r="M28" s="6">
        <f>I28-K28</f>
        <v>50000</v>
      </c>
      <c r="N28" s="7">
        <f>IF(ISERROR(K28/I28),"",K28/I28)</f>
        <v>0.6428571428571429</v>
      </c>
      <c r="O28" s="12">
        <f>I28/E28</f>
        <v>2592.5925925925926</v>
      </c>
      <c r="P28" s="12">
        <f>K28/E28</f>
        <v>1666.6666666666667</v>
      </c>
      <c r="Q28" s="13">
        <v>5</v>
      </c>
      <c r="R28" s="13">
        <v>2</v>
      </c>
      <c r="S28" s="13" t="s">
        <v>51</v>
      </c>
      <c r="T28" s="8">
        <v>177</v>
      </c>
      <c r="U28" s="5"/>
      <c r="V28" s="5" t="s">
        <v>1654</v>
      </c>
      <c r="X28" s="23">
        <f t="shared" si="13"/>
        <v>177.5</v>
      </c>
      <c r="Y28" s="21">
        <f t="shared" si="13"/>
        <v>54</v>
      </c>
      <c r="Z28" s="28">
        <f t="shared" si="14"/>
        <v>60</v>
      </c>
      <c r="AA28" s="6">
        <f t="shared" si="14"/>
        <v>140000</v>
      </c>
      <c r="AB28" s="6">
        <f>K28</f>
        <v>90000</v>
      </c>
      <c r="AC28" s="6">
        <f t="shared" si="15"/>
        <v>50000</v>
      </c>
      <c r="AD28" s="7">
        <f t="shared" si="15"/>
        <v>0.6428571428571429</v>
      </c>
      <c r="AE28" s="12">
        <f t="shared" si="15"/>
        <v>2592.5925925925926</v>
      </c>
      <c r="AF28" s="13" t="str">
        <f>S28</f>
        <v>계</v>
      </c>
      <c r="AG28" s="13" t="str">
        <f>Q28&amp;"/"&amp;R28</f>
        <v>5/2</v>
      </c>
      <c r="AI28" s="32" t="str">
        <f t="shared" si="1"/>
        <v>꿈라이프</v>
      </c>
      <c r="AJ28" s="21">
        <f t="shared" si="0"/>
        <v>54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>X</v>
      </c>
      <c r="AQ28" s="13" t="str">
        <f>IF(I28="","",IF(I28&lt;=$AQ$1,"O","X"))</f>
        <v>X</v>
      </c>
      <c r="AR28" s="13" t="str">
        <f>IF(O28="","",IF(O28&lt;=$AR$1,"O","X"))</f>
        <v>X</v>
      </c>
      <c r="AS28" s="13" t="str">
        <f>IF(M28="","",IF(M28&lt;=$AS$1,"O","X"))</f>
        <v>X</v>
      </c>
      <c r="AT28" s="13" t="s">
        <v>32</v>
      </c>
      <c r="AU28" s="13" t="str">
        <f>IF(OR(F28="",AJ28=""),"",IF(AND((F28&lt;=85),(AJ28&gt;=15)),"O","X"))</f>
        <v>X</v>
      </c>
      <c r="AV28" s="13" t="str">
        <f>IF(C28="","",IF(C28&gt;=$AV$1,"O","X"))</f>
        <v>O</v>
      </c>
      <c r="AW28" s="13" t="str">
        <f>IF(AP28="","",IF(AND(AP28="O",AQ28="O",AS28="O",AU28="O",AV28="O"),"후보","X"))</f>
        <v>X</v>
      </c>
    </row>
    <row r="29" spans="1:49" x14ac:dyDescent="0.3">
      <c r="A29" s="5"/>
      <c r="B29" s="13"/>
      <c r="C29" s="9"/>
      <c r="D29" s="5"/>
      <c r="E29" s="18"/>
      <c r="F29" s="23"/>
      <c r="G29" s="5"/>
      <c r="H29" s="5"/>
      <c r="I29" s="5"/>
      <c r="J29" s="8"/>
      <c r="K29" s="5"/>
      <c r="L29" s="8"/>
      <c r="M29" s="5"/>
      <c r="N29" s="5"/>
      <c r="O29" s="12"/>
      <c r="P29" s="12"/>
      <c r="Q29" s="21"/>
      <c r="R29" s="21"/>
      <c r="S29" s="5"/>
      <c r="T29" s="59"/>
      <c r="U29" s="5"/>
      <c r="V29" s="5"/>
      <c r="X29" s="90" t="str">
        <f>$A$4&amp;" "&amp;A30&amp;"("&amp;B30&amp;","&amp;C30&amp;"^)"</f>
        <v>평촌동 꿈현대('93.11,386^)</v>
      </c>
      <c r="Y29" s="91"/>
      <c r="Z29" s="91"/>
      <c r="AA29" s="91"/>
      <c r="AB29" s="91"/>
      <c r="AC29" s="91"/>
      <c r="AD29" s="91"/>
      <c r="AE29" s="91"/>
      <c r="AF29" s="91"/>
      <c r="AG29" s="92"/>
      <c r="AI29" s="32" t="str">
        <f t="shared" si="1"/>
        <v/>
      </c>
      <c r="AJ29" s="33" t="str">
        <f t="shared" si="0"/>
        <v/>
      </c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</row>
    <row r="30" spans="1:49" x14ac:dyDescent="0.3">
      <c r="A30" s="5" t="s">
        <v>1655</v>
      </c>
      <c r="B30" s="14" t="s">
        <v>1489</v>
      </c>
      <c r="C30" s="25">
        <v>386</v>
      </c>
      <c r="D30" s="23">
        <v>120.3</v>
      </c>
      <c r="E30" s="21">
        <v>36</v>
      </c>
      <c r="F30" s="23">
        <v>101.5</v>
      </c>
      <c r="G30" s="24">
        <v>31</v>
      </c>
      <c r="H30" s="25">
        <v>216</v>
      </c>
      <c r="I30" s="29">
        <v>120000</v>
      </c>
      <c r="J30" s="106" t="s">
        <v>1991</v>
      </c>
      <c r="K30" s="29">
        <v>75000</v>
      </c>
      <c r="L30" s="106" t="s">
        <v>1995</v>
      </c>
      <c r="M30" s="6">
        <f>I30-K30</f>
        <v>45000</v>
      </c>
      <c r="N30" s="7">
        <f>IF(ISERROR(K30/I30),"",K30/I30)</f>
        <v>0.625</v>
      </c>
      <c r="O30" s="12">
        <f>I30/E30</f>
        <v>3333.3333333333335</v>
      </c>
      <c r="P30" s="12">
        <f>K30/E30</f>
        <v>2083.3333333333335</v>
      </c>
      <c r="Q30" s="13">
        <v>4</v>
      </c>
      <c r="R30" s="13">
        <v>2</v>
      </c>
      <c r="S30" s="13" t="s">
        <v>51</v>
      </c>
      <c r="T30" s="8">
        <v>120</v>
      </c>
      <c r="U30" s="5"/>
      <c r="V30" s="5" t="s">
        <v>1656</v>
      </c>
      <c r="X30" s="23">
        <f t="shared" ref="X30:Y32" si="16">D30</f>
        <v>120.3</v>
      </c>
      <c r="Y30" s="21">
        <f t="shared" si="16"/>
        <v>36</v>
      </c>
      <c r="Z30" s="28">
        <f t="shared" ref="Z30:AA32" si="17">H30</f>
        <v>216</v>
      </c>
      <c r="AA30" s="6">
        <f t="shared" si="17"/>
        <v>120000</v>
      </c>
      <c r="AB30" s="6">
        <f>K30</f>
        <v>75000</v>
      </c>
      <c r="AC30" s="6">
        <f t="shared" ref="AC30:AE32" si="18">M30</f>
        <v>45000</v>
      </c>
      <c r="AD30" s="7">
        <f t="shared" si="18"/>
        <v>0.625</v>
      </c>
      <c r="AE30" s="12">
        <f t="shared" si="18"/>
        <v>3333.3333333333335</v>
      </c>
      <c r="AF30" s="13" t="str">
        <f>S30</f>
        <v>계</v>
      </c>
      <c r="AG30" s="13" t="str">
        <f>Q30&amp;"/"&amp;R30</f>
        <v>4/2</v>
      </c>
      <c r="AI30" s="32" t="str">
        <f t="shared" si="1"/>
        <v>꿈현대</v>
      </c>
      <c r="AJ30" s="21">
        <f t="shared" si="0"/>
        <v>36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>X</v>
      </c>
      <c r="AQ30" s="13" t="str">
        <f>IF(I30="","",IF(I30&lt;=$AQ$1,"O","X"))</f>
        <v>X</v>
      </c>
      <c r="AR30" s="13" t="str">
        <f>IF(O30="","",IF(O30&lt;=$AR$1,"O","X"))</f>
        <v>X</v>
      </c>
      <c r="AS30" s="13" t="str">
        <f>IF(M30="","",IF(M30&lt;=$AS$1,"O","X"))</f>
        <v>X</v>
      </c>
      <c r="AT30" s="13" t="s">
        <v>32</v>
      </c>
      <c r="AU30" s="13" t="str">
        <f>IF(OR(F30="",AJ30=""),"",IF(AND((F30&lt;=85),(AJ30&gt;=15)),"O","X"))</f>
        <v>X</v>
      </c>
      <c r="AV30" s="13" t="str">
        <f>IF(C30="","",IF(C30&gt;=$AV$1,"O","X"))</f>
        <v>O</v>
      </c>
      <c r="AW30" s="13" t="str">
        <f>IF(AP30="","",IF(AND(AP30="O",AQ30="O",AS30="O",AU30="O",AV30="O"),"후보","X"))</f>
        <v>X</v>
      </c>
    </row>
    <row r="31" spans="1:49" x14ac:dyDescent="0.3">
      <c r="A31" s="5" t="s">
        <v>1655</v>
      </c>
      <c r="B31" s="14" t="s">
        <v>1489</v>
      </c>
      <c r="C31" s="25">
        <v>386</v>
      </c>
      <c r="D31" s="23">
        <v>157.80000000000001</v>
      </c>
      <c r="E31" s="21">
        <v>48</v>
      </c>
      <c r="F31" s="23">
        <v>134.9</v>
      </c>
      <c r="G31" s="24">
        <v>41</v>
      </c>
      <c r="H31" s="25">
        <v>120</v>
      </c>
      <c r="I31" s="29">
        <v>150000</v>
      </c>
      <c r="J31" s="106" t="s">
        <v>1992</v>
      </c>
      <c r="K31" s="29">
        <v>85000</v>
      </c>
      <c r="L31" s="106" t="s">
        <v>1992</v>
      </c>
      <c r="M31" s="6">
        <f>I31-K31</f>
        <v>65000</v>
      </c>
      <c r="N31" s="7">
        <f>IF(ISERROR(K31/I31),"",K31/I31)</f>
        <v>0.56666666666666665</v>
      </c>
      <c r="O31" s="12">
        <f>I31/E31</f>
        <v>3125</v>
      </c>
      <c r="P31" s="12">
        <f>K31/E31</f>
        <v>1770.8333333333333</v>
      </c>
      <c r="Q31" s="13">
        <v>4</v>
      </c>
      <c r="R31" s="13">
        <v>2</v>
      </c>
      <c r="S31" s="13" t="s">
        <v>51</v>
      </c>
      <c r="T31" s="8">
        <v>157</v>
      </c>
      <c r="U31" s="5"/>
      <c r="V31" s="5" t="s">
        <v>1657</v>
      </c>
      <c r="X31" s="23">
        <f t="shared" si="16"/>
        <v>157.80000000000001</v>
      </c>
      <c r="Y31" s="21">
        <f t="shared" si="16"/>
        <v>48</v>
      </c>
      <c r="Z31" s="28">
        <f t="shared" si="17"/>
        <v>120</v>
      </c>
      <c r="AA31" s="6">
        <f t="shared" si="17"/>
        <v>150000</v>
      </c>
      <c r="AB31" s="6">
        <f>K31</f>
        <v>85000</v>
      </c>
      <c r="AC31" s="6">
        <f t="shared" si="18"/>
        <v>65000</v>
      </c>
      <c r="AD31" s="7">
        <f t="shared" si="18"/>
        <v>0.56666666666666665</v>
      </c>
      <c r="AE31" s="12">
        <f t="shared" si="18"/>
        <v>3125</v>
      </c>
      <c r="AF31" s="13" t="str">
        <f>S31</f>
        <v>계</v>
      </c>
      <c r="AG31" s="13" t="str">
        <f>Q31&amp;"/"&amp;R31</f>
        <v>4/2</v>
      </c>
      <c r="AI31" s="32" t="str">
        <f t="shared" si="1"/>
        <v>꿈현대</v>
      </c>
      <c r="AJ31" s="21">
        <f t="shared" si="0"/>
        <v>48</v>
      </c>
      <c r="AK31" s="13" t="str">
        <f>IF(AJ31="","",$AK$2)</f>
        <v>A-</v>
      </c>
      <c r="AL31" s="13"/>
      <c r="AM31" s="13"/>
      <c r="AN31" s="13"/>
      <c r="AO31" s="13" t="str">
        <f>IF(AJ31="","",$AO$2)</f>
        <v>C</v>
      </c>
      <c r="AP31" s="13" t="str">
        <f>IF(N31="","",IF(N31&gt;=$AP$1/100,"O","X"))</f>
        <v>X</v>
      </c>
      <c r="AQ31" s="13" t="str">
        <f>IF(I31="","",IF(I31&lt;=$AQ$1,"O","X"))</f>
        <v>X</v>
      </c>
      <c r="AR31" s="13" t="str">
        <f>IF(O31="","",IF(O31&lt;=$AR$1,"O","X"))</f>
        <v>X</v>
      </c>
      <c r="AS31" s="13" t="str">
        <f>IF(M31="","",IF(M31&lt;=$AS$1,"O","X"))</f>
        <v>X</v>
      </c>
      <c r="AT31" s="13" t="s">
        <v>32</v>
      </c>
      <c r="AU31" s="13" t="str">
        <f>IF(OR(F31="",AJ31=""),"",IF(AND((F31&lt;=85),(AJ31&gt;=15)),"O","X"))</f>
        <v>X</v>
      </c>
      <c r="AV31" s="13" t="str">
        <f>IF(C31="","",IF(C31&gt;=$AV$1,"O","X"))</f>
        <v>O</v>
      </c>
      <c r="AW31" s="13" t="str">
        <f>IF(AP31="","",IF(AND(AP31="O",AQ31="O",AS31="O",AU31="O",AV31="O"),"후보","X"))</f>
        <v>X</v>
      </c>
    </row>
    <row r="32" spans="1:49" x14ac:dyDescent="0.3">
      <c r="A32" s="5" t="s">
        <v>1655</v>
      </c>
      <c r="B32" s="14" t="s">
        <v>1489</v>
      </c>
      <c r="C32" s="25">
        <v>386</v>
      </c>
      <c r="D32" s="23">
        <v>217.6</v>
      </c>
      <c r="E32" s="21">
        <v>66</v>
      </c>
      <c r="F32" s="23">
        <v>183.2</v>
      </c>
      <c r="G32" s="24">
        <v>55</v>
      </c>
      <c r="H32" s="25">
        <v>50</v>
      </c>
      <c r="I32" s="29">
        <v>175000</v>
      </c>
      <c r="J32" s="106" t="s">
        <v>1993</v>
      </c>
      <c r="K32" s="29">
        <v>95000</v>
      </c>
      <c r="L32" s="106" t="s">
        <v>1994</v>
      </c>
      <c r="M32" s="6">
        <f>I32-K32</f>
        <v>80000</v>
      </c>
      <c r="N32" s="7">
        <f>IF(ISERROR(K32/I32),"",K32/I32)</f>
        <v>0.54285714285714282</v>
      </c>
      <c r="O32" s="12">
        <f>I32/E32</f>
        <v>2651.5151515151515</v>
      </c>
      <c r="P32" s="12">
        <f>K32/E32</f>
        <v>1439.3939393939395</v>
      </c>
      <c r="Q32" s="13">
        <v>5</v>
      </c>
      <c r="R32" s="13">
        <v>2</v>
      </c>
      <c r="S32" s="13" t="s">
        <v>51</v>
      </c>
      <c r="T32" s="8">
        <v>217</v>
      </c>
      <c r="U32" s="5"/>
      <c r="V32" s="5" t="s">
        <v>1658</v>
      </c>
      <c r="X32" s="23">
        <f t="shared" si="16"/>
        <v>217.6</v>
      </c>
      <c r="Y32" s="21">
        <f t="shared" si="16"/>
        <v>66</v>
      </c>
      <c r="Z32" s="28">
        <f t="shared" si="17"/>
        <v>50</v>
      </c>
      <c r="AA32" s="6">
        <f t="shared" si="17"/>
        <v>175000</v>
      </c>
      <c r="AB32" s="6">
        <f>K32</f>
        <v>95000</v>
      </c>
      <c r="AC32" s="6">
        <f t="shared" si="18"/>
        <v>80000</v>
      </c>
      <c r="AD32" s="7">
        <f t="shared" si="18"/>
        <v>0.54285714285714282</v>
      </c>
      <c r="AE32" s="12">
        <f t="shared" si="18"/>
        <v>2651.5151515151515</v>
      </c>
      <c r="AF32" s="13" t="str">
        <f>S32</f>
        <v>계</v>
      </c>
      <c r="AG32" s="13" t="str">
        <f>Q32&amp;"/"&amp;R32</f>
        <v>5/2</v>
      </c>
      <c r="AI32" s="32" t="str">
        <f t="shared" si="1"/>
        <v>꿈현대</v>
      </c>
      <c r="AJ32" s="21">
        <f t="shared" si="0"/>
        <v>66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>X</v>
      </c>
      <c r="AQ32" s="13" t="str">
        <f>IF(I32="","",IF(I32&lt;=$AQ$1,"O","X"))</f>
        <v>X</v>
      </c>
      <c r="AR32" s="13" t="str">
        <f>IF(O32="","",IF(O32&lt;=$AR$1,"O","X"))</f>
        <v>X</v>
      </c>
      <c r="AS32" s="13" t="str">
        <f>IF(M32="","",IF(M32&lt;=$AS$1,"O","X"))</f>
        <v>X</v>
      </c>
      <c r="AT32" s="13" t="s">
        <v>32</v>
      </c>
      <c r="AU32" s="13" t="str">
        <f>IF(OR(F32="",AJ32=""),"",IF(AND((F32&lt;=85),(AJ32&gt;=15)),"O","X"))</f>
        <v>X</v>
      </c>
      <c r="AV32" s="13" t="str">
        <f>IF(C32="","",IF(C32&gt;=$AV$1,"O","X"))</f>
        <v>O</v>
      </c>
      <c r="AW32" s="13" t="str">
        <f>IF(AP32="","",IF(AND(AP32="O",AQ32="O",AS32="O",AU32="O",AV32="O"),"후보","X"))</f>
        <v>X</v>
      </c>
    </row>
    <row r="33" spans="1:49" x14ac:dyDescent="0.3">
      <c r="A33" s="5"/>
      <c r="B33" s="13"/>
      <c r="C33" s="9"/>
      <c r="D33" s="5"/>
      <c r="E33" s="18"/>
      <c r="F33" s="23"/>
      <c r="G33" s="5"/>
      <c r="H33" s="5"/>
      <c r="I33" s="5"/>
      <c r="J33" s="8"/>
      <c r="K33" s="5"/>
      <c r="L33" s="8"/>
      <c r="M33" s="5"/>
      <c r="N33" s="5"/>
      <c r="O33" s="12"/>
      <c r="P33" s="12"/>
      <c r="Q33" s="21"/>
      <c r="R33" s="21"/>
      <c r="S33" s="5"/>
      <c r="T33" s="59"/>
      <c r="U33" s="5"/>
      <c r="V33" s="5"/>
      <c r="X33" s="90" t="str">
        <f>$A$4&amp;" "&amp;A34&amp;"("&amp;B34&amp;","&amp;C34&amp;"^)"</f>
        <v>평촌동 초원6단지한양('93.11,870^)</v>
      </c>
      <c r="Y33" s="91"/>
      <c r="Z33" s="91"/>
      <c r="AA33" s="91"/>
      <c r="AB33" s="91"/>
      <c r="AC33" s="91"/>
      <c r="AD33" s="91"/>
      <c r="AE33" s="91"/>
      <c r="AF33" s="91"/>
      <c r="AG33" s="92"/>
      <c r="AI33" s="32" t="str">
        <f t="shared" si="1"/>
        <v/>
      </c>
      <c r="AJ33" s="33" t="str">
        <f t="shared" si="0"/>
        <v/>
      </c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x14ac:dyDescent="0.3">
      <c r="A34" s="5" t="s">
        <v>1659</v>
      </c>
      <c r="B34" s="14" t="s">
        <v>1489</v>
      </c>
      <c r="C34" s="25">
        <v>870</v>
      </c>
      <c r="D34" s="23">
        <v>77.900000000000006</v>
      </c>
      <c r="E34" s="21">
        <v>24</v>
      </c>
      <c r="F34" s="23">
        <v>59.4</v>
      </c>
      <c r="G34" s="24">
        <v>18</v>
      </c>
      <c r="H34" s="25">
        <v>260</v>
      </c>
      <c r="I34" s="29">
        <v>57000</v>
      </c>
      <c r="J34" s="106" t="s">
        <v>1996</v>
      </c>
      <c r="K34" s="29">
        <v>34000</v>
      </c>
      <c r="L34" s="106" t="s">
        <v>1999</v>
      </c>
      <c r="M34" s="6">
        <f>I34-K34</f>
        <v>23000</v>
      </c>
      <c r="N34" s="7">
        <f>IF(ISERROR(K34/I34),"",K34/I34)</f>
        <v>0.59649122807017541</v>
      </c>
      <c r="O34" s="12">
        <f>I34/E34</f>
        <v>2375</v>
      </c>
      <c r="P34" s="12">
        <f>K34/E34</f>
        <v>1416.6666666666667</v>
      </c>
      <c r="Q34" s="13">
        <v>3</v>
      </c>
      <c r="R34" s="13">
        <v>1</v>
      </c>
      <c r="S34" s="13" t="s">
        <v>1356</v>
      </c>
      <c r="T34" s="8">
        <v>77</v>
      </c>
      <c r="U34" s="5"/>
      <c r="V34" s="5" t="s">
        <v>1660</v>
      </c>
      <c r="X34" s="23">
        <f t="shared" ref="X34:Y36" si="19">D34</f>
        <v>77.900000000000006</v>
      </c>
      <c r="Y34" s="21">
        <f t="shared" si="19"/>
        <v>24</v>
      </c>
      <c r="Z34" s="28">
        <f t="shared" ref="Z34:AA36" si="20">H34</f>
        <v>260</v>
      </c>
      <c r="AA34" s="6">
        <f t="shared" si="20"/>
        <v>57000</v>
      </c>
      <c r="AB34" s="6">
        <f>K34</f>
        <v>34000</v>
      </c>
      <c r="AC34" s="6">
        <f t="shared" ref="AC34:AE36" si="21">M34</f>
        <v>23000</v>
      </c>
      <c r="AD34" s="7">
        <f t="shared" si="21"/>
        <v>0.59649122807017541</v>
      </c>
      <c r="AE34" s="12">
        <f t="shared" si="21"/>
        <v>2375</v>
      </c>
      <c r="AF34" s="13" t="str">
        <f>S34</f>
        <v>복</v>
      </c>
      <c r="AG34" s="13" t="str">
        <f>Q34&amp;"/"&amp;R34</f>
        <v>3/1</v>
      </c>
      <c r="AI34" s="32" t="str">
        <f t="shared" si="1"/>
        <v>초원6단지한양</v>
      </c>
      <c r="AJ34" s="21">
        <f t="shared" si="0"/>
        <v>24</v>
      </c>
      <c r="AK34" s="13" t="str">
        <f>IF(AJ34="","",$AK$2)</f>
        <v>A-</v>
      </c>
      <c r="AL34" s="13"/>
      <c r="AM34" s="13"/>
      <c r="AN34" s="13"/>
      <c r="AO34" s="13" t="str">
        <f>IF(AJ34="","",$AO$2)</f>
        <v>C</v>
      </c>
      <c r="AP34" s="13" t="str">
        <f>IF(N34="","",IF(N34&gt;=$AP$1/100,"O","X"))</f>
        <v>X</v>
      </c>
      <c r="AQ34" s="13" t="str">
        <f>IF(I34="","",IF(I34&lt;=$AQ$1,"O","X"))</f>
        <v>X</v>
      </c>
      <c r="AR34" s="13" t="str">
        <f>IF(O34="","",IF(O34&lt;=$AR$1,"O","X"))</f>
        <v>X</v>
      </c>
      <c r="AS34" s="13" t="str">
        <f>IF(M34="","",IF(M34&lt;=$AS$1,"O","X"))</f>
        <v>X</v>
      </c>
      <c r="AT34" s="13" t="s">
        <v>32</v>
      </c>
      <c r="AU34" s="13" t="str">
        <f>IF(OR(F34="",AJ34=""),"",IF(AND((F34&lt;=85),(AJ34&gt;=15)),"O","X"))</f>
        <v>O</v>
      </c>
      <c r="AV34" s="13" t="str">
        <f>IF(C34="","",IF(C34&gt;=$AV$1,"O","X"))</f>
        <v>O</v>
      </c>
      <c r="AW34" s="13" t="str">
        <f>IF(AP34="","",IF(AND(AP34="O",AQ34="O",AS34="O",AU34="O",AV34="O"),"후보","X"))</f>
        <v>X</v>
      </c>
    </row>
    <row r="35" spans="1:49" x14ac:dyDescent="0.3">
      <c r="A35" s="5" t="s">
        <v>1659</v>
      </c>
      <c r="B35" s="14" t="s">
        <v>1489</v>
      </c>
      <c r="C35" s="25">
        <v>870</v>
      </c>
      <c r="D35" s="23">
        <v>98</v>
      </c>
      <c r="E35" s="21">
        <v>30</v>
      </c>
      <c r="F35" s="23">
        <v>79.099999999999994</v>
      </c>
      <c r="G35" s="24">
        <v>24</v>
      </c>
      <c r="H35" s="25">
        <v>17</v>
      </c>
      <c r="I35" s="29">
        <v>85000</v>
      </c>
      <c r="J35" s="106" t="s">
        <v>1997</v>
      </c>
      <c r="K35" s="29">
        <v>45000</v>
      </c>
      <c r="L35" s="106" t="s">
        <v>2000</v>
      </c>
      <c r="M35" s="6">
        <f>I35-K35</f>
        <v>40000</v>
      </c>
      <c r="N35" s="7">
        <f>IF(ISERROR(K35/I35),"",K35/I35)</f>
        <v>0.52941176470588236</v>
      </c>
      <c r="O35" s="12">
        <f>I35/E35</f>
        <v>2833.3333333333335</v>
      </c>
      <c r="P35" s="12">
        <f>K35/E35</f>
        <v>1500</v>
      </c>
      <c r="Q35" s="13">
        <v>3</v>
      </c>
      <c r="R35" s="13">
        <v>2</v>
      </c>
      <c r="S35" s="13" t="s">
        <v>51</v>
      </c>
      <c r="T35" s="8">
        <v>97</v>
      </c>
      <c r="U35" s="5"/>
      <c r="V35" s="5" t="s">
        <v>1661</v>
      </c>
      <c r="X35" s="23">
        <f t="shared" si="19"/>
        <v>98</v>
      </c>
      <c r="Y35" s="21">
        <f t="shared" si="19"/>
        <v>30</v>
      </c>
      <c r="Z35" s="28">
        <f t="shared" si="20"/>
        <v>17</v>
      </c>
      <c r="AA35" s="6">
        <f t="shared" si="20"/>
        <v>85000</v>
      </c>
      <c r="AB35" s="6">
        <f>K35</f>
        <v>45000</v>
      </c>
      <c r="AC35" s="6">
        <f t="shared" si="21"/>
        <v>40000</v>
      </c>
      <c r="AD35" s="7">
        <f t="shared" si="21"/>
        <v>0.52941176470588236</v>
      </c>
      <c r="AE35" s="12">
        <f t="shared" si="21"/>
        <v>2833.3333333333335</v>
      </c>
      <c r="AF35" s="13" t="str">
        <f>S35</f>
        <v>계</v>
      </c>
      <c r="AG35" s="13" t="str">
        <f>Q35&amp;"/"&amp;R35</f>
        <v>3/2</v>
      </c>
      <c r="AI35" s="32" t="str">
        <f t="shared" si="1"/>
        <v>초원6단지한양</v>
      </c>
      <c r="AJ35" s="21">
        <f t="shared" ref="AJ35:AJ66" si="22">IF(E35="","",E35)</f>
        <v>30</v>
      </c>
      <c r="AK35" s="13" t="str">
        <f>IF(AJ35="","",$AK$2)</f>
        <v>A-</v>
      </c>
      <c r="AL35" s="13"/>
      <c r="AM35" s="13"/>
      <c r="AN35" s="13"/>
      <c r="AO35" s="13" t="str">
        <f>IF(AJ35="","",$AO$2)</f>
        <v>C</v>
      </c>
      <c r="AP35" s="13" t="str">
        <f>IF(N35="","",IF(N35&gt;=$AP$1/100,"O","X"))</f>
        <v>X</v>
      </c>
      <c r="AQ35" s="13" t="str">
        <f>IF(I35="","",IF(I35&lt;=$AQ$1,"O","X"))</f>
        <v>X</v>
      </c>
      <c r="AR35" s="13" t="str">
        <f>IF(O35="","",IF(O35&lt;=$AR$1,"O","X"))</f>
        <v>X</v>
      </c>
      <c r="AS35" s="13" t="str">
        <f>IF(M35="","",IF(M35&lt;=$AS$1,"O","X"))</f>
        <v>X</v>
      </c>
      <c r="AT35" s="13" t="s">
        <v>32</v>
      </c>
      <c r="AU35" s="13" t="str">
        <f>IF(OR(F35="",AJ35=""),"",IF(AND((F35&lt;=85),(AJ35&gt;=15)),"O","X"))</f>
        <v>O</v>
      </c>
      <c r="AV35" s="13" t="str">
        <f>IF(C35="","",IF(C35&gt;=$AV$1,"O","X"))</f>
        <v>O</v>
      </c>
      <c r="AW35" s="13" t="str">
        <f>IF(AP35="","",IF(AND(AP35="O",AQ35="O",AS35="O",AU35="O",AV35="O"),"후보","X"))</f>
        <v>X</v>
      </c>
    </row>
    <row r="36" spans="1:49" x14ac:dyDescent="0.3">
      <c r="A36" s="5" t="s">
        <v>1659</v>
      </c>
      <c r="B36" s="14" t="s">
        <v>1489</v>
      </c>
      <c r="C36" s="25">
        <v>870</v>
      </c>
      <c r="D36" s="23">
        <v>105.3</v>
      </c>
      <c r="E36" s="21">
        <v>32</v>
      </c>
      <c r="F36" s="23">
        <v>84.9</v>
      </c>
      <c r="G36" s="24">
        <v>26</v>
      </c>
      <c r="H36" s="25">
        <v>593</v>
      </c>
      <c r="I36" s="29">
        <v>75000</v>
      </c>
      <c r="J36" s="106" t="s">
        <v>1998</v>
      </c>
      <c r="K36" s="29">
        <v>42000</v>
      </c>
      <c r="L36" s="106" t="s">
        <v>2001</v>
      </c>
      <c r="M36" s="6">
        <f>I36-K36</f>
        <v>33000</v>
      </c>
      <c r="N36" s="7">
        <f>IF(ISERROR(K36/I36),"",K36/I36)</f>
        <v>0.56000000000000005</v>
      </c>
      <c r="O36" s="12">
        <f>I36/E36</f>
        <v>2343.75</v>
      </c>
      <c r="P36" s="12">
        <f>K36/E36</f>
        <v>1312.5</v>
      </c>
      <c r="Q36" s="13">
        <v>3</v>
      </c>
      <c r="R36" s="13">
        <v>2</v>
      </c>
      <c r="S36" s="13" t="s">
        <v>51</v>
      </c>
      <c r="T36" s="8">
        <v>105</v>
      </c>
      <c r="U36" s="5"/>
      <c r="V36" s="5" t="s">
        <v>1662</v>
      </c>
      <c r="X36" s="23">
        <f t="shared" si="19"/>
        <v>105.3</v>
      </c>
      <c r="Y36" s="21">
        <f t="shared" si="19"/>
        <v>32</v>
      </c>
      <c r="Z36" s="28">
        <f t="shared" si="20"/>
        <v>593</v>
      </c>
      <c r="AA36" s="6">
        <f t="shared" si="20"/>
        <v>75000</v>
      </c>
      <c r="AB36" s="6">
        <f>K36</f>
        <v>42000</v>
      </c>
      <c r="AC36" s="6">
        <f t="shared" si="21"/>
        <v>33000</v>
      </c>
      <c r="AD36" s="7">
        <f t="shared" si="21"/>
        <v>0.56000000000000005</v>
      </c>
      <c r="AE36" s="12">
        <f t="shared" si="21"/>
        <v>2343.75</v>
      </c>
      <c r="AF36" s="13" t="str">
        <f>S36</f>
        <v>계</v>
      </c>
      <c r="AG36" s="13" t="str">
        <f>Q36&amp;"/"&amp;R36</f>
        <v>3/2</v>
      </c>
      <c r="AI36" s="32" t="str">
        <f t="shared" si="1"/>
        <v>초원6단지한양</v>
      </c>
      <c r="AJ36" s="21">
        <f t="shared" si="22"/>
        <v>32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>X</v>
      </c>
      <c r="AQ36" s="13" t="str">
        <f>IF(I36="","",IF(I36&lt;=$AQ$1,"O","X"))</f>
        <v>X</v>
      </c>
      <c r="AR36" s="13" t="str">
        <f>IF(O36="","",IF(O36&lt;=$AR$1,"O","X"))</f>
        <v>X</v>
      </c>
      <c r="AS36" s="13" t="str">
        <f>IF(M36="","",IF(M36&lt;=$AS$1,"O","X"))</f>
        <v>X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O</v>
      </c>
      <c r="AW36" s="13" t="str">
        <f>IF(AP36="","",IF(AND(AP36="O",AQ36="O",AS36="O",AU36="O",AV36="O"),"후보","X"))</f>
        <v>X</v>
      </c>
    </row>
    <row r="37" spans="1:49" x14ac:dyDescent="0.3">
      <c r="A37" s="5"/>
      <c r="B37" s="13"/>
      <c r="C37" s="9"/>
      <c r="D37" s="5"/>
      <c r="E37" s="18"/>
      <c r="F37" s="23"/>
      <c r="G37" s="5"/>
      <c r="H37" s="5"/>
      <c r="I37" s="5"/>
      <c r="J37" s="8"/>
      <c r="K37" s="5"/>
      <c r="L37" s="8"/>
      <c r="M37" s="5"/>
      <c r="N37" s="5"/>
      <c r="O37" s="12"/>
      <c r="P37" s="12"/>
      <c r="Q37" s="21"/>
      <c r="R37" s="21"/>
      <c r="S37" s="5"/>
      <c r="T37" s="59"/>
      <c r="U37" s="5"/>
      <c r="V37" s="5"/>
      <c r="X37" s="90" t="str">
        <f>$A$4&amp;" "&amp;A38&amp;"("&amp;B38&amp;","&amp;C38&amp;"^)"</f>
        <v>평촌동 꿈금호('93.09,250^)</v>
      </c>
      <c r="Y37" s="91"/>
      <c r="Z37" s="91"/>
      <c r="AA37" s="91"/>
      <c r="AB37" s="91"/>
      <c r="AC37" s="91"/>
      <c r="AD37" s="91"/>
      <c r="AE37" s="91"/>
      <c r="AF37" s="91"/>
      <c r="AG37" s="92"/>
      <c r="AI37" s="32" t="str">
        <f t="shared" ref="AI37:AI68" si="23">IF(A37="","",A37)</f>
        <v/>
      </c>
      <c r="AJ37" s="33" t="str">
        <f t="shared" si="22"/>
        <v/>
      </c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x14ac:dyDescent="0.3">
      <c r="A38" s="5" t="s">
        <v>1663</v>
      </c>
      <c r="B38" s="14" t="s">
        <v>1664</v>
      </c>
      <c r="C38" s="25">
        <v>250</v>
      </c>
      <c r="D38" s="23">
        <v>123.2</v>
      </c>
      <c r="E38" s="21">
        <v>37</v>
      </c>
      <c r="F38" s="23">
        <v>102</v>
      </c>
      <c r="G38" s="24">
        <v>31</v>
      </c>
      <c r="H38" s="25">
        <v>90</v>
      </c>
      <c r="I38" s="29">
        <v>130000</v>
      </c>
      <c r="J38" s="106" t="s">
        <v>2002</v>
      </c>
      <c r="K38" s="29">
        <v>65000</v>
      </c>
      <c r="L38" s="106" t="s">
        <v>2005</v>
      </c>
      <c r="M38" s="6">
        <f>I38-K38</f>
        <v>65000</v>
      </c>
      <c r="N38" s="7">
        <f>IF(ISERROR(K38/I38),"",K38/I38)</f>
        <v>0.5</v>
      </c>
      <c r="O38" s="12">
        <f>I38/E38</f>
        <v>3513.5135135135133</v>
      </c>
      <c r="P38" s="12">
        <f>K38/E38</f>
        <v>1756.7567567567567</v>
      </c>
      <c r="Q38" s="13">
        <v>4</v>
      </c>
      <c r="R38" s="13">
        <v>2</v>
      </c>
      <c r="S38" s="13" t="s">
        <v>51</v>
      </c>
      <c r="T38" s="8">
        <v>123</v>
      </c>
      <c r="U38" s="5"/>
      <c r="V38" s="5" t="s">
        <v>1665</v>
      </c>
      <c r="X38" s="23">
        <f>D38</f>
        <v>123.2</v>
      </c>
      <c r="Y38" s="21">
        <f>E38</f>
        <v>37</v>
      </c>
      <c r="Z38" s="28">
        <f>H38</f>
        <v>90</v>
      </c>
      <c r="AA38" s="6">
        <f>I38</f>
        <v>130000</v>
      </c>
      <c r="AB38" s="6">
        <f>K38</f>
        <v>65000</v>
      </c>
      <c r="AC38" s="6">
        <f t="shared" ref="AC38:AE39" si="24">M38</f>
        <v>65000</v>
      </c>
      <c r="AD38" s="7">
        <f t="shared" si="24"/>
        <v>0.5</v>
      </c>
      <c r="AE38" s="12">
        <f t="shared" si="24"/>
        <v>3513.5135135135133</v>
      </c>
      <c r="AF38" s="13" t="str">
        <f>S38</f>
        <v>계</v>
      </c>
      <c r="AG38" s="13" t="str">
        <f>Q38&amp;"/"&amp;R38</f>
        <v>4/2</v>
      </c>
      <c r="AI38" s="32" t="str">
        <f t="shared" si="23"/>
        <v>꿈금호</v>
      </c>
      <c r="AJ38" s="21">
        <f t="shared" si="22"/>
        <v>37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>X</v>
      </c>
      <c r="AQ38" s="13" t="str">
        <f>IF(I38="","",IF(I38&lt;=$AQ$1,"O","X"))</f>
        <v>X</v>
      </c>
      <c r="AR38" s="13" t="str">
        <f>IF(O38="","",IF(O38&lt;=$AR$1,"O","X"))</f>
        <v>X</v>
      </c>
      <c r="AS38" s="13" t="str">
        <f>IF(M38="","",IF(M38&lt;=$AS$1,"O","X"))</f>
        <v>X</v>
      </c>
      <c r="AT38" s="13" t="s">
        <v>32</v>
      </c>
      <c r="AU38" s="13" t="str">
        <f>IF(OR(F38="",AJ38=""),"",IF(AND((F38&lt;=85),(AJ38&gt;=15)),"O","X"))</f>
        <v>X</v>
      </c>
      <c r="AV38" s="13" t="str">
        <f>IF(C38="","",IF(C38&gt;=$AV$1,"O","X"))</f>
        <v>X</v>
      </c>
      <c r="AW38" s="13" t="str">
        <f>IF(AP38="","",IF(AND(AP38="O",AQ38="O",AS38="O",AU38="O",AV38="O"),"후보","X"))</f>
        <v>X</v>
      </c>
    </row>
    <row r="39" spans="1:49" x14ac:dyDescent="0.3">
      <c r="A39" s="5" t="s">
        <v>1663</v>
      </c>
      <c r="B39" s="14" t="s">
        <v>1664</v>
      </c>
      <c r="C39" s="25">
        <v>250</v>
      </c>
      <c r="D39" s="23">
        <v>157.30000000000001</v>
      </c>
      <c r="E39" s="21">
        <v>48</v>
      </c>
      <c r="F39" s="23">
        <v>133.6</v>
      </c>
      <c r="G39" s="24">
        <v>40</v>
      </c>
      <c r="H39" s="25">
        <v>160</v>
      </c>
      <c r="I39" s="29">
        <v>160000</v>
      </c>
      <c r="J39" s="106" t="s">
        <v>2003</v>
      </c>
      <c r="K39" s="29">
        <v>90000</v>
      </c>
      <c r="L39" s="106" t="s">
        <v>2004</v>
      </c>
      <c r="M39" s="6">
        <f>I39-K39</f>
        <v>70000</v>
      </c>
      <c r="N39" s="7">
        <f>IF(ISERROR(K39/I39),"",K39/I39)</f>
        <v>0.5625</v>
      </c>
      <c r="O39" s="12">
        <f>I39/E39</f>
        <v>3333.3333333333335</v>
      </c>
      <c r="P39" s="12">
        <f>K39/E39</f>
        <v>1875</v>
      </c>
      <c r="Q39" s="13">
        <v>4</v>
      </c>
      <c r="R39" s="13">
        <v>2</v>
      </c>
      <c r="S39" s="13" t="s">
        <v>51</v>
      </c>
      <c r="T39" s="8">
        <v>157</v>
      </c>
      <c r="U39" s="5"/>
      <c r="V39" s="5" t="s">
        <v>1666</v>
      </c>
      <c r="X39" s="23">
        <f>D39</f>
        <v>157.30000000000001</v>
      </c>
      <c r="Y39" s="21">
        <f>E39</f>
        <v>48</v>
      </c>
      <c r="Z39" s="28">
        <f>H39</f>
        <v>160</v>
      </c>
      <c r="AA39" s="6">
        <f>I39</f>
        <v>160000</v>
      </c>
      <c r="AB39" s="6">
        <f>K39</f>
        <v>90000</v>
      </c>
      <c r="AC39" s="6">
        <f t="shared" si="24"/>
        <v>70000</v>
      </c>
      <c r="AD39" s="7">
        <f t="shared" si="24"/>
        <v>0.5625</v>
      </c>
      <c r="AE39" s="12">
        <f t="shared" si="24"/>
        <v>3333.3333333333335</v>
      </c>
      <c r="AF39" s="13" t="str">
        <f>S39</f>
        <v>계</v>
      </c>
      <c r="AG39" s="13" t="str">
        <f>Q39&amp;"/"&amp;R39</f>
        <v>4/2</v>
      </c>
      <c r="AI39" s="32" t="str">
        <f t="shared" si="23"/>
        <v>꿈금호</v>
      </c>
      <c r="AJ39" s="21">
        <f t="shared" si="22"/>
        <v>48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>X</v>
      </c>
      <c r="AQ39" s="13" t="str">
        <f>IF(I39="","",IF(I39&lt;=$AQ$1,"O","X"))</f>
        <v>X</v>
      </c>
      <c r="AR39" s="13" t="str">
        <f>IF(O39="","",IF(O39&lt;=$AR$1,"O","X"))</f>
        <v>X</v>
      </c>
      <c r="AS39" s="13" t="str">
        <f>IF(M39="","",IF(M39&lt;=$AS$1,"O","X"))</f>
        <v>X</v>
      </c>
      <c r="AT39" s="13" t="s">
        <v>32</v>
      </c>
      <c r="AU39" s="13" t="str">
        <f>IF(OR(F39="",AJ39=""),"",IF(AND((F39&lt;=85),(AJ39&gt;=15)),"O","X"))</f>
        <v>X</v>
      </c>
      <c r="AV39" s="13" t="str">
        <f>IF(C39="","",IF(C39&gt;=$AV$1,"O","X"))</f>
        <v>X</v>
      </c>
      <c r="AW39" s="13" t="str">
        <f>IF(AP39="","",IF(AND(AP39="O",AQ39="O",AS39="O",AU39="O",AV39="O"),"후보","X"))</f>
        <v>X</v>
      </c>
    </row>
    <row r="40" spans="1:49" x14ac:dyDescent="0.3">
      <c r="A40" s="5"/>
      <c r="B40" s="13"/>
      <c r="C40" s="9"/>
      <c r="D40" s="5"/>
      <c r="E40" s="18"/>
      <c r="F40" s="23"/>
      <c r="G40" s="5"/>
      <c r="H40" s="5"/>
      <c r="I40" s="5"/>
      <c r="J40" s="8"/>
      <c r="K40" s="5"/>
      <c r="L40" s="8"/>
      <c r="M40" s="5"/>
      <c r="N40" s="5"/>
      <c r="O40" s="12"/>
      <c r="P40" s="12"/>
      <c r="Q40" s="21"/>
      <c r="R40" s="21"/>
      <c r="S40" s="5"/>
      <c r="T40" s="59"/>
      <c r="U40" s="5"/>
      <c r="V40" s="5"/>
      <c r="X40" s="90" t="str">
        <f>$A$4&amp;" "&amp;A41&amp;"("&amp;B41&amp;","&amp;C41&amp;"^)"</f>
        <v>평촌동 꿈한신('93.08,566^)</v>
      </c>
      <c r="Y40" s="91"/>
      <c r="Z40" s="91"/>
      <c r="AA40" s="91"/>
      <c r="AB40" s="91"/>
      <c r="AC40" s="91"/>
      <c r="AD40" s="91"/>
      <c r="AE40" s="91"/>
      <c r="AF40" s="91"/>
      <c r="AG40" s="92"/>
      <c r="AI40" s="32" t="str">
        <f t="shared" si="23"/>
        <v/>
      </c>
      <c r="AJ40" s="33" t="str">
        <f t="shared" si="22"/>
        <v/>
      </c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x14ac:dyDescent="0.3">
      <c r="A41" s="5" t="s">
        <v>1667</v>
      </c>
      <c r="B41" s="14" t="s">
        <v>1668</v>
      </c>
      <c r="C41" s="25">
        <v>566</v>
      </c>
      <c r="D41" s="23">
        <v>119</v>
      </c>
      <c r="E41" s="21">
        <v>36</v>
      </c>
      <c r="F41" s="23">
        <v>96.7</v>
      </c>
      <c r="G41" s="24">
        <v>29</v>
      </c>
      <c r="H41" s="25">
        <v>410</v>
      </c>
      <c r="I41" s="29">
        <v>110000</v>
      </c>
      <c r="J41" s="106" t="s">
        <v>2006</v>
      </c>
      <c r="K41" s="29">
        <v>60000</v>
      </c>
      <c r="L41" s="106" t="s">
        <v>2009</v>
      </c>
      <c r="M41" s="6">
        <f>I41-K41</f>
        <v>50000</v>
      </c>
      <c r="N41" s="7">
        <f>IF(ISERROR(K41/I41),"",K41/I41)</f>
        <v>0.54545454545454541</v>
      </c>
      <c r="O41" s="12">
        <f>I41/E41</f>
        <v>3055.5555555555557</v>
      </c>
      <c r="P41" s="12">
        <f>K41/E41</f>
        <v>1666.6666666666667</v>
      </c>
      <c r="Q41" s="13">
        <v>3</v>
      </c>
      <c r="R41" s="13">
        <v>2</v>
      </c>
      <c r="S41" s="13" t="s">
        <v>51</v>
      </c>
      <c r="T41" s="8">
        <v>119</v>
      </c>
      <c r="U41" s="5"/>
      <c r="V41" s="5" t="s">
        <v>1669</v>
      </c>
      <c r="X41" s="23">
        <f t="shared" ref="X41:Y43" si="25">D41</f>
        <v>119</v>
      </c>
      <c r="Y41" s="21">
        <f t="shared" si="25"/>
        <v>36</v>
      </c>
      <c r="Z41" s="28">
        <f t="shared" ref="Z41:AA43" si="26">H41</f>
        <v>410</v>
      </c>
      <c r="AA41" s="6">
        <f t="shared" si="26"/>
        <v>110000</v>
      </c>
      <c r="AB41" s="6">
        <f>K41</f>
        <v>60000</v>
      </c>
      <c r="AC41" s="6">
        <f t="shared" ref="AC41:AE43" si="27">M41</f>
        <v>50000</v>
      </c>
      <c r="AD41" s="7">
        <f t="shared" si="27"/>
        <v>0.54545454545454541</v>
      </c>
      <c r="AE41" s="12">
        <f t="shared" si="27"/>
        <v>3055.5555555555557</v>
      </c>
      <c r="AF41" s="13" t="str">
        <f>S41</f>
        <v>계</v>
      </c>
      <c r="AG41" s="13" t="str">
        <f>Q41&amp;"/"&amp;R41</f>
        <v>3/2</v>
      </c>
      <c r="AI41" s="32" t="str">
        <f t="shared" si="23"/>
        <v>꿈한신</v>
      </c>
      <c r="AJ41" s="21">
        <f t="shared" si="22"/>
        <v>36</v>
      </c>
      <c r="AK41" s="13" t="str">
        <f>IF(AJ41="","",$AK$2)</f>
        <v>A-</v>
      </c>
      <c r="AL41" s="13"/>
      <c r="AM41" s="13"/>
      <c r="AN41" s="13"/>
      <c r="AO41" s="13" t="str">
        <f>IF(AJ41="","",$AO$2)</f>
        <v>C</v>
      </c>
      <c r="AP41" s="13" t="str">
        <f>IF(N41="","",IF(N41&gt;=$AP$1/100,"O","X"))</f>
        <v>X</v>
      </c>
      <c r="AQ41" s="13" t="str">
        <f>IF(I41="","",IF(I41&lt;=$AQ$1,"O","X"))</f>
        <v>X</v>
      </c>
      <c r="AR41" s="13" t="str">
        <f>IF(O41="","",IF(O41&lt;=$AR$1,"O","X"))</f>
        <v>X</v>
      </c>
      <c r="AS41" s="13" t="str">
        <f>IF(M41="","",IF(M41&lt;=$AS$1,"O","X"))</f>
        <v>X</v>
      </c>
      <c r="AT41" s="13" t="s">
        <v>32</v>
      </c>
      <c r="AU41" s="13" t="str">
        <f>IF(OR(F41="",AJ41=""),"",IF(AND((F41&lt;=85),(AJ41&gt;=15)),"O","X"))</f>
        <v>X</v>
      </c>
      <c r="AV41" s="13" t="str">
        <f>IF(C41="","",IF(C41&gt;=$AV$1,"O","X"))</f>
        <v>O</v>
      </c>
      <c r="AW41" s="13" t="str">
        <f>IF(AP41="","",IF(AND(AP41="O",AQ41="O",AS41="O",AU41="O",AV41="O"),"후보","X"))</f>
        <v>X</v>
      </c>
    </row>
    <row r="42" spans="1:49" x14ac:dyDescent="0.3">
      <c r="A42" s="5" t="s">
        <v>1667</v>
      </c>
      <c r="B42" s="14" t="s">
        <v>1668</v>
      </c>
      <c r="C42" s="25">
        <v>566</v>
      </c>
      <c r="D42" s="23">
        <v>145.5</v>
      </c>
      <c r="E42" s="21">
        <v>44</v>
      </c>
      <c r="F42" s="23">
        <v>117</v>
      </c>
      <c r="G42" s="24">
        <v>35</v>
      </c>
      <c r="H42" s="25">
        <v>96</v>
      </c>
      <c r="I42" s="29">
        <v>135000</v>
      </c>
      <c r="J42" s="106" t="s">
        <v>2007</v>
      </c>
      <c r="K42" s="29">
        <v>79000</v>
      </c>
      <c r="L42" s="106" t="s">
        <v>2008</v>
      </c>
      <c r="M42" s="6">
        <f>I42-K42</f>
        <v>56000</v>
      </c>
      <c r="N42" s="7">
        <f>IF(ISERROR(K42/I42),"",K42/I42)</f>
        <v>0.58518518518518514</v>
      </c>
      <c r="O42" s="12">
        <f>I42/E42</f>
        <v>3068.181818181818</v>
      </c>
      <c r="P42" s="12">
        <f>K42/E42</f>
        <v>1795.4545454545455</v>
      </c>
      <c r="Q42" s="13">
        <v>4</v>
      </c>
      <c r="R42" s="13">
        <v>2</v>
      </c>
      <c r="S42" s="13" t="s">
        <v>51</v>
      </c>
      <c r="T42" s="8">
        <v>145</v>
      </c>
      <c r="U42" s="5"/>
      <c r="V42" s="5" t="s">
        <v>1670</v>
      </c>
      <c r="X42" s="23">
        <f t="shared" si="25"/>
        <v>145.5</v>
      </c>
      <c r="Y42" s="21">
        <f t="shared" si="25"/>
        <v>44</v>
      </c>
      <c r="Z42" s="28">
        <f t="shared" si="26"/>
        <v>96</v>
      </c>
      <c r="AA42" s="6">
        <f t="shared" si="26"/>
        <v>135000</v>
      </c>
      <c r="AB42" s="6">
        <f>K42</f>
        <v>79000</v>
      </c>
      <c r="AC42" s="6">
        <f t="shared" si="27"/>
        <v>56000</v>
      </c>
      <c r="AD42" s="7">
        <f t="shared" si="27"/>
        <v>0.58518518518518514</v>
      </c>
      <c r="AE42" s="12">
        <f t="shared" si="27"/>
        <v>3068.181818181818</v>
      </c>
      <c r="AF42" s="13" t="str">
        <f>S42</f>
        <v>계</v>
      </c>
      <c r="AG42" s="13" t="str">
        <f>Q42&amp;"/"&amp;R42</f>
        <v>4/2</v>
      </c>
      <c r="AI42" s="32" t="str">
        <f t="shared" si="23"/>
        <v>꿈한신</v>
      </c>
      <c r="AJ42" s="21">
        <f t="shared" si="22"/>
        <v>44</v>
      </c>
      <c r="AK42" s="13" t="str">
        <f>IF(AJ42="","",$AK$2)</f>
        <v>A-</v>
      </c>
      <c r="AL42" s="13"/>
      <c r="AM42" s="13"/>
      <c r="AN42" s="13"/>
      <c r="AO42" s="13" t="str">
        <f>IF(AJ42="","",$AO$2)</f>
        <v>C</v>
      </c>
      <c r="AP42" s="13" t="str">
        <f>IF(N42="","",IF(N42&gt;=$AP$1/100,"O","X"))</f>
        <v>X</v>
      </c>
      <c r="AQ42" s="13" t="str">
        <f>IF(I42="","",IF(I42&lt;=$AQ$1,"O","X"))</f>
        <v>X</v>
      </c>
      <c r="AR42" s="13" t="str">
        <f>IF(O42="","",IF(O42&lt;=$AR$1,"O","X"))</f>
        <v>X</v>
      </c>
      <c r="AS42" s="13" t="str">
        <f>IF(M42="","",IF(M42&lt;=$AS$1,"O","X"))</f>
        <v>X</v>
      </c>
      <c r="AT42" s="13" t="s">
        <v>32</v>
      </c>
      <c r="AU42" s="13" t="str">
        <f>IF(OR(F42="",AJ42=""),"",IF(AND((F42&lt;=85),(AJ42&gt;=15)),"O","X"))</f>
        <v>X</v>
      </c>
      <c r="AV42" s="13" t="str">
        <f>IF(C42="","",IF(C42&gt;=$AV$1,"O","X"))</f>
        <v>O</v>
      </c>
      <c r="AW42" s="13" t="str">
        <f>IF(AP42="","",IF(AND(AP42="O",AQ42="O",AS42="O",AU42="O",AV42="O"),"후보","X"))</f>
        <v>X</v>
      </c>
    </row>
    <row r="43" spans="1:49" x14ac:dyDescent="0.3">
      <c r="A43" s="5" t="s">
        <v>1667</v>
      </c>
      <c r="B43" s="14" t="s">
        <v>1668</v>
      </c>
      <c r="C43" s="25">
        <v>566</v>
      </c>
      <c r="D43" s="23">
        <v>201.7</v>
      </c>
      <c r="E43" s="21">
        <v>61</v>
      </c>
      <c r="F43" s="23">
        <v>172.2</v>
      </c>
      <c r="G43" s="24">
        <v>52</v>
      </c>
      <c r="H43" s="25">
        <v>60</v>
      </c>
      <c r="I43" s="29">
        <v>165000</v>
      </c>
      <c r="J43" s="106" t="s">
        <v>1988</v>
      </c>
      <c r="K43" s="29">
        <v>110000</v>
      </c>
      <c r="L43" s="106" t="s">
        <v>1989</v>
      </c>
      <c r="M43" s="6">
        <f>I43-K43</f>
        <v>55000</v>
      </c>
      <c r="N43" s="7">
        <f>IF(ISERROR(K43/I43),"",K43/I43)</f>
        <v>0.66666666666666663</v>
      </c>
      <c r="O43" s="12">
        <f>I43/E43</f>
        <v>2704.9180327868853</v>
      </c>
      <c r="P43" s="12">
        <f>K43/E43</f>
        <v>1803.2786885245901</v>
      </c>
      <c r="Q43" s="13">
        <v>6</v>
      </c>
      <c r="R43" s="13">
        <v>2</v>
      </c>
      <c r="S43" s="13" t="s">
        <v>51</v>
      </c>
      <c r="T43" s="8">
        <v>201</v>
      </c>
      <c r="U43" s="5"/>
      <c r="V43" s="5" t="s">
        <v>1671</v>
      </c>
      <c r="X43" s="23">
        <f t="shared" si="25"/>
        <v>201.7</v>
      </c>
      <c r="Y43" s="21">
        <f t="shared" si="25"/>
        <v>61</v>
      </c>
      <c r="Z43" s="28">
        <f t="shared" si="26"/>
        <v>60</v>
      </c>
      <c r="AA43" s="6">
        <f t="shared" si="26"/>
        <v>165000</v>
      </c>
      <c r="AB43" s="6">
        <f>K43</f>
        <v>110000</v>
      </c>
      <c r="AC43" s="6">
        <f t="shared" si="27"/>
        <v>55000</v>
      </c>
      <c r="AD43" s="7">
        <f t="shared" si="27"/>
        <v>0.66666666666666663</v>
      </c>
      <c r="AE43" s="12">
        <f t="shared" si="27"/>
        <v>2704.9180327868853</v>
      </c>
      <c r="AF43" s="13" t="str">
        <f>S43</f>
        <v>계</v>
      </c>
      <c r="AG43" s="13" t="str">
        <f>Q43&amp;"/"&amp;R43</f>
        <v>6/2</v>
      </c>
      <c r="AI43" s="32" t="str">
        <f t="shared" si="23"/>
        <v>꿈한신</v>
      </c>
      <c r="AJ43" s="21">
        <f t="shared" si="22"/>
        <v>61</v>
      </c>
      <c r="AK43" s="13" t="str">
        <f>IF(AJ43="","",$AK$2)</f>
        <v>A-</v>
      </c>
      <c r="AL43" s="13"/>
      <c r="AM43" s="13"/>
      <c r="AN43" s="13"/>
      <c r="AO43" s="13" t="str">
        <f>IF(AJ43="","",$AO$2)</f>
        <v>C</v>
      </c>
      <c r="AP43" s="13" t="str">
        <f>IF(N43="","",IF(N43&gt;=$AP$1/100,"O","X"))</f>
        <v>X</v>
      </c>
      <c r="AQ43" s="13" t="str">
        <f>IF(I43="","",IF(I43&lt;=$AQ$1,"O","X"))</f>
        <v>X</v>
      </c>
      <c r="AR43" s="13" t="str">
        <f>IF(O43="","",IF(O43&lt;=$AR$1,"O","X"))</f>
        <v>X</v>
      </c>
      <c r="AS43" s="13" t="str">
        <f>IF(M43="","",IF(M43&lt;=$AS$1,"O","X"))</f>
        <v>X</v>
      </c>
      <c r="AT43" s="13" t="s">
        <v>32</v>
      </c>
      <c r="AU43" s="13" t="str">
        <f>IF(OR(F43="",AJ43=""),"",IF(AND((F43&lt;=85),(AJ43&gt;=15)),"O","X"))</f>
        <v>X</v>
      </c>
      <c r="AV43" s="13" t="str">
        <f>IF(C43="","",IF(C43&gt;=$AV$1,"O","X"))</f>
        <v>O</v>
      </c>
      <c r="AW43" s="13" t="str">
        <f>IF(AP43="","",IF(AND(AP43="O",AQ43="O",AS43="O",AU43="O",AV43="O"),"후보","X"))</f>
        <v>X</v>
      </c>
    </row>
    <row r="44" spans="1:49" x14ac:dyDescent="0.3">
      <c r="A44" s="5"/>
      <c r="B44" s="13"/>
      <c r="C44" s="9"/>
      <c r="D44" s="5"/>
      <c r="E44" s="18"/>
      <c r="F44" s="23"/>
      <c r="G44" s="5"/>
      <c r="H44" s="5"/>
      <c r="I44" s="5"/>
      <c r="J44" s="8"/>
      <c r="K44" s="5"/>
      <c r="L44" s="8"/>
      <c r="M44" s="5"/>
      <c r="N44" s="5"/>
      <c r="O44" s="12"/>
      <c r="P44" s="12"/>
      <c r="Q44" s="21"/>
      <c r="R44" s="21"/>
      <c r="S44" s="5"/>
      <c r="T44" s="59"/>
      <c r="U44" s="5"/>
      <c r="V44" s="5"/>
      <c r="X44" s="90" t="str">
        <f>$A$4&amp;" "&amp;A45&amp;"("&amp;B45&amp;","&amp;C45&amp;"^)"</f>
        <v>평촌동 꿈우성('93.11,422^)</v>
      </c>
      <c r="Y44" s="91"/>
      <c r="Z44" s="91"/>
      <c r="AA44" s="91"/>
      <c r="AB44" s="91"/>
      <c r="AC44" s="91"/>
      <c r="AD44" s="91"/>
      <c r="AE44" s="91"/>
      <c r="AF44" s="91"/>
      <c r="AG44" s="92"/>
      <c r="AI44" s="32" t="str">
        <f t="shared" si="23"/>
        <v/>
      </c>
      <c r="AJ44" s="33" t="str">
        <f t="shared" si="22"/>
        <v/>
      </c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</row>
    <row r="45" spans="1:49" x14ac:dyDescent="0.3">
      <c r="A45" s="5" t="s">
        <v>1672</v>
      </c>
      <c r="B45" s="14" t="s">
        <v>1489</v>
      </c>
      <c r="C45" s="25">
        <v>422</v>
      </c>
      <c r="D45" s="23">
        <v>121.3</v>
      </c>
      <c r="E45" s="21">
        <v>37</v>
      </c>
      <c r="F45" s="23">
        <v>101.2</v>
      </c>
      <c r="G45" s="24">
        <v>31</v>
      </c>
      <c r="H45" s="25">
        <v>132</v>
      </c>
      <c r="I45" s="29">
        <v>108000</v>
      </c>
      <c r="J45" s="106" t="s">
        <v>1995</v>
      </c>
      <c r="K45" s="29">
        <v>60000</v>
      </c>
      <c r="L45" s="106" t="s">
        <v>2014</v>
      </c>
      <c r="M45" s="6">
        <f>I45-K45</f>
        <v>48000</v>
      </c>
      <c r="N45" s="7">
        <f>IF(ISERROR(K45/I45),"",K45/I45)</f>
        <v>0.55555555555555558</v>
      </c>
      <c r="O45" s="12">
        <f>I45/E45</f>
        <v>2918.9189189189187</v>
      </c>
      <c r="P45" s="12">
        <f>K45/E45</f>
        <v>1621.6216216216217</v>
      </c>
      <c r="Q45" s="13">
        <v>3</v>
      </c>
      <c r="R45" s="13">
        <v>2</v>
      </c>
      <c r="S45" s="13" t="s">
        <v>51</v>
      </c>
      <c r="T45" s="8">
        <v>121</v>
      </c>
      <c r="U45" s="5"/>
      <c r="V45" s="5" t="s">
        <v>1673</v>
      </c>
      <c r="X45" s="23">
        <f t="shared" ref="X45:Y47" si="28">D45</f>
        <v>121.3</v>
      </c>
      <c r="Y45" s="21">
        <f t="shared" si="28"/>
        <v>37</v>
      </c>
      <c r="Z45" s="28">
        <f t="shared" ref="Z45:AA47" si="29">H45</f>
        <v>132</v>
      </c>
      <c r="AA45" s="6">
        <f t="shared" si="29"/>
        <v>108000</v>
      </c>
      <c r="AB45" s="6">
        <f>K45</f>
        <v>60000</v>
      </c>
      <c r="AC45" s="6">
        <f t="shared" ref="AC45:AE47" si="30">M45</f>
        <v>48000</v>
      </c>
      <c r="AD45" s="7">
        <f t="shared" si="30"/>
        <v>0.55555555555555558</v>
      </c>
      <c r="AE45" s="12">
        <f t="shared" si="30"/>
        <v>2918.9189189189187</v>
      </c>
      <c r="AF45" s="13" t="str">
        <f>S45</f>
        <v>계</v>
      </c>
      <c r="AG45" s="13" t="str">
        <f>Q45&amp;"/"&amp;R45</f>
        <v>3/2</v>
      </c>
      <c r="AI45" s="32" t="str">
        <f t="shared" si="23"/>
        <v>꿈우성</v>
      </c>
      <c r="AJ45" s="21">
        <f t="shared" si="22"/>
        <v>37</v>
      </c>
      <c r="AK45" s="13" t="str">
        <f>IF(AJ45="","",$AK$2)</f>
        <v>A-</v>
      </c>
      <c r="AL45" s="13"/>
      <c r="AM45" s="13"/>
      <c r="AN45" s="13"/>
      <c r="AO45" s="13" t="str">
        <f>IF(AJ45="","",$AO$2)</f>
        <v>C</v>
      </c>
      <c r="AP45" s="13" t="str">
        <f>IF(N45="","",IF(N45&gt;=$AP$1/100,"O","X"))</f>
        <v>X</v>
      </c>
      <c r="AQ45" s="13" t="str">
        <f>IF(I45="","",IF(I45&lt;=$AQ$1,"O","X"))</f>
        <v>X</v>
      </c>
      <c r="AR45" s="13" t="str">
        <f>IF(O45="","",IF(O45&lt;=$AR$1,"O","X"))</f>
        <v>X</v>
      </c>
      <c r="AS45" s="13" t="str">
        <f>IF(M45="","",IF(M45&lt;=$AS$1,"O","X"))</f>
        <v>X</v>
      </c>
      <c r="AT45" s="13" t="s">
        <v>32</v>
      </c>
      <c r="AU45" s="13" t="str">
        <f>IF(OR(F45="",AJ45=""),"",IF(AND((F45&lt;=85),(AJ45&gt;=15)),"O","X"))</f>
        <v>X</v>
      </c>
      <c r="AV45" s="13" t="str">
        <f>IF(C45="","",IF(C45&gt;=$AV$1,"O","X"))</f>
        <v>O</v>
      </c>
      <c r="AW45" s="13" t="str">
        <f>IF(AP45="","",IF(AND(AP45="O",AQ45="O",AS45="O",AU45="O",AV45="O"),"후보","X"))</f>
        <v>X</v>
      </c>
    </row>
    <row r="46" spans="1:49" x14ac:dyDescent="0.3">
      <c r="A46" s="5" t="s">
        <v>1672</v>
      </c>
      <c r="B46" s="14" t="s">
        <v>1489</v>
      </c>
      <c r="C46" s="25">
        <v>422</v>
      </c>
      <c r="D46" s="23">
        <v>155.1</v>
      </c>
      <c r="E46" s="21">
        <v>47</v>
      </c>
      <c r="F46" s="23">
        <v>132.69999999999999</v>
      </c>
      <c r="G46" s="24">
        <v>40</v>
      </c>
      <c r="H46" s="25">
        <v>204</v>
      </c>
      <c r="I46" s="29">
        <v>119000</v>
      </c>
      <c r="J46" s="106" t="s">
        <v>2010</v>
      </c>
      <c r="K46" s="29">
        <v>85000</v>
      </c>
      <c r="L46" s="106" t="s">
        <v>2013</v>
      </c>
      <c r="M46" s="6">
        <f>I46-K46</f>
        <v>34000</v>
      </c>
      <c r="N46" s="7">
        <f>IF(ISERROR(K46/I46),"",K46/I46)</f>
        <v>0.7142857142857143</v>
      </c>
      <c r="O46" s="12">
        <f>I46/E46</f>
        <v>2531.9148936170213</v>
      </c>
      <c r="P46" s="12">
        <f>K46/E46</f>
        <v>1808.5106382978724</v>
      </c>
      <c r="Q46" s="13">
        <v>4</v>
      </c>
      <c r="R46" s="13">
        <v>2</v>
      </c>
      <c r="S46" s="13" t="s">
        <v>51</v>
      </c>
      <c r="T46" s="8">
        <v>155</v>
      </c>
      <c r="U46" s="5"/>
      <c r="V46" s="5" t="s">
        <v>1674</v>
      </c>
      <c r="X46" s="23">
        <f t="shared" si="28"/>
        <v>155.1</v>
      </c>
      <c r="Y46" s="21">
        <f t="shared" si="28"/>
        <v>47</v>
      </c>
      <c r="Z46" s="28">
        <f t="shared" si="29"/>
        <v>204</v>
      </c>
      <c r="AA46" s="6">
        <f t="shared" si="29"/>
        <v>119000</v>
      </c>
      <c r="AB46" s="6">
        <f>K46</f>
        <v>85000</v>
      </c>
      <c r="AC46" s="6">
        <f t="shared" si="30"/>
        <v>34000</v>
      </c>
      <c r="AD46" s="7">
        <f t="shared" si="30"/>
        <v>0.7142857142857143</v>
      </c>
      <c r="AE46" s="12">
        <f t="shared" si="30"/>
        <v>2531.9148936170213</v>
      </c>
      <c r="AF46" s="13" t="str">
        <f>S46</f>
        <v>계</v>
      </c>
      <c r="AG46" s="13" t="str">
        <f>Q46&amp;"/"&amp;R46</f>
        <v>4/2</v>
      </c>
      <c r="AI46" s="32" t="str">
        <f t="shared" si="23"/>
        <v>꿈우성</v>
      </c>
      <c r="AJ46" s="21">
        <f t="shared" si="22"/>
        <v>47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>X</v>
      </c>
      <c r="AQ46" s="13" t="str">
        <f>IF(I46="","",IF(I46&lt;=$AQ$1,"O","X"))</f>
        <v>X</v>
      </c>
      <c r="AR46" s="13" t="str">
        <f>IF(O46="","",IF(O46&lt;=$AR$1,"O","X"))</f>
        <v>X</v>
      </c>
      <c r="AS46" s="13" t="str">
        <f>IF(M46="","",IF(M46&lt;=$AS$1,"O","X"))</f>
        <v>X</v>
      </c>
      <c r="AT46" s="13" t="s">
        <v>32</v>
      </c>
      <c r="AU46" s="13" t="str">
        <f>IF(OR(F46="",AJ46=""),"",IF(AND((F46&lt;=85),(AJ46&gt;=15)),"O","X"))</f>
        <v>X</v>
      </c>
      <c r="AV46" s="13" t="str">
        <f>IF(C46="","",IF(C46&gt;=$AV$1,"O","X"))</f>
        <v>O</v>
      </c>
      <c r="AW46" s="13" t="str">
        <f>IF(AP46="","",IF(AND(AP46="O",AQ46="O",AS46="O",AU46="O",AV46="O"),"후보","X"))</f>
        <v>X</v>
      </c>
    </row>
    <row r="47" spans="1:49" x14ac:dyDescent="0.3">
      <c r="A47" s="5" t="s">
        <v>1672</v>
      </c>
      <c r="B47" s="14" t="s">
        <v>1489</v>
      </c>
      <c r="C47" s="25">
        <v>422</v>
      </c>
      <c r="D47" s="23">
        <v>184.2</v>
      </c>
      <c r="E47" s="21">
        <v>56</v>
      </c>
      <c r="F47" s="23">
        <v>158.19999999999999</v>
      </c>
      <c r="G47" s="24">
        <v>48</v>
      </c>
      <c r="H47" s="25">
        <v>86</v>
      </c>
      <c r="I47" s="29">
        <v>160000</v>
      </c>
      <c r="J47" s="106" t="s">
        <v>2011</v>
      </c>
      <c r="K47" s="29">
        <v>95000</v>
      </c>
      <c r="L47" s="106" t="s">
        <v>2012</v>
      </c>
      <c r="M47" s="6">
        <f>I47-K47</f>
        <v>65000</v>
      </c>
      <c r="N47" s="7">
        <f>IF(ISERROR(K47/I47),"",K47/I47)</f>
        <v>0.59375</v>
      </c>
      <c r="O47" s="12">
        <f>I47/E47</f>
        <v>2857.1428571428573</v>
      </c>
      <c r="P47" s="12">
        <f>K47/E47</f>
        <v>1696.4285714285713</v>
      </c>
      <c r="Q47" s="13">
        <v>4</v>
      </c>
      <c r="R47" s="13">
        <v>2</v>
      </c>
      <c r="S47" s="13" t="s">
        <v>51</v>
      </c>
      <c r="T47" s="8">
        <v>184</v>
      </c>
      <c r="U47" s="5"/>
      <c r="V47" s="5" t="s">
        <v>1675</v>
      </c>
      <c r="X47" s="23">
        <f t="shared" si="28"/>
        <v>184.2</v>
      </c>
      <c r="Y47" s="21">
        <f t="shared" si="28"/>
        <v>56</v>
      </c>
      <c r="Z47" s="28">
        <f t="shared" si="29"/>
        <v>86</v>
      </c>
      <c r="AA47" s="6">
        <f t="shared" si="29"/>
        <v>160000</v>
      </c>
      <c r="AB47" s="6">
        <f>K47</f>
        <v>95000</v>
      </c>
      <c r="AC47" s="6">
        <f t="shared" si="30"/>
        <v>65000</v>
      </c>
      <c r="AD47" s="7">
        <f t="shared" si="30"/>
        <v>0.59375</v>
      </c>
      <c r="AE47" s="12">
        <f t="shared" si="30"/>
        <v>2857.1428571428573</v>
      </c>
      <c r="AF47" s="13" t="str">
        <f>S47</f>
        <v>계</v>
      </c>
      <c r="AG47" s="13" t="str">
        <f>Q47&amp;"/"&amp;R47</f>
        <v>4/2</v>
      </c>
      <c r="AI47" s="32" t="str">
        <f t="shared" si="23"/>
        <v>꿈우성</v>
      </c>
      <c r="AJ47" s="21">
        <f t="shared" si="22"/>
        <v>56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>X</v>
      </c>
      <c r="AQ47" s="13" t="str">
        <f>IF(I47="","",IF(I47&lt;=$AQ$1,"O","X"))</f>
        <v>X</v>
      </c>
      <c r="AR47" s="13" t="str">
        <f>IF(O47="","",IF(O47&lt;=$AR$1,"O","X"))</f>
        <v>X</v>
      </c>
      <c r="AS47" s="13" t="str">
        <f>IF(M47="","",IF(M47&lt;=$AS$1,"O","X"))</f>
        <v>X</v>
      </c>
      <c r="AT47" s="13" t="s">
        <v>32</v>
      </c>
      <c r="AU47" s="13" t="str">
        <f>IF(OR(F47="",AJ47=""),"",IF(AND((F47&lt;=85),(AJ47&gt;=15)),"O","X"))</f>
        <v>X</v>
      </c>
      <c r="AV47" s="13" t="str">
        <f>IF(C47="","",IF(C47&gt;=$AV$1,"O","X"))</f>
        <v>O</v>
      </c>
      <c r="AW47" s="13" t="str">
        <f>IF(AP47="","",IF(AND(AP47="O",AQ47="O",AS47="O",AU47="O",AV47="O"),"후보","X"))</f>
        <v>X</v>
      </c>
    </row>
    <row r="48" spans="1:49" x14ac:dyDescent="0.3">
      <c r="A48" s="5"/>
      <c r="B48" s="13"/>
      <c r="C48" s="9"/>
      <c r="D48" s="5"/>
      <c r="E48" s="18"/>
      <c r="F48" s="23"/>
      <c r="G48" s="5"/>
      <c r="H48" s="5"/>
      <c r="I48" s="5"/>
      <c r="J48" s="8"/>
      <c r="K48" s="5"/>
      <c r="L48" s="8"/>
      <c r="M48" s="5"/>
      <c r="N48" s="5"/>
      <c r="O48" s="12"/>
      <c r="P48" s="12"/>
      <c r="Q48" s="21"/>
      <c r="R48" s="21"/>
      <c r="S48" s="5"/>
      <c r="T48" s="59"/>
      <c r="U48" s="5"/>
      <c r="V48" s="5"/>
      <c r="X48" s="90" t="str">
        <f>$A$4&amp;" "&amp;A49&amp;"("&amp;B49&amp;","&amp;C49&amp;"^)"</f>
        <v>평촌동 꿈건영3단지('94.04,386^)</v>
      </c>
      <c r="Y48" s="91"/>
      <c r="Z48" s="91"/>
      <c r="AA48" s="91"/>
      <c r="AB48" s="91"/>
      <c r="AC48" s="91"/>
      <c r="AD48" s="91"/>
      <c r="AE48" s="91"/>
      <c r="AF48" s="91"/>
      <c r="AG48" s="92"/>
      <c r="AI48" s="32" t="str">
        <f t="shared" si="23"/>
        <v/>
      </c>
      <c r="AJ48" s="33" t="str">
        <f t="shared" si="22"/>
        <v/>
      </c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49" x14ac:dyDescent="0.3">
      <c r="A49" s="5" t="s">
        <v>1676</v>
      </c>
      <c r="B49" s="14" t="s">
        <v>1677</v>
      </c>
      <c r="C49" s="25">
        <v>386</v>
      </c>
      <c r="D49" s="23">
        <v>123.3</v>
      </c>
      <c r="E49" s="21">
        <v>37</v>
      </c>
      <c r="F49" s="23">
        <v>102</v>
      </c>
      <c r="G49" s="24">
        <v>31</v>
      </c>
      <c r="H49" s="25">
        <v>264</v>
      </c>
      <c r="I49" s="29">
        <v>96000</v>
      </c>
      <c r="J49" s="106" t="s">
        <v>2015</v>
      </c>
      <c r="K49" s="29">
        <v>70000</v>
      </c>
      <c r="L49" s="106" t="s">
        <v>2017</v>
      </c>
      <c r="M49" s="6">
        <f>I49-K49</f>
        <v>26000</v>
      </c>
      <c r="N49" s="7">
        <f>IF(ISERROR(K49/I49),"",K49/I49)</f>
        <v>0.72916666666666663</v>
      </c>
      <c r="O49" s="12">
        <f>I49/E49</f>
        <v>2594.5945945945946</v>
      </c>
      <c r="P49" s="12">
        <f>K49/E49</f>
        <v>1891.8918918918919</v>
      </c>
      <c r="Q49" s="13">
        <v>4</v>
      </c>
      <c r="R49" s="13">
        <v>2</v>
      </c>
      <c r="S49" s="13" t="s">
        <v>51</v>
      </c>
      <c r="T49" s="8">
        <v>123</v>
      </c>
      <c r="U49" s="5"/>
      <c r="V49" s="5" t="s">
        <v>1678</v>
      </c>
      <c r="X49" s="23">
        <f t="shared" ref="X49:Y51" si="31">D49</f>
        <v>123.3</v>
      </c>
      <c r="Y49" s="21">
        <f t="shared" si="31"/>
        <v>37</v>
      </c>
      <c r="Z49" s="28">
        <f t="shared" ref="Z49:AA51" si="32">H49</f>
        <v>264</v>
      </c>
      <c r="AA49" s="6">
        <f t="shared" si="32"/>
        <v>96000</v>
      </c>
      <c r="AB49" s="6">
        <f>K49</f>
        <v>70000</v>
      </c>
      <c r="AC49" s="6">
        <f t="shared" ref="AC49:AE51" si="33">M49</f>
        <v>26000</v>
      </c>
      <c r="AD49" s="7">
        <f t="shared" si="33"/>
        <v>0.72916666666666663</v>
      </c>
      <c r="AE49" s="12">
        <f t="shared" si="33"/>
        <v>2594.5945945945946</v>
      </c>
      <c r="AF49" s="13" t="str">
        <f>S49</f>
        <v>계</v>
      </c>
      <c r="AG49" s="13" t="str">
        <f>Q49&amp;"/"&amp;R49</f>
        <v>4/2</v>
      </c>
      <c r="AI49" s="32" t="str">
        <f t="shared" si="23"/>
        <v>꿈건영3단지</v>
      </c>
      <c r="AJ49" s="21">
        <f t="shared" si="22"/>
        <v>37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>X</v>
      </c>
      <c r="AQ49" s="13" t="str">
        <f>IF(I49="","",IF(I49&lt;=$AQ$1,"O","X"))</f>
        <v>X</v>
      </c>
      <c r="AR49" s="13" t="str">
        <f>IF(O49="","",IF(O49&lt;=$AR$1,"O","X"))</f>
        <v>X</v>
      </c>
      <c r="AS49" s="13" t="str">
        <f>IF(M49="","",IF(M49&lt;=$AS$1,"O","X"))</f>
        <v>X</v>
      </c>
      <c r="AT49" s="13" t="s">
        <v>32</v>
      </c>
      <c r="AU49" s="13" t="str">
        <f>IF(OR(F49="",AJ49=""),"",IF(AND((F49&lt;=85),(AJ49&gt;=15)),"O","X"))</f>
        <v>X</v>
      </c>
      <c r="AV49" s="13" t="str">
        <f>IF(C49="","",IF(C49&gt;=$AV$1,"O","X"))</f>
        <v>O</v>
      </c>
      <c r="AW49" s="13" t="str">
        <f>IF(AP49="","",IF(AND(AP49="O",AQ49="O",AS49="O",AU49="O",AV49="O"),"후보","X"))</f>
        <v>X</v>
      </c>
    </row>
    <row r="50" spans="1:49" x14ac:dyDescent="0.3">
      <c r="A50" s="5" t="s">
        <v>1676</v>
      </c>
      <c r="B50" s="14" t="s">
        <v>1677</v>
      </c>
      <c r="C50" s="25">
        <v>386</v>
      </c>
      <c r="D50" s="23">
        <v>157.5</v>
      </c>
      <c r="E50" s="21">
        <v>48</v>
      </c>
      <c r="F50" s="23">
        <v>133.9</v>
      </c>
      <c r="G50" s="24">
        <v>41</v>
      </c>
      <c r="H50" s="25">
        <v>74</v>
      </c>
      <c r="I50" s="29">
        <v>130000</v>
      </c>
      <c r="J50" s="106" t="s">
        <v>1967</v>
      </c>
      <c r="K50" s="29">
        <v>70000</v>
      </c>
      <c r="L50" s="106" t="s">
        <v>2018</v>
      </c>
      <c r="M50" s="6">
        <f>I50-K50</f>
        <v>60000</v>
      </c>
      <c r="N50" s="7">
        <f>IF(ISERROR(K50/I50),"",K50/I50)</f>
        <v>0.53846153846153844</v>
      </c>
      <c r="O50" s="12">
        <f>I50/E50</f>
        <v>2708.3333333333335</v>
      </c>
      <c r="P50" s="12">
        <f>K50/E50</f>
        <v>1458.3333333333333</v>
      </c>
      <c r="Q50" s="13">
        <v>4</v>
      </c>
      <c r="R50" s="13">
        <v>2</v>
      </c>
      <c r="S50" s="13" t="s">
        <v>51</v>
      </c>
      <c r="T50" s="8">
        <v>157</v>
      </c>
      <c r="U50" s="5"/>
      <c r="V50" s="5" t="s">
        <v>1679</v>
      </c>
      <c r="X50" s="23">
        <f t="shared" si="31"/>
        <v>157.5</v>
      </c>
      <c r="Y50" s="21">
        <f t="shared" si="31"/>
        <v>48</v>
      </c>
      <c r="Z50" s="28">
        <f t="shared" si="32"/>
        <v>74</v>
      </c>
      <c r="AA50" s="6">
        <f t="shared" si="32"/>
        <v>130000</v>
      </c>
      <c r="AB50" s="6">
        <f>K50</f>
        <v>70000</v>
      </c>
      <c r="AC50" s="6">
        <f t="shared" si="33"/>
        <v>60000</v>
      </c>
      <c r="AD50" s="7">
        <f t="shared" si="33"/>
        <v>0.53846153846153844</v>
      </c>
      <c r="AE50" s="12">
        <f t="shared" si="33"/>
        <v>2708.3333333333335</v>
      </c>
      <c r="AF50" s="13" t="str">
        <f>S50</f>
        <v>계</v>
      </c>
      <c r="AG50" s="13" t="str">
        <f>Q50&amp;"/"&amp;R50</f>
        <v>4/2</v>
      </c>
      <c r="AI50" s="32" t="str">
        <f t="shared" si="23"/>
        <v>꿈건영3단지</v>
      </c>
      <c r="AJ50" s="21">
        <f t="shared" si="22"/>
        <v>48</v>
      </c>
      <c r="AK50" s="13" t="str">
        <f>IF(AJ50="","",$AK$2)</f>
        <v>A-</v>
      </c>
      <c r="AL50" s="13"/>
      <c r="AM50" s="13"/>
      <c r="AN50" s="13"/>
      <c r="AO50" s="13" t="str">
        <f>IF(AJ50="","",$AO$2)</f>
        <v>C</v>
      </c>
      <c r="AP50" s="13" t="str">
        <f>IF(N50="","",IF(N50&gt;=$AP$1/100,"O","X"))</f>
        <v>X</v>
      </c>
      <c r="AQ50" s="13" t="str">
        <f>IF(I50="","",IF(I50&lt;=$AQ$1,"O","X"))</f>
        <v>X</v>
      </c>
      <c r="AR50" s="13" t="str">
        <f>IF(O50="","",IF(O50&lt;=$AR$1,"O","X"))</f>
        <v>X</v>
      </c>
      <c r="AS50" s="13" t="str">
        <f>IF(M50="","",IF(M50&lt;=$AS$1,"O","X"))</f>
        <v>X</v>
      </c>
      <c r="AT50" s="13" t="s">
        <v>32</v>
      </c>
      <c r="AU50" s="13" t="str">
        <f>IF(OR(F50="",AJ50=""),"",IF(AND((F50&lt;=85),(AJ50&gt;=15)),"O","X"))</f>
        <v>X</v>
      </c>
      <c r="AV50" s="13" t="str">
        <f>IF(C50="","",IF(C50&gt;=$AV$1,"O","X"))</f>
        <v>O</v>
      </c>
      <c r="AW50" s="13" t="str">
        <f>IF(AP50="","",IF(AND(AP50="O",AQ50="O",AS50="O",AU50="O",AV50="O"),"후보","X"))</f>
        <v>X</v>
      </c>
    </row>
    <row r="51" spans="1:49" x14ac:dyDescent="0.3">
      <c r="A51" s="5" t="s">
        <v>1676</v>
      </c>
      <c r="B51" s="14" t="s">
        <v>1677</v>
      </c>
      <c r="C51" s="25">
        <v>386</v>
      </c>
      <c r="D51" s="23">
        <v>167.6</v>
      </c>
      <c r="E51" s="21">
        <v>51</v>
      </c>
      <c r="F51" s="23">
        <v>145.30000000000001</v>
      </c>
      <c r="G51" s="24">
        <v>44</v>
      </c>
      <c r="H51" s="25">
        <v>48</v>
      </c>
      <c r="I51" s="29">
        <v>132000</v>
      </c>
      <c r="J51" s="106" t="s">
        <v>2016</v>
      </c>
      <c r="K51" s="29">
        <v>70000</v>
      </c>
      <c r="L51" s="106" t="s">
        <v>2019</v>
      </c>
      <c r="M51" s="6">
        <f>I51-K51</f>
        <v>62000</v>
      </c>
      <c r="N51" s="7">
        <f>IF(ISERROR(K51/I51),"",K51/I51)</f>
        <v>0.53030303030303028</v>
      </c>
      <c r="O51" s="12">
        <f>I51/E51</f>
        <v>2588.2352941176468</v>
      </c>
      <c r="P51" s="12">
        <f>K51/E51</f>
        <v>1372.5490196078431</v>
      </c>
      <c r="Q51" s="13">
        <v>5</v>
      </c>
      <c r="R51" s="13">
        <v>2</v>
      </c>
      <c r="S51" s="13" t="s">
        <v>51</v>
      </c>
      <c r="T51" s="8">
        <v>167</v>
      </c>
      <c r="U51" s="5"/>
      <c r="V51" s="5" t="s">
        <v>1680</v>
      </c>
      <c r="X51" s="23">
        <f t="shared" si="31"/>
        <v>167.6</v>
      </c>
      <c r="Y51" s="21">
        <f t="shared" si="31"/>
        <v>51</v>
      </c>
      <c r="Z51" s="28">
        <f t="shared" si="32"/>
        <v>48</v>
      </c>
      <c r="AA51" s="6">
        <f t="shared" si="32"/>
        <v>132000</v>
      </c>
      <c r="AB51" s="6">
        <f>K51</f>
        <v>70000</v>
      </c>
      <c r="AC51" s="6">
        <f t="shared" si="33"/>
        <v>62000</v>
      </c>
      <c r="AD51" s="7">
        <f t="shared" si="33"/>
        <v>0.53030303030303028</v>
      </c>
      <c r="AE51" s="12">
        <f t="shared" si="33"/>
        <v>2588.2352941176468</v>
      </c>
      <c r="AF51" s="13" t="str">
        <f>S51</f>
        <v>계</v>
      </c>
      <c r="AG51" s="13" t="str">
        <f>Q51&amp;"/"&amp;R51</f>
        <v>5/2</v>
      </c>
      <c r="AI51" s="32" t="str">
        <f t="shared" si="23"/>
        <v>꿈건영3단지</v>
      </c>
      <c r="AJ51" s="21">
        <f t="shared" si="22"/>
        <v>51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>X</v>
      </c>
      <c r="AQ51" s="13" t="str">
        <f>IF(I51="","",IF(I51&lt;=$AQ$1,"O","X"))</f>
        <v>X</v>
      </c>
      <c r="AR51" s="13" t="str">
        <f>IF(O51="","",IF(O51&lt;=$AR$1,"O","X"))</f>
        <v>X</v>
      </c>
      <c r="AS51" s="13" t="str">
        <f>IF(M51="","",IF(M51&lt;=$AS$1,"O","X"))</f>
        <v>X</v>
      </c>
      <c r="AT51" s="13" t="s">
        <v>32</v>
      </c>
      <c r="AU51" s="13" t="str">
        <f>IF(OR(F51="",AJ51=""),"",IF(AND((F51&lt;=85),(AJ51&gt;=15)),"O","X"))</f>
        <v>X</v>
      </c>
      <c r="AV51" s="13" t="str">
        <f>IF(C51="","",IF(C51&gt;=$AV$1,"O","X"))</f>
        <v>O</v>
      </c>
      <c r="AW51" s="13" t="str">
        <f>IF(AP51="","",IF(AND(AP51="O",AQ51="O",AS51="O",AU51="O",AV51="O"),"후보","X"))</f>
        <v>X</v>
      </c>
    </row>
    <row r="52" spans="1:49" x14ac:dyDescent="0.3">
      <c r="A52" s="5"/>
      <c r="B52" s="13"/>
      <c r="C52" s="9"/>
      <c r="D52" s="5"/>
      <c r="E52" s="18"/>
      <c r="F52" s="23"/>
      <c r="G52" s="5"/>
      <c r="H52" s="5"/>
      <c r="I52" s="5"/>
      <c r="J52" s="8"/>
      <c r="K52" s="5"/>
      <c r="L52" s="8"/>
      <c r="M52" s="5"/>
      <c r="N52" s="5"/>
      <c r="O52" s="12"/>
      <c r="P52" s="12"/>
      <c r="Q52" s="21"/>
      <c r="R52" s="21"/>
      <c r="S52" s="5"/>
      <c r="T52" s="59"/>
      <c r="U52" s="5"/>
      <c r="V52" s="5"/>
      <c r="X52" s="90" t="str">
        <f>$A$4&amp;" "&amp;A53&amp;"("&amp;B53&amp;","&amp;C53&amp;"^)"</f>
        <v>평촌동 꿈동아('94.04,372^)</v>
      </c>
      <c r="Y52" s="91"/>
      <c r="Z52" s="91"/>
      <c r="AA52" s="91"/>
      <c r="AB52" s="91"/>
      <c r="AC52" s="91"/>
      <c r="AD52" s="91"/>
      <c r="AE52" s="91"/>
      <c r="AF52" s="91"/>
      <c r="AG52" s="92"/>
      <c r="AI52" s="32" t="str">
        <f t="shared" si="23"/>
        <v/>
      </c>
      <c r="AJ52" s="33" t="str">
        <f t="shared" si="22"/>
        <v/>
      </c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</row>
    <row r="53" spans="1:49" x14ac:dyDescent="0.3">
      <c r="A53" s="5" t="s">
        <v>1681</v>
      </c>
      <c r="B53" s="14" t="s">
        <v>1677</v>
      </c>
      <c r="C53" s="25">
        <v>372</v>
      </c>
      <c r="D53" s="23">
        <v>126.7</v>
      </c>
      <c r="E53" s="21">
        <v>38</v>
      </c>
      <c r="F53" s="23">
        <v>102</v>
      </c>
      <c r="G53" s="24">
        <v>31</v>
      </c>
      <c r="H53" s="25">
        <v>170</v>
      </c>
      <c r="I53" s="29">
        <v>105000</v>
      </c>
      <c r="J53" s="106" t="s">
        <v>2020</v>
      </c>
      <c r="K53" s="29">
        <v>70000</v>
      </c>
      <c r="L53" s="106" t="s">
        <v>2023</v>
      </c>
      <c r="M53" s="6">
        <f>I53-K53</f>
        <v>35000</v>
      </c>
      <c r="N53" s="7">
        <f>IF(ISERROR(K53/I53),"",K53/I53)</f>
        <v>0.66666666666666663</v>
      </c>
      <c r="O53" s="12">
        <f>I53/E53</f>
        <v>2763.1578947368421</v>
      </c>
      <c r="P53" s="12">
        <f>K53/E53</f>
        <v>1842.1052631578948</v>
      </c>
      <c r="Q53" s="13">
        <v>4</v>
      </c>
      <c r="R53" s="13">
        <v>2</v>
      </c>
      <c r="S53" s="13" t="s">
        <v>51</v>
      </c>
      <c r="T53" s="8">
        <v>126</v>
      </c>
      <c r="U53" s="5"/>
      <c r="V53" s="5" t="s">
        <v>1682</v>
      </c>
      <c r="X53" s="23">
        <f>D53</f>
        <v>126.7</v>
      </c>
      <c r="Y53" s="21">
        <f>E53</f>
        <v>38</v>
      </c>
      <c r="Z53" s="28">
        <f>H53</f>
        <v>170</v>
      </c>
      <c r="AA53" s="6">
        <f>I53</f>
        <v>105000</v>
      </c>
      <c r="AB53" s="6">
        <f>K53</f>
        <v>70000</v>
      </c>
      <c r="AC53" s="6">
        <f t="shared" ref="AC53:AE54" si="34">M53</f>
        <v>35000</v>
      </c>
      <c r="AD53" s="7">
        <f t="shared" si="34"/>
        <v>0.66666666666666663</v>
      </c>
      <c r="AE53" s="12">
        <f t="shared" si="34"/>
        <v>2763.1578947368421</v>
      </c>
      <c r="AF53" s="13" t="str">
        <f>S53</f>
        <v>계</v>
      </c>
      <c r="AG53" s="13" t="str">
        <f>Q53&amp;"/"&amp;R53</f>
        <v>4/2</v>
      </c>
      <c r="AI53" s="32" t="str">
        <f t="shared" si="23"/>
        <v>꿈동아</v>
      </c>
      <c r="AJ53" s="21">
        <f t="shared" si="22"/>
        <v>38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>X</v>
      </c>
      <c r="AQ53" s="13" t="str">
        <f>IF(I53="","",IF(I53&lt;=$AQ$1,"O","X"))</f>
        <v>X</v>
      </c>
      <c r="AR53" s="13" t="str">
        <f>IF(O53="","",IF(O53&lt;=$AR$1,"O","X"))</f>
        <v>X</v>
      </c>
      <c r="AS53" s="13" t="str">
        <f>IF(M53="","",IF(M53&lt;=$AS$1,"O","X"))</f>
        <v>X</v>
      </c>
      <c r="AT53" s="13" t="s">
        <v>32</v>
      </c>
      <c r="AU53" s="13" t="str">
        <f>IF(OR(F53="",AJ53=""),"",IF(AND((F53&lt;=85),(AJ53&gt;=15)),"O","X"))</f>
        <v>X</v>
      </c>
      <c r="AV53" s="13" t="str">
        <f>IF(C53="","",IF(C53&gt;=$AV$1,"O","X"))</f>
        <v>O</v>
      </c>
      <c r="AW53" s="13" t="str">
        <f>IF(AP53="","",IF(AND(AP53="O",AQ53="O",AS53="O",AU53="O",AV53="O"),"후보","X"))</f>
        <v>X</v>
      </c>
    </row>
    <row r="54" spans="1:49" x14ac:dyDescent="0.3">
      <c r="A54" s="5" t="s">
        <v>1681</v>
      </c>
      <c r="B54" s="14" t="s">
        <v>1677</v>
      </c>
      <c r="C54" s="25">
        <v>372</v>
      </c>
      <c r="D54" s="23">
        <v>157.80000000000001</v>
      </c>
      <c r="E54" s="21">
        <v>48</v>
      </c>
      <c r="F54" s="23">
        <v>130.1</v>
      </c>
      <c r="G54" s="24">
        <v>39</v>
      </c>
      <c r="H54" s="25">
        <v>202</v>
      </c>
      <c r="I54" s="29">
        <v>115000</v>
      </c>
      <c r="J54" s="106" t="s">
        <v>2021</v>
      </c>
      <c r="K54" s="29">
        <v>80000</v>
      </c>
      <c r="L54" s="106" t="s">
        <v>2022</v>
      </c>
      <c r="M54" s="6">
        <f>I54-K54</f>
        <v>35000</v>
      </c>
      <c r="N54" s="7">
        <f>IF(ISERROR(K54/I54),"",K54/I54)</f>
        <v>0.69565217391304346</v>
      </c>
      <c r="O54" s="12">
        <f>I54/E54</f>
        <v>2395.8333333333335</v>
      </c>
      <c r="P54" s="12">
        <f>K54/E54</f>
        <v>1666.6666666666667</v>
      </c>
      <c r="Q54" s="13">
        <v>4</v>
      </c>
      <c r="R54" s="13">
        <v>2</v>
      </c>
      <c r="S54" s="13" t="s">
        <v>51</v>
      </c>
      <c r="T54" s="8">
        <v>157</v>
      </c>
      <c r="U54" s="5"/>
      <c r="V54" s="5" t="s">
        <v>1683</v>
      </c>
      <c r="X54" s="23">
        <f>D54</f>
        <v>157.80000000000001</v>
      </c>
      <c r="Y54" s="21">
        <f>E54</f>
        <v>48</v>
      </c>
      <c r="Z54" s="28">
        <f>H54</f>
        <v>202</v>
      </c>
      <c r="AA54" s="6">
        <f>I54</f>
        <v>115000</v>
      </c>
      <c r="AB54" s="6">
        <f>K54</f>
        <v>80000</v>
      </c>
      <c r="AC54" s="6">
        <f t="shared" si="34"/>
        <v>35000</v>
      </c>
      <c r="AD54" s="7">
        <f t="shared" si="34"/>
        <v>0.69565217391304346</v>
      </c>
      <c r="AE54" s="12">
        <f t="shared" si="34"/>
        <v>2395.8333333333335</v>
      </c>
      <c r="AF54" s="13" t="str">
        <f>S54</f>
        <v>계</v>
      </c>
      <c r="AG54" s="13" t="str">
        <f>Q54&amp;"/"&amp;R54</f>
        <v>4/2</v>
      </c>
      <c r="AI54" s="32" t="str">
        <f t="shared" si="23"/>
        <v>꿈동아</v>
      </c>
      <c r="AJ54" s="21">
        <f t="shared" si="22"/>
        <v>48</v>
      </c>
      <c r="AK54" s="13" t="str">
        <f>IF(AJ54="","",$AK$2)</f>
        <v>A-</v>
      </c>
      <c r="AL54" s="13"/>
      <c r="AM54" s="13"/>
      <c r="AN54" s="13"/>
      <c r="AO54" s="13" t="str">
        <f>IF(AJ54="","",$AO$2)</f>
        <v>C</v>
      </c>
      <c r="AP54" s="13" t="str">
        <f>IF(N54="","",IF(N54&gt;=$AP$1/100,"O","X"))</f>
        <v>X</v>
      </c>
      <c r="AQ54" s="13" t="str">
        <f>IF(I54="","",IF(I54&lt;=$AQ$1,"O","X"))</f>
        <v>X</v>
      </c>
      <c r="AR54" s="13" t="str">
        <f>IF(O54="","",IF(O54&lt;=$AR$1,"O","X"))</f>
        <v>X</v>
      </c>
      <c r="AS54" s="13" t="str">
        <f>IF(M54="","",IF(M54&lt;=$AS$1,"O","X"))</f>
        <v>X</v>
      </c>
      <c r="AT54" s="13" t="s">
        <v>32</v>
      </c>
      <c r="AU54" s="13" t="str">
        <f>IF(OR(F54="",AJ54=""),"",IF(AND((F54&lt;=85),(AJ54&gt;=15)),"O","X"))</f>
        <v>X</v>
      </c>
      <c r="AV54" s="13" t="str">
        <f>IF(C54="","",IF(C54&gt;=$AV$1,"O","X"))</f>
        <v>O</v>
      </c>
      <c r="AW54" s="13" t="str">
        <f>IF(AP54="","",IF(AND(AP54="O",AQ54="O",AS54="O",AU54="O",AV54="O"),"후보","X"))</f>
        <v>X</v>
      </c>
    </row>
    <row r="55" spans="1:49" x14ac:dyDescent="0.3">
      <c r="A55" s="5"/>
      <c r="B55" s="13"/>
      <c r="C55" s="9"/>
      <c r="D55" s="5"/>
      <c r="E55" s="18"/>
      <c r="F55" s="23"/>
      <c r="G55" s="5"/>
      <c r="H55" s="5"/>
      <c r="I55" s="5"/>
      <c r="J55" s="8"/>
      <c r="K55" s="5"/>
      <c r="L55" s="8"/>
      <c r="M55" s="5"/>
      <c r="N55" s="5"/>
      <c r="O55" s="12"/>
      <c r="P55" s="12"/>
      <c r="Q55" s="21"/>
      <c r="R55" s="21"/>
      <c r="S55" s="5"/>
      <c r="T55" s="59"/>
      <c r="U55" s="5"/>
      <c r="V55" s="5"/>
      <c r="X55" s="90" t="str">
        <f>$A$4&amp;" "&amp;A56&amp;"("&amp;B56&amp;","&amp;C56&amp;"^)"</f>
        <v>평촌동 인덕원대림2차('04.11,862^)</v>
      </c>
      <c r="Y55" s="91"/>
      <c r="Z55" s="91"/>
      <c r="AA55" s="91"/>
      <c r="AB55" s="91"/>
      <c r="AC55" s="91"/>
      <c r="AD55" s="91"/>
      <c r="AE55" s="91"/>
      <c r="AF55" s="91"/>
      <c r="AG55" s="92"/>
      <c r="AI55" s="32" t="str">
        <f t="shared" si="23"/>
        <v/>
      </c>
      <c r="AJ55" s="33" t="str">
        <f t="shared" si="22"/>
        <v/>
      </c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</row>
    <row r="56" spans="1:49" x14ac:dyDescent="0.3">
      <c r="A56" s="5" t="s">
        <v>1684</v>
      </c>
      <c r="B56" s="14" t="s">
        <v>1685</v>
      </c>
      <c r="C56" s="25">
        <v>862</v>
      </c>
      <c r="D56" s="23">
        <v>79.599999999999994</v>
      </c>
      <c r="E56" s="21">
        <v>24</v>
      </c>
      <c r="F56" s="23">
        <v>59.8</v>
      </c>
      <c r="G56" s="24">
        <v>18</v>
      </c>
      <c r="H56" s="25">
        <v>157</v>
      </c>
      <c r="I56" s="29">
        <v>56000</v>
      </c>
      <c r="J56" s="106" t="s">
        <v>2024</v>
      </c>
      <c r="K56" s="29">
        <v>40000</v>
      </c>
      <c r="L56" s="106" t="s">
        <v>2027</v>
      </c>
      <c r="M56" s="6">
        <f>I56-K56</f>
        <v>16000</v>
      </c>
      <c r="N56" s="7">
        <f>IF(ISERROR(K56/I56),"",K56/I56)</f>
        <v>0.7142857142857143</v>
      </c>
      <c r="O56" s="12">
        <f>I56/E56</f>
        <v>2333.3333333333335</v>
      </c>
      <c r="P56" s="12">
        <f>K56/E56</f>
        <v>1666.6666666666667</v>
      </c>
      <c r="Q56" s="13">
        <v>3</v>
      </c>
      <c r="R56" s="13">
        <v>2</v>
      </c>
      <c r="S56" s="13" t="s">
        <v>51</v>
      </c>
      <c r="T56" s="8">
        <v>79</v>
      </c>
      <c r="U56" s="5"/>
      <c r="V56" s="5" t="s">
        <v>1686</v>
      </c>
      <c r="X56" s="23">
        <f>D56</f>
        <v>79.599999999999994</v>
      </c>
      <c r="Y56" s="21">
        <f>E56</f>
        <v>24</v>
      </c>
      <c r="Z56" s="28">
        <f>H56</f>
        <v>157</v>
      </c>
      <c r="AA56" s="6">
        <f>I56</f>
        <v>56000</v>
      </c>
      <c r="AB56" s="6">
        <f>K56</f>
        <v>40000</v>
      </c>
      <c r="AC56" s="6">
        <f t="shared" ref="AC56:AE57" si="35">M56</f>
        <v>16000</v>
      </c>
      <c r="AD56" s="7">
        <f t="shared" si="35"/>
        <v>0.7142857142857143</v>
      </c>
      <c r="AE56" s="12">
        <f t="shared" si="35"/>
        <v>2333.3333333333335</v>
      </c>
      <c r="AF56" s="13" t="str">
        <f>S56</f>
        <v>계</v>
      </c>
      <c r="AG56" s="13" t="str">
        <f>Q56&amp;"/"&amp;R56</f>
        <v>3/2</v>
      </c>
      <c r="AI56" s="32" t="str">
        <f t="shared" si="23"/>
        <v>인덕원대림2차</v>
      </c>
      <c r="AJ56" s="21">
        <f t="shared" si="22"/>
        <v>24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>X</v>
      </c>
      <c r="AQ56" s="13" t="str">
        <f>IF(I56="","",IF(I56&lt;=$AQ$1,"O","X"))</f>
        <v>X</v>
      </c>
      <c r="AR56" s="13" t="str">
        <f>IF(O56="","",IF(O56&lt;=$AR$1,"O","X"))</f>
        <v>X</v>
      </c>
      <c r="AS56" s="13" t="str">
        <f>IF(M56="","",IF(M56&lt;=$AS$1,"O","X"))</f>
        <v>X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O</v>
      </c>
      <c r="AW56" s="13" t="str">
        <f>IF(AP56="","",IF(AND(AP56="O",AQ56="O",AS56="O",AU56="O",AV56="O"),"후보","X"))</f>
        <v>X</v>
      </c>
    </row>
    <row r="57" spans="1:49" x14ac:dyDescent="0.3">
      <c r="A57" s="5" t="s">
        <v>1684</v>
      </c>
      <c r="B57" s="14" t="s">
        <v>1685</v>
      </c>
      <c r="C57" s="25">
        <v>862</v>
      </c>
      <c r="D57" s="23">
        <v>107.5</v>
      </c>
      <c r="E57" s="21">
        <v>33</v>
      </c>
      <c r="F57" s="23">
        <v>84.9</v>
      </c>
      <c r="G57" s="24">
        <v>26</v>
      </c>
      <c r="H57" s="25">
        <v>705</v>
      </c>
      <c r="I57" s="29">
        <v>70000</v>
      </c>
      <c r="J57" s="106" t="s">
        <v>2025</v>
      </c>
      <c r="K57" s="29">
        <v>50000</v>
      </c>
      <c r="L57" s="106" t="s">
        <v>2026</v>
      </c>
      <c r="M57" s="6">
        <f>I57-K57</f>
        <v>20000</v>
      </c>
      <c r="N57" s="7">
        <f>IF(ISERROR(K57/I57),"",K57/I57)</f>
        <v>0.7142857142857143</v>
      </c>
      <c r="O57" s="12">
        <f>I57/E57</f>
        <v>2121.212121212121</v>
      </c>
      <c r="P57" s="12">
        <f>K57/E57</f>
        <v>1515.1515151515152</v>
      </c>
      <c r="Q57" s="13">
        <v>3</v>
      </c>
      <c r="R57" s="13">
        <v>2</v>
      </c>
      <c r="S57" s="13" t="s">
        <v>51</v>
      </c>
      <c r="T57" s="8">
        <v>107</v>
      </c>
      <c r="U57" s="5"/>
      <c r="V57" s="5" t="s">
        <v>1687</v>
      </c>
      <c r="X57" s="23">
        <f>D57</f>
        <v>107.5</v>
      </c>
      <c r="Y57" s="21">
        <f>E57</f>
        <v>33</v>
      </c>
      <c r="Z57" s="28">
        <f>H57</f>
        <v>705</v>
      </c>
      <c r="AA57" s="6">
        <f>I57</f>
        <v>70000</v>
      </c>
      <c r="AB57" s="6">
        <f>K57</f>
        <v>50000</v>
      </c>
      <c r="AC57" s="6">
        <f t="shared" si="35"/>
        <v>20000</v>
      </c>
      <c r="AD57" s="7">
        <f t="shared" si="35"/>
        <v>0.7142857142857143</v>
      </c>
      <c r="AE57" s="12">
        <f t="shared" si="35"/>
        <v>2121.212121212121</v>
      </c>
      <c r="AF57" s="13" t="str">
        <f>S57</f>
        <v>계</v>
      </c>
      <c r="AG57" s="13" t="str">
        <f>Q57&amp;"/"&amp;R57</f>
        <v>3/2</v>
      </c>
      <c r="AI57" s="32" t="str">
        <f t="shared" si="23"/>
        <v>인덕원대림2차</v>
      </c>
      <c r="AJ57" s="21">
        <f t="shared" si="22"/>
        <v>33</v>
      </c>
      <c r="AK57" s="13" t="str">
        <f>IF(AJ57="","",$AK$2)</f>
        <v>A-</v>
      </c>
      <c r="AL57" s="13"/>
      <c r="AM57" s="13"/>
      <c r="AN57" s="13"/>
      <c r="AO57" s="13" t="str">
        <f>IF(AJ57="","",$AO$2)</f>
        <v>C</v>
      </c>
      <c r="AP57" s="13" t="str">
        <f>IF(N57="","",IF(N57&gt;=$AP$1/100,"O","X"))</f>
        <v>X</v>
      </c>
      <c r="AQ57" s="13" t="str">
        <f>IF(I57="","",IF(I57&lt;=$AQ$1,"O","X"))</f>
        <v>X</v>
      </c>
      <c r="AR57" s="13" t="str">
        <f>IF(O57="","",IF(O57&lt;=$AR$1,"O","X"))</f>
        <v>X</v>
      </c>
      <c r="AS57" s="13" t="str">
        <f>IF(M57="","",IF(M57&lt;=$AS$1,"O","X"))</f>
        <v>X</v>
      </c>
      <c r="AT57" s="13" t="s">
        <v>32</v>
      </c>
      <c r="AU57" s="13" t="str">
        <f>IF(OR(F57="",AJ57=""),"",IF(AND((F57&lt;=85),(AJ57&gt;=15)),"O","X"))</f>
        <v>O</v>
      </c>
      <c r="AV57" s="13" t="str">
        <f>IF(C57="","",IF(C57&gt;=$AV$1,"O","X"))</f>
        <v>O</v>
      </c>
      <c r="AW57" s="13" t="str">
        <f>IF(AP57="","",IF(AND(AP57="O",AQ57="O",AS57="O",AU57="O",AV57="O"),"후보","X"))</f>
        <v>X</v>
      </c>
    </row>
    <row r="58" spans="1:49" x14ac:dyDescent="0.3">
      <c r="A58" s="5"/>
      <c r="B58" s="13"/>
      <c r="C58" s="9"/>
      <c r="D58" s="5"/>
      <c r="E58" s="18"/>
      <c r="F58" s="23"/>
      <c r="G58" s="5"/>
      <c r="H58" s="5"/>
      <c r="I58" s="5"/>
      <c r="J58" s="8"/>
      <c r="K58" s="5"/>
      <c r="L58" s="8"/>
      <c r="M58" s="5"/>
      <c r="N58" s="5"/>
      <c r="O58" s="12"/>
      <c r="P58" s="12"/>
      <c r="Q58" s="21"/>
      <c r="R58" s="21"/>
      <c r="S58" s="5"/>
      <c r="T58" s="59"/>
      <c r="U58" s="5"/>
      <c r="V58" s="5"/>
      <c r="X58" s="90" t="str">
        <f>$A$4&amp;" "&amp;A59&amp;"("&amp;B59&amp;","&amp;C59&amp;"^)"</f>
        <v>평촌동 삼성래미안('00.05,535^)</v>
      </c>
      <c r="Y58" s="91"/>
      <c r="Z58" s="91"/>
      <c r="AA58" s="91"/>
      <c r="AB58" s="91"/>
      <c r="AC58" s="91"/>
      <c r="AD58" s="91"/>
      <c r="AE58" s="91"/>
      <c r="AF58" s="91"/>
      <c r="AG58" s="92"/>
      <c r="AI58" s="32" t="str">
        <f t="shared" si="23"/>
        <v/>
      </c>
      <c r="AJ58" s="33" t="str">
        <f t="shared" si="22"/>
        <v/>
      </c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</row>
    <row r="59" spans="1:49" x14ac:dyDescent="0.3">
      <c r="A59" s="5" t="s">
        <v>1688</v>
      </c>
      <c r="B59" s="14" t="s">
        <v>1689</v>
      </c>
      <c r="C59" s="25">
        <v>535</v>
      </c>
      <c r="D59" s="23">
        <v>81.8</v>
      </c>
      <c r="E59" s="21">
        <v>25</v>
      </c>
      <c r="F59" s="23">
        <v>59.6</v>
      </c>
      <c r="G59" s="24">
        <v>18</v>
      </c>
      <c r="H59" s="25">
        <v>22</v>
      </c>
      <c r="I59" s="29"/>
      <c r="J59" s="106"/>
      <c r="K59" s="29"/>
      <c r="L59" s="106"/>
      <c r="M59" s="6">
        <f>I59-K59</f>
        <v>0</v>
      </c>
      <c r="N59" s="7" t="str">
        <f>IF(ISERROR(K59/I59),"",K59/I59)</f>
        <v/>
      </c>
      <c r="O59" s="12">
        <f>I59/E59</f>
        <v>0</v>
      </c>
      <c r="P59" s="12">
        <f>K59/E59</f>
        <v>0</v>
      </c>
      <c r="Q59" s="13">
        <v>3</v>
      </c>
      <c r="R59" s="13">
        <v>1</v>
      </c>
      <c r="S59" s="13" t="s">
        <v>51</v>
      </c>
      <c r="T59" s="8" t="s">
        <v>1690</v>
      </c>
      <c r="U59" s="5"/>
      <c r="V59" s="5" t="s">
        <v>1691</v>
      </c>
      <c r="X59" s="23">
        <f t="shared" ref="X59:Y62" si="36">D59</f>
        <v>81.8</v>
      </c>
      <c r="Y59" s="21">
        <f t="shared" si="36"/>
        <v>25</v>
      </c>
      <c r="Z59" s="28">
        <f t="shared" ref="Z59:AA62" si="37">H59</f>
        <v>22</v>
      </c>
      <c r="AA59" s="6">
        <f t="shared" si="37"/>
        <v>0</v>
      </c>
      <c r="AB59" s="6">
        <f>K59</f>
        <v>0</v>
      </c>
      <c r="AC59" s="6">
        <f t="shared" ref="AC59:AE62" si="38">M59</f>
        <v>0</v>
      </c>
      <c r="AD59" s="7" t="str">
        <f t="shared" si="38"/>
        <v/>
      </c>
      <c r="AE59" s="12">
        <f t="shared" si="38"/>
        <v>0</v>
      </c>
      <c r="AF59" s="13" t="str">
        <f>S59</f>
        <v>계</v>
      </c>
      <c r="AG59" s="13" t="str">
        <f>Q59&amp;"/"&amp;R59</f>
        <v>3/1</v>
      </c>
      <c r="AI59" s="32" t="str">
        <f t="shared" si="23"/>
        <v>삼성래미안</v>
      </c>
      <c r="AJ59" s="21">
        <f t="shared" si="22"/>
        <v>25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/>
      </c>
      <c r="AQ59" s="13" t="str">
        <f>IF(I59="","",IF(I59&lt;=$AQ$1,"O","X"))</f>
        <v/>
      </c>
      <c r="AR59" s="13" t="str">
        <f>IF(O59="","",IF(O59&lt;=$AR$1,"O","X"))</f>
        <v>O</v>
      </c>
      <c r="AS59" s="13" t="str">
        <f>IF(M59="","",IF(M59&lt;=$AS$1,"O","X"))</f>
        <v>O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/>
      </c>
    </row>
    <row r="60" spans="1:49" x14ac:dyDescent="0.3">
      <c r="A60" s="5" t="s">
        <v>1688</v>
      </c>
      <c r="B60" s="14" t="s">
        <v>1689</v>
      </c>
      <c r="C60" s="25">
        <v>535</v>
      </c>
      <c r="D60" s="23">
        <v>82</v>
      </c>
      <c r="E60" s="21">
        <v>25</v>
      </c>
      <c r="F60" s="23">
        <v>59.8</v>
      </c>
      <c r="G60" s="24">
        <v>18</v>
      </c>
      <c r="H60" s="25">
        <v>112</v>
      </c>
      <c r="I60" s="29">
        <v>61000</v>
      </c>
      <c r="J60" s="106" t="s">
        <v>2028</v>
      </c>
      <c r="K60" s="29">
        <v>36000</v>
      </c>
      <c r="L60" s="106" t="s">
        <v>2029</v>
      </c>
      <c r="M60" s="6">
        <f>I60-K60</f>
        <v>25000</v>
      </c>
      <c r="N60" s="7">
        <f>IF(ISERROR(K60/I60),"",K60/I60)</f>
        <v>0.5901639344262295</v>
      </c>
      <c r="O60" s="12">
        <f>I60/E60</f>
        <v>2440</v>
      </c>
      <c r="P60" s="12">
        <f>K60/E60</f>
        <v>1440</v>
      </c>
      <c r="Q60" s="13">
        <v>3</v>
      </c>
      <c r="R60" s="13">
        <v>1</v>
      </c>
      <c r="S60" s="13" t="s">
        <v>51</v>
      </c>
      <c r="T60" s="8" t="s">
        <v>1692</v>
      </c>
      <c r="U60" s="5"/>
      <c r="V60" s="5" t="s">
        <v>1691</v>
      </c>
      <c r="X60" s="23">
        <f t="shared" si="36"/>
        <v>82</v>
      </c>
      <c r="Y60" s="21">
        <f t="shared" si="36"/>
        <v>25</v>
      </c>
      <c r="Z60" s="28">
        <f t="shared" si="37"/>
        <v>112</v>
      </c>
      <c r="AA60" s="6">
        <f t="shared" si="37"/>
        <v>61000</v>
      </c>
      <c r="AB60" s="6">
        <f>K60</f>
        <v>36000</v>
      </c>
      <c r="AC60" s="6">
        <f t="shared" si="38"/>
        <v>25000</v>
      </c>
      <c r="AD60" s="7">
        <f t="shared" si="38"/>
        <v>0.5901639344262295</v>
      </c>
      <c r="AE60" s="12">
        <f t="shared" si="38"/>
        <v>2440</v>
      </c>
      <c r="AF60" s="13" t="str">
        <f>S60</f>
        <v>계</v>
      </c>
      <c r="AG60" s="13" t="str">
        <f>Q60&amp;"/"&amp;R60</f>
        <v>3/1</v>
      </c>
      <c r="AI60" s="32" t="str">
        <f t="shared" si="23"/>
        <v>삼성래미안</v>
      </c>
      <c r="AJ60" s="21">
        <f t="shared" si="22"/>
        <v>25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>X</v>
      </c>
      <c r="AQ60" s="13" t="str">
        <f>IF(I60="","",IF(I60&lt;=$AQ$1,"O","X"))</f>
        <v>X</v>
      </c>
      <c r="AR60" s="13" t="str">
        <f>IF(O60="","",IF(O60&lt;=$AR$1,"O","X"))</f>
        <v>X</v>
      </c>
      <c r="AS60" s="13" t="str">
        <f>IF(M60="","",IF(M60&lt;=$AS$1,"O","X"))</f>
        <v>X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>X</v>
      </c>
    </row>
    <row r="61" spans="1:49" x14ac:dyDescent="0.3">
      <c r="A61" s="5" t="s">
        <v>1688</v>
      </c>
      <c r="B61" s="14" t="s">
        <v>1689</v>
      </c>
      <c r="C61" s="25">
        <v>535</v>
      </c>
      <c r="D61" s="23">
        <v>109.7</v>
      </c>
      <c r="E61" s="21">
        <v>33</v>
      </c>
      <c r="F61" s="23">
        <v>85</v>
      </c>
      <c r="G61" s="24">
        <v>26</v>
      </c>
      <c r="H61" s="25">
        <v>316</v>
      </c>
      <c r="I61" s="29">
        <v>65000</v>
      </c>
      <c r="J61" s="106" t="s">
        <v>2031</v>
      </c>
      <c r="K61" s="29">
        <v>38000</v>
      </c>
      <c r="L61" s="106" t="s">
        <v>2030</v>
      </c>
      <c r="M61" s="6">
        <f>I61-K61</f>
        <v>27000</v>
      </c>
      <c r="N61" s="7">
        <f>IF(ISERROR(K61/I61),"",K61/I61)</f>
        <v>0.58461538461538465</v>
      </c>
      <c r="O61" s="12">
        <f>I61/E61</f>
        <v>1969.6969696969697</v>
      </c>
      <c r="P61" s="12">
        <f>K61/E61</f>
        <v>1151.5151515151515</v>
      </c>
      <c r="Q61" s="13">
        <v>3</v>
      </c>
      <c r="R61" s="13">
        <v>2</v>
      </c>
      <c r="S61" s="13" t="s">
        <v>51</v>
      </c>
      <c r="T61" s="8" t="s">
        <v>1693</v>
      </c>
      <c r="U61" s="5"/>
      <c r="V61" s="5" t="s">
        <v>1694</v>
      </c>
      <c r="X61" s="23">
        <f t="shared" si="36"/>
        <v>109.7</v>
      </c>
      <c r="Y61" s="21">
        <f t="shared" si="36"/>
        <v>33</v>
      </c>
      <c r="Z61" s="28">
        <f t="shared" si="37"/>
        <v>316</v>
      </c>
      <c r="AA61" s="6">
        <f t="shared" si="37"/>
        <v>65000</v>
      </c>
      <c r="AB61" s="6">
        <f>K61</f>
        <v>38000</v>
      </c>
      <c r="AC61" s="6">
        <f t="shared" si="38"/>
        <v>27000</v>
      </c>
      <c r="AD61" s="7">
        <f t="shared" si="38"/>
        <v>0.58461538461538465</v>
      </c>
      <c r="AE61" s="12">
        <f t="shared" si="38"/>
        <v>1969.6969696969697</v>
      </c>
      <c r="AF61" s="13" t="str">
        <f>S61</f>
        <v>계</v>
      </c>
      <c r="AG61" s="13" t="str">
        <f>Q61&amp;"/"&amp;R61</f>
        <v>3/2</v>
      </c>
      <c r="AI61" s="32" t="str">
        <f t="shared" si="23"/>
        <v>삼성래미안</v>
      </c>
      <c r="AJ61" s="21">
        <f t="shared" si="22"/>
        <v>33</v>
      </c>
      <c r="AK61" s="13" t="str">
        <f>IF(AJ61="","",$AK$2)</f>
        <v>A-</v>
      </c>
      <c r="AL61" s="13"/>
      <c r="AM61" s="13"/>
      <c r="AN61" s="13"/>
      <c r="AO61" s="13" t="str">
        <f>IF(AJ61="","",$AO$2)</f>
        <v>C</v>
      </c>
      <c r="AP61" s="13" t="str">
        <f>IF(N61="","",IF(N61&gt;=$AP$1/100,"O","X"))</f>
        <v>X</v>
      </c>
      <c r="AQ61" s="13" t="str">
        <f>IF(I61="","",IF(I61&lt;=$AQ$1,"O","X"))</f>
        <v>X</v>
      </c>
      <c r="AR61" s="13" t="str">
        <f>IF(O61="","",IF(O61&lt;=$AR$1,"O","X"))</f>
        <v>X</v>
      </c>
      <c r="AS61" s="13" t="str">
        <f>IF(M61="","",IF(M61&lt;=$AS$1,"O","X"))</f>
        <v>X</v>
      </c>
      <c r="AT61" s="13" t="s">
        <v>32</v>
      </c>
      <c r="AU61" s="13" t="str">
        <f>IF(OR(F61="",AJ61=""),"",IF(AND((F61&lt;=85),(AJ61&gt;=15)),"O","X"))</f>
        <v>O</v>
      </c>
      <c r="AV61" s="13" t="str">
        <f>IF(C61="","",IF(C61&gt;=$AV$1,"O","X"))</f>
        <v>O</v>
      </c>
      <c r="AW61" s="13" t="str">
        <f>IF(AP61="","",IF(AND(AP61="O",AQ61="O",AS61="O",AU61="O",AV61="O"),"후보","X"))</f>
        <v>X</v>
      </c>
    </row>
    <row r="62" spans="1:49" x14ac:dyDescent="0.3">
      <c r="A62" s="5" t="s">
        <v>1688</v>
      </c>
      <c r="B62" s="14" t="s">
        <v>1689</v>
      </c>
      <c r="C62" s="25">
        <v>535</v>
      </c>
      <c r="D62" s="23">
        <v>109.5</v>
      </c>
      <c r="E62" s="21">
        <v>33</v>
      </c>
      <c r="F62" s="23">
        <v>84.8</v>
      </c>
      <c r="G62" s="24">
        <v>26</v>
      </c>
      <c r="H62" s="25">
        <v>85</v>
      </c>
      <c r="I62" s="29">
        <v>70000</v>
      </c>
      <c r="J62" s="106" t="s">
        <v>2004</v>
      </c>
      <c r="K62" s="29">
        <v>40000</v>
      </c>
      <c r="L62" s="106" t="s">
        <v>2004</v>
      </c>
      <c r="M62" s="6">
        <f>I62-K62</f>
        <v>30000</v>
      </c>
      <c r="N62" s="7">
        <f>IF(ISERROR(K62/I62),"",K62/I62)</f>
        <v>0.5714285714285714</v>
      </c>
      <c r="O62" s="12">
        <f>I62/E62</f>
        <v>2121.212121212121</v>
      </c>
      <c r="P62" s="12">
        <f>K62/E62</f>
        <v>1212.121212121212</v>
      </c>
      <c r="Q62" s="13">
        <v>3</v>
      </c>
      <c r="R62" s="13">
        <v>2</v>
      </c>
      <c r="S62" s="13" t="s">
        <v>51</v>
      </c>
      <c r="T62" s="8" t="s">
        <v>1695</v>
      </c>
      <c r="U62" s="5"/>
      <c r="V62" s="5" t="s">
        <v>1694</v>
      </c>
      <c r="X62" s="23">
        <f t="shared" si="36"/>
        <v>109.5</v>
      </c>
      <c r="Y62" s="21">
        <f t="shared" si="36"/>
        <v>33</v>
      </c>
      <c r="Z62" s="28">
        <f t="shared" si="37"/>
        <v>85</v>
      </c>
      <c r="AA62" s="6">
        <f t="shared" si="37"/>
        <v>70000</v>
      </c>
      <c r="AB62" s="6">
        <f>K62</f>
        <v>40000</v>
      </c>
      <c r="AC62" s="6">
        <f t="shared" si="38"/>
        <v>30000</v>
      </c>
      <c r="AD62" s="7">
        <f t="shared" si="38"/>
        <v>0.5714285714285714</v>
      </c>
      <c r="AE62" s="12">
        <f t="shared" si="38"/>
        <v>2121.212121212121</v>
      </c>
      <c r="AF62" s="13" t="str">
        <f>S62</f>
        <v>계</v>
      </c>
      <c r="AG62" s="13" t="str">
        <f>Q62&amp;"/"&amp;R62</f>
        <v>3/2</v>
      </c>
      <c r="AI62" s="32" t="str">
        <f t="shared" si="23"/>
        <v>삼성래미안</v>
      </c>
      <c r="AJ62" s="21">
        <f t="shared" si="22"/>
        <v>33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>X</v>
      </c>
      <c r="AQ62" s="13" t="str">
        <f>IF(I62="","",IF(I62&lt;=$AQ$1,"O","X"))</f>
        <v>X</v>
      </c>
      <c r="AR62" s="13" t="str">
        <f>IF(O62="","",IF(O62&lt;=$AR$1,"O","X"))</f>
        <v>X</v>
      </c>
      <c r="AS62" s="13" t="str">
        <f>IF(M62="","",IF(M62&lt;=$AS$1,"O","X"))</f>
        <v>X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>X</v>
      </c>
    </row>
    <row r="63" spans="1:49" x14ac:dyDescent="0.3">
      <c r="A63" s="5"/>
      <c r="B63" s="13"/>
      <c r="C63" s="9"/>
      <c r="D63" s="5"/>
      <c r="E63" s="18"/>
      <c r="F63" s="23"/>
      <c r="G63" s="5"/>
      <c r="H63" s="5"/>
      <c r="I63" s="5"/>
      <c r="J63" s="8"/>
      <c r="K63" s="5"/>
      <c r="L63" s="8"/>
      <c r="M63" s="5"/>
      <c r="N63" s="5"/>
      <c r="O63" s="12"/>
      <c r="P63" s="12"/>
      <c r="Q63" s="21"/>
      <c r="R63" s="21"/>
      <c r="S63" s="5"/>
      <c r="T63" s="59"/>
      <c r="U63" s="5"/>
      <c r="V63" s="5"/>
      <c r="X63" s="90" t="str">
        <f>$A$4&amp;" "&amp;A64&amp;"("&amp;B64&amp;","&amp;C64&amp;"^)"</f>
        <v>평촌동 초원8단지세경('96.07,709^)</v>
      </c>
      <c r="Y63" s="91"/>
      <c r="Z63" s="91"/>
      <c r="AA63" s="91"/>
      <c r="AB63" s="91"/>
      <c r="AC63" s="91"/>
      <c r="AD63" s="91"/>
      <c r="AE63" s="91"/>
      <c r="AF63" s="91"/>
      <c r="AG63" s="92"/>
      <c r="AI63" s="32" t="str">
        <f t="shared" si="23"/>
        <v/>
      </c>
      <c r="AJ63" s="33" t="str">
        <f t="shared" si="22"/>
        <v/>
      </c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</row>
    <row r="64" spans="1:49" x14ac:dyDescent="0.3">
      <c r="A64" s="5" t="s">
        <v>1696</v>
      </c>
      <c r="B64" s="14" t="s">
        <v>1697</v>
      </c>
      <c r="C64" s="25">
        <v>709</v>
      </c>
      <c r="D64" s="23">
        <v>64.099999999999994</v>
      </c>
      <c r="E64" s="21">
        <v>19</v>
      </c>
      <c r="F64" s="23">
        <v>49.7</v>
      </c>
      <c r="G64" s="24">
        <v>15</v>
      </c>
      <c r="H64" s="25">
        <v>709</v>
      </c>
      <c r="I64" s="29">
        <v>53000</v>
      </c>
      <c r="J64" s="106" t="s">
        <v>2032</v>
      </c>
      <c r="K64" s="29">
        <v>32000</v>
      </c>
      <c r="L64" s="106" t="s">
        <v>2033</v>
      </c>
      <c r="M64" s="6">
        <f>I64-K64</f>
        <v>21000</v>
      </c>
      <c r="N64" s="7">
        <f>IF(ISERROR(K64/I64),"",K64/I64)</f>
        <v>0.60377358490566035</v>
      </c>
      <c r="O64" s="12">
        <f>I64/E64</f>
        <v>2789.4736842105262</v>
      </c>
      <c r="P64" s="12">
        <f>K64/E64</f>
        <v>1684.2105263157894</v>
      </c>
      <c r="Q64" s="13">
        <v>2</v>
      </c>
      <c r="R64" s="13">
        <v>1</v>
      </c>
      <c r="S64" s="13" t="s">
        <v>1356</v>
      </c>
      <c r="T64" s="8">
        <v>64</v>
      </c>
      <c r="U64" s="5"/>
      <c r="V64" s="5" t="s">
        <v>1698</v>
      </c>
      <c r="X64" s="23">
        <f>D64</f>
        <v>64.099999999999994</v>
      </c>
      <c r="Y64" s="21">
        <f>E64</f>
        <v>19</v>
      </c>
      <c r="Z64" s="28">
        <f>H64</f>
        <v>709</v>
      </c>
      <c r="AA64" s="6">
        <f>I64</f>
        <v>53000</v>
      </c>
      <c r="AB64" s="6">
        <f>K64</f>
        <v>32000</v>
      </c>
      <c r="AC64" s="6">
        <f>M64</f>
        <v>21000</v>
      </c>
      <c r="AD64" s="7">
        <f>N64</f>
        <v>0.60377358490566035</v>
      </c>
      <c r="AE64" s="12">
        <f>O64</f>
        <v>2789.4736842105262</v>
      </c>
      <c r="AF64" s="13" t="str">
        <f>S64</f>
        <v>복</v>
      </c>
      <c r="AG64" s="13" t="str">
        <f>Q64&amp;"/"&amp;R64</f>
        <v>2/1</v>
      </c>
      <c r="AI64" s="32" t="str">
        <f t="shared" si="23"/>
        <v>초원8단지세경</v>
      </c>
      <c r="AJ64" s="21">
        <f t="shared" si="22"/>
        <v>19</v>
      </c>
      <c r="AK64" s="13" t="str">
        <f>IF(AJ64="","",$AK$2)</f>
        <v>A-</v>
      </c>
      <c r="AL64" s="13"/>
      <c r="AM64" s="13"/>
      <c r="AN64" s="13"/>
      <c r="AO64" s="13" t="str">
        <f>IF(AJ64="","",$AO$2)</f>
        <v>C</v>
      </c>
      <c r="AP64" s="13" t="str">
        <f>IF(N64="","",IF(N64&gt;=$AP$1/100,"O","X"))</f>
        <v>X</v>
      </c>
      <c r="AQ64" s="13" t="str">
        <f>IF(I64="","",IF(I64&lt;=$AQ$1,"O","X"))</f>
        <v>X</v>
      </c>
      <c r="AR64" s="13" t="str">
        <f>IF(O64="","",IF(O64&lt;=$AR$1,"O","X"))</f>
        <v>X</v>
      </c>
      <c r="AS64" s="13" t="str">
        <f>IF(M64="","",IF(M64&lt;=$AS$1,"O","X"))</f>
        <v>X</v>
      </c>
      <c r="AT64" s="13" t="s">
        <v>32</v>
      </c>
      <c r="AU64" s="13" t="str">
        <f>IF(OR(F64="",AJ64=""),"",IF(AND((F64&lt;=85),(AJ64&gt;=15)),"O","X"))</f>
        <v>O</v>
      </c>
      <c r="AV64" s="13" t="str">
        <f>IF(C64="","",IF(C64&gt;=$AV$1,"O","X"))</f>
        <v>O</v>
      </c>
      <c r="AW64" s="13" t="str">
        <f>IF(AP64="","",IF(AND(AP64="O",AQ64="O",AS64="O",AU64="O",AV64="O"),"후보","X"))</f>
        <v>X</v>
      </c>
    </row>
    <row r="65" spans="1:49" x14ac:dyDescent="0.3">
      <c r="A65" s="5"/>
      <c r="B65" s="13"/>
      <c r="C65" s="9"/>
      <c r="D65" s="5"/>
      <c r="E65" s="18"/>
      <c r="F65" s="23"/>
      <c r="G65" s="5"/>
      <c r="H65" s="5"/>
      <c r="I65" s="5"/>
      <c r="J65" s="8"/>
      <c r="K65" s="5"/>
      <c r="L65" s="8"/>
      <c r="M65" s="5"/>
      <c r="N65" s="5"/>
      <c r="O65" s="12"/>
      <c r="P65" s="12"/>
      <c r="Q65" s="21"/>
      <c r="R65" s="21"/>
      <c r="S65" s="5"/>
      <c r="T65" s="59"/>
      <c r="U65" s="5"/>
      <c r="V65" s="5"/>
      <c r="X65" s="90" t="str">
        <f>$A$4&amp;" "&amp;A66&amp;"("&amp;B66&amp;","&amp;C66&amp;"^)"</f>
        <v>평촌동 향촌롯데('93.03,530^)</v>
      </c>
      <c r="Y65" s="91"/>
      <c r="Z65" s="91"/>
      <c r="AA65" s="91"/>
      <c r="AB65" s="91"/>
      <c r="AC65" s="91"/>
      <c r="AD65" s="91"/>
      <c r="AE65" s="91"/>
      <c r="AF65" s="91"/>
      <c r="AG65" s="92"/>
      <c r="AI65" s="32" t="str">
        <f t="shared" si="23"/>
        <v/>
      </c>
      <c r="AJ65" s="33" t="str">
        <f t="shared" si="22"/>
        <v/>
      </c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</row>
    <row r="66" spans="1:49" x14ac:dyDescent="0.3">
      <c r="A66" s="5" t="s">
        <v>1699</v>
      </c>
      <c r="B66" s="14" t="s">
        <v>1409</v>
      </c>
      <c r="C66" s="25">
        <v>530</v>
      </c>
      <c r="D66" s="23">
        <v>77.2</v>
      </c>
      <c r="E66" s="21">
        <v>23</v>
      </c>
      <c r="F66" s="23">
        <v>59.8</v>
      </c>
      <c r="G66" s="24">
        <v>18</v>
      </c>
      <c r="H66" s="25">
        <v>188</v>
      </c>
      <c r="I66" s="29">
        <v>67000</v>
      </c>
      <c r="J66" s="106" t="s">
        <v>1979</v>
      </c>
      <c r="K66" s="29">
        <v>40000</v>
      </c>
      <c r="L66" s="106" t="s">
        <v>2001</v>
      </c>
      <c r="M66" s="6">
        <f>I66-K66</f>
        <v>27000</v>
      </c>
      <c r="N66" s="7">
        <f>IF(ISERROR(K66/I66),"",K66/I66)</f>
        <v>0.59701492537313428</v>
      </c>
      <c r="O66" s="12">
        <f>I66/E66</f>
        <v>2913.0434782608695</v>
      </c>
      <c r="P66" s="12">
        <f>K66/E66</f>
        <v>1739.1304347826087</v>
      </c>
      <c r="Q66" s="13">
        <v>2</v>
      </c>
      <c r="R66" s="13">
        <v>1</v>
      </c>
      <c r="S66" s="13" t="s">
        <v>51</v>
      </c>
      <c r="T66" s="8">
        <v>77</v>
      </c>
      <c r="U66" s="5"/>
      <c r="V66" s="5" t="s">
        <v>1700</v>
      </c>
      <c r="X66" s="23">
        <f t="shared" ref="X66:Y68" si="39">D66</f>
        <v>77.2</v>
      </c>
      <c r="Y66" s="21">
        <f t="shared" si="39"/>
        <v>23</v>
      </c>
      <c r="Z66" s="28">
        <f t="shared" ref="Z66:AA68" si="40">H66</f>
        <v>188</v>
      </c>
      <c r="AA66" s="6">
        <f t="shared" si="40"/>
        <v>67000</v>
      </c>
      <c r="AB66" s="6">
        <f>K66</f>
        <v>40000</v>
      </c>
      <c r="AC66" s="6">
        <f t="shared" ref="AC66:AE68" si="41">M66</f>
        <v>27000</v>
      </c>
      <c r="AD66" s="7">
        <f t="shared" si="41"/>
        <v>0.59701492537313428</v>
      </c>
      <c r="AE66" s="12">
        <f t="shared" si="41"/>
        <v>2913.0434782608695</v>
      </c>
      <c r="AF66" s="13" t="str">
        <f>S66</f>
        <v>계</v>
      </c>
      <c r="AG66" s="13" t="str">
        <f>Q66&amp;"/"&amp;R66</f>
        <v>2/1</v>
      </c>
      <c r="AI66" s="32" t="str">
        <f t="shared" si="23"/>
        <v>향촌롯데</v>
      </c>
      <c r="AJ66" s="21">
        <f t="shared" si="22"/>
        <v>23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>X</v>
      </c>
      <c r="AQ66" s="13" t="str">
        <f>IF(I66="","",IF(I66&lt;=$AQ$1,"O","X"))</f>
        <v>X</v>
      </c>
      <c r="AR66" s="13" t="str">
        <f>IF(O66="","",IF(O66&lt;=$AR$1,"O","X"))</f>
        <v>X</v>
      </c>
      <c r="AS66" s="13" t="str">
        <f>IF(M66="","",IF(M66&lt;=$AS$1,"O","X"))</f>
        <v>X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>X</v>
      </c>
    </row>
    <row r="67" spans="1:49" x14ac:dyDescent="0.3">
      <c r="A67" s="5" t="s">
        <v>1699</v>
      </c>
      <c r="B67" s="14" t="s">
        <v>1409</v>
      </c>
      <c r="C67" s="25">
        <v>530</v>
      </c>
      <c r="D67" s="23">
        <v>80.7</v>
      </c>
      <c r="E67" s="21">
        <v>24</v>
      </c>
      <c r="F67" s="23">
        <v>62.2</v>
      </c>
      <c r="G67" s="24">
        <v>19</v>
      </c>
      <c r="H67" s="25">
        <v>2</v>
      </c>
      <c r="I67" s="29">
        <v>83250</v>
      </c>
      <c r="J67" s="106"/>
      <c r="K67" s="29">
        <v>41500</v>
      </c>
      <c r="L67" s="106" t="s">
        <v>2000</v>
      </c>
      <c r="M67" s="6">
        <f>I67-K67</f>
        <v>41750</v>
      </c>
      <c r="N67" s="7">
        <f>IF(ISERROR(K67/I67),"",K67/I67)</f>
        <v>0.49849849849849848</v>
      </c>
      <c r="O67" s="12">
        <f>I67/E67</f>
        <v>3468.75</v>
      </c>
      <c r="P67" s="12">
        <f>K67/E67</f>
        <v>1729.1666666666667</v>
      </c>
      <c r="Q67" s="13">
        <v>2</v>
      </c>
      <c r="R67" s="13">
        <v>1</v>
      </c>
      <c r="S67" s="13" t="s">
        <v>51</v>
      </c>
      <c r="T67" s="8">
        <v>80</v>
      </c>
      <c r="U67" s="5"/>
      <c r="V67" s="5" t="s">
        <v>1701</v>
      </c>
      <c r="X67" s="23">
        <f t="shared" si="39"/>
        <v>80.7</v>
      </c>
      <c r="Y67" s="21">
        <f t="shared" si="39"/>
        <v>24</v>
      </c>
      <c r="Z67" s="28">
        <f t="shared" si="40"/>
        <v>2</v>
      </c>
      <c r="AA67" s="6">
        <f t="shared" si="40"/>
        <v>83250</v>
      </c>
      <c r="AB67" s="6">
        <f>K67</f>
        <v>41500</v>
      </c>
      <c r="AC67" s="6">
        <f t="shared" si="41"/>
        <v>41750</v>
      </c>
      <c r="AD67" s="7">
        <f t="shared" si="41"/>
        <v>0.49849849849849848</v>
      </c>
      <c r="AE67" s="12">
        <f t="shared" si="41"/>
        <v>3468.75</v>
      </c>
      <c r="AF67" s="13" t="str">
        <f>S67</f>
        <v>계</v>
      </c>
      <c r="AG67" s="13" t="str">
        <f>Q67&amp;"/"&amp;R67</f>
        <v>2/1</v>
      </c>
      <c r="AI67" s="32" t="str">
        <f t="shared" si="23"/>
        <v>향촌롯데</v>
      </c>
      <c r="AJ67" s="21">
        <f t="shared" ref="AJ67:AJ89" si="42">IF(E67="","",E67)</f>
        <v>24</v>
      </c>
      <c r="AK67" s="13" t="str">
        <f>IF(AJ67="","",$AK$2)</f>
        <v>A-</v>
      </c>
      <c r="AL67" s="13"/>
      <c r="AM67" s="13"/>
      <c r="AN67" s="13"/>
      <c r="AO67" s="13" t="str">
        <f>IF(AJ67="","",$AO$2)</f>
        <v>C</v>
      </c>
      <c r="AP67" s="13" t="str">
        <f>IF(N67="","",IF(N67&gt;=$AP$1/100,"O","X"))</f>
        <v>X</v>
      </c>
      <c r="AQ67" s="13" t="str">
        <f>IF(I67="","",IF(I67&lt;=$AQ$1,"O","X"))</f>
        <v>X</v>
      </c>
      <c r="AR67" s="13" t="str">
        <f>IF(O67="","",IF(O67&lt;=$AR$1,"O","X"))</f>
        <v>X</v>
      </c>
      <c r="AS67" s="13" t="str">
        <f>IF(M67="","",IF(M67&lt;=$AS$1,"O","X"))</f>
        <v>X</v>
      </c>
      <c r="AT67" s="13" t="s">
        <v>32</v>
      </c>
      <c r="AU67" s="13" t="str">
        <f>IF(OR(F67="",AJ67=""),"",IF(AND((F67&lt;=85),(AJ67&gt;=15)),"O","X"))</f>
        <v>O</v>
      </c>
      <c r="AV67" s="13" t="str">
        <f>IF(C67="","",IF(C67&gt;=$AV$1,"O","X"))</f>
        <v>O</v>
      </c>
      <c r="AW67" s="13" t="str">
        <f>IF(AP67="","",IF(AND(AP67="O",AQ67="O",AS67="O",AU67="O",AV67="O"),"후보","X"))</f>
        <v>X</v>
      </c>
    </row>
    <row r="68" spans="1:49" x14ac:dyDescent="0.3">
      <c r="A68" s="5" t="s">
        <v>1699</v>
      </c>
      <c r="B68" s="14" t="s">
        <v>1409</v>
      </c>
      <c r="C68" s="25">
        <v>530</v>
      </c>
      <c r="D68" s="23">
        <v>110.1</v>
      </c>
      <c r="E68" s="21">
        <v>33</v>
      </c>
      <c r="F68" s="23">
        <v>84.8</v>
      </c>
      <c r="G68" s="24">
        <v>26</v>
      </c>
      <c r="H68" s="25">
        <v>340</v>
      </c>
      <c r="I68" s="29">
        <v>110000</v>
      </c>
      <c r="J68" s="106" t="s">
        <v>1972</v>
      </c>
      <c r="K68" s="29">
        <v>85000</v>
      </c>
      <c r="L68" s="106" t="s">
        <v>2034</v>
      </c>
      <c r="M68" s="6">
        <f>I68-K68</f>
        <v>25000</v>
      </c>
      <c r="N68" s="7">
        <f>IF(ISERROR(K68/I68),"",K68/I68)</f>
        <v>0.77272727272727271</v>
      </c>
      <c r="O68" s="12">
        <f>I68/E68</f>
        <v>3333.3333333333335</v>
      </c>
      <c r="P68" s="12">
        <f>K68/E68</f>
        <v>2575.757575757576</v>
      </c>
      <c r="Q68" s="13">
        <v>3</v>
      </c>
      <c r="R68" s="13">
        <v>2</v>
      </c>
      <c r="S68" s="13" t="s">
        <v>51</v>
      </c>
      <c r="T68" s="8">
        <v>110</v>
      </c>
      <c r="U68" s="5"/>
      <c r="V68" s="5" t="s">
        <v>1702</v>
      </c>
      <c r="X68" s="23">
        <f t="shared" si="39"/>
        <v>110.1</v>
      </c>
      <c r="Y68" s="21">
        <f t="shared" si="39"/>
        <v>33</v>
      </c>
      <c r="Z68" s="28">
        <f t="shared" si="40"/>
        <v>340</v>
      </c>
      <c r="AA68" s="6">
        <f t="shared" si="40"/>
        <v>110000</v>
      </c>
      <c r="AB68" s="6">
        <f>K68</f>
        <v>85000</v>
      </c>
      <c r="AC68" s="6">
        <f t="shared" si="41"/>
        <v>25000</v>
      </c>
      <c r="AD68" s="7">
        <f t="shared" si="41"/>
        <v>0.77272727272727271</v>
      </c>
      <c r="AE68" s="12">
        <f t="shared" si="41"/>
        <v>3333.3333333333335</v>
      </c>
      <c r="AF68" s="13" t="str">
        <f>S68</f>
        <v>계</v>
      </c>
      <c r="AG68" s="13" t="str">
        <f>Q68&amp;"/"&amp;R68</f>
        <v>3/2</v>
      </c>
      <c r="AI68" s="32" t="str">
        <f t="shared" si="23"/>
        <v>향촌롯데</v>
      </c>
      <c r="AJ68" s="21">
        <f t="shared" si="42"/>
        <v>33</v>
      </c>
      <c r="AK68" s="13" t="str">
        <f>IF(AJ68="","",$AK$2)</f>
        <v>A-</v>
      </c>
      <c r="AL68" s="13"/>
      <c r="AM68" s="13"/>
      <c r="AN68" s="13"/>
      <c r="AO68" s="13" t="str">
        <f>IF(AJ68="","",$AO$2)</f>
        <v>C</v>
      </c>
      <c r="AP68" s="13" t="str">
        <f>IF(N68="","",IF(N68&gt;=$AP$1/100,"O","X"))</f>
        <v>X</v>
      </c>
      <c r="AQ68" s="13" t="str">
        <f>IF(I68="","",IF(I68&lt;=$AQ$1,"O","X"))</f>
        <v>X</v>
      </c>
      <c r="AR68" s="13" t="str">
        <f>IF(O68="","",IF(O68&lt;=$AR$1,"O","X"))</f>
        <v>X</v>
      </c>
      <c r="AS68" s="13" t="str">
        <f>IF(M68="","",IF(M68&lt;=$AS$1,"O","X"))</f>
        <v>X</v>
      </c>
      <c r="AT68" s="13" t="s">
        <v>32</v>
      </c>
      <c r="AU68" s="13" t="str">
        <f>IF(OR(F68="",AJ68=""),"",IF(AND((F68&lt;=85),(AJ68&gt;=15)),"O","X"))</f>
        <v>O</v>
      </c>
      <c r="AV68" s="13" t="str">
        <f>IF(C68="","",IF(C68&gt;=$AV$1,"O","X"))</f>
        <v>O</v>
      </c>
      <c r="AW68" s="13" t="str">
        <f>IF(AP68="","",IF(AND(AP68="O",AQ68="O",AS68="O",AU68="O",AV68="O"),"후보","X"))</f>
        <v>X</v>
      </c>
    </row>
    <row r="69" spans="1:49" x14ac:dyDescent="0.3">
      <c r="A69" s="5"/>
      <c r="B69" s="13"/>
      <c r="C69" s="9"/>
      <c r="D69" s="5"/>
      <c r="E69" s="18"/>
      <c r="F69" s="23"/>
      <c r="G69" s="5"/>
      <c r="H69" s="5"/>
      <c r="I69" s="5"/>
      <c r="J69" s="8"/>
      <c r="K69" s="5"/>
      <c r="L69" s="8"/>
      <c r="M69" s="5"/>
      <c r="N69" s="5"/>
      <c r="O69" s="12"/>
      <c r="P69" s="12"/>
      <c r="Q69" s="21"/>
      <c r="R69" s="21"/>
      <c r="S69" s="5"/>
      <c r="T69" s="59"/>
      <c r="U69" s="5"/>
      <c r="V69" s="5"/>
      <c r="X69" s="90" t="str">
        <f>$A$4&amp;" "&amp;A70&amp;"("&amp;B70&amp;","&amp;C70&amp;"^)"</f>
        <v>평촌동 초원1단지성원('92.08,368^)</v>
      </c>
      <c r="Y69" s="91"/>
      <c r="Z69" s="91"/>
      <c r="AA69" s="91"/>
      <c r="AB69" s="91"/>
      <c r="AC69" s="91"/>
      <c r="AD69" s="91"/>
      <c r="AE69" s="91"/>
      <c r="AF69" s="91"/>
      <c r="AG69" s="92"/>
      <c r="AI69" s="32" t="str">
        <f t="shared" ref="AI69:AI89" si="43">IF(A69="","",A69)</f>
        <v/>
      </c>
      <c r="AJ69" s="33" t="str">
        <f t="shared" si="42"/>
        <v/>
      </c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</row>
    <row r="70" spans="1:49" x14ac:dyDescent="0.3">
      <c r="A70" s="5" t="s">
        <v>1703</v>
      </c>
      <c r="B70" s="14" t="s">
        <v>1704</v>
      </c>
      <c r="C70" s="25">
        <v>368</v>
      </c>
      <c r="D70" s="23">
        <v>75.099999999999994</v>
      </c>
      <c r="E70" s="21">
        <v>23</v>
      </c>
      <c r="F70" s="23">
        <v>59.9</v>
      </c>
      <c r="G70" s="24">
        <v>18</v>
      </c>
      <c r="H70" s="25">
        <v>120</v>
      </c>
      <c r="I70" s="29">
        <v>65000</v>
      </c>
      <c r="J70" s="106" t="s">
        <v>2035</v>
      </c>
      <c r="K70" s="29">
        <v>37000</v>
      </c>
      <c r="L70" s="106" t="s">
        <v>1972</v>
      </c>
      <c r="M70" s="6">
        <f>I70-K70</f>
        <v>28000</v>
      </c>
      <c r="N70" s="7">
        <f>IF(ISERROR(K70/I70),"",K70/I70)</f>
        <v>0.56923076923076921</v>
      </c>
      <c r="O70" s="12">
        <f>I70/E70</f>
        <v>2826.086956521739</v>
      </c>
      <c r="P70" s="12">
        <f>K70/E70</f>
        <v>1608.695652173913</v>
      </c>
      <c r="Q70" s="13">
        <v>3</v>
      </c>
      <c r="R70" s="13">
        <v>1</v>
      </c>
      <c r="S70" s="13" t="s">
        <v>51</v>
      </c>
      <c r="T70" s="8">
        <v>75</v>
      </c>
      <c r="U70" s="5"/>
      <c r="V70" s="5" t="s">
        <v>1705</v>
      </c>
      <c r="X70" s="23">
        <f>D70</f>
        <v>75.099999999999994</v>
      </c>
      <c r="Y70" s="21">
        <f>E70</f>
        <v>23</v>
      </c>
      <c r="Z70" s="28">
        <f>H70</f>
        <v>120</v>
      </c>
      <c r="AA70" s="6">
        <f>I70</f>
        <v>65000</v>
      </c>
      <c r="AB70" s="6">
        <f>K70</f>
        <v>37000</v>
      </c>
      <c r="AC70" s="6">
        <f t="shared" ref="AC70:AE71" si="44">M70</f>
        <v>28000</v>
      </c>
      <c r="AD70" s="7">
        <f t="shared" si="44"/>
        <v>0.56923076923076921</v>
      </c>
      <c r="AE70" s="12">
        <f t="shared" si="44"/>
        <v>2826.086956521739</v>
      </c>
      <c r="AF70" s="13" t="str">
        <f>S70</f>
        <v>계</v>
      </c>
      <c r="AG70" s="13" t="str">
        <f>Q70&amp;"/"&amp;R70</f>
        <v>3/1</v>
      </c>
      <c r="AI70" s="32" t="str">
        <f t="shared" si="43"/>
        <v>초원1단지성원</v>
      </c>
      <c r="AJ70" s="21">
        <f t="shared" si="42"/>
        <v>23</v>
      </c>
      <c r="AK70" s="13" t="str">
        <f>IF(AJ70="","",$AK$2)</f>
        <v>A-</v>
      </c>
      <c r="AL70" s="13"/>
      <c r="AM70" s="13"/>
      <c r="AN70" s="13"/>
      <c r="AO70" s="13" t="str">
        <f>IF(AJ70="","",$AO$2)</f>
        <v>C</v>
      </c>
      <c r="AP70" s="13" t="str">
        <f>IF(N70="","",IF(N70&gt;=$AP$1/100,"O","X"))</f>
        <v>X</v>
      </c>
      <c r="AQ70" s="13" t="str">
        <f>IF(I70="","",IF(I70&lt;=$AQ$1,"O","X"))</f>
        <v>X</v>
      </c>
      <c r="AR70" s="13" t="str">
        <f>IF(O70="","",IF(O70&lt;=$AR$1,"O","X"))</f>
        <v>X</v>
      </c>
      <c r="AS70" s="13" t="str">
        <f>IF(M70="","",IF(M70&lt;=$AS$1,"O","X"))</f>
        <v>X</v>
      </c>
      <c r="AT70" s="13" t="s">
        <v>32</v>
      </c>
      <c r="AU70" s="13" t="str">
        <f>IF(OR(F70="",AJ70=""),"",IF(AND((F70&lt;=85),(AJ70&gt;=15)),"O","X"))</f>
        <v>O</v>
      </c>
      <c r="AV70" s="13" t="str">
        <f>IF(C70="","",IF(C70&gt;=$AV$1,"O","X"))</f>
        <v>O</v>
      </c>
      <c r="AW70" s="13" t="str">
        <f>IF(AP70="","",IF(AND(AP70="O",AQ70="O",AS70="O",AU70="O",AV70="O"),"후보","X"))</f>
        <v>X</v>
      </c>
    </row>
    <row r="71" spans="1:49" x14ac:dyDescent="0.3">
      <c r="A71" s="5" t="s">
        <v>1703</v>
      </c>
      <c r="B71" s="14" t="s">
        <v>1704</v>
      </c>
      <c r="C71" s="25">
        <v>368</v>
      </c>
      <c r="D71" s="23">
        <v>102.7</v>
      </c>
      <c r="E71" s="21">
        <v>31</v>
      </c>
      <c r="F71" s="23">
        <v>85</v>
      </c>
      <c r="G71" s="24">
        <v>26</v>
      </c>
      <c r="H71" s="25">
        <v>248</v>
      </c>
      <c r="I71" s="29">
        <v>81000</v>
      </c>
      <c r="J71" s="106" t="s">
        <v>2036</v>
      </c>
      <c r="K71" s="29">
        <v>51000</v>
      </c>
      <c r="L71" s="106" t="s">
        <v>2020</v>
      </c>
      <c r="M71" s="6">
        <f>I71-K71</f>
        <v>30000</v>
      </c>
      <c r="N71" s="7">
        <f>IF(ISERROR(K71/I71),"",K71/I71)</f>
        <v>0.62962962962962965</v>
      </c>
      <c r="O71" s="12">
        <f>I71/E71</f>
        <v>2612.9032258064517</v>
      </c>
      <c r="P71" s="12">
        <f>K71/E71</f>
        <v>1645.1612903225807</v>
      </c>
      <c r="Q71" s="13">
        <v>3</v>
      </c>
      <c r="R71" s="13">
        <v>2</v>
      </c>
      <c r="S71" s="13" t="s">
        <v>51</v>
      </c>
      <c r="T71" s="8">
        <v>102</v>
      </c>
      <c r="U71" s="5"/>
      <c r="V71" s="5" t="s">
        <v>1706</v>
      </c>
      <c r="X71" s="23">
        <f>D71</f>
        <v>102.7</v>
      </c>
      <c r="Y71" s="21">
        <f>E71</f>
        <v>31</v>
      </c>
      <c r="Z71" s="28">
        <f>H71</f>
        <v>248</v>
      </c>
      <c r="AA71" s="6">
        <f>I71</f>
        <v>81000</v>
      </c>
      <c r="AB71" s="6">
        <f>K71</f>
        <v>51000</v>
      </c>
      <c r="AC71" s="6">
        <f t="shared" si="44"/>
        <v>30000</v>
      </c>
      <c r="AD71" s="7">
        <f t="shared" si="44"/>
        <v>0.62962962962962965</v>
      </c>
      <c r="AE71" s="12">
        <f t="shared" si="44"/>
        <v>2612.9032258064517</v>
      </c>
      <c r="AF71" s="13" t="str">
        <f>S71</f>
        <v>계</v>
      </c>
      <c r="AG71" s="13" t="str">
        <f>Q71&amp;"/"&amp;R71</f>
        <v>3/2</v>
      </c>
      <c r="AI71" s="32" t="str">
        <f t="shared" si="43"/>
        <v>초원1단지성원</v>
      </c>
      <c r="AJ71" s="21">
        <f t="shared" si="42"/>
        <v>31</v>
      </c>
      <c r="AK71" s="13" t="str">
        <f>IF(AJ71="","",$AK$2)</f>
        <v>A-</v>
      </c>
      <c r="AL71" s="13"/>
      <c r="AM71" s="13"/>
      <c r="AN71" s="13"/>
      <c r="AO71" s="13" t="str">
        <f>IF(AJ71="","",$AO$2)</f>
        <v>C</v>
      </c>
      <c r="AP71" s="13" t="str">
        <f>IF(N71="","",IF(N71&gt;=$AP$1/100,"O","X"))</f>
        <v>X</v>
      </c>
      <c r="AQ71" s="13" t="str">
        <f>IF(I71="","",IF(I71&lt;=$AQ$1,"O","X"))</f>
        <v>X</v>
      </c>
      <c r="AR71" s="13" t="str">
        <f>IF(O71="","",IF(O71&lt;=$AR$1,"O","X"))</f>
        <v>X</v>
      </c>
      <c r="AS71" s="13" t="str">
        <f>IF(M71="","",IF(M71&lt;=$AS$1,"O","X"))</f>
        <v>X</v>
      </c>
      <c r="AT71" s="13" t="s">
        <v>32</v>
      </c>
      <c r="AU71" s="13" t="str">
        <f>IF(OR(F71="",AJ71=""),"",IF(AND((F71&lt;=85),(AJ71&gt;=15)),"O","X"))</f>
        <v>O</v>
      </c>
      <c r="AV71" s="13" t="str">
        <f>IF(C71="","",IF(C71&gt;=$AV$1,"O","X"))</f>
        <v>O</v>
      </c>
      <c r="AW71" s="13" t="str">
        <f>IF(AP71="","",IF(AND(AP71="O",AQ71="O",AS71="O",AU71="O",AV71="O"),"후보","X"))</f>
        <v>X</v>
      </c>
    </row>
    <row r="72" spans="1:49" x14ac:dyDescent="0.3">
      <c r="A72" s="5"/>
      <c r="B72" s="13"/>
      <c r="C72" s="9"/>
      <c r="D72" s="5"/>
      <c r="E72" s="18"/>
      <c r="F72" s="23"/>
      <c r="G72" s="5"/>
      <c r="H72" s="5"/>
      <c r="I72" s="5"/>
      <c r="J72" s="8"/>
      <c r="K72" s="5"/>
      <c r="L72" s="8"/>
      <c r="M72" s="5"/>
      <c r="N72" s="5"/>
      <c r="O72" s="12"/>
      <c r="P72" s="12"/>
      <c r="Q72" s="21"/>
      <c r="R72" s="21"/>
      <c r="S72" s="5"/>
      <c r="T72" s="59"/>
      <c r="U72" s="5"/>
      <c r="V72" s="5"/>
      <c r="X72" s="90" t="str">
        <f>$A$4&amp;" "&amp;A73&amp;"("&amp;B73&amp;","&amp;C73&amp;"^)"</f>
        <v>평촌동 영풍('00.04,230^)</v>
      </c>
      <c r="Y72" s="91"/>
      <c r="Z72" s="91"/>
      <c r="AA72" s="91"/>
      <c r="AB72" s="91"/>
      <c r="AC72" s="91"/>
      <c r="AD72" s="91"/>
      <c r="AE72" s="91"/>
      <c r="AF72" s="91"/>
      <c r="AG72" s="92"/>
      <c r="AI72" s="32" t="str">
        <f t="shared" si="43"/>
        <v/>
      </c>
      <c r="AJ72" s="33" t="str">
        <f t="shared" si="42"/>
        <v/>
      </c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</row>
    <row r="73" spans="1:49" x14ac:dyDescent="0.3">
      <c r="A73" s="5" t="s">
        <v>1707</v>
      </c>
      <c r="B73" s="14" t="s">
        <v>1708</v>
      </c>
      <c r="C73" s="25">
        <v>230</v>
      </c>
      <c r="D73" s="23">
        <v>47.4</v>
      </c>
      <c r="E73" s="21">
        <v>14</v>
      </c>
      <c r="F73" s="23">
        <v>36.9</v>
      </c>
      <c r="G73" s="24">
        <v>11</v>
      </c>
      <c r="H73" s="25">
        <v>48</v>
      </c>
      <c r="I73" s="29">
        <v>32000</v>
      </c>
      <c r="J73" s="106" t="s">
        <v>2037</v>
      </c>
      <c r="K73" s="29">
        <v>17850</v>
      </c>
      <c r="L73" s="106" t="s">
        <v>2019</v>
      </c>
      <c r="M73" s="6">
        <f>I73-K73</f>
        <v>14150</v>
      </c>
      <c r="N73" s="7">
        <f>IF(ISERROR(K73/I73),"",K73/I73)</f>
        <v>0.55781250000000004</v>
      </c>
      <c r="O73" s="12">
        <f>I73/E73</f>
        <v>2285.7142857142858</v>
      </c>
      <c r="P73" s="12">
        <f>K73/E73</f>
        <v>1275</v>
      </c>
      <c r="Q73" s="13">
        <v>2</v>
      </c>
      <c r="R73" s="13">
        <v>1</v>
      </c>
      <c r="S73" s="13" t="s">
        <v>1356</v>
      </c>
      <c r="T73" s="8">
        <v>47</v>
      </c>
      <c r="U73" s="5"/>
      <c r="V73" s="5" t="s">
        <v>1709</v>
      </c>
      <c r="X73" s="23">
        <f>D73</f>
        <v>47.4</v>
      </c>
      <c r="Y73" s="21">
        <f>E73</f>
        <v>14</v>
      </c>
      <c r="Z73" s="28">
        <f>H73</f>
        <v>48</v>
      </c>
      <c r="AA73" s="6">
        <f>I73</f>
        <v>32000</v>
      </c>
      <c r="AB73" s="6">
        <f>K73</f>
        <v>17850</v>
      </c>
      <c r="AC73" s="6">
        <f t="shared" ref="AC73:AE74" si="45">M73</f>
        <v>14150</v>
      </c>
      <c r="AD73" s="7">
        <f t="shared" si="45"/>
        <v>0.55781250000000004</v>
      </c>
      <c r="AE73" s="12">
        <f t="shared" si="45"/>
        <v>2285.7142857142858</v>
      </c>
      <c r="AF73" s="13" t="str">
        <f>S73</f>
        <v>복</v>
      </c>
      <c r="AG73" s="13" t="str">
        <f>Q73&amp;"/"&amp;R73</f>
        <v>2/1</v>
      </c>
      <c r="AI73" s="32" t="str">
        <f t="shared" si="43"/>
        <v>영풍</v>
      </c>
      <c r="AJ73" s="21">
        <f t="shared" si="42"/>
        <v>14</v>
      </c>
      <c r="AK73" s="13" t="str">
        <f>IF(AJ73="","",$AK$2)</f>
        <v>A-</v>
      </c>
      <c r="AL73" s="13"/>
      <c r="AM73" s="13"/>
      <c r="AN73" s="13"/>
      <c r="AO73" s="13" t="str">
        <f>IF(AJ73="","",$AO$2)</f>
        <v>C</v>
      </c>
      <c r="AP73" s="13" t="str">
        <f>IF(N73="","",IF(N73&gt;=$AP$1/100,"O","X"))</f>
        <v>X</v>
      </c>
      <c r="AQ73" s="13" t="str">
        <f>IF(I73="","",IF(I73&lt;=$AQ$1,"O","X"))</f>
        <v>O</v>
      </c>
      <c r="AR73" s="13" t="str">
        <f>IF(O73="","",IF(O73&lt;=$AR$1,"O","X"))</f>
        <v>X</v>
      </c>
      <c r="AS73" s="13" t="str">
        <f>IF(M73="","",IF(M73&lt;=$AS$1,"O","X"))</f>
        <v>X</v>
      </c>
      <c r="AT73" s="13" t="s">
        <v>32</v>
      </c>
      <c r="AU73" s="13" t="str">
        <f>IF(OR(F73="",AJ73=""),"",IF(AND((F73&lt;=85),(AJ73&gt;=15)),"O","X"))</f>
        <v>X</v>
      </c>
      <c r="AV73" s="13" t="str">
        <f>IF(C73="","",IF(C73&gt;=$AV$1,"O","X"))</f>
        <v>X</v>
      </c>
      <c r="AW73" s="13" t="str">
        <f>IF(AP73="","",IF(AND(AP73="O",AQ73="O",AS73="O",AU73="O",AV73="O"),"후보","X"))</f>
        <v>X</v>
      </c>
    </row>
    <row r="74" spans="1:49" x14ac:dyDescent="0.3">
      <c r="A74" s="5" t="s">
        <v>1707</v>
      </c>
      <c r="B74" s="14" t="s">
        <v>1708</v>
      </c>
      <c r="C74" s="25">
        <v>230</v>
      </c>
      <c r="D74" s="23">
        <v>109.1</v>
      </c>
      <c r="E74" s="21">
        <v>33</v>
      </c>
      <c r="F74" s="23">
        <v>84.8</v>
      </c>
      <c r="G74" s="24">
        <v>26</v>
      </c>
      <c r="H74" s="25">
        <v>182</v>
      </c>
      <c r="I74" s="29">
        <v>59000</v>
      </c>
      <c r="J74" s="106" t="s">
        <v>2038</v>
      </c>
      <c r="K74" s="29">
        <v>38000</v>
      </c>
      <c r="L74" s="106" t="s">
        <v>2039</v>
      </c>
      <c r="M74" s="6">
        <f>I74-K74</f>
        <v>21000</v>
      </c>
      <c r="N74" s="7">
        <f>IF(ISERROR(K74/I74),"",K74/I74)</f>
        <v>0.64406779661016944</v>
      </c>
      <c r="O74" s="12">
        <f>I74/E74</f>
        <v>1787.878787878788</v>
      </c>
      <c r="P74" s="12">
        <f>K74/E74</f>
        <v>1151.5151515151515</v>
      </c>
      <c r="Q74" s="13">
        <v>3</v>
      </c>
      <c r="R74" s="13">
        <v>2</v>
      </c>
      <c r="S74" s="13" t="s">
        <v>51</v>
      </c>
      <c r="T74" s="8">
        <v>109</v>
      </c>
      <c r="U74" s="5"/>
      <c r="V74" s="5" t="s">
        <v>1710</v>
      </c>
      <c r="X74" s="23">
        <f>D74</f>
        <v>109.1</v>
      </c>
      <c r="Y74" s="21">
        <f>E74</f>
        <v>33</v>
      </c>
      <c r="Z74" s="28">
        <f>H74</f>
        <v>182</v>
      </c>
      <c r="AA74" s="6">
        <f>I74</f>
        <v>59000</v>
      </c>
      <c r="AB74" s="6">
        <f>K74</f>
        <v>38000</v>
      </c>
      <c r="AC74" s="6">
        <f t="shared" si="45"/>
        <v>21000</v>
      </c>
      <c r="AD74" s="7">
        <f t="shared" si="45"/>
        <v>0.64406779661016944</v>
      </c>
      <c r="AE74" s="12">
        <f t="shared" si="45"/>
        <v>1787.878787878788</v>
      </c>
      <c r="AF74" s="13" t="str">
        <f>S74</f>
        <v>계</v>
      </c>
      <c r="AG74" s="13" t="str">
        <f>Q74&amp;"/"&amp;R74</f>
        <v>3/2</v>
      </c>
      <c r="AI74" s="32" t="str">
        <f t="shared" si="43"/>
        <v>영풍</v>
      </c>
      <c r="AJ74" s="21">
        <f t="shared" si="42"/>
        <v>33</v>
      </c>
      <c r="AK74" s="13" t="str">
        <f>IF(AJ74="","",$AK$2)</f>
        <v>A-</v>
      </c>
      <c r="AL74" s="13"/>
      <c r="AM74" s="13"/>
      <c r="AN74" s="13"/>
      <c r="AO74" s="13" t="str">
        <f>IF(AJ74="","",$AO$2)</f>
        <v>C</v>
      </c>
      <c r="AP74" s="13" t="str">
        <f>IF(N74="","",IF(N74&gt;=$AP$1/100,"O","X"))</f>
        <v>X</v>
      </c>
      <c r="AQ74" s="13" t="str">
        <f>IF(I74="","",IF(I74&lt;=$AQ$1,"O","X"))</f>
        <v>X</v>
      </c>
      <c r="AR74" s="13" t="str">
        <f>IF(O74="","",IF(O74&lt;=$AR$1,"O","X"))</f>
        <v>X</v>
      </c>
      <c r="AS74" s="13" t="str">
        <f>IF(M74="","",IF(M74&lt;=$AS$1,"O","X"))</f>
        <v>X</v>
      </c>
      <c r="AT74" s="13" t="s">
        <v>32</v>
      </c>
      <c r="AU74" s="13" t="str">
        <f>IF(OR(F74="",AJ74=""),"",IF(AND((F74&lt;=85),(AJ74&gt;=15)),"O","X"))</f>
        <v>O</v>
      </c>
      <c r="AV74" s="13" t="str">
        <f>IF(C74="","",IF(C74&gt;=$AV$1,"O","X"))</f>
        <v>X</v>
      </c>
      <c r="AW74" s="13" t="str">
        <f>IF(AP74="","",IF(AND(AP74="O",AQ74="O",AS74="O",AU74="O",AV74="O"),"후보","X"))</f>
        <v>X</v>
      </c>
    </row>
    <row r="75" spans="1:49" x14ac:dyDescent="0.3">
      <c r="A75" s="5"/>
      <c r="B75" s="13"/>
      <c r="C75" s="9"/>
      <c r="D75" s="5"/>
      <c r="E75" s="18"/>
      <c r="F75" s="23"/>
      <c r="G75" s="5"/>
      <c r="H75" s="5"/>
      <c r="I75" s="5"/>
      <c r="J75" s="8"/>
      <c r="K75" s="5"/>
      <c r="L75" s="8"/>
      <c r="M75" s="5"/>
      <c r="N75" s="5"/>
      <c r="O75" s="12"/>
      <c r="P75" s="12"/>
      <c r="Q75" s="21"/>
      <c r="R75" s="21"/>
      <c r="S75" s="5"/>
      <c r="T75" s="59"/>
      <c r="U75" s="5"/>
      <c r="V75" s="5"/>
      <c r="X75" s="90" t="str">
        <f>$A$4&amp;" "&amp;A76&amp;"("&amp;B76&amp;","&amp;C76&amp;"^)"</f>
        <v>평촌동 귀인마을현대홈타운('02.06,967^)</v>
      </c>
      <c r="Y75" s="91"/>
      <c r="Z75" s="91"/>
      <c r="AA75" s="91"/>
      <c r="AB75" s="91"/>
      <c r="AC75" s="91"/>
      <c r="AD75" s="91"/>
      <c r="AE75" s="91"/>
      <c r="AF75" s="91"/>
      <c r="AG75" s="92"/>
      <c r="AI75" s="32" t="str">
        <f t="shared" si="43"/>
        <v/>
      </c>
      <c r="AJ75" s="33" t="str">
        <f t="shared" si="42"/>
        <v/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</row>
    <row r="76" spans="1:49" x14ac:dyDescent="0.3">
      <c r="A76" s="5" t="s">
        <v>1711</v>
      </c>
      <c r="B76" s="14" t="s">
        <v>1712</v>
      </c>
      <c r="C76" s="25">
        <v>967</v>
      </c>
      <c r="D76" s="23">
        <v>81.400000000000006</v>
      </c>
      <c r="E76" s="21">
        <v>25</v>
      </c>
      <c r="F76" s="23">
        <v>56.1</v>
      </c>
      <c r="G76" s="24">
        <v>17</v>
      </c>
      <c r="H76" s="25">
        <v>182</v>
      </c>
      <c r="I76" s="29">
        <v>77000</v>
      </c>
      <c r="J76" s="106" t="s">
        <v>2040</v>
      </c>
      <c r="K76" s="29">
        <v>53000</v>
      </c>
      <c r="L76" s="106" t="s">
        <v>2045</v>
      </c>
      <c r="M76" s="6">
        <f>I76-K76</f>
        <v>24000</v>
      </c>
      <c r="N76" s="7">
        <f>IF(ISERROR(K76/I76),"",K76/I76)</f>
        <v>0.68831168831168832</v>
      </c>
      <c r="O76" s="12">
        <f>I76/E76</f>
        <v>3080</v>
      </c>
      <c r="P76" s="12">
        <f>K76/E76</f>
        <v>2120</v>
      </c>
      <c r="Q76" s="13">
        <v>3</v>
      </c>
      <c r="R76" s="13">
        <v>1</v>
      </c>
      <c r="S76" s="13" t="s">
        <v>51</v>
      </c>
      <c r="T76" s="8">
        <v>81</v>
      </c>
      <c r="U76" s="5"/>
      <c r="V76" s="5" t="s">
        <v>1713</v>
      </c>
      <c r="X76" s="23">
        <f t="shared" ref="X76:Y78" si="46">D76</f>
        <v>81.400000000000006</v>
      </c>
      <c r="Y76" s="21">
        <f t="shared" si="46"/>
        <v>25</v>
      </c>
      <c r="Z76" s="28">
        <f t="shared" ref="Z76:AA78" si="47">H76</f>
        <v>182</v>
      </c>
      <c r="AA76" s="6">
        <f t="shared" si="47"/>
        <v>77000</v>
      </c>
      <c r="AB76" s="6">
        <f>K76</f>
        <v>53000</v>
      </c>
      <c r="AC76" s="6">
        <f t="shared" ref="AC76:AE78" si="48">M76</f>
        <v>24000</v>
      </c>
      <c r="AD76" s="7">
        <f t="shared" si="48"/>
        <v>0.68831168831168832</v>
      </c>
      <c r="AE76" s="12">
        <f t="shared" si="48"/>
        <v>3080</v>
      </c>
      <c r="AF76" s="13" t="str">
        <f>S76</f>
        <v>계</v>
      </c>
      <c r="AG76" s="13" t="str">
        <f>Q76&amp;"/"&amp;R76</f>
        <v>3/1</v>
      </c>
      <c r="AI76" s="32" t="str">
        <f t="shared" si="43"/>
        <v>귀인마을현대홈타운</v>
      </c>
      <c r="AJ76" s="21">
        <f t="shared" si="42"/>
        <v>25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>X</v>
      </c>
      <c r="AQ76" s="13" t="str">
        <f>IF(I76="","",IF(I76&lt;=$AQ$1,"O","X"))</f>
        <v>X</v>
      </c>
      <c r="AR76" s="13" t="str">
        <f>IF(O76="","",IF(O76&lt;=$AR$1,"O","X"))</f>
        <v>X</v>
      </c>
      <c r="AS76" s="13" t="str">
        <f>IF(M76="","",IF(M76&lt;=$AS$1,"O","X"))</f>
        <v>X</v>
      </c>
      <c r="AT76" s="13" t="s">
        <v>32</v>
      </c>
      <c r="AU76" s="13" t="str">
        <f>IF(OR(F76="",AJ76=""),"",IF(AND((F76&lt;=85),(AJ76&gt;=15)),"O","X"))</f>
        <v>O</v>
      </c>
      <c r="AV76" s="13" t="str">
        <f>IF(C76="","",IF(C76&gt;=$AV$1,"O","X"))</f>
        <v>O</v>
      </c>
      <c r="AW76" s="13" t="str">
        <f>IF(AP76="","",IF(AND(AP76="O",AQ76="O",AS76="O",AU76="O",AV76="O"),"후보","X"))</f>
        <v>X</v>
      </c>
    </row>
    <row r="77" spans="1:49" x14ac:dyDescent="0.3">
      <c r="A77" s="5" t="s">
        <v>1711</v>
      </c>
      <c r="B77" s="14" t="s">
        <v>1712</v>
      </c>
      <c r="C77" s="25">
        <v>967</v>
      </c>
      <c r="D77" s="23">
        <v>92.1</v>
      </c>
      <c r="E77" s="21">
        <v>28</v>
      </c>
      <c r="F77" s="23">
        <v>65.3</v>
      </c>
      <c r="G77" s="24">
        <v>20</v>
      </c>
      <c r="H77" s="25">
        <v>25</v>
      </c>
      <c r="I77" s="29">
        <v>106000</v>
      </c>
      <c r="J77" s="106" t="s">
        <v>2041</v>
      </c>
      <c r="K77" s="29">
        <v>49600</v>
      </c>
      <c r="L77" s="106" t="s">
        <v>2044</v>
      </c>
      <c r="M77" s="6">
        <f>I77-K77</f>
        <v>56400</v>
      </c>
      <c r="N77" s="7">
        <f>IF(ISERROR(K77/I77),"",K77/I77)</f>
        <v>0.4679245283018868</v>
      </c>
      <c r="O77" s="12">
        <f>I77/E77</f>
        <v>3785.7142857142858</v>
      </c>
      <c r="P77" s="12">
        <f>K77/E77</f>
        <v>1771.4285714285713</v>
      </c>
      <c r="Q77" s="13">
        <v>3</v>
      </c>
      <c r="R77" s="13">
        <v>2</v>
      </c>
      <c r="S77" s="13" t="s">
        <v>51</v>
      </c>
      <c r="T77" s="8">
        <v>92</v>
      </c>
      <c r="U77" s="5"/>
      <c r="V77" s="5" t="s">
        <v>1714</v>
      </c>
      <c r="X77" s="23">
        <f t="shared" si="46"/>
        <v>92.1</v>
      </c>
      <c r="Y77" s="21">
        <f t="shared" si="46"/>
        <v>28</v>
      </c>
      <c r="Z77" s="28">
        <f t="shared" si="47"/>
        <v>25</v>
      </c>
      <c r="AA77" s="6">
        <f t="shared" si="47"/>
        <v>106000</v>
      </c>
      <c r="AB77" s="6">
        <f>K77</f>
        <v>49600</v>
      </c>
      <c r="AC77" s="6">
        <f t="shared" si="48"/>
        <v>56400</v>
      </c>
      <c r="AD77" s="7">
        <f t="shared" si="48"/>
        <v>0.4679245283018868</v>
      </c>
      <c r="AE77" s="12">
        <f t="shared" si="48"/>
        <v>3785.7142857142858</v>
      </c>
      <c r="AF77" s="13" t="str">
        <f>S77</f>
        <v>계</v>
      </c>
      <c r="AG77" s="13" t="str">
        <f>Q77&amp;"/"&amp;R77</f>
        <v>3/2</v>
      </c>
      <c r="AI77" s="32" t="str">
        <f t="shared" si="43"/>
        <v>귀인마을현대홈타운</v>
      </c>
      <c r="AJ77" s="21">
        <f t="shared" si="42"/>
        <v>28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>X</v>
      </c>
      <c r="AQ77" s="13" t="str">
        <f>IF(I77="","",IF(I77&lt;=$AQ$1,"O","X"))</f>
        <v>X</v>
      </c>
      <c r="AR77" s="13" t="str">
        <f>IF(O77="","",IF(O77&lt;=$AR$1,"O","X"))</f>
        <v>X</v>
      </c>
      <c r="AS77" s="13" t="str">
        <f>IF(M77="","",IF(M77&lt;=$AS$1,"O","X"))</f>
        <v>X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O</v>
      </c>
      <c r="AW77" s="13" t="str">
        <f>IF(AP77="","",IF(AND(AP77="O",AQ77="O",AS77="O",AU77="O",AV77="O"),"후보","X"))</f>
        <v>X</v>
      </c>
    </row>
    <row r="78" spans="1:49" x14ac:dyDescent="0.3">
      <c r="A78" s="5" t="s">
        <v>1711</v>
      </c>
      <c r="B78" s="14" t="s">
        <v>1712</v>
      </c>
      <c r="C78" s="25">
        <v>967</v>
      </c>
      <c r="D78" s="23">
        <v>109.1</v>
      </c>
      <c r="E78" s="21">
        <v>33</v>
      </c>
      <c r="F78" s="23">
        <v>80.400000000000006</v>
      </c>
      <c r="G78" s="24">
        <v>24</v>
      </c>
      <c r="H78" s="25">
        <v>760</v>
      </c>
      <c r="I78" s="29">
        <v>92000</v>
      </c>
      <c r="J78" s="106" t="s">
        <v>2042</v>
      </c>
      <c r="K78" s="29">
        <v>65000</v>
      </c>
      <c r="L78" s="106" t="s">
        <v>2043</v>
      </c>
      <c r="M78" s="6">
        <f>I78-K78</f>
        <v>27000</v>
      </c>
      <c r="N78" s="7">
        <f>IF(ISERROR(K78/I78),"",K78/I78)</f>
        <v>0.70652173913043481</v>
      </c>
      <c r="O78" s="12">
        <f>I78/E78</f>
        <v>2787.878787878788</v>
      </c>
      <c r="P78" s="12">
        <f>K78/E78</f>
        <v>1969.6969696969697</v>
      </c>
      <c r="Q78" s="13">
        <v>3</v>
      </c>
      <c r="R78" s="13">
        <v>2</v>
      </c>
      <c r="S78" s="13" t="s">
        <v>51</v>
      </c>
      <c r="T78" s="8">
        <v>109</v>
      </c>
      <c r="U78" s="5"/>
      <c r="V78" s="5" t="s">
        <v>1715</v>
      </c>
      <c r="X78" s="23">
        <f t="shared" si="46"/>
        <v>109.1</v>
      </c>
      <c r="Y78" s="21">
        <f t="shared" si="46"/>
        <v>33</v>
      </c>
      <c r="Z78" s="28">
        <f t="shared" si="47"/>
        <v>760</v>
      </c>
      <c r="AA78" s="6">
        <f t="shared" si="47"/>
        <v>92000</v>
      </c>
      <c r="AB78" s="6">
        <f>K78</f>
        <v>65000</v>
      </c>
      <c r="AC78" s="6">
        <f t="shared" si="48"/>
        <v>27000</v>
      </c>
      <c r="AD78" s="7">
        <f t="shared" si="48"/>
        <v>0.70652173913043481</v>
      </c>
      <c r="AE78" s="12">
        <f t="shared" si="48"/>
        <v>2787.878787878788</v>
      </c>
      <c r="AF78" s="13" t="str">
        <f>S78</f>
        <v>계</v>
      </c>
      <c r="AG78" s="13" t="str">
        <f>Q78&amp;"/"&amp;R78</f>
        <v>3/2</v>
      </c>
      <c r="AI78" s="32" t="str">
        <f t="shared" si="43"/>
        <v>귀인마을현대홈타운</v>
      </c>
      <c r="AJ78" s="21">
        <f t="shared" si="42"/>
        <v>33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>X</v>
      </c>
      <c r="AQ78" s="13" t="str">
        <f>IF(I78="","",IF(I78&lt;=$AQ$1,"O","X"))</f>
        <v>X</v>
      </c>
      <c r="AR78" s="13" t="str">
        <f>IF(O78="","",IF(O78&lt;=$AR$1,"O","X"))</f>
        <v>X</v>
      </c>
      <c r="AS78" s="13" t="str">
        <f>IF(M78="","",IF(M78&lt;=$AS$1,"O","X"))</f>
        <v>X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O</v>
      </c>
      <c r="AW78" s="13" t="str">
        <f>IF(AP78="","",IF(AND(AP78="O",AQ78="O",AS78="O",AU78="O",AV78="O"),"후보","X"))</f>
        <v>X</v>
      </c>
    </row>
    <row r="79" spans="1:49" x14ac:dyDescent="0.3">
      <c r="A79" s="5"/>
      <c r="B79" s="13"/>
      <c r="C79" s="9"/>
      <c r="D79" s="5"/>
      <c r="E79" s="18"/>
      <c r="F79" s="23"/>
      <c r="G79" s="5"/>
      <c r="H79" s="5"/>
      <c r="I79" s="5"/>
      <c r="J79" s="8"/>
      <c r="K79" s="5"/>
      <c r="L79" s="8"/>
      <c r="M79" s="5"/>
      <c r="N79" s="5"/>
      <c r="O79" s="12"/>
      <c r="P79" s="12"/>
      <c r="Q79" s="21"/>
      <c r="R79" s="21"/>
      <c r="S79" s="5"/>
      <c r="T79" s="59"/>
      <c r="U79" s="5"/>
      <c r="V79" s="5"/>
      <c r="X79" s="90" t="str">
        <f>$A$4&amp;" "&amp;A80&amp;"("&amp;B80&amp;","&amp;C80&amp;"^)"</f>
        <v>평촌동 향촌현대4차('92.11,552^)</v>
      </c>
      <c r="Y79" s="91"/>
      <c r="Z79" s="91"/>
      <c r="AA79" s="91"/>
      <c r="AB79" s="91"/>
      <c r="AC79" s="91"/>
      <c r="AD79" s="91"/>
      <c r="AE79" s="91"/>
      <c r="AF79" s="91"/>
      <c r="AG79" s="92"/>
      <c r="AI79" s="32" t="str">
        <f t="shared" si="43"/>
        <v/>
      </c>
      <c r="AJ79" s="33" t="str">
        <f t="shared" si="42"/>
        <v/>
      </c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</row>
    <row r="80" spans="1:49" x14ac:dyDescent="0.3">
      <c r="A80" s="5" t="s">
        <v>1716</v>
      </c>
      <c r="B80" s="14" t="s">
        <v>1366</v>
      </c>
      <c r="C80" s="25">
        <v>552</v>
      </c>
      <c r="D80" s="23">
        <v>78.7</v>
      </c>
      <c r="E80" s="21">
        <v>24</v>
      </c>
      <c r="F80" s="23">
        <v>59.9</v>
      </c>
      <c r="G80" s="24">
        <v>18</v>
      </c>
      <c r="H80" s="25">
        <v>188</v>
      </c>
      <c r="I80" s="29">
        <v>71000</v>
      </c>
      <c r="J80" s="106" t="s">
        <v>2046</v>
      </c>
      <c r="K80" s="29">
        <v>43000</v>
      </c>
      <c r="L80" s="106" t="s">
        <v>2048</v>
      </c>
      <c r="M80" s="6">
        <f>I80-K80</f>
        <v>28000</v>
      </c>
      <c r="N80" s="7">
        <f>IF(ISERROR(K80/I80),"",K80/I80)</f>
        <v>0.60563380281690138</v>
      </c>
      <c r="O80" s="12">
        <f>I80/E80</f>
        <v>2958.3333333333335</v>
      </c>
      <c r="P80" s="12">
        <f>K80/E80</f>
        <v>1791.6666666666667</v>
      </c>
      <c r="Q80" s="13">
        <v>3</v>
      </c>
      <c r="R80" s="13">
        <v>1</v>
      </c>
      <c r="S80" s="13" t="s">
        <v>51</v>
      </c>
      <c r="T80" s="8">
        <v>78</v>
      </c>
      <c r="U80" s="5"/>
      <c r="V80" s="5" t="s">
        <v>1717</v>
      </c>
      <c r="X80" s="23">
        <f>D80</f>
        <v>78.7</v>
      </c>
      <c r="Y80" s="21">
        <f>E80</f>
        <v>24</v>
      </c>
      <c r="Z80" s="28">
        <f>H80</f>
        <v>188</v>
      </c>
      <c r="AA80" s="6">
        <f>I80</f>
        <v>71000</v>
      </c>
      <c r="AB80" s="6">
        <f>K80</f>
        <v>43000</v>
      </c>
      <c r="AC80" s="6">
        <f t="shared" ref="AC80:AE81" si="49">M80</f>
        <v>28000</v>
      </c>
      <c r="AD80" s="7">
        <f t="shared" si="49"/>
        <v>0.60563380281690138</v>
      </c>
      <c r="AE80" s="12">
        <f t="shared" si="49"/>
        <v>2958.3333333333335</v>
      </c>
      <c r="AF80" s="13" t="str">
        <f>S80</f>
        <v>계</v>
      </c>
      <c r="AG80" s="13" t="str">
        <f>Q80&amp;"/"&amp;R80</f>
        <v>3/1</v>
      </c>
      <c r="AI80" s="32" t="str">
        <f t="shared" si="43"/>
        <v>향촌현대4차</v>
      </c>
      <c r="AJ80" s="21">
        <f t="shared" si="42"/>
        <v>24</v>
      </c>
      <c r="AK80" s="13" t="str">
        <f>IF(AJ80="","",$AK$2)</f>
        <v>A-</v>
      </c>
      <c r="AL80" s="13"/>
      <c r="AM80" s="13"/>
      <c r="AN80" s="13"/>
      <c r="AO80" s="13" t="str">
        <f>IF(AJ80="","",$AO$2)</f>
        <v>C</v>
      </c>
      <c r="AP80" s="13" t="str">
        <f>IF(N80="","",IF(N80&gt;=$AP$1/100,"O","X"))</f>
        <v>X</v>
      </c>
      <c r="AQ80" s="13" t="str">
        <f>IF(I80="","",IF(I80&lt;=$AQ$1,"O","X"))</f>
        <v>X</v>
      </c>
      <c r="AR80" s="13" t="str">
        <f>IF(O80="","",IF(O80&lt;=$AR$1,"O","X"))</f>
        <v>X</v>
      </c>
      <c r="AS80" s="13" t="str">
        <f>IF(M80="","",IF(M80&lt;=$AS$1,"O","X"))</f>
        <v>X</v>
      </c>
      <c r="AT80" s="13" t="s">
        <v>32</v>
      </c>
      <c r="AU80" s="13" t="str">
        <f>IF(OR(F80="",AJ80=""),"",IF(AND((F80&lt;=85),(AJ80&gt;=15)),"O","X"))</f>
        <v>O</v>
      </c>
      <c r="AV80" s="13" t="str">
        <f>IF(C80="","",IF(C80&gt;=$AV$1,"O","X"))</f>
        <v>O</v>
      </c>
      <c r="AW80" s="13" t="str">
        <f>IF(AP80="","",IF(AND(AP80="O",AQ80="O",AS80="O",AU80="O",AV80="O"),"후보","X"))</f>
        <v>X</v>
      </c>
    </row>
    <row r="81" spans="1:49" x14ac:dyDescent="0.3">
      <c r="A81" s="5" t="s">
        <v>1716</v>
      </c>
      <c r="B81" s="14" t="s">
        <v>1366</v>
      </c>
      <c r="C81" s="25">
        <v>552</v>
      </c>
      <c r="D81" s="23">
        <v>107</v>
      </c>
      <c r="E81" s="21">
        <v>32</v>
      </c>
      <c r="F81" s="23">
        <v>85</v>
      </c>
      <c r="G81" s="24">
        <v>26</v>
      </c>
      <c r="H81" s="25">
        <v>364</v>
      </c>
      <c r="I81" s="29">
        <v>105000</v>
      </c>
      <c r="J81" s="106" t="s">
        <v>2047</v>
      </c>
      <c r="K81" s="29">
        <v>68000</v>
      </c>
      <c r="L81" s="106" t="s">
        <v>2017</v>
      </c>
      <c r="M81" s="6">
        <f>I81-K81</f>
        <v>37000</v>
      </c>
      <c r="N81" s="7">
        <f>IF(ISERROR(K81/I81),"",K81/I81)</f>
        <v>0.64761904761904765</v>
      </c>
      <c r="O81" s="12">
        <f>I81/E81</f>
        <v>3281.25</v>
      </c>
      <c r="P81" s="12">
        <f>K81/E81</f>
        <v>2125</v>
      </c>
      <c r="Q81" s="13">
        <v>3</v>
      </c>
      <c r="R81" s="13">
        <v>2</v>
      </c>
      <c r="S81" s="13" t="s">
        <v>51</v>
      </c>
      <c r="T81" s="8">
        <v>106</v>
      </c>
      <c r="U81" s="5"/>
      <c r="V81" s="5" t="s">
        <v>1718</v>
      </c>
      <c r="X81" s="23">
        <f>D81</f>
        <v>107</v>
      </c>
      <c r="Y81" s="21">
        <f>E81</f>
        <v>32</v>
      </c>
      <c r="Z81" s="28">
        <f>H81</f>
        <v>364</v>
      </c>
      <c r="AA81" s="6">
        <f>I81</f>
        <v>105000</v>
      </c>
      <c r="AB81" s="6">
        <f>K81</f>
        <v>68000</v>
      </c>
      <c r="AC81" s="6">
        <f t="shared" si="49"/>
        <v>37000</v>
      </c>
      <c r="AD81" s="7">
        <f t="shared" si="49"/>
        <v>0.64761904761904765</v>
      </c>
      <c r="AE81" s="12">
        <f t="shared" si="49"/>
        <v>3281.25</v>
      </c>
      <c r="AF81" s="13" t="str">
        <f>S81</f>
        <v>계</v>
      </c>
      <c r="AG81" s="13" t="str">
        <f>Q81&amp;"/"&amp;R81</f>
        <v>3/2</v>
      </c>
      <c r="AI81" s="32" t="str">
        <f t="shared" si="43"/>
        <v>향촌현대4차</v>
      </c>
      <c r="AJ81" s="21">
        <f t="shared" si="42"/>
        <v>32</v>
      </c>
      <c r="AK81" s="13" t="str">
        <f>IF(AJ81="","",$AK$2)</f>
        <v>A-</v>
      </c>
      <c r="AL81" s="13"/>
      <c r="AM81" s="13"/>
      <c r="AN81" s="13"/>
      <c r="AO81" s="13" t="str">
        <f>IF(AJ81="","",$AO$2)</f>
        <v>C</v>
      </c>
      <c r="AP81" s="13" t="str">
        <f>IF(N81="","",IF(N81&gt;=$AP$1/100,"O","X"))</f>
        <v>X</v>
      </c>
      <c r="AQ81" s="13" t="str">
        <f>IF(I81="","",IF(I81&lt;=$AQ$1,"O","X"))</f>
        <v>X</v>
      </c>
      <c r="AR81" s="13" t="str">
        <f>IF(O81="","",IF(O81&lt;=$AR$1,"O","X"))</f>
        <v>X</v>
      </c>
      <c r="AS81" s="13" t="str">
        <f>IF(M81="","",IF(M81&lt;=$AS$1,"O","X"))</f>
        <v>X</v>
      </c>
      <c r="AT81" s="13" t="s">
        <v>32</v>
      </c>
      <c r="AU81" s="13" t="str">
        <f>IF(OR(F81="",AJ81=""),"",IF(AND((F81&lt;=85),(AJ81&gt;=15)),"O","X"))</f>
        <v>O</v>
      </c>
      <c r="AV81" s="13" t="str">
        <f>IF(C81="","",IF(C81&gt;=$AV$1,"O","X"))</f>
        <v>O</v>
      </c>
      <c r="AW81" s="13" t="str">
        <f>IF(AP81="","",IF(AND(AP81="O",AQ81="O",AS81="O",AU81="O",AV81="O"),"후보","X"))</f>
        <v>X</v>
      </c>
    </row>
    <row r="82" spans="1:49" x14ac:dyDescent="0.3">
      <c r="A82" s="5"/>
      <c r="B82" s="13"/>
      <c r="C82" s="9"/>
      <c r="D82" s="5"/>
      <c r="E82" s="18"/>
      <c r="F82" s="23"/>
      <c r="G82" s="5"/>
      <c r="H82" s="5"/>
      <c r="I82" s="5"/>
      <c r="J82" s="8"/>
      <c r="K82" s="5"/>
      <c r="L82" s="8"/>
      <c r="M82" s="5"/>
      <c r="N82" s="5"/>
      <c r="O82" s="12"/>
      <c r="P82" s="12"/>
      <c r="Q82" s="21"/>
      <c r="R82" s="21"/>
      <c r="S82" s="5"/>
      <c r="T82" s="59"/>
      <c r="U82" s="5"/>
      <c r="V82" s="5"/>
      <c r="X82" s="90" t="str">
        <f>$A$4&amp;" "&amp;A83&amp;"("&amp;B83&amp;","&amp;C83&amp;"^)"</f>
        <v>평촌동 초원3단지대원('93.07,752^)</v>
      </c>
      <c r="Y82" s="91"/>
      <c r="Z82" s="91"/>
      <c r="AA82" s="91"/>
      <c r="AB82" s="91"/>
      <c r="AC82" s="91"/>
      <c r="AD82" s="91"/>
      <c r="AE82" s="91"/>
      <c r="AF82" s="91"/>
      <c r="AG82" s="92"/>
      <c r="AI82" s="32" t="str">
        <f t="shared" si="43"/>
        <v/>
      </c>
      <c r="AJ82" s="33" t="str">
        <f t="shared" si="42"/>
        <v/>
      </c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</row>
    <row r="83" spans="1:49" x14ac:dyDescent="0.3">
      <c r="A83" s="5" t="s">
        <v>1719</v>
      </c>
      <c r="B83" s="14" t="s">
        <v>1449</v>
      </c>
      <c r="C83" s="25">
        <v>752</v>
      </c>
      <c r="D83" s="23">
        <v>76.7</v>
      </c>
      <c r="E83" s="21">
        <v>23</v>
      </c>
      <c r="F83" s="23">
        <v>59.9</v>
      </c>
      <c r="G83" s="24">
        <v>18</v>
      </c>
      <c r="H83" s="25">
        <v>180</v>
      </c>
      <c r="I83" s="29">
        <v>66000</v>
      </c>
      <c r="J83" s="106" t="s">
        <v>2049</v>
      </c>
      <c r="K83" s="29">
        <v>39000</v>
      </c>
      <c r="L83" s="106" t="s">
        <v>2013</v>
      </c>
      <c r="M83" s="6">
        <f>I83-K83</f>
        <v>27000</v>
      </c>
      <c r="N83" s="7">
        <f>IF(ISERROR(K83/I83),"",K83/I83)</f>
        <v>0.59090909090909094</v>
      </c>
      <c r="O83" s="12">
        <f>I83/E83</f>
        <v>2869.5652173913045</v>
      </c>
      <c r="P83" s="12">
        <f>K83/E83</f>
        <v>1695.6521739130435</v>
      </c>
      <c r="Q83" s="13">
        <v>3</v>
      </c>
      <c r="R83" s="13">
        <v>1</v>
      </c>
      <c r="S83" s="13" t="s">
        <v>51</v>
      </c>
      <c r="T83" s="8" t="s">
        <v>1720</v>
      </c>
      <c r="U83" s="5"/>
      <c r="V83" s="5" t="s">
        <v>1721</v>
      </c>
      <c r="X83" s="23">
        <f t="shared" ref="X83:Y86" si="50">D83</f>
        <v>76.7</v>
      </c>
      <c r="Y83" s="21">
        <f t="shared" si="50"/>
        <v>23</v>
      </c>
      <c r="Z83" s="28">
        <f t="shared" ref="Z83:AA86" si="51">H83</f>
        <v>180</v>
      </c>
      <c r="AA83" s="6">
        <f t="shared" si="51"/>
        <v>66000</v>
      </c>
      <c r="AB83" s="6">
        <f>K83</f>
        <v>39000</v>
      </c>
      <c r="AC83" s="6">
        <f t="shared" ref="AC83:AE86" si="52">M83</f>
        <v>27000</v>
      </c>
      <c r="AD83" s="7">
        <f t="shared" si="52"/>
        <v>0.59090909090909094</v>
      </c>
      <c r="AE83" s="12">
        <f t="shared" si="52"/>
        <v>2869.5652173913045</v>
      </c>
      <c r="AF83" s="13" t="str">
        <f>S83</f>
        <v>계</v>
      </c>
      <c r="AG83" s="13" t="str">
        <f>Q83&amp;"/"&amp;R83</f>
        <v>3/1</v>
      </c>
      <c r="AI83" s="32" t="str">
        <f t="shared" si="43"/>
        <v>초원3단지대원</v>
      </c>
      <c r="AJ83" s="21">
        <f t="shared" si="42"/>
        <v>23</v>
      </c>
      <c r="AK83" s="13" t="str">
        <f>IF(AJ83="","",$AK$2)</f>
        <v>A-</v>
      </c>
      <c r="AL83" s="13"/>
      <c r="AM83" s="13"/>
      <c r="AN83" s="13"/>
      <c r="AO83" s="13" t="str">
        <f>IF(AJ83="","",$AO$2)</f>
        <v>C</v>
      </c>
      <c r="AP83" s="13" t="str">
        <f>IF(N83="","",IF(N83&gt;=$AP$1/100,"O","X"))</f>
        <v>X</v>
      </c>
      <c r="AQ83" s="13" t="str">
        <f>IF(I83="","",IF(I83&lt;=$AQ$1,"O","X"))</f>
        <v>X</v>
      </c>
      <c r="AR83" s="13" t="str">
        <f>IF(O83="","",IF(O83&lt;=$AR$1,"O","X"))</f>
        <v>X</v>
      </c>
      <c r="AS83" s="13" t="str">
        <f>IF(M83="","",IF(M83&lt;=$AS$1,"O","X"))</f>
        <v>X</v>
      </c>
      <c r="AT83" s="13" t="s">
        <v>32</v>
      </c>
      <c r="AU83" s="13" t="str">
        <f>IF(OR(F83="",AJ83=""),"",IF(AND((F83&lt;=85),(AJ83&gt;=15)),"O","X"))</f>
        <v>O</v>
      </c>
      <c r="AV83" s="13" t="str">
        <f>IF(C83="","",IF(C83&gt;=$AV$1,"O","X"))</f>
        <v>O</v>
      </c>
      <c r="AW83" s="13" t="str">
        <f>IF(AP83="","",IF(AND(AP83="O",AQ83="O",AS83="O",AU83="O",AV83="O"),"후보","X"))</f>
        <v>X</v>
      </c>
    </row>
    <row r="84" spans="1:49" x14ac:dyDescent="0.3">
      <c r="A84" s="5" t="s">
        <v>1719</v>
      </c>
      <c r="B84" s="14" t="s">
        <v>1449</v>
      </c>
      <c r="C84" s="25">
        <v>752</v>
      </c>
      <c r="D84" s="23">
        <v>76.7</v>
      </c>
      <c r="E84" s="21">
        <v>23</v>
      </c>
      <c r="F84" s="23">
        <v>59.9</v>
      </c>
      <c r="G84" s="24">
        <v>18</v>
      </c>
      <c r="H84" s="25">
        <v>90</v>
      </c>
      <c r="I84" s="29">
        <v>70000</v>
      </c>
      <c r="J84" s="106"/>
      <c r="K84" s="29">
        <v>43000</v>
      </c>
      <c r="L84" s="106"/>
      <c r="M84" s="6">
        <f>I84-K84</f>
        <v>27000</v>
      </c>
      <c r="N84" s="7">
        <f>IF(ISERROR(K84/I84),"",K84/I84)</f>
        <v>0.61428571428571432</v>
      </c>
      <c r="O84" s="12">
        <f>I84/E84</f>
        <v>3043.478260869565</v>
      </c>
      <c r="P84" s="12">
        <f>K84/E84</f>
        <v>1869.5652173913043</v>
      </c>
      <c r="Q84" s="13">
        <v>3</v>
      </c>
      <c r="R84" s="13">
        <v>1</v>
      </c>
      <c r="S84" s="13" t="s">
        <v>51</v>
      </c>
      <c r="T84" s="8" t="s">
        <v>1722</v>
      </c>
      <c r="U84" s="5"/>
      <c r="V84" s="5" t="s">
        <v>1721</v>
      </c>
      <c r="X84" s="23">
        <f t="shared" si="50"/>
        <v>76.7</v>
      </c>
      <c r="Y84" s="21">
        <f t="shared" si="50"/>
        <v>23</v>
      </c>
      <c r="Z84" s="28">
        <f t="shared" si="51"/>
        <v>90</v>
      </c>
      <c r="AA84" s="6">
        <f t="shared" si="51"/>
        <v>70000</v>
      </c>
      <c r="AB84" s="6">
        <f>K84</f>
        <v>43000</v>
      </c>
      <c r="AC84" s="6">
        <f t="shared" si="52"/>
        <v>27000</v>
      </c>
      <c r="AD84" s="7">
        <f t="shared" si="52"/>
        <v>0.61428571428571432</v>
      </c>
      <c r="AE84" s="12">
        <f t="shared" si="52"/>
        <v>3043.478260869565</v>
      </c>
      <c r="AF84" s="13" t="str">
        <f>S84</f>
        <v>계</v>
      </c>
      <c r="AG84" s="13" t="str">
        <f>Q84&amp;"/"&amp;R84</f>
        <v>3/1</v>
      </c>
      <c r="AI84" s="32" t="str">
        <f t="shared" si="43"/>
        <v>초원3단지대원</v>
      </c>
      <c r="AJ84" s="21">
        <f t="shared" si="42"/>
        <v>23</v>
      </c>
      <c r="AK84" s="13" t="str">
        <f>IF(AJ84="","",$AK$2)</f>
        <v>A-</v>
      </c>
      <c r="AL84" s="13"/>
      <c r="AM84" s="13"/>
      <c r="AN84" s="13"/>
      <c r="AO84" s="13" t="str">
        <f>IF(AJ84="","",$AO$2)</f>
        <v>C</v>
      </c>
      <c r="AP84" s="13" t="str">
        <f>IF(N84="","",IF(N84&gt;=$AP$1/100,"O","X"))</f>
        <v>X</v>
      </c>
      <c r="AQ84" s="13" t="str">
        <f>IF(I84="","",IF(I84&lt;=$AQ$1,"O","X"))</f>
        <v>X</v>
      </c>
      <c r="AR84" s="13" t="str">
        <f>IF(O84="","",IF(O84&lt;=$AR$1,"O","X"))</f>
        <v>X</v>
      </c>
      <c r="AS84" s="13" t="str">
        <f>IF(M84="","",IF(M84&lt;=$AS$1,"O","X"))</f>
        <v>X</v>
      </c>
      <c r="AT84" s="13" t="s">
        <v>32</v>
      </c>
      <c r="AU84" s="13" t="str">
        <f>IF(OR(F84="",AJ84=""),"",IF(AND((F84&lt;=85),(AJ84&gt;=15)),"O","X"))</f>
        <v>O</v>
      </c>
      <c r="AV84" s="13" t="str">
        <f>IF(C84="","",IF(C84&gt;=$AV$1,"O","X"))</f>
        <v>O</v>
      </c>
      <c r="AW84" s="13" t="str">
        <f>IF(AP84="","",IF(AND(AP84="O",AQ84="O",AS84="O",AU84="O",AV84="O"),"후보","X"))</f>
        <v>X</v>
      </c>
    </row>
    <row r="85" spans="1:49" x14ac:dyDescent="0.3">
      <c r="A85" s="5" t="s">
        <v>1719</v>
      </c>
      <c r="B85" s="14" t="s">
        <v>1449</v>
      </c>
      <c r="C85" s="25">
        <v>752</v>
      </c>
      <c r="D85" s="23">
        <v>104</v>
      </c>
      <c r="E85" s="21">
        <v>31</v>
      </c>
      <c r="F85" s="23">
        <v>85</v>
      </c>
      <c r="G85" s="24">
        <v>26</v>
      </c>
      <c r="H85" s="25">
        <v>330</v>
      </c>
      <c r="I85" s="29">
        <v>80000</v>
      </c>
      <c r="J85" s="106" t="s">
        <v>1972</v>
      </c>
      <c r="K85" s="29">
        <v>55000</v>
      </c>
      <c r="L85" s="106" t="s">
        <v>1971</v>
      </c>
      <c r="M85" s="6">
        <f>I85-K85</f>
        <v>25000</v>
      </c>
      <c r="N85" s="7">
        <f>IF(ISERROR(K85/I85),"",K85/I85)</f>
        <v>0.6875</v>
      </c>
      <c r="O85" s="12">
        <f>I85/E85</f>
        <v>2580.6451612903224</v>
      </c>
      <c r="P85" s="12">
        <f>K85/E85</f>
        <v>1774.1935483870968</v>
      </c>
      <c r="Q85" s="13">
        <v>3</v>
      </c>
      <c r="R85" s="13">
        <v>2</v>
      </c>
      <c r="S85" s="13" t="s">
        <v>51</v>
      </c>
      <c r="T85" s="8">
        <v>103</v>
      </c>
      <c r="U85" s="5"/>
      <c r="V85" s="5" t="s">
        <v>1723</v>
      </c>
      <c r="X85" s="23">
        <f t="shared" si="50"/>
        <v>104</v>
      </c>
      <c r="Y85" s="21">
        <f t="shared" si="50"/>
        <v>31</v>
      </c>
      <c r="Z85" s="28">
        <f t="shared" si="51"/>
        <v>330</v>
      </c>
      <c r="AA85" s="6">
        <f t="shared" si="51"/>
        <v>80000</v>
      </c>
      <c r="AB85" s="6">
        <f>K85</f>
        <v>55000</v>
      </c>
      <c r="AC85" s="6">
        <f t="shared" si="52"/>
        <v>25000</v>
      </c>
      <c r="AD85" s="7">
        <f t="shared" si="52"/>
        <v>0.6875</v>
      </c>
      <c r="AE85" s="12">
        <f t="shared" si="52"/>
        <v>2580.6451612903224</v>
      </c>
      <c r="AF85" s="13" t="str">
        <f>S85</f>
        <v>계</v>
      </c>
      <c r="AG85" s="13" t="str">
        <f>Q85&amp;"/"&amp;R85</f>
        <v>3/2</v>
      </c>
      <c r="AI85" s="32" t="str">
        <f t="shared" si="43"/>
        <v>초원3단지대원</v>
      </c>
      <c r="AJ85" s="21">
        <f t="shared" si="42"/>
        <v>31</v>
      </c>
      <c r="AK85" s="13" t="str">
        <f>IF(AJ85="","",$AK$2)</f>
        <v>A-</v>
      </c>
      <c r="AL85" s="13"/>
      <c r="AM85" s="13"/>
      <c r="AN85" s="13"/>
      <c r="AO85" s="13" t="str">
        <f>IF(AJ85="","",$AO$2)</f>
        <v>C</v>
      </c>
      <c r="AP85" s="13" t="str">
        <f>IF(N85="","",IF(N85&gt;=$AP$1/100,"O","X"))</f>
        <v>X</v>
      </c>
      <c r="AQ85" s="13" t="str">
        <f>IF(I85="","",IF(I85&lt;=$AQ$1,"O","X"))</f>
        <v>X</v>
      </c>
      <c r="AR85" s="13" t="str">
        <f>IF(O85="","",IF(O85&lt;=$AR$1,"O","X"))</f>
        <v>X</v>
      </c>
      <c r="AS85" s="13" t="str">
        <f>IF(M85="","",IF(M85&lt;=$AS$1,"O","X"))</f>
        <v>X</v>
      </c>
      <c r="AT85" s="13" t="s">
        <v>32</v>
      </c>
      <c r="AU85" s="13" t="str">
        <f>IF(OR(F85="",AJ85=""),"",IF(AND((F85&lt;=85),(AJ85&gt;=15)),"O","X"))</f>
        <v>O</v>
      </c>
      <c r="AV85" s="13" t="str">
        <f>IF(C85="","",IF(C85&gt;=$AV$1,"O","X"))</f>
        <v>O</v>
      </c>
      <c r="AW85" s="13" t="str">
        <f>IF(AP85="","",IF(AND(AP85="O",AQ85="O",AS85="O",AU85="O",AV85="O"),"후보","X"))</f>
        <v>X</v>
      </c>
    </row>
    <row r="86" spans="1:49" x14ac:dyDescent="0.3">
      <c r="A86" s="5" t="s">
        <v>1719</v>
      </c>
      <c r="B86" s="14" t="s">
        <v>1449</v>
      </c>
      <c r="C86" s="25">
        <v>752</v>
      </c>
      <c r="D86" s="23">
        <v>106</v>
      </c>
      <c r="E86" s="21">
        <v>32</v>
      </c>
      <c r="F86" s="23">
        <v>85</v>
      </c>
      <c r="G86" s="24">
        <v>26</v>
      </c>
      <c r="H86" s="25">
        <v>152</v>
      </c>
      <c r="I86" s="29">
        <v>90000</v>
      </c>
      <c r="J86" s="106" t="s">
        <v>2050</v>
      </c>
      <c r="K86" s="29">
        <v>49000</v>
      </c>
      <c r="L86" s="106" t="s">
        <v>2051</v>
      </c>
      <c r="M86" s="6">
        <f>I86-K86</f>
        <v>41000</v>
      </c>
      <c r="N86" s="7">
        <f>IF(ISERROR(K86/I86),"",K86/I86)</f>
        <v>0.5444444444444444</v>
      </c>
      <c r="O86" s="12">
        <f>I86/E86</f>
        <v>2812.5</v>
      </c>
      <c r="P86" s="12">
        <f>K86/E86</f>
        <v>1531.25</v>
      </c>
      <c r="Q86" s="13">
        <v>3</v>
      </c>
      <c r="R86" s="13">
        <v>2</v>
      </c>
      <c r="S86" s="13" t="s">
        <v>51</v>
      </c>
      <c r="T86" s="8">
        <v>105</v>
      </c>
      <c r="U86" s="5"/>
      <c r="V86" s="5" t="s">
        <v>1724</v>
      </c>
      <c r="X86" s="23">
        <f t="shared" si="50"/>
        <v>106</v>
      </c>
      <c r="Y86" s="21">
        <f t="shared" si="50"/>
        <v>32</v>
      </c>
      <c r="Z86" s="28">
        <f t="shared" si="51"/>
        <v>152</v>
      </c>
      <c r="AA86" s="6">
        <f t="shared" si="51"/>
        <v>90000</v>
      </c>
      <c r="AB86" s="6">
        <f>K86</f>
        <v>49000</v>
      </c>
      <c r="AC86" s="6">
        <f t="shared" si="52"/>
        <v>41000</v>
      </c>
      <c r="AD86" s="7">
        <f t="shared" si="52"/>
        <v>0.5444444444444444</v>
      </c>
      <c r="AE86" s="12">
        <f t="shared" si="52"/>
        <v>2812.5</v>
      </c>
      <c r="AF86" s="13" t="str">
        <f>S86</f>
        <v>계</v>
      </c>
      <c r="AG86" s="13" t="str">
        <f>Q86&amp;"/"&amp;R86</f>
        <v>3/2</v>
      </c>
      <c r="AI86" s="32" t="str">
        <f t="shared" si="43"/>
        <v>초원3단지대원</v>
      </c>
      <c r="AJ86" s="21">
        <f t="shared" si="42"/>
        <v>32</v>
      </c>
      <c r="AK86" s="13" t="str">
        <f>IF(AJ86="","",$AK$2)</f>
        <v>A-</v>
      </c>
      <c r="AL86" s="13"/>
      <c r="AM86" s="13"/>
      <c r="AN86" s="13"/>
      <c r="AO86" s="13" t="str">
        <f>IF(AJ86="","",$AO$2)</f>
        <v>C</v>
      </c>
      <c r="AP86" s="13" t="str">
        <f>IF(N86="","",IF(N86&gt;=$AP$1/100,"O","X"))</f>
        <v>X</v>
      </c>
      <c r="AQ86" s="13" t="str">
        <f>IF(I86="","",IF(I86&lt;=$AQ$1,"O","X"))</f>
        <v>X</v>
      </c>
      <c r="AR86" s="13" t="str">
        <f>IF(O86="","",IF(O86&lt;=$AR$1,"O","X"))</f>
        <v>X</v>
      </c>
      <c r="AS86" s="13" t="str">
        <f>IF(M86="","",IF(M86&lt;=$AS$1,"O","X"))</f>
        <v>X</v>
      </c>
      <c r="AT86" s="13" t="s">
        <v>32</v>
      </c>
      <c r="AU86" s="13" t="str">
        <f>IF(OR(F86="",AJ86=""),"",IF(AND((F86&lt;=85),(AJ86&gt;=15)),"O","X"))</f>
        <v>O</v>
      </c>
      <c r="AV86" s="13" t="str">
        <f>IF(C86="","",IF(C86&gt;=$AV$1,"O","X"))</f>
        <v>O</v>
      </c>
      <c r="AW86" s="13" t="str">
        <f>IF(AP86="","",IF(AND(AP86="O",AQ86="O",AS86="O",AU86="O",AV86="O"),"후보","X"))</f>
        <v>X</v>
      </c>
    </row>
    <row r="87" spans="1:49" x14ac:dyDescent="0.3">
      <c r="A87" s="5"/>
      <c r="B87" s="13"/>
      <c r="C87" s="9"/>
      <c r="D87" s="5"/>
      <c r="E87" s="18"/>
      <c r="F87" s="23"/>
      <c r="G87" s="5"/>
      <c r="H87" s="5"/>
      <c r="I87" s="5"/>
      <c r="J87" s="8"/>
      <c r="K87" s="5"/>
      <c r="L87" s="8"/>
      <c r="M87" s="5"/>
      <c r="N87" s="5"/>
      <c r="O87" s="12"/>
      <c r="P87" s="12"/>
      <c r="Q87" s="21"/>
      <c r="R87" s="21"/>
      <c r="S87" s="5"/>
      <c r="T87" s="59"/>
      <c r="U87" s="5"/>
      <c r="V87" s="5"/>
      <c r="X87" s="90" t="str">
        <f>$A$4&amp;" "&amp;A88&amp;"("&amp;B88&amp;","&amp;C88&amp;"^)"</f>
        <v>평촌동 초원5단지LG('93.1,656^)</v>
      </c>
      <c r="Y87" s="91"/>
      <c r="Z87" s="91"/>
      <c r="AA87" s="91"/>
      <c r="AB87" s="91"/>
      <c r="AC87" s="91"/>
      <c r="AD87" s="91"/>
      <c r="AE87" s="91"/>
      <c r="AF87" s="91"/>
      <c r="AG87" s="92"/>
      <c r="AI87" s="32" t="str">
        <f t="shared" si="43"/>
        <v/>
      </c>
      <c r="AJ87" s="33" t="str">
        <f t="shared" si="42"/>
        <v/>
      </c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</row>
    <row r="88" spans="1:49" x14ac:dyDescent="0.3">
      <c r="A88" s="5" t="s">
        <v>1725</v>
      </c>
      <c r="B88" s="14" t="s">
        <v>1598</v>
      </c>
      <c r="C88" s="25">
        <v>656</v>
      </c>
      <c r="D88" s="23">
        <v>77.5</v>
      </c>
      <c r="E88" s="21">
        <v>23</v>
      </c>
      <c r="F88" s="23">
        <v>59.8</v>
      </c>
      <c r="G88" s="24">
        <v>18</v>
      </c>
      <c r="H88" s="25">
        <v>210</v>
      </c>
      <c r="I88" s="29">
        <v>70000</v>
      </c>
      <c r="J88" s="106" t="s">
        <v>2035</v>
      </c>
      <c r="K88" s="29">
        <v>40000</v>
      </c>
      <c r="L88" s="106" t="s">
        <v>1973</v>
      </c>
      <c r="M88" s="6">
        <f>I88-K88</f>
        <v>30000</v>
      </c>
      <c r="N88" s="7">
        <f>IF(ISERROR(K88/I88),"",K88/I88)</f>
        <v>0.5714285714285714</v>
      </c>
      <c r="O88" s="12">
        <f>I88/E88</f>
        <v>3043.478260869565</v>
      </c>
      <c r="P88" s="12">
        <f>K88/E88</f>
        <v>1739.1304347826087</v>
      </c>
      <c r="Q88" s="13">
        <v>3</v>
      </c>
      <c r="R88" s="13">
        <v>1</v>
      </c>
      <c r="S88" s="13" t="s">
        <v>51</v>
      </c>
      <c r="T88" s="8">
        <v>77</v>
      </c>
      <c r="U88" s="5"/>
      <c r="V88" s="5" t="s">
        <v>1726</v>
      </c>
      <c r="X88" s="23">
        <f>D88</f>
        <v>77.5</v>
      </c>
      <c r="Y88" s="21">
        <f>E88</f>
        <v>23</v>
      </c>
      <c r="Z88" s="28">
        <f>H88</f>
        <v>210</v>
      </c>
      <c r="AA88" s="6">
        <f>I88</f>
        <v>70000</v>
      </c>
      <c r="AB88" s="6">
        <f>K88</f>
        <v>40000</v>
      </c>
      <c r="AC88" s="6">
        <f t="shared" ref="AC88:AE89" si="53">M88</f>
        <v>30000</v>
      </c>
      <c r="AD88" s="7">
        <f t="shared" si="53"/>
        <v>0.5714285714285714</v>
      </c>
      <c r="AE88" s="12">
        <f t="shared" si="53"/>
        <v>3043.478260869565</v>
      </c>
      <c r="AF88" s="13" t="str">
        <f>S88</f>
        <v>계</v>
      </c>
      <c r="AG88" s="13" t="str">
        <f>Q88&amp;"/"&amp;R88</f>
        <v>3/1</v>
      </c>
      <c r="AI88" s="32" t="str">
        <f t="shared" si="43"/>
        <v>초원5단지LG</v>
      </c>
      <c r="AJ88" s="21">
        <f t="shared" si="42"/>
        <v>23</v>
      </c>
      <c r="AK88" s="13" t="str">
        <f>IF(AJ88="","",$AK$2)</f>
        <v>A-</v>
      </c>
      <c r="AL88" s="13"/>
      <c r="AM88" s="13"/>
      <c r="AN88" s="13"/>
      <c r="AO88" s="13" t="str">
        <f>IF(AJ88="","",$AO$2)</f>
        <v>C</v>
      </c>
      <c r="AP88" s="13" t="str">
        <f>IF(N88="","",IF(N88&gt;=$AP$1/100,"O","X"))</f>
        <v>X</v>
      </c>
      <c r="AQ88" s="13" t="str">
        <f>IF(I88="","",IF(I88&lt;=$AQ$1,"O","X"))</f>
        <v>X</v>
      </c>
      <c r="AR88" s="13" t="str">
        <f>IF(O88="","",IF(O88&lt;=$AR$1,"O","X"))</f>
        <v>X</v>
      </c>
      <c r="AS88" s="13" t="str">
        <f>IF(M88="","",IF(M88&lt;=$AS$1,"O","X"))</f>
        <v>X</v>
      </c>
      <c r="AT88" s="13" t="s">
        <v>32</v>
      </c>
      <c r="AU88" s="13" t="str">
        <f>IF(OR(F88="",AJ88=""),"",IF(AND((F88&lt;=85),(AJ88&gt;=15)),"O","X"))</f>
        <v>O</v>
      </c>
      <c r="AV88" s="13" t="str">
        <f>IF(C88="","",IF(C88&gt;=$AV$1,"O","X"))</f>
        <v>O</v>
      </c>
      <c r="AW88" s="13" t="str">
        <f>IF(AP88="","",IF(AND(AP88="O",AQ88="O",AS88="O",AU88="O",AV88="O"),"후보","X"))</f>
        <v>X</v>
      </c>
    </row>
    <row r="89" spans="1:49" x14ac:dyDescent="0.3">
      <c r="A89" s="5" t="s">
        <v>1725</v>
      </c>
      <c r="B89" s="14" t="s">
        <v>1598</v>
      </c>
      <c r="C89" s="25">
        <v>656</v>
      </c>
      <c r="D89" s="23">
        <v>106.3</v>
      </c>
      <c r="E89" s="21">
        <v>32</v>
      </c>
      <c r="F89" s="23">
        <v>84.9</v>
      </c>
      <c r="G89" s="24">
        <v>26</v>
      </c>
      <c r="H89" s="25">
        <v>446</v>
      </c>
      <c r="I89" s="29">
        <v>77500</v>
      </c>
      <c r="J89" s="106" t="s">
        <v>2052</v>
      </c>
      <c r="K89" s="29">
        <v>54000</v>
      </c>
      <c r="L89" s="106" t="s">
        <v>2034</v>
      </c>
      <c r="M89" s="6">
        <f>I89-K89</f>
        <v>23500</v>
      </c>
      <c r="N89" s="7">
        <f>IF(ISERROR(K89/I89),"",K89/I89)</f>
        <v>0.6967741935483871</v>
      </c>
      <c r="O89" s="12">
        <f>I89/E89</f>
        <v>2421.875</v>
      </c>
      <c r="P89" s="12">
        <f>K89/E89</f>
        <v>1687.5</v>
      </c>
      <c r="Q89" s="13">
        <v>3</v>
      </c>
      <c r="R89" s="13">
        <v>2</v>
      </c>
      <c r="S89" s="13" t="s">
        <v>51</v>
      </c>
      <c r="T89" s="8">
        <v>106</v>
      </c>
      <c r="U89" s="5"/>
      <c r="V89" s="5" t="s">
        <v>1727</v>
      </c>
      <c r="X89" s="23">
        <f>D89</f>
        <v>106.3</v>
      </c>
      <c r="Y89" s="21">
        <f>E89</f>
        <v>32</v>
      </c>
      <c r="Z89" s="28">
        <f>H89</f>
        <v>446</v>
      </c>
      <c r="AA89" s="6">
        <f>I89</f>
        <v>77500</v>
      </c>
      <c r="AB89" s="6">
        <f>K89</f>
        <v>54000</v>
      </c>
      <c r="AC89" s="6">
        <f t="shared" si="53"/>
        <v>23500</v>
      </c>
      <c r="AD89" s="7">
        <f t="shared" si="53"/>
        <v>0.6967741935483871</v>
      </c>
      <c r="AE89" s="12">
        <f t="shared" si="53"/>
        <v>2421.875</v>
      </c>
      <c r="AF89" s="13" t="str">
        <f>S89</f>
        <v>계</v>
      </c>
      <c r="AG89" s="13" t="str">
        <f>Q89&amp;"/"&amp;R89</f>
        <v>3/2</v>
      </c>
      <c r="AI89" s="32" t="str">
        <f t="shared" si="43"/>
        <v>초원5단지LG</v>
      </c>
      <c r="AJ89" s="21">
        <f t="shared" si="42"/>
        <v>32</v>
      </c>
      <c r="AK89" s="13" t="str">
        <f>IF(AJ89="","",$AK$2)</f>
        <v>A-</v>
      </c>
      <c r="AL89" s="13"/>
      <c r="AM89" s="13"/>
      <c r="AN89" s="13"/>
      <c r="AO89" s="13" t="str">
        <f>IF(AJ89="","",$AO$2)</f>
        <v>C</v>
      </c>
      <c r="AP89" s="13" t="str">
        <f>IF(N89="","",IF(N89&gt;=$AP$1/100,"O","X"))</f>
        <v>X</v>
      </c>
      <c r="AQ89" s="13" t="str">
        <f>IF(I89="","",IF(I89&lt;=$AQ$1,"O","X"))</f>
        <v>X</v>
      </c>
      <c r="AR89" s="13" t="str">
        <f>IF(O89="","",IF(O89&lt;=$AR$1,"O","X"))</f>
        <v>X</v>
      </c>
      <c r="AS89" s="13" t="str">
        <f>IF(M89="","",IF(M89&lt;=$AS$1,"O","X"))</f>
        <v>X</v>
      </c>
      <c r="AT89" s="13" t="s">
        <v>32</v>
      </c>
      <c r="AU89" s="13" t="str">
        <f>IF(OR(F89="",AJ89=""),"",IF(AND((F89&lt;=85),(AJ89&gt;=15)),"O","X"))</f>
        <v>O</v>
      </c>
      <c r="AV89" s="13" t="str">
        <f>IF(C89="","",IF(C89&gt;=$AV$1,"O","X"))</f>
        <v>O</v>
      </c>
      <c r="AW89" s="13" t="str">
        <f>IF(AP89="","",IF(AND(AP89="O",AQ89="O",AS89="O",AU89="O",AV89="O"),"후보","X"))</f>
        <v>X</v>
      </c>
    </row>
  </sheetData>
  <mergeCells count="1">
    <mergeCell ref="AK1:AO1"/>
  </mergeCells>
  <phoneticPr fontId="2" type="noConversion"/>
  <conditionalFormatting sqref="AW4:AW6">
    <cfRule type="expression" dxfId="4879" priority="1289">
      <formula>AW4="X"</formula>
    </cfRule>
    <cfRule type="expression" dxfId="4878" priority="1290">
      <formula>AW4="후보"</formula>
    </cfRule>
  </conditionalFormatting>
  <conditionalFormatting sqref="AA2:AA6">
    <cfRule type="colorScale" priority="12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4877" priority="1286" operator="greaterThan">
      <formula>0.9</formula>
    </cfRule>
    <cfRule type="cellIs" dxfId="4876" priority="1287" operator="greaterThan">
      <formula>0.85</formula>
    </cfRule>
  </conditionalFormatting>
  <conditionalFormatting sqref="N1:N2">
    <cfRule type="cellIs" dxfId="4875" priority="1284" operator="greaterThan">
      <formula>0.9</formula>
    </cfRule>
    <cfRule type="cellIs" dxfId="4874" priority="1285" operator="greaterThan">
      <formula>0.85</formula>
    </cfRule>
  </conditionalFormatting>
  <conditionalFormatting sqref="N6">
    <cfRule type="cellIs" dxfId="4873" priority="1282" operator="greaterThan">
      <formula>0.9</formula>
    </cfRule>
    <cfRule type="cellIs" dxfId="4872" priority="1283" operator="greaterThan">
      <formula>0.85</formula>
    </cfRule>
  </conditionalFormatting>
  <conditionalFormatting sqref="E6">
    <cfRule type="expression" dxfId="4871" priority="1278">
      <formula>AND(IF(OR($Q6=1,$Q6=2),1,0),IF($E6&lt;=20,1,0))</formula>
    </cfRule>
    <cfRule type="expression" dxfId="4870" priority="1279">
      <formula>AND(IF($Q6=2,1,0),IF($E6&lt;30,1,0))</formula>
    </cfRule>
    <cfRule type="expression" dxfId="4869" priority="1280">
      <formula>AND(IF($Q6=3,1,0),IF($E6&lt;30,1,0))</formula>
    </cfRule>
    <cfRule type="expression" dxfId="4868" priority="1281">
      <formula>AND(IF($Q6=3,1,IF($Q6=4,1,0)),IF($F6&lt;=85,1,0))</formula>
    </cfRule>
  </conditionalFormatting>
  <conditionalFormatting sqref="Y6">
    <cfRule type="expression" dxfId="4867" priority="1274">
      <formula>AND(IF(OR($Q6=1,$Q6=2),1,0),IF($Y6&lt;=20,1,0))</formula>
    </cfRule>
    <cfRule type="expression" dxfId="4866" priority="1275">
      <formula>AND(IF($Q6=2,1,0),IF($Y6&lt;30,1,0))</formula>
    </cfRule>
    <cfRule type="expression" dxfId="4865" priority="1276">
      <formula>AND(IF($Q6=3,1,0),IF($Y6&lt;30,1,0))</formula>
    </cfRule>
    <cfRule type="expression" dxfId="4864" priority="1277">
      <formula>AND(IF($Q6=3,1,IF($Q6=4,1,0)),IF($F6&lt;=85,1,0))</formula>
    </cfRule>
  </conditionalFormatting>
  <conditionalFormatting sqref="AJ6">
    <cfRule type="expression" dxfId="4863" priority="1270">
      <formula>AND(IF(OR($Q6=1,$Q6=2),1,0),IF($Y6&lt;=20,1,0))</formula>
    </cfRule>
    <cfRule type="expression" dxfId="4862" priority="1271">
      <formula>AND(IF($Q6=2,1,0),IF($Y6&lt;30,1,0))</formula>
    </cfRule>
    <cfRule type="expression" dxfId="4861" priority="1272">
      <formula>AND(IF($Q6=3,1,0),IF($Y6&lt;30,1,0))</formula>
    </cfRule>
    <cfRule type="expression" dxfId="4860" priority="1273">
      <formula>AND(IF($Q6=3,1,IF($Q6=4,1,0)),IF($F6&lt;=85,1,0))</formula>
    </cfRule>
  </conditionalFormatting>
  <conditionalFormatting sqref="AW7">
    <cfRule type="expression" dxfId="4859" priority="1268">
      <formula>AW7="X"</formula>
    </cfRule>
    <cfRule type="expression" dxfId="4858" priority="1269">
      <formula>AW7="후보"</formula>
    </cfRule>
  </conditionalFormatting>
  <conditionalFormatting sqref="AA7">
    <cfRule type="colorScale" priority="126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4857" priority="1265" operator="greaterThan">
      <formula>0.9</formula>
    </cfRule>
    <cfRule type="cellIs" dxfId="4856" priority="1266" operator="greaterThan">
      <formula>0.85</formula>
    </cfRule>
  </conditionalFormatting>
  <conditionalFormatting sqref="N7">
    <cfRule type="cellIs" dxfId="4855" priority="1263" operator="greaterThan">
      <formula>0.9</formula>
    </cfRule>
    <cfRule type="cellIs" dxfId="4854" priority="1264" operator="greaterThan">
      <formula>0.85</formula>
    </cfRule>
  </conditionalFormatting>
  <conditionalFormatting sqref="E7">
    <cfRule type="expression" dxfId="4853" priority="1259">
      <formula>AND(IF(OR($Q7=1,$Q7=2),1,0),IF($E7&lt;=20,1,0))</formula>
    </cfRule>
    <cfRule type="expression" dxfId="4852" priority="1260">
      <formula>AND(IF($Q7=2,1,0),IF($E7&lt;30,1,0))</formula>
    </cfRule>
    <cfRule type="expression" dxfId="4851" priority="1261">
      <formula>AND(IF($Q7=3,1,0),IF($E7&lt;30,1,0))</formula>
    </cfRule>
    <cfRule type="expression" dxfId="4850" priority="1262">
      <formula>AND(IF($Q7=3,1,IF($Q7=4,1,0)),IF($F7&lt;=85,1,0))</formula>
    </cfRule>
  </conditionalFormatting>
  <conditionalFormatting sqref="Y7">
    <cfRule type="expression" dxfId="4849" priority="1255">
      <formula>AND(IF(OR($Q7=1,$Q7=2),1,0),IF($Y7&lt;=20,1,0))</formula>
    </cfRule>
    <cfRule type="expression" dxfId="4848" priority="1256">
      <formula>AND(IF($Q7=2,1,0),IF($Y7&lt;30,1,0))</formula>
    </cfRule>
    <cfRule type="expression" dxfId="4847" priority="1257">
      <formula>AND(IF($Q7=3,1,0),IF($Y7&lt;30,1,0))</formula>
    </cfRule>
    <cfRule type="expression" dxfId="4846" priority="1258">
      <formula>AND(IF($Q7=3,1,IF($Q7=4,1,0)),IF($F7&lt;=85,1,0))</formula>
    </cfRule>
  </conditionalFormatting>
  <conditionalFormatting sqref="AJ7">
    <cfRule type="expression" dxfId="4845" priority="1251">
      <formula>AND(IF(OR($Q7=1,$Q7=2),1,0),IF($Y7&lt;=20,1,0))</formula>
    </cfRule>
    <cfRule type="expression" dxfId="4844" priority="1252">
      <formula>AND(IF($Q7=2,1,0),IF($Y7&lt;30,1,0))</formula>
    </cfRule>
    <cfRule type="expression" dxfId="4843" priority="1253">
      <formula>AND(IF($Q7=3,1,0),IF($Y7&lt;30,1,0))</formula>
    </cfRule>
    <cfRule type="expression" dxfId="4842" priority="1254">
      <formula>AND(IF($Q7=3,1,IF($Q7=4,1,0)),IF($F7&lt;=85,1,0))</formula>
    </cfRule>
  </conditionalFormatting>
  <conditionalFormatting sqref="AW8">
    <cfRule type="expression" dxfId="4841" priority="1249">
      <formula>AW8="X"</formula>
    </cfRule>
    <cfRule type="expression" dxfId="4840" priority="1250">
      <formula>AW8="후보"</formula>
    </cfRule>
  </conditionalFormatting>
  <conditionalFormatting sqref="AA8">
    <cfRule type="colorScale" priority="124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4839" priority="1246" operator="greaterThan">
      <formula>0.9</formula>
    </cfRule>
    <cfRule type="cellIs" dxfId="4838" priority="1247" operator="greaterThan">
      <formula>0.85</formula>
    </cfRule>
  </conditionalFormatting>
  <conditionalFormatting sqref="N8">
    <cfRule type="cellIs" dxfId="4837" priority="1244" operator="greaterThan">
      <formula>0.9</formula>
    </cfRule>
    <cfRule type="cellIs" dxfId="4836" priority="1245" operator="greaterThan">
      <formula>0.85</formula>
    </cfRule>
  </conditionalFormatting>
  <conditionalFormatting sqref="E8">
    <cfRule type="expression" dxfId="4835" priority="1240">
      <formula>AND(IF(OR($Q8=1,$Q8=2),1,0),IF($E8&lt;=20,1,0))</formula>
    </cfRule>
    <cfRule type="expression" dxfId="4834" priority="1241">
      <formula>AND(IF($Q8=2,1,0),IF($E8&lt;30,1,0))</formula>
    </cfRule>
    <cfRule type="expression" dxfId="4833" priority="1242">
      <formula>AND(IF($Q8=3,1,0),IF($E8&lt;30,1,0))</formula>
    </cfRule>
    <cfRule type="expression" dxfId="4832" priority="1243">
      <formula>AND(IF($Q8=3,1,IF($Q8=4,1,0)),IF($F8&lt;=85,1,0))</formula>
    </cfRule>
  </conditionalFormatting>
  <conditionalFormatting sqref="Y8">
    <cfRule type="expression" dxfId="4831" priority="1236">
      <formula>AND(IF(OR($Q8=1,$Q8=2),1,0),IF($Y8&lt;=20,1,0))</formula>
    </cfRule>
    <cfRule type="expression" dxfId="4830" priority="1237">
      <formula>AND(IF($Q8=2,1,0),IF($Y8&lt;30,1,0))</formula>
    </cfRule>
    <cfRule type="expression" dxfId="4829" priority="1238">
      <formula>AND(IF($Q8=3,1,0),IF($Y8&lt;30,1,0))</formula>
    </cfRule>
    <cfRule type="expression" dxfId="4828" priority="1239">
      <formula>AND(IF($Q8=3,1,IF($Q8=4,1,0)),IF($F8&lt;=85,1,0))</formula>
    </cfRule>
  </conditionalFormatting>
  <conditionalFormatting sqref="AJ8">
    <cfRule type="expression" dxfId="4827" priority="1232">
      <formula>AND(IF(OR($Q8=1,$Q8=2),1,0),IF($Y8&lt;=20,1,0))</formula>
    </cfRule>
    <cfRule type="expression" dxfId="4826" priority="1233">
      <formula>AND(IF($Q8=2,1,0),IF($Y8&lt;30,1,0))</formula>
    </cfRule>
    <cfRule type="expression" dxfId="4825" priority="1234">
      <formula>AND(IF($Q8=3,1,0),IF($Y8&lt;30,1,0))</formula>
    </cfRule>
    <cfRule type="expression" dxfId="4824" priority="1235">
      <formula>AND(IF($Q8=3,1,IF($Q8=4,1,0)),IF($F8&lt;=85,1,0))</formula>
    </cfRule>
  </conditionalFormatting>
  <conditionalFormatting sqref="AW9">
    <cfRule type="expression" dxfId="4823" priority="1230">
      <formula>AW9="X"</formula>
    </cfRule>
    <cfRule type="expression" dxfId="4822" priority="1231">
      <formula>AW9="후보"</formula>
    </cfRule>
  </conditionalFormatting>
  <conditionalFormatting sqref="AA9">
    <cfRule type="colorScale" priority="122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 N9">
    <cfRule type="cellIs" dxfId="4821" priority="1227" operator="greaterThan">
      <formula>0.9</formula>
    </cfRule>
    <cfRule type="cellIs" dxfId="4820" priority="1228" operator="greaterThan">
      <formula>0.85</formula>
    </cfRule>
  </conditionalFormatting>
  <conditionalFormatting sqref="AW10">
    <cfRule type="expression" dxfId="4819" priority="1225">
      <formula>AW10="X"</formula>
    </cfRule>
    <cfRule type="expression" dxfId="4818" priority="1226">
      <formula>AW10="후보"</formula>
    </cfRule>
  </conditionalFormatting>
  <conditionalFormatting sqref="AA10">
    <cfRule type="colorScale" priority="12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4817" priority="1222" operator="greaterThan">
      <formula>0.9</formula>
    </cfRule>
    <cfRule type="cellIs" dxfId="4816" priority="1223" operator="greaterThan">
      <formula>0.85</formula>
    </cfRule>
  </conditionalFormatting>
  <conditionalFormatting sqref="N10">
    <cfRule type="cellIs" dxfId="4815" priority="1220" operator="greaterThan">
      <formula>0.9</formula>
    </cfRule>
    <cfRule type="cellIs" dxfId="4814" priority="1221" operator="greaterThan">
      <formula>0.85</formula>
    </cfRule>
  </conditionalFormatting>
  <conditionalFormatting sqref="E10">
    <cfRule type="expression" dxfId="4813" priority="1216">
      <formula>AND(IF(OR($Q10=1,$Q10=2),1,0),IF($E10&lt;=20,1,0))</formula>
    </cfRule>
    <cfRule type="expression" dxfId="4812" priority="1217">
      <formula>AND(IF($Q10=2,1,0),IF($E10&lt;30,1,0))</formula>
    </cfRule>
    <cfRule type="expression" dxfId="4811" priority="1218">
      <formula>AND(IF($Q10=3,1,0),IF($E10&lt;30,1,0))</formula>
    </cfRule>
    <cfRule type="expression" dxfId="4810" priority="1219">
      <formula>AND(IF($Q10=3,1,IF($Q10=4,1,0)),IF($F10&lt;=85,1,0))</formula>
    </cfRule>
  </conditionalFormatting>
  <conditionalFormatting sqref="Y10">
    <cfRule type="expression" dxfId="4809" priority="1212">
      <formula>AND(IF(OR($Q10=1,$Q10=2),1,0),IF($Y10&lt;=20,1,0))</formula>
    </cfRule>
    <cfRule type="expression" dxfId="4808" priority="1213">
      <formula>AND(IF($Q10=2,1,0),IF($Y10&lt;30,1,0))</formula>
    </cfRule>
    <cfRule type="expression" dxfId="4807" priority="1214">
      <formula>AND(IF($Q10=3,1,0),IF($Y10&lt;30,1,0))</formula>
    </cfRule>
    <cfRule type="expression" dxfId="4806" priority="1215">
      <formula>AND(IF($Q10=3,1,IF($Q10=4,1,0)),IF($F10&lt;=85,1,0))</formula>
    </cfRule>
  </conditionalFormatting>
  <conditionalFormatting sqref="AJ10">
    <cfRule type="expression" dxfId="4805" priority="1208">
      <formula>AND(IF(OR($Q10=1,$Q10=2),1,0),IF($Y10&lt;=20,1,0))</formula>
    </cfRule>
    <cfRule type="expression" dxfId="4804" priority="1209">
      <formula>AND(IF($Q10=2,1,0),IF($Y10&lt;30,1,0))</formula>
    </cfRule>
    <cfRule type="expression" dxfId="4803" priority="1210">
      <formula>AND(IF($Q10=3,1,0),IF($Y10&lt;30,1,0))</formula>
    </cfRule>
    <cfRule type="expression" dxfId="4802" priority="1211">
      <formula>AND(IF($Q10=3,1,IF($Q10=4,1,0)),IF($F10&lt;=85,1,0))</formula>
    </cfRule>
  </conditionalFormatting>
  <conditionalFormatting sqref="AW11">
    <cfRule type="expression" dxfId="4801" priority="1206">
      <formula>AW11="X"</formula>
    </cfRule>
    <cfRule type="expression" dxfId="4800" priority="1207">
      <formula>AW11="후보"</formula>
    </cfRule>
  </conditionalFormatting>
  <conditionalFormatting sqref="AA11">
    <cfRule type="colorScale" priority="12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4799" priority="1203" operator="greaterThan">
      <formula>0.9</formula>
    </cfRule>
    <cfRule type="cellIs" dxfId="4798" priority="1204" operator="greaterThan">
      <formula>0.85</formula>
    </cfRule>
  </conditionalFormatting>
  <conditionalFormatting sqref="N11">
    <cfRule type="cellIs" dxfId="4797" priority="1201" operator="greaterThan">
      <formula>0.9</formula>
    </cfRule>
    <cfRule type="cellIs" dxfId="4796" priority="1202" operator="greaterThan">
      <formula>0.85</formula>
    </cfRule>
  </conditionalFormatting>
  <conditionalFormatting sqref="E11">
    <cfRule type="expression" dxfId="4795" priority="1197">
      <formula>AND(IF(OR($Q11=1,$Q11=2),1,0),IF($E11&lt;=20,1,0))</formula>
    </cfRule>
    <cfRule type="expression" dxfId="4794" priority="1198">
      <formula>AND(IF($Q11=2,1,0),IF($E11&lt;30,1,0))</formula>
    </cfRule>
    <cfRule type="expression" dxfId="4793" priority="1199">
      <formula>AND(IF($Q11=3,1,0),IF($E11&lt;30,1,0))</formula>
    </cfRule>
    <cfRule type="expression" dxfId="4792" priority="1200">
      <formula>AND(IF($Q11=3,1,IF($Q11=4,1,0)),IF($F11&lt;=85,1,0))</formula>
    </cfRule>
  </conditionalFormatting>
  <conditionalFormatting sqref="Y11">
    <cfRule type="expression" dxfId="4791" priority="1193">
      <formula>AND(IF(OR($Q11=1,$Q11=2),1,0),IF($Y11&lt;=20,1,0))</formula>
    </cfRule>
    <cfRule type="expression" dxfId="4790" priority="1194">
      <formula>AND(IF($Q11=2,1,0),IF($Y11&lt;30,1,0))</formula>
    </cfRule>
    <cfRule type="expression" dxfId="4789" priority="1195">
      <formula>AND(IF($Q11=3,1,0),IF($Y11&lt;30,1,0))</formula>
    </cfRule>
    <cfRule type="expression" dxfId="4788" priority="1196">
      <formula>AND(IF($Q11=3,1,IF($Q11=4,1,0)),IF($F11&lt;=85,1,0))</formula>
    </cfRule>
  </conditionalFormatting>
  <conditionalFormatting sqref="AJ11">
    <cfRule type="expression" dxfId="4787" priority="1189">
      <formula>AND(IF(OR($Q11=1,$Q11=2),1,0),IF($Y11&lt;=20,1,0))</formula>
    </cfRule>
    <cfRule type="expression" dxfId="4786" priority="1190">
      <formula>AND(IF($Q11=2,1,0),IF($Y11&lt;30,1,0))</formula>
    </cfRule>
    <cfRule type="expression" dxfId="4785" priority="1191">
      <formula>AND(IF($Q11=3,1,0),IF($Y11&lt;30,1,0))</formula>
    </cfRule>
    <cfRule type="expression" dxfId="4784" priority="1192">
      <formula>AND(IF($Q11=3,1,IF($Q11=4,1,0)),IF($F11&lt;=85,1,0))</formula>
    </cfRule>
  </conditionalFormatting>
  <conditionalFormatting sqref="AW12">
    <cfRule type="expression" dxfId="4783" priority="1187">
      <formula>AW12="X"</formula>
    </cfRule>
    <cfRule type="expression" dxfId="4782" priority="1188">
      <formula>AW12="후보"</formula>
    </cfRule>
  </conditionalFormatting>
  <conditionalFormatting sqref="AA12">
    <cfRule type="colorScale" priority="11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 N12">
    <cfRule type="cellIs" dxfId="4781" priority="1184" operator="greaterThan">
      <formula>0.9</formula>
    </cfRule>
    <cfRule type="cellIs" dxfId="4780" priority="1185" operator="greaterThan">
      <formula>0.85</formula>
    </cfRule>
  </conditionalFormatting>
  <conditionalFormatting sqref="AW13">
    <cfRule type="expression" dxfId="4779" priority="1182">
      <formula>AW13="X"</formula>
    </cfRule>
    <cfRule type="expression" dxfId="4778" priority="1183">
      <formula>AW13="후보"</formula>
    </cfRule>
  </conditionalFormatting>
  <conditionalFormatting sqref="AA13">
    <cfRule type="colorScale" priority="11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4777" priority="1179" operator="greaterThan">
      <formula>0.9</formula>
    </cfRule>
    <cfRule type="cellIs" dxfId="4776" priority="1180" operator="greaterThan">
      <formula>0.85</formula>
    </cfRule>
  </conditionalFormatting>
  <conditionalFormatting sqref="N13">
    <cfRule type="cellIs" dxfId="4775" priority="1177" operator="greaterThan">
      <formula>0.9</formula>
    </cfRule>
    <cfRule type="cellIs" dxfId="4774" priority="1178" operator="greaterThan">
      <formula>0.85</formula>
    </cfRule>
  </conditionalFormatting>
  <conditionalFormatting sqref="E13">
    <cfRule type="expression" dxfId="4773" priority="1173">
      <formula>AND(IF(OR($Q13=1,$Q13=2),1,0),IF($E13&lt;=20,1,0))</formula>
    </cfRule>
    <cfRule type="expression" dxfId="4772" priority="1174">
      <formula>AND(IF($Q13=2,1,0),IF($E13&lt;30,1,0))</formula>
    </cfRule>
    <cfRule type="expression" dxfId="4771" priority="1175">
      <formula>AND(IF($Q13=3,1,0),IF($E13&lt;30,1,0))</formula>
    </cfRule>
    <cfRule type="expression" dxfId="4770" priority="1176">
      <formula>AND(IF($Q13=3,1,IF($Q13=4,1,0)),IF($F13&lt;=85,1,0))</formula>
    </cfRule>
  </conditionalFormatting>
  <conditionalFormatting sqref="Y13">
    <cfRule type="expression" dxfId="4769" priority="1169">
      <formula>AND(IF(OR($Q13=1,$Q13=2),1,0),IF($Y13&lt;=20,1,0))</formula>
    </cfRule>
    <cfRule type="expression" dxfId="4768" priority="1170">
      <formula>AND(IF($Q13=2,1,0),IF($Y13&lt;30,1,0))</formula>
    </cfRule>
    <cfRule type="expression" dxfId="4767" priority="1171">
      <formula>AND(IF($Q13=3,1,0),IF($Y13&lt;30,1,0))</formula>
    </cfRule>
    <cfRule type="expression" dxfId="4766" priority="1172">
      <formula>AND(IF($Q13=3,1,IF($Q13=4,1,0)),IF($F13&lt;=85,1,0))</formula>
    </cfRule>
  </conditionalFormatting>
  <conditionalFormatting sqref="AJ13">
    <cfRule type="expression" dxfId="4765" priority="1165">
      <formula>AND(IF(OR($Q13=1,$Q13=2),1,0),IF($Y13&lt;=20,1,0))</formula>
    </cfRule>
    <cfRule type="expression" dxfId="4764" priority="1166">
      <formula>AND(IF($Q13=2,1,0),IF($Y13&lt;30,1,0))</formula>
    </cfRule>
    <cfRule type="expression" dxfId="4763" priority="1167">
      <formula>AND(IF($Q13=3,1,0),IF($Y13&lt;30,1,0))</formula>
    </cfRule>
    <cfRule type="expression" dxfId="4762" priority="1168">
      <formula>AND(IF($Q13=3,1,IF($Q13=4,1,0)),IF($F13&lt;=85,1,0))</formula>
    </cfRule>
  </conditionalFormatting>
  <conditionalFormatting sqref="AW14">
    <cfRule type="expression" dxfId="4761" priority="1163">
      <formula>AW14="X"</formula>
    </cfRule>
    <cfRule type="expression" dxfId="4760" priority="1164">
      <formula>AW14="후보"</formula>
    </cfRule>
  </conditionalFormatting>
  <conditionalFormatting sqref="AA14">
    <cfRule type="colorScale" priority="11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4759" priority="1160" operator="greaterThan">
      <formula>0.9</formula>
    </cfRule>
    <cfRule type="cellIs" dxfId="4758" priority="1161" operator="greaterThan">
      <formula>0.85</formula>
    </cfRule>
  </conditionalFormatting>
  <conditionalFormatting sqref="N14">
    <cfRule type="cellIs" dxfId="4757" priority="1158" operator="greaterThan">
      <formula>0.9</formula>
    </cfRule>
    <cfRule type="cellIs" dxfId="4756" priority="1159" operator="greaterThan">
      <formula>0.85</formula>
    </cfRule>
  </conditionalFormatting>
  <conditionalFormatting sqref="E14">
    <cfRule type="expression" dxfId="4755" priority="1154">
      <formula>AND(IF(OR($Q14=1,$Q14=2),1,0),IF($E14&lt;=20,1,0))</formula>
    </cfRule>
    <cfRule type="expression" dxfId="4754" priority="1155">
      <formula>AND(IF($Q14=2,1,0),IF($E14&lt;30,1,0))</formula>
    </cfRule>
    <cfRule type="expression" dxfId="4753" priority="1156">
      <formula>AND(IF($Q14=3,1,0),IF($E14&lt;30,1,0))</formula>
    </cfRule>
    <cfRule type="expression" dxfId="4752" priority="1157">
      <formula>AND(IF($Q14=3,1,IF($Q14=4,1,0)),IF($F14&lt;=85,1,0))</formula>
    </cfRule>
  </conditionalFormatting>
  <conditionalFormatting sqref="Y14">
    <cfRule type="expression" dxfId="4751" priority="1150">
      <formula>AND(IF(OR($Q14=1,$Q14=2),1,0),IF($Y14&lt;=20,1,0))</formula>
    </cfRule>
    <cfRule type="expression" dxfId="4750" priority="1151">
      <formula>AND(IF($Q14=2,1,0),IF($Y14&lt;30,1,0))</formula>
    </cfRule>
    <cfRule type="expression" dxfId="4749" priority="1152">
      <formula>AND(IF($Q14=3,1,0),IF($Y14&lt;30,1,0))</formula>
    </cfRule>
    <cfRule type="expression" dxfId="4748" priority="1153">
      <formula>AND(IF($Q14=3,1,IF($Q14=4,1,0)),IF($F14&lt;=85,1,0))</formula>
    </cfRule>
  </conditionalFormatting>
  <conditionalFormatting sqref="AJ14">
    <cfRule type="expression" dxfId="4747" priority="1146">
      <formula>AND(IF(OR($Q14=1,$Q14=2),1,0),IF($Y14&lt;=20,1,0))</formula>
    </cfRule>
    <cfRule type="expression" dxfId="4746" priority="1147">
      <formula>AND(IF($Q14=2,1,0),IF($Y14&lt;30,1,0))</formula>
    </cfRule>
    <cfRule type="expression" dxfId="4745" priority="1148">
      <formula>AND(IF($Q14=3,1,0),IF($Y14&lt;30,1,0))</formula>
    </cfRule>
    <cfRule type="expression" dxfId="4744" priority="1149">
      <formula>AND(IF($Q14=3,1,IF($Q14=4,1,0)),IF($F14&lt;=85,1,0))</formula>
    </cfRule>
  </conditionalFormatting>
  <conditionalFormatting sqref="AW15">
    <cfRule type="expression" dxfId="4743" priority="1144">
      <formula>AW15="X"</formula>
    </cfRule>
    <cfRule type="expression" dxfId="4742" priority="1145">
      <formula>AW15="후보"</formula>
    </cfRule>
  </conditionalFormatting>
  <conditionalFormatting sqref="AA15">
    <cfRule type="colorScale" priority="11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4741" priority="1141" operator="greaterThan">
      <formula>0.9</formula>
    </cfRule>
    <cfRule type="cellIs" dxfId="4740" priority="1142" operator="greaterThan">
      <formula>0.85</formula>
    </cfRule>
  </conditionalFormatting>
  <conditionalFormatting sqref="N15">
    <cfRule type="cellIs" dxfId="4739" priority="1139" operator="greaterThan">
      <formula>0.9</formula>
    </cfRule>
    <cfRule type="cellIs" dxfId="4738" priority="1140" operator="greaterThan">
      <formula>0.85</formula>
    </cfRule>
  </conditionalFormatting>
  <conditionalFormatting sqref="E15">
    <cfRule type="expression" dxfId="4737" priority="1135">
      <formula>AND(IF(OR($Q15=1,$Q15=2),1,0),IF($E15&lt;=20,1,0))</formula>
    </cfRule>
    <cfRule type="expression" dxfId="4736" priority="1136">
      <formula>AND(IF($Q15=2,1,0),IF($E15&lt;30,1,0))</formula>
    </cfRule>
    <cfRule type="expression" dxfId="4735" priority="1137">
      <formula>AND(IF($Q15=3,1,0),IF($E15&lt;30,1,0))</formula>
    </cfRule>
    <cfRule type="expression" dxfId="4734" priority="1138">
      <formula>AND(IF($Q15=3,1,IF($Q15=4,1,0)),IF($F15&lt;=85,1,0))</formula>
    </cfRule>
  </conditionalFormatting>
  <conditionalFormatting sqref="Y15">
    <cfRule type="expression" dxfId="4733" priority="1131">
      <formula>AND(IF(OR($Q15=1,$Q15=2),1,0),IF($Y15&lt;=20,1,0))</formula>
    </cfRule>
    <cfRule type="expression" dxfId="4732" priority="1132">
      <formula>AND(IF($Q15=2,1,0),IF($Y15&lt;30,1,0))</formula>
    </cfRule>
    <cfRule type="expression" dxfId="4731" priority="1133">
      <formula>AND(IF($Q15=3,1,0),IF($Y15&lt;30,1,0))</formula>
    </cfRule>
    <cfRule type="expression" dxfId="4730" priority="1134">
      <formula>AND(IF($Q15=3,1,IF($Q15=4,1,0)),IF($F15&lt;=85,1,0))</formula>
    </cfRule>
  </conditionalFormatting>
  <conditionalFormatting sqref="AJ15">
    <cfRule type="expression" dxfId="4729" priority="1127">
      <formula>AND(IF(OR($Q15=1,$Q15=2),1,0),IF($Y15&lt;=20,1,0))</formula>
    </cfRule>
    <cfRule type="expression" dxfId="4728" priority="1128">
      <formula>AND(IF($Q15=2,1,0),IF($Y15&lt;30,1,0))</formula>
    </cfRule>
    <cfRule type="expression" dxfId="4727" priority="1129">
      <formula>AND(IF($Q15=3,1,0),IF($Y15&lt;30,1,0))</formula>
    </cfRule>
    <cfRule type="expression" dxfId="4726" priority="1130">
      <formula>AND(IF($Q15=3,1,IF($Q15=4,1,0)),IF($F15&lt;=85,1,0))</formula>
    </cfRule>
  </conditionalFormatting>
  <conditionalFormatting sqref="AW16">
    <cfRule type="expression" dxfId="4725" priority="1125">
      <formula>AW16="X"</formula>
    </cfRule>
    <cfRule type="expression" dxfId="4724" priority="1126">
      <formula>AW16="후보"</formula>
    </cfRule>
  </conditionalFormatting>
  <conditionalFormatting sqref="AA16">
    <cfRule type="colorScale" priority="11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4723" priority="1122" operator="greaterThan">
      <formula>0.9</formula>
    </cfRule>
    <cfRule type="cellIs" dxfId="4722" priority="1123" operator="greaterThan">
      <formula>0.85</formula>
    </cfRule>
  </conditionalFormatting>
  <conditionalFormatting sqref="N16">
    <cfRule type="cellIs" dxfId="4721" priority="1120" operator="greaterThan">
      <formula>0.9</formula>
    </cfRule>
    <cfRule type="cellIs" dxfId="4720" priority="1121" operator="greaterThan">
      <formula>0.85</formula>
    </cfRule>
  </conditionalFormatting>
  <conditionalFormatting sqref="E16">
    <cfRule type="expression" dxfId="4719" priority="1116">
      <formula>AND(IF(OR($Q16=1,$Q16=2),1,0),IF($E16&lt;=20,1,0))</formula>
    </cfRule>
    <cfRule type="expression" dxfId="4718" priority="1117">
      <formula>AND(IF($Q16=2,1,0),IF($E16&lt;30,1,0))</formula>
    </cfRule>
    <cfRule type="expression" dxfId="4717" priority="1118">
      <formula>AND(IF($Q16=3,1,0),IF($E16&lt;30,1,0))</formula>
    </cfRule>
    <cfRule type="expression" dxfId="4716" priority="1119">
      <formula>AND(IF($Q16=3,1,IF($Q16=4,1,0)),IF($F16&lt;=85,1,0))</formula>
    </cfRule>
  </conditionalFormatting>
  <conditionalFormatting sqref="Y16">
    <cfRule type="expression" dxfId="4715" priority="1112">
      <formula>AND(IF(OR($Q16=1,$Q16=2),1,0),IF($Y16&lt;=20,1,0))</formula>
    </cfRule>
    <cfRule type="expression" dxfId="4714" priority="1113">
      <formula>AND(IF($Q16=2,1,0),IF($Y16&lt;30,1,0))</formula>
    </cfRule>
    <cfRule type="expression" dxfId="4713" priority="1114">
      <formula>AND(IF($Q16=3,1,0),IF($Y16&lt;30,1,0))</formula>
    </cfRule>
    <cfRule type="expression" dxfId="4712" priority="1115">
      <formula>AND(IF($Q16=3,1,IF($Q16=4,1,0)),IF($F16&lt;=85,1,0))</formula>
    </cfRule>
  </conditionalFormatting>
  <conditionalFormatting sqref="AJ16">
    <cfRule type="expression" dxfId="4711" priority="1108">
      <formula>AND(IF(OR($Q16=1,$Q16=2),1,0),IF($Y16&lt;=20,1,0))</formula>
    </cfRule>
    <cfRule type="expression" dxfId="4710" priority="1109">
      <formula>AND(IF($Q16=2,1,0),IF($Y16&lt;30,1,0))</formula>
    </cfRule>
    <cfRule type="expression" dxfId="4709" priority="1110">
      <formula>AND(IF($Q16=3,1,0),IF($Y16&lt;30,1,0))</formula>
    </cfRule>
    <cfRule type="expression" dxfId="4708" priority="1111">
      <formula>AND(IF($Q16=3,1,IF($Q16=4,1,0)),IF($F16&lt;=85,1,0))</formula>
    </cfRule>
  </conditionalFormatting>
  <conditionalFormatting sqref="AW17">
    <cfRule type="expression" dxfId="4707" priority="1106">
      <formula>AW17="X"</formula>
    </cfRule>
    <cfRule type="expression" dxfId="4706" priority="1107">
      <formula>AW17="후보"</formula>
    </cfRule>
  </conditionalFormatting>
  <conditionalFormatting sqref="AA17">
    <cfRule type="colorScale" priority="11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 N17">
    <cfRule type="cellIs" dxfId="4705" priority="1103" operator="greaterThan">
      <formula>0.9</formula>
    </cfRule>
    <cfRule type="cellIs" dxfId="4704" priority="1104" operator="greaterThan">
      <formula>0.85</formula>
    </cfRule>
  </conditionalFormatting>
  <conditionalFormatting sqref="AW18">
    <cfRule type="expression" dxfId="4703" priority="1101">
      <formula>AW18="X"</formula>
    </cfRule>
    <cfRule type="expression" dxfId="4702" priority="1102">
      <formula>AW18="후보"</formula>
    </cfRule>
  </conditionalFormatting>
  <conditionalFormatting sqref="AA18">
    <cfRule type="colorScale" priority="11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4701" priority="1098" operator="greaterThan">
      <formula>0.9</formula>
    </cfRule>
    <cfRule type="cellIs" dxfId="4700" priority="1099" operator="greaterThan">
      <formula>0.85</formula>
    </cfRule>
  </conditionalFormatting>
  <conditionalFormatting sqref="N18">
    <cfRule type="cellIs" dxfId="4699" priority="1096" operator="greaterThan">
      <formula>0.9</formula>
    </cfRule>
    <cfRule type="cellIs" dxfId="4698" priority="1097" operator="greaterThan">
      <formula>0.85</formula>
    </cfRule>
  </conditionalFormatting>
  <conditionalFormatting sqref="E18">
    <cfRule type="expression" dxfId="4697" priority="1092">
      <formula>AND(IF(OR($Q18=1,$Q18=2),1,0),IF($E18&lt;=20,1,0))</formula>
    </cfRule>
    <cfRule type="expression" dxfId="4696" priority="1093">
      <formula>AND(IF($Q18=2,1,0),IF($E18&lt;30,1,0))</formula>
    </cfRule>
    <cfRule type="expression" dxfId="4695" priority="1094">
      <formula>AND(IF($Q18=3,1,0),IF($E18&lt;30,1,0))</formula>
    </cfRule>
    <cfRule type="expression" dxfId="4694" priority="1095">
      <formula>AND(IF($Q18=3,1,IF($Q18=4,1,0)),IF($F18&lt;=85,1,0))</formula>
    </cfRule>
  </conditionalFormatting>
  <conditionalFormatting sqref="Y18">
    <cfRule type="expression" dxfId="4693" priority="1088">
      <formula>AND(IF(OR($Q18=1,$Q18=2),1,0),IF($Y18&lt;=20,1,0))</formula>
    </cfRule>
    <cfRule type="expression" dxfId="4692" priority="1089">
      <formula>AND(IF($Q18=2,1,0),IF($Y18&lt;30,1,0))</formula>
    </cfRule>
    <cfRule type="expression" dxfId="4691" priority="1090">
      <formula>AND(IF($Q18=3,1,0),IF($Y18&lt;30,1,0))</formula>
    </cfRule>
    <cfRule type="expression" dxfId="4690" priority="1091">
      <formula>AND(IF($Q18=3,1,IF($Q18=4,1,0)),IF($F18&lt;=85,1,0))</formula>
    </cfRule>
  </conditionalFormatting>
  <conditionalFormatting sqref="AJ18">
    <cfRule type="expression" dxfId="4689" priority="1084">
      <formula>AND(IF(OR($Q18=1,$Q18=2),1,0),IF($Y18&lt;=20,1,0))</formula>
    </cfRule>
    <cfRule type="expression" dxfId="4688" priority="1085">
      <formula>AND(IF($Q18=2,1,0),IF($Y18&lt;30,1,0))</formula>
    </cfRule>
    <cfRule type="expression" dxfId="4687" priority="1086">
      <formula>AND(IF($Q18=3,1,0),IF($Y18&lt;30,1,0))</formula>
    </cfRule>
    <cfRule type="expression" dxfId="4686" priority="1087">
      <formula>AND(IF($Q18=3,1,IF($Q18=4,1,0)),IF($F18&lt;=85,1,0))</formula>
    </cfRule>
  </conditionalFormatting>
  <conditionalFormatting sqref="AW19">
    <cfRule type="expression" dxfId="4685" priority="1082">
      <formula>AW19="X"</formula>
    </cfRule>
    <cfRule type="expression" dxfId="4684" priority="1083">
      <formula>AW19="후보"</formula>
    </cfRule>
  </conditionalFormatting>
  <conditionalFormatting sqref="AA19">
    <cfRule type="colorScale" priority="10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">
    <cfRule type="cellIs" dxfId="4683" priority="1079" operator="greaterThan">
      <formula>0.9</formula>
    </cfRule>
    <cfRule type="cellIs" dxfId="4682" priority="1080" operator="greaterThan">
      <formula>0.85</formula>
    </cfRule>
  </conditionalFormatting>
  <conditionalFormatting sqref="N19">
    <cfRule type="cellIs" dxfId="4681" priority="1077" operator="greaterThan">
      <formula>0.9</formula>
    </cfRule>
    <cfRule type="cellIs" dxfId="4680" priority="1078" operator="greaterThan">
      <formula>0.85</formula>
    </cfRule>
  </conditionalFormatting>
  <conditionalFormatting sqref="E19">
    <cfRule type="expression" dxfId="4679" priority="1073">
      <formula>AND(IF(OR($Q19=1,$Q19=2),1,0),IF($E19&lt;=20,1,0))</formula>
    </cfRule>
    <cfRule type="expression" dxfId="4678" priority="1074">
      <formula>AND(IF($Q19=2,1,0),IF($E19&lt;30,1,0))</formula>
    </cfRule>
    <cfRule type="expression" dxfId="4677" priority="1075">
      <formula>AND(IF($Q19=3,1,0),IF($E19&lt;30,1,0))</formula>
    </cfRule>
    <cfRule type="expression" dxfId="4676" priority="1076">
      <formula>AND(IF($Q19=3,1,IF($Q19=4,1,0)),IF($F19&lt;=85,1,0))</formula>
    </cfRule>
  </conditionalFormatting>
  <conditionalFormatting sqref="Y19">
    <cfRule type="expression" dxfId="4675" priority="1069">
      <formula>AND(IF(OR($Q19=1,$Q19=2),1,0),IF($Y19&lt;=20,1,0))</formula>
    </cfRule>
    <cfRule type="expression" dxfId="4674" priority="1070">
      <formula>AND(IF($Q19=2,1,0),IF($Y19&lt;30,1,0))</formula>
    </cfRule>
    <cfRule type="expression" dxfId="4673" priority="1071">
      <formula>AND(IF($Q19=3,1,0),IF($Y19&lt;30,1,0))</formula>
    </cfRule>
    <cfRule type="expression" dxfId="4672" priority="1072">
      <formula>AND(IF($Q19=3,1,IF($Q19=4,1,0)),IF($F19&lt;=85,1,0))</formula>
    </cfRule>
  </conditionalFormatting>
  <conditionalFormatting sqref="AJ19">
    <cfRule type="expression" dxfId="4671" priority="1065">
      <formula>AND(IF(OR($Q19=1,$Q19=2),1,0),IF($Y19&lt;=20,1,0))</formula>
    </cfRule>
    <cfRule type="expression" dxfId="4670" priority="1066">
      <formula>AND(IF($Q19=2,1,0),IF($Y19&lt;30,1,0))</formula>
    </cfRule>
    <cfRule type="expression" dxfId="4669" priority="1067">
      <formula>AND(IF($Q19=3,1,0),IF($Y19&lt;30,1,0))</formula>
    </cfRule>
    <cfRule type="expression" dxfId="4668" priority="1068">
      <formula>AND(IF($Q19=3,1,IF($Q19=4,1,0)),IF($F19&lt;=85,1,0))</formula>
    </cfRule>
  </conditionalFormatting>
  <conditionalFormatting sqref="AW20">
    <cfRule type="expression" dxfId="4667" priority="1063">
      <formula>AW20="X"</formula>
    </cfRule>
    <cfRule type="expression" dxfId="4666" priority="1064">
      <formula>AW20="후보"</formula>
    </cfRule>
  </conditionalFormatting>
  <conditionalFormatting sqref="AA20">
    <cfRule type="colorScale" priority="10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">
    <cfRule type="cellIs" dxfId="4665" priority="1060" operator="greaterThan">
      <formula>0.9</formula>
    </cfRule>
    <cfRule type="cellIs" dxfId="4664" priority="1061" operator="greaterThan">
      <formula>0.85</formula>
    </cfRule>
  </conditionalFormatting>
  <conditionalFormatting sqref="N20">
    <cfRule type="cellIs" dxfId="4663" priority="1058" operator="greaterThan">
      <formula>0.9</formula>
    </cfRule>
    <cfRule type="cellIs" dxfId="4662" priority="1059" operator="greaterThan">
      <formula>0.85</formula>
    </cfRule>
  </conditionalFormatting>
  <conditionalFormatting sqref="E20">
    <cfRule type="expression" dxfId="4661" priority="1054">
      <formula>AND(IF(OR($Q20=1,$Q20=2),1,0),IF($E20&lt;=20,1,0))</formula>
    </cfRule>
    <cfRule type="expression" dxfId="4660" priority="1055">
      <formula>AND(IF($Q20=2,1,0),IF($E20&lt;30,1,0))</formula>
    </cfRule>
    <cfRule type="expression" dxfId="4659" priority="1056">
      <formula>AND(IF($Q20=3,1,0),IF($E20&lt;30,1,0))</formula>
    </cfRule>
    <cfRule type="expression" dxfId="4658" priority="1057">
      <formula>AND(IF($Q20=3,1,IF($Q20=4,1,0)),IF($F20&lt;=85,1,0))</formula>
    </cfRule>
  </conditionalFormatting>
  <conditionalFormatting sqref="Y20">
    <cfRule type="expression" dxfId="4657" priority="1050">
      <formula>AND(IF(OR($Q20=1,$Q20=2),1,0),IF($Y20&lt;=20,1,0))</formula>
    </cfRule>
    <cfRule type="expression" dxfId="4656" priority="1051">
      <formula>AND(IF($Q20=2,1,0),IF($Y20&lt;30,1,0))</formula>
    </cfRule>
    <cfRule type="expression" dxfId="4655" priority="1052">
      <formula>AND(IF($Q20=3,1,0),IF($Y20&lt;30,1,0))</formula>
    </cfRule>
    <cfRule type="expression" dxfId="4654" priority="1053">
      <formula>AND(IF($Q20=3,1,IF($Q20=4,1,0)),IF($F20&lt;=85,1,0))</formula>
    </cfRule>
  </conditionalFormatting>
  <conditionalFormatting sqref="AJ20">
    <cfRule type="expression" dxfId="4653" priority="1046">
      <formula>AND(IF(OR($Q20=1,$Q20=2),1,0),IF($Y20&lt;=20,1,0))</formula>
    </cfRule>
    <cfRule type="expression" dxfId="4652" priority="1047">
      <formula>AND(IF($Q20=2,1,0),IF($Y20&lt;30,1,0))</formula>
    </cfRule>
    <cfRule type="expression" dxfId="4651" priority="1048">
      <formula>AND(IF($Q20=3,1,0),IF($Y20&lt;30,1,0))</formula>
    </cfRule>
    <cfRule type="expression" dxfId="4650" priority="1049">
      <formula>AND(IF($Q20=3,1,IF($Q20=4,1,0)),IF($F20&lt;=85,1,0))</formula>
    </cfRule>
  </conditionalFormatting>
  <conditionalFormatting sqref="AW21">
    <cfRule type="expression" dxfId="4649" priority="1044">
      <formula>AW21="X"</formula>
    </cfRule>
    <cfRule type="expression" dxfId="4648" priority="1045">
      <formula>AW21="후보"</formula>
    </cfRule>
  </conditionalFormatting>
  <conditionalFormatting sqref="AA21">
    <cfRule type="colorScale" priority="10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 N21">
    <cfRule type="cellIs" dxfId="4647" priority="1041" operator="greaterThan">
      <formula>0.9</formula>
    </cfRule>
    <cfRule type="cellIs" dxfId="4646" priority="1042" operator="greaterThan">
      <formula>0.85</formula>
    </cfRule>
  </conditionalFormatting>
  <conditionalFormatting sqref="AW22">
    <cfRule type="expression" dxfId="4645" priority="1039">
      <formula>AW22="X"</formula>
    </cfRule>
    <cfRule type="expression" dxfId="4644" priority="1040">
      <formula>AW22="후보"</formula>
    </cfRule>
  </conditionalFormatting>
  <conditionalFormatting sqref="AA22">
    <cfRule type="colorScale" priority="10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">
    <cfRule type="cellIs" dxfId="4643" priority="1036" operator="greaterThan">
      <formula>0.9</formula>
    </cfRule>
    <cfRule type="cellIs" dxfId="4642" priority="1037" operator="greaterThan">
      <formula>0.85</formula>
    </cfRule>
  </conditionalFormatting>
  <conditionalFormatting sqref="N22">
    <cfRule type="cellIs" dxfId="4641" priority="1034" operator="greaterThan">
      <formula>0.9</formula>
    </cfRule>
    <cfRule type="cellIs" dxfId="4640" priority="1035" operator="greaterThan">
      <formula>0.85</formula>
    </cfRule>
  </conditionalFormatting>
  <conditionalFormatting sqref="E22">
    <cfRule type="expression" dxfId="4639" priority="1030">
      <formula>AND(IF(OR($Q22=1,$Q22=2),1,0),IF($E22&lt;=20,1,0))</formula>
    </cfRule>
    <cfRule type="expression" dxfId="4638" priority="1031">
      <formula>AND(IF($Q22=2,1,0),IF($E22&lt;30,1,0))</formula>
    </cfRule>
    <cfRule type="expression" dxfId="4637" priority="1032">
      <formula>AND(IF($Q22=3,1,0),IF($E22&lt;30,1,0))</formula>
    </cfRule>
    <cfRule type="expression" dxfId="4636" priority="1033">
      <formula>AND(IF($Q22=3,1,IF($Q22=4,1,0)),IF($F22&lt;=85,1,0))</formula>
    </cfRule>
  </conditionalFormatting>
  <conditionalFormatting sqref="Y22">
    <cfRule type="expression" dxfId="4635" priority="1026">
      <formula>AND(IF(OR($Q22=1,$Q22=2),1,0),IF($Y22&lt;=20,1,0))</formula>
    </cfRule>
    <cfRule type="expression" dxfId="4634" priority="1027">
      <formula>AND(IF($Q22=2,1,0),IF($Y22&lt;30,1,0))</formula>
    </cfRule>
    <cfRule type="expression" dxfId="4633" priority="1028">
      <formula>AND(IF($Q22=3,1,0),IF($Y22&lt;30,1,0))</formula>
    </cfRule>
    <cfRule type="expression" dxfId="4632" priority="1029">
      <formula>AND(IF($Q22=3,1,IF($Q22=4,1,0)),IF($F22&lt;=85,1,0))</formula>
    </cfRule>
  </conditionalFormatting>
  <conditionalFormatting sqref="AJ22">
    <cfRule type="expression" dxfId="4631" priority="1022">
      <formula>AND(IF(OR($Q22=1,$Q22=2),1,0),IF($Y22&lt;=20,1,0))</formula>
    </cfRule>
    <cfRule type="expression" dxfId="4630" priority="1023">
      <formula>AND(IF($Q22=2,1,0),IF($Y22&lt;30,1,0))</formula>
    </cfRule>
    <cfRule type="expression" dxfId="4629" priority="1024">
      <formula>AND(IF($Q22=3,1,0),IF($Y22&lt;30,1,0))</formula>
    </cfRule>
    <cfRule type="expression" dxfId="4628" priority="1025">
      <formula>AND(IF($Q22=3,1,IF($Q22=4,1,0)),IF($F22&lt;=85,1,0))</formula>
    </cfRule>
  </conditionalFormatting>
  <conditionalFormatting sqref="AW23">
    <cfRule type="expression" dxfId="4627" priority="1020">
      <formula>AW23="X"</formula>
    </cfRule>
    <cfRule type="expression" dxfId="4626" priority="1021">
      <formula>AW23="후보"</formula>
    </cfRule>
  </conditionalFormatting>
  <conditionalFormatting sqref="AA23">
    <cfRule type="colorScale" priority="10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">
    <cfRule type="cellIs" dxfId="4625" priority="1017" operator="greaterThan">
      <formula>0.9</formula>
    </cfRule>
    <cfRule type="cellIs" dxfId="4624" priority="1018" operator="greaterThan">
      <formula>0.85</formula>
    </cfRule>
  </conditionalFormatting>
  <conditionalFormatting sqref="N23">
    <cfRule type="cellIs" dxfId="4623" priority="1015" operator="greaterThan">
      <formula>0.9</formula>
    </cfRule>
    <cfRule type="cellIs" dxfId="4622" priority="1016" operator="greaterThan">
      <formula>0.85</formula>
    </cfRule>
  </conditionalFormatting>
  <conditionalFormatting sqref="E23">
    <cfRule type="expression" dxfId="4621" priority="1011">
      <formula>AND(IF(OR($Q23=1,$Q23=2),1,0),IF($E23&lt;=20,1,0))</formula>
    </cfRule>
    <cfRule type="expression" dxfId="4620" priority="1012">
      <formula>AND(IF($Q23=2,1,0),IF($E23&lt;30,1,0))</formula>
    </cfRule>
    <cfRule type="expression" dxfId="4619" priority="1013">
      <formula>AND(IF($Q23=3,1,0),IF($E23&lt;30,1,0))</formula>
    </cfRule>
    <cfRule type="expression" dxfId="4618" priority="1014">
      <formula>AND(IF($Q23=3,1,IF($Q23=4,1,0)),IF($F23&lt;=85,1,0))</formula>
    </cfRule>
  </conditionalFormatting>
  <conditionalFormatting sqref="Y23">
    <cfRule type="expression" dxfId="4617" priority="1007">
      <formula>AND(IF(OR($Q23=1,$Q23=2),1,0),IF($Y23&lt;=20,1,0))</formula>
    </cfRule>
    <cfRule type="expression" dxfId="4616" priority="1008">
      <formula>AND(IF($Q23=2,1,0),IF($Y23&lt;30,1,0))</formula>
    </cfRule>
    <cfRule type="expression" dxfId="4615" priority="1009">
      <formula>AND(IF($Q23=3,1,0),IF($Y23&lt;30,1,0))</formula>
    </cfRule>
    <cfRule type="expression" dxfId="4614" priority="1010">
      <formula>AND(IF($Q23=3,1,IF($Q23=4,1,0)),IF($F23&lt;=85,1,0))</formula>
    </cfRule>
  </conditionalFormatting>
  <conditionalFormatting sqref="AJ23">
    <cfRule type="expression" dxfId="4613" priority="1003">
      <formula>AND(IF(OR($Q23=1,$Q23=2),1,0),IF($Y23&lt;=20,1,0))</formula>
    </cfRule>
    <cfRule type="expression" dxfId="4612" priority="1004">
      <formula>AND(IF($Q23=2,1,0),IF($Y23&lt;30,1,0))</formula>
    </cfRule>
    <cfRule type="expression" dxfId="4611" priority="1005">
      <formula>AND(IF($Q23=3,1,0),IF($Y23&lt;30,1,0))</formula>
    </cfRule>
    <cfRule type="expression" dxfId="4610" priority="1006">
      <formula>AND(IF($Q23=3,1,IF($Q23=4,1,0)),IF($F23&lt;=85,1,0))</formula>
    </cfRule>
  </conditionalFormatting>
  <conditionalFormatting sqref="AW24">
    <cfRule type="expression" dxfId="4609" priority="1001">
      <formula>AW24="X"</formula>
    </cfRule>
    <cfRule type="expression" dxfId="4608" priority="1002">
      <formula>AW24="후보"</formula>
    </cfRule>
  </conditionalFormatting>
  <conditionalFormatting sqref="AA24">
    <cfRule type="colorScale" priority="10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 N24">
    <cfRule type="cellIs" dxfId="4607" priority="998" operator="greaterThan">
      <formula>0.9</formula>
    </cfRule>
    <cfRule type="cellIs" dxfId="4606" priority="999" operator="greaterThan">
      <formula>0.85</formula>
    </cfRule>
  </conditionalFormatting>
  <conditionalFormatting sqref="AW25">
    <cfRule type="expression" dxfId="4605" priority="996">
      <formula>AW25="X"</formula>
    </cfRule>
    <cfRule type="expression" dxfId="4604" priority="997">
      <formula>AW25="후보"</formula>
    </cfRule>
  </conditionalFormatting>
  <conditionalFormatting sqref="AA25">
    <cfRule type="colorScale" priority="9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4603" priority="993" operator="greaterThan">
      <formula>0.9</formula>
    </cfRule>
    <cfRule type="cellIs" dxfId="4602" priority="994" operator="greaterThan">
      <formula>0.85</formula>
    </cfRule>
  </conditionalFormatting>
  <conditionalFormatting sqref="N25">
    <cfRule type="cellIs" dxfId="4601" priority="991" operator="greaterThan">
      <formula>0.9</formula>
    </cfRule>
    <cfRule type="cellIs" dxfId="4600" priority="992" operator="greaterThan">
      <formula>0.85</formula>
    </cfRule>
  </conditionalFormatting>
  <conditionalFormatting sqref="E25">
    <cfRule type="expression" dxfId="4599" priority="987">
      <formula>AND(IF(OR($Q25=1,$Q25=2),1,0),IF($E25&lt;=20,1,0))</formula>
    </cfRule>
    <cfRule type="expression" dxfId="4598" priority="988">
      <formula>AND(IF($Q25=2,1,0),IF($E25&lt;30,1,0))</formula>
    </cfRule>
    <cfRule type="expression" dxfId="4597" priority="989">
      <formula>AND(IF($Q25=3,1,0),IF($E25&lt;30,1,0))</formula>
    </cfRule>
    <cfRule type="expression" dxfId="4596" priority="990">
      <formula>AND(IF($Q25=3,1,IF($Q25=4,1,0)),IF($F25&lt;=85,1,0))</formula>
    </cfRule>
  </conditionalFormatting>
  <conditionalFormatting sqref="Y25">
    <cfRule type="expression" dxfId="4595" priority="983">
      <formula>AND(IF(OR($Q25=1,$Q25=2),1,0),IF($Y25&lt;=20,1,0))</formula>
    </cfRule>
    <cfRule type="expression" dxfId="4594" priority="984">
      <formula>AND(IF($Q25=2,1,0),IF($Y25&lt;30,1,0))</formula>
    </cfRule>
    <cfRule type="expression" dxfId="4593" priority="985">
      <formula>AND(IF($Q25=3,1,0),IF($Y25&lt;30,1,0))</formula>
    </cfRule>
    <cfRule type="expression" dxfId="4592" priority="986">
      <formula>AND(IF($Q25=3,1,IF($Q25=4,1,0)),IF($F25&lt;=85,1,0))</formula>
    </cfRule>
  </conditionalFormatting>
  <conditionalFormatting sqref="AJ25">
    <cfRule type="expression" dxfId="4591" priority="979">
      <formula>AND(IF(OR($Q25=1,$Q25=2),1,0),IF($Y25&lt;=20,1,0))</formula>
    </cfRule>
    <cfRule type="expression" dxfId="4590" priority="980">
      <formula>AND(IF($Q25=2,1,0),IF($Y25&lt;30,1,0))</formula>
    </cfRule>
    <cfRule type="expression" dxfId="4589" priority="981">
      <formula>AND(IF($Q25=3,1,0),IF($Y25&lt;30,1,0))</formula>
    </cfRule>
    <cfRule type="expression" dxfId="4588" priority="982">
      <formula>AND(IF($Q25=3,1,IF($Q25=4,1,0)),IF($F25&lt;=85,1,0))</formula>
    </cfRule>
  </conditionalFormatting>
  <conditionalFormatting sqref="AW26">
    <cfRule type="expression" dxfId="4587" priority="977">
      <formula>AW26="X"</formula>
    </cfRule>
    <cfRule type="expression" dxfId="4586" priority="978">
      <formula>AW26="후보"</formula>
    </cfRule>
  </conditionalFormatting>
  <conditionalFormatting sqref="AA26">
    <cfRule type="colorScale" priority="9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4585" priority="974" operator="greaterThan">
      <formula>0.9</formula>
    </cfRule>
    <cfRule type="cellIs" dxfId="4584" priority="975" operator="greaterThan">
      <formula>0.85</formula>
    </cfRule>
  </conditionalFormatting>
  <conditionalFormatting sqref="N26">
    <cfRule type="cellIs" dxfId="4583" priority="972" operator="greaterThan">
      <formula>0.9</formula>
    </cfRule>
    <cfRule type="cellIs" dxfId="4582" priority="973" operator="greaterThan">
      <formula>0.85</formula>
    </cfRule>
  </conditionalFormatting>
  <conditionalFormatting sqref="E26">
    <cfRule type="expression" dxfId="4581" priority="968">
      <formula>AND(IF(OR($Q26=1,$Q26=2),1,0),IF($E26&lt;=20,1,0))</formula>
    </cfRule>
    <cfRule type="expression" dxfId="4580" priority="969">
      <formula>AND(IF($Q26=2,1,0),IF($E26&lt;30,1,0))</formula>
    </cfRule>
    <cfRule type="expression" dxfId="4579" priority="970">
      <formula>AND(IF($Q26=3,1,0),IF($E26&lt;30,1,0))</formula>
    </cfRule>
    <cfRule type="expression" dxfId="4578" priority="971">
      <formula>AND(IF($Q26=3,1,IF($Q26=4,1,0)),IF($F26&lt;=85,1,0))</formula>
    </cfRule>
  </conditionalFormatting>
  <conditionalFormatting sqref="Y26">
    <cfRule type="expression" dxfId="4577" priority="964">
      <formula>AND(IF(OR($Q26=1,$Q26=2),1,0),IF($Y26&lt;=20,1,0))</formula>
    </cfRule>
    <cfRule type="expression" dxfId="4576" priority="965">
      <formula>AND(IF($Q26=2,1,0),IF($Y26&lt;30,1,0))</formula>
    </cfRule>
    <cfRule type="expression" dxfId="4575" priority="966">
      <formula>AND(IF($Q26=3,1,0),IF($Y26&lt;30,1,0))</formula>
    </cfRule>
    <cfRule type="expression" dxfId="4574" priority="967">
      <formula>AND(IF($Q26=3,1,IF($Q26=4,1,0)),IF($F26&lt;=85,1,0))</formula>
    </cfRule>
  </conditionalFormatting>
  <conditionalFormatting sqref="AJ26">
    <cfRule type="expression" dxfId="4573" priority="960">
      <formula>AND(IF(OR($Q26=1,$Q26=2),1,0),IF($Y26&lt;=20,1,0))</formula>
    </cfRule>
    <cfRule type="expression" dxfId="4572" priority="961">
      <formula>AND(IF($Q26=2,1,0),IF($Y26&lt;30,1,0))</formula>
    </cfRule>
    <cfRule type="expression" dxfId="4571" priority="962">
      <formula>AND(IF($Q26=3,1,0),IF($Y26&lt;30,1,0))</formula>
    </cfRule>
    <cfRule type="expression" dxfId="4570" priority="963">
      <formula>AND(IF($Q26=3,1,IF($Q26=4,1,0)),IF($F26&lt;=85,1,0))</formula>
    </cfRule>
  </conditionalFormatting>
  <conditionalFormatting sqref="AW27">
    <cfRule type="expression" dxfId="4569" priority="958">
      <formula>AW27="X"</formula>
    </cfRule>
    <cfRule type="expression" dxfId="4568" priority="959">
      <formula>AW27="후보"</formula>
    </cfRule>
  </conditionalFormatting>
  <conditionalFormatting sqref="AA27">
    <cfRule type="colorScale" priority="9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">
    <cfRule type="cellIs" dxfId="4567" priority="955" operator="greaterThan">
      <formula>0.9</formula>
    </cfRule>
    <cfRule type="cellIs" dxfId="4566" priority="956" operator="greaterThan">
      <formula>0.85</formula>
    </cfRule>
  </conditionalFormatting>
  <conditionalFormatting sqref="N27">
    <cfRule type="cellIs" dxfId="4565" priority="953" operator="greaterThan">
      <formula>0.9</formula>
    </cfRule>
    <cfRule type="cellIs" dxfId="4564" priority="954" operator="greaterThan">
      <formula>0.85</formula>
    </cfRule>
  </conditionalFormatting>
  <conditionalFormatting sqref="E27">
    <cfRule type="expression" dxfId="4563" priority="949">
      <formula>AND(IF(OR($Q27=1,$Q27=2),1,0),IF($E27&lt;=20,1,0))</formula>
    </cfRule>
    <cfRule type="expression" dxfId="4562" priority="950">
      <formula>AND(IF($Q27=2,1,0),IF($E27&lt;30,1,0))</formula>
    </cfRule>
    <cfRule type="expression" dxfId="4561" priority="951">
      <formula>AND(IF($Q27=3,1,0),IF($E27&lt;30,1,0))</formula>
    </cfRule>
    <cfRule type="expression" dxfId="4560" priority="952">
      <formula>AND(IF($Q27=3,1,IF($Q27=4,1,0)),IF($F27&lt;=85,1,0))</formula>
    </cfRule>
  </conditionalFormatting>
  <conditionalFormatting sqref="Y27">
    <cfRule type="expression" dxfId="4559" priority="945">
      <formula>AND(IF(OR($Q27=1,$Q27=2),1,0),IF($Y27&lt;=20,1,0))</formula>
    </cfRule>
    <cfRule type="expression" dxfId="4558" priority="946">
      <formula>AND(IF($Q27=2,1,0),IF($Y27&lt;30,1,0))</formula>
    </cfRule>
    <cfRule type="expression" dxfId="4557" priority="947">
      <formula>AND(IF($Q27=3,1,0),IF($Y27&lt;30,1,0))</formula>
    </cfRule>
    <cfRule type="expression" dxfId="4556" priority="948">
      <formula>AND(IF($Q27=3,1,IF($Q27=4,1,0)),IF($F27&lt;=85,1,0))</formula>
    </cfRule>
  </conditionalFormatting>
  <conditionalFormatting sqref="AJ27">
    <cfRule type="expression" dxfId="4555" priority="941">
      <formula>AND(IF(OR($Q27=1,$Q27=2),1,0),IF($Y27&lt;=20,1,0))</formula>
    </cfRule>
    <cfRule type="expression" dxfId="4554" priority="942">
      <formula>AND(IF($Q27=2,1,0),IF($Y27&lt;30,1,0))</formula>
    </cfRule>
    <cfRule type="expression" dxfId="4553" priority="943">
      <formula>AND(IF($Q27=3,1,0),IF($Y27&lt;30,1,0))</formula>
    </cfRule>
    <cfRule type="expression" dxfId="4552" priority="944">
      <formula>AND(IF($Q27=3,1,IF($Q27=4,1,0)),IF($F27&lt;=85,1,0))</formula>
    </cfRule>
  </conditionalFormatting>
  <conditionalFormatting sqref="AW28">
    <cfRule type="expression" dxfId="4551" priority="939">
      <formula>AW28="X"</formula>
    </cfRule>
    <cfRule type="expression" dxfId="4550" priority="940">
      <formula>AW28="후보"</formula>
    </cfRule>
  </conditionalFormatting>
  <conditionalFormatting sqref="AA28">
    <cfRule type="colorScale" priority="9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4549" priority="936" operator="greaterThan">
      <formula>0.9</formula>
    </cfRule>
    <cfRule type="cellIs" dxfId="4548" priority="937" operator="greaterThan">
      <formula>0.85</formula>
    </cfRule>
  </conditionalFormatting>
  <conditionalFormatting sqref="N28">
    <cfRule type="cellIs" dxfId="4547" priority="934" operator="greaterThan">
      <formula>0.9</formula>
    </cfRule>
    <cfRule type="cellIs" dxfId="4546" priority="935" operator="greaterThan">
      <formula>0.85</formula>
    </cfRule>
  </conditionalFormatting>
  <conditionalFormatting sqref="E28">
    <cfRule type="expression" dxfId="4545" priority="930">
      <formula>AND(IF(OR($Q28=1,$Q28=2),1,0),IF($E28&lt;=20,1,0))</formula>
    </cfRule>
    <cfRule type="expression" dxfId="4544" priority="931">
      <formula>AND(IF($Q28=2,1,0),IF($E28&lt;30,1,0))</formula>
    </cfRule>
    <cfRule type="expression" dxfId="4543" priority="932">
      <formula>AND(IF($Q28=3,1,0),IF($E28&lt;30,1,0))</formula>
    </cfRule>
    <cfRule type="expression" dxfId="4542" priority="933">
      <formula>AND(IF($Q28=3,1,IF($Q28=4,1,0)),IF($F28&lt;=85,1,0))</formula>
    </cfRule>
  </conditionalFormatting>
  <conditionalFormatting sqref="Y28">
    <cfRule type="expression" dxfId="4541" priority="926">
      <formula>AND(IF(OR($Q28=1,$Q28=2),1,0),IF($Y28&lt;=20,1,0))</formula>
    </cfRule>
    <cfRule type="expression" dxfId="4540" priority="927">
      <formula>AND(IF($Q28=2,1,0),IF($Y28&lt;30,1,0))</formula>
    </cfRule>
    <cfRule type="expression" dxfId="4539" priority="928">
      <formula>AND(IF($Q28=3,1,0),IF($Y28&lt;30,1,0))</formula>
    </cfRule>
    <cfRule type="expression" dxfId="4538" priority="929">
      <formula>AND(IF($Q28=3,1,IF($Q28=4,1,0)),IF($F28&lt;=85,1,0))</formula>
    </cfRule>
  </conditionalFormatting>
  <conditionalFormatting sqref="AJ28">
    <cfRule type="expression" dxfId="4537" priority="922">
      <formula>AND(IF(OR($Q28=1,$Q28=2),1,0),IF($Y28&lt;=20,1,0))</formula>
    </cfRule>
    <cfRule type="expression" dxfId="4536" priority="923">
      <formula>AND(IF($Q28=2,1,0),IF($Y28&lt;30,1,0))</formula>
    </cfRule>
    <cfRule type="expression" dxfId="4535" priority="924">
      <formula>AND(IF($Q28=3,1,0),IF($Y28&lt;30,1,0))</formula>
    </cfRule>
    <cfRule type="expression" dxfId="4534" priority="925">
      <formula>AND(IF($Q28=3,1,IF($Q28=4,1,0)),IF($F28&lt;=85,1,0))</formula>
    </cfRule>
  </conditionalFormatting>
  <conditionalFormatting sqref="AW29">
    <cfRule type="expression" dxfId="4533" priority="920">
      <formula>AW29="X"</formula>
    </cfRule>
    <cfRule type="expression" dxfId="4532" priority="921">
      <formula>AW29="후보"</formula>
    </cfRule>
  </conditionalFormatting>
  <conditionalFormatting sqref="AA29">
    <cfRule type="colorScale" priority="9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 N29">
    <cfRule type="cellIs" dxfId="4531" priority="917" operator="greaterThan">
      <formula>0.9</formula>
    </cfRule>
    <cfRule type="cellIs" dxfId="4530" priority="918" operator="greaterThan">
      <formula>0.85</formula>
    </cfRule>
  </conditionalFormatting>
  <conditionalFormatting sqref="AW30">
    <cfRule type="expression" dxfId="4529" priority="915">
      <formula>AW30="X"</formula>
    </cfRule>
    <cfRule type="expression" dxfId="4528" priority="916">
      <formula>AW30="후보"</formula>
    </cfRule>
  </conditionalFormatting>
  <conditionalFormatting sqref="AA30">
    <cfRule type="colorScale" priority="9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4527" priority="912" operator="greaterThan">
      <formula>0.9</formula>
    </cfRule>
    <cfRule type="cellIs" dxfId="4526" priority="913" operator="greaterThan">
      <formula>0.85</formula>
    </cfRule>
  </conditionalFormatting>
  <conditionalFormatting sqref="N30">
    <cfRule type="cellIs" dxfId="4525" priority="910" operator="greaterThan">
      <formula>0.9</formula>
    </cfRule>
    <cfRule type="cellIs" dxfId="4524" priority="911" operator="greaterThan">
      <formula>0.85</formula>
    </cfRule>
  </conditionalFormatting>
  <conditionalFormatting sqref="E30">
    <cfRule type="expression" dxfId="4523" priority="906">
      <formula>AND(IF(OR($Q30=1,$Q30=2),1,0),IF($E30&lt;=20,1,0))</formula>
    </cfRule>
    <cfRule type="expression" dxfId="4522" priority="907">
      <formula>AND(IF($Q30=2,1,0),IF($E30&lt;30,1,0))</formula>
    </cfRule>
    <cfRule type="expression" dxfId="4521" priority="908">
      <formula>AND(IF($Q30=3,1,0),IF($E30&lt;30,1,0))</formula>
    </cfRule>
    <cfRule type="expression" dxfId="4520" priority="909">
      <formula>AND(IF($Q30=3,1,IF($Q30=4,1,0)),IF($F30&lt;=85,1,0))</formula>
    </cfRule>
  </conditionalFormatting>
  <conditionalFormatting sqref="Y30">
    <cfRule type="expression" dxfId="4519" priority="902">
      <formula>AND(IF(OR($Q30=1,$Q30=2),1,0),IF($Y30&lt;=20,1,0))</formula>
    </cfRule>
    <cfRule type="expression" dxfId="4518" priority="903">
      <formula>AND(IF($Q30=2,1,0),IF($Y30&lt;30,1,0))</formula>
    </cfRule>
    <cfRule type="expression" dxfId="4517" priority="904">
      <formula>AND(IF($Q30=3,1,0),IF($Y30&lt;30,1,0))</formula>
    </cfRule>
    <cfRule type="expression" dxfId="4516" priority="905">
      <formula>AND(IF($Q30=3,1,IF($Q30=4,1,0)),IF($F30&lt;=85,1,0))</formula>
    </cfRule>
  </conditionalFormatting>
  <conditionalFormatting sqref="AJ30">
    <cfRule type="expression" dxfId="4515" priority="898">
      <formula>AND(IF(OR($Q30=1,$Q30=2),1,0),IF($Y30&lt;=20,1,0))</formula>
    </cfRule>
    <cfRule type="expression" dxfId="4514" priority="899">
      <formula>AND(IF($Q30=2,1,0),IF($Y30&lt;30,1,0))</formula>
    </cfRule>
    <cfRule type="expression" dxfId="4513" priority="900">
      <formula>AND(IF($Q30=3,1,0),IF($Y30&lt;30,1,0))</formula>
    </cfRule>
    <cfRule type="expression" dxfId="4512" priority="901">
      <formula>AND(IF($Q30=3,1,IF($Q30=4,1,0)),IF($F30&lt;=85,1,0))</formula>
    </cfRule>
  </conditionalFormatting>
  <conditionalFormatting sqref="AW31">
    <cfRule type="expression" dxfId="4511" priority="896">
      <formula>AW31="X"</formula>
    </cfRule>
    <cfRule type="expression" dxfId="4510" priority="897">
      <formula>AW31="후보"</formula>
    </cfRule>
  </conditionalFormatting>
  <conditionalFormatting sqref="AA31">
    <cfRule type="colorScale" priority="8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4509" priority="893" operator="greaterThan">
      <formula>0.9</formula>
    </cfRule>
    <cfRule type="cellIs" dxfId="4508" priority="894" operator="greaterThan">
      <formula>0.85</formula>
    </cfRule>
  </conditionalFormatting>
  <conditionalFormatting sqref="N31">
    <cfRule type="cellIs" dxfId="4507" priority="891" operator="greaterThan">
      <formula>0.9</formula>
    </cfRule>
    <cfRule type="cellIs" dxfId="4506" priority="892" operator="greaterThan">
      <formula>0.85</formula>
    </cfRule>
  </conditionalFormatting>
  <conditionalFormatting sqref="E31">
    <cfRule type="expression" dxfId="4505" priority="887">
      <formula>AND(IF(OR($Q31=1,$Q31=2),1,0),IF($E31&lt;=20,1,0))</formula>
    </cfRule>
    <cfRule type="expression" dxfId="4504" priority="888">
      <formula>AND(IF($Q31=2,1,0),IF($E31&lt;30,1,0))</formula>
    </cfRule>
    <cfRule type="expression" dxfId="4503" priority="889">
      <formula>AND(IF($Q31=3,1,0),IF($E31&lt;30,1,0))</formula>
    </cfRule>
    <cfRule type="expression" dxfId="4502" priority="890">
      <formula>AND(IF($Q31=3,1,IF($Q31=4,1,0)),IF($F31&lt;=85,1,0))</formula>
    </cfRule>
  </conditionalFormatting>
  <conditionalFormatting sqref="Y31">
    <cfRule type="expression" dxfId="4501" priority="883">
      <formula>AND(IF(OR($Q31=1,$Q31=2),1,0),IF($Y31&lt;=20,1,0))</formula>
    </cfRule>
    <cfRule type="expression" dxfId="4500" priority="884">
      <formula>AND(IF($Q31=2,1,0),IF($Y31&lt;30,1,0))</formula>
    </cfRule>
    <cfRule type="expression" dxfId="4499" priority="885">
      <formula>AND(IF($Q31=3,1,0),IF($Y31&lt;30,1,0))</formula>
    </cfRule>
    <cfRule type="expression" dxfId="4498" priority="886">
      <formula>AND(IF($Q31=3,1,IF($Q31=4,1,0)),IF($F31&lt;=85,1,0))</formula>
    </cfRule>
  </conditionalFormatting>
  <conditionalFormatting sqref="AJ31">
    <cfRule type="expression" dxfId="4497" priority="879">
      <formula>AND(IF(OR($Q31=1,$Q31=2),1,0),IF($Y31&lt;=20,1,0))</formula>
    </cfRule>
    <cfRule type="expression" dxfId="4496" priority="880">
      <formula>AND(IF($Q31=2,1,0),IF($Y31&lt;30,1,0))</formula>
    </cfRule>
    <cfRule type="expression" dxfId="4495" priority="881">
      <formula>AND(IF($Q31=3,1,0),IF($Y31&lt;30,1,0))</formula>
    </cfRule>
    <cfRule type="expression" dxfId="4494" priority="882">
      <formula>AND(IF($Q31=3,1,IF($Q31=4,1,0)),IF($F31&lt;=85,1,0))</formula>
    </cfRule>
  </conditionalFormatting>
  <conditionalFormatting sqref="AW32">
    <cfRule type="expression" dxfId="4493" priority="877">
      <formula>AW32="X"</formula>
    </cfRule>
    <cfRule type="expression" dxfId="4492" priority="878">
      <formula>AW32="후보"</formula>
    </cfRule>
  </conditionalFormatting>
  <conditionalFormatting sqref="AA32">
    <cfRule type="colorScale" priority="8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4491" priority="874" operator="greaterThan">
      <formula>0.9</formula>
    </cfRule>
    <cfRule type="cellIs" dxfId="4490" priority="875" operator="greaterThan">
      <formula>0.85</formula>
    </cfRule>
  </conditionalFormatting>
  <conditionalFormatting sqref="N32">
    <cfRule type="cellIs" dxfId="4489" priority="872" operator="greaterThan">
      <formula>0.9</formula>
    </cfRule>
    <cfRule type="cellIs" dxfId="4488" priority="873" operator="greaterThan">
      <formula>0.85</formula>
    </cfRule>
  </conditionalFormatting>
  <conditionalFormatting sqref="E32">
    <cfRule type="expression" dxfId="4487" priority="868">
      <formula>AND(IF(OR($Q32=1,$Q32=2),1,0),IF($E32&lt;=20,1,0))</formula>
    </cfRule>
    <cfRule type="expression" dxfId="4486" priority="869">
      <formula>AND(IF($Q32=2,1,0),IF($E32&lt;30,1,0))</formula>
    </cfRule>
    <cfRule type="expression" dxfId="4485" priority="870">
      <formula>AND(IF($Q32=3,1,0),IF($E32&lt;30,1,0))</formula>
    </cfRule>
    <cfRule type="expression" dxfId="4484" priority="871">
      <formula>AND(IF($Q32=3,1,IF($Q32=4,1,0)),IF($F32&lt;=85,1,0))</formula>
    </cfRule>
  </conditionalFormatting>
  <conditionalFormatting sqref="Y32">
    <cfRule type="expression" dxfId="4483" priority="864">
      <formula>AND(IF(OR($Q32=1,$Q32=2),1,0),IF($Y32&lt;=20,1,0))</formula>
    </cfRule>
    <cfRule type="expression" dxfId="4482" priority="865">
      <formula>AND(IF($Q32=2,1,0),IF($Y32&lt;30,1,0))</formula>
    </cfRule>
    <cfRule type="expression" dxfId="4481" priority="866">
      <formula>AND(IF($Q32=3,1,0),IF($Y32&lt;30,1,0))</formula>
    </cfRule>
    <cfRule type="expression" dxfId="4480" priority="867">
      <formula>AND(IF($Q32=3,1,IF($Q32=4,1,0)),IF($F32&lt;=85,1,0))</formula>
    </cfRule>
  </conditionalFormatting>
  <conditionalFormatting sqref="AJ32">
    <cfRule type="expression" dxfId="4479" priority="860">
      <formula>AND(IF(OR($Q32=1,$Q32=2),1,0),IF($Y32&lt;=20,1,0))</formula>
    </cfRule>
    <cfRule type="expression" dxfId="4478" priority="861">
      <formula>AND(IF($Q32=2,1,0),IF($Y32&lt;30,1,0))</formula>
    </cfRule>
    <cfRule type="expression" dxfId="4477" priority="862">
      <formula>AND(IF($Q32=3,1,0),IF($Y32&lt;30,1,0))</formula>
    </cfRule>
    <cfRule type="expression" dxfId="4476" priority="863">
      <formula>AND(IF($Q32=3,1,IF($Q32=4,1,0)),IF($F32&lt;=85,1,0))</formula>
    </cfRule>
  </conditionalFormatting>
  <conditionalFormatting sqref="AW33">
    <cfRule type="expression" dxfId="4475" priority="858">
      <formula>AW33="X"</formula>
    </cfRule>
    <cfRule type="expression" dxfId="4474" priority="859">
      <formula>AW33="후보"</formula>
    </cfRule>
  </conditionalFormatting>
  <conditionalFormatting sqref="AA33">
    <cfRule type="colorScale" priority="8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 N33">
    <cfRule type="cellIs" dxfId="4473" priority="855" operator="greaterThan">
      <formula>0.9</formula>
    </cfRule>
    <cfRule type="cellIs" dxfId="4472" priority="856" operator="greaterThan">
      <formula>0.85</formula>
    </cfRule>
  </conditionalFormatting>
  <conditionalFormatting sqref="AW34">
    <cfRule type="expression" dxfId="4471" priority="853">
      <formula>AW34="X"</formula>
    </cfRule>
    <cfRule type="expression" dxfId="4470" priority="854">
      <formula>AW34="후보"</formula>
    </cfRule>
  </conditionalFormatting>
  <conditionalFormatting sqref="AA34">
    <cfRule type="colorScale" priority="8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4469" priority="850" operator="greaterThan">
      <formula>0.9</formula>
    </cfRule>
    <cfRule type="cellIs" dxfId="4468" priority="851" operator="greaterThan">
      <formula>0.85</formula>
    </cfRule>
  </conditionalFormatting>
  <conditionalFormatting sqref="N34">
    <cfRule type="cellIs" dxfId="4467" priority="848" operator="greaterThan">
      <formula>0.9</formula>
    </cfRule>
    <cfRule type="cellIs" dxfId="4466" priority="849" operator="greaterThan">
      <formula>0.85</formula>
    </cfRule>
  </conditionalFormatting>
  <conditionalFormatting sqref="E34">
    <cfRule type="expression" dxfId="4465" priority="844">
      <formula>AND(IF(OR($Q34=1,$Q34=2),1,0),IF($E34&lt;=20,1,0))</formula>
    </cfRule>
    <cfRule type="expression" dxfId="4464" priority="845">
      <formula>AND(IF($Q34=2,1,0),IF($E34&lt;30,1,0))</formula>
    </cfRule>
    <cfRule type="expression" dxfId="4463" priority="846">
      <formula>AND(IF($Q34=3,1,0),IF($E34&lt;30,1,0))</formula>
    </cfRule>
    <cfRule type="expression" dxfId="4462" priority="847">
      <formula>AND(IF($Q34=3,1,IF($Q34=4,1,0)),IF($F34&lt;=85,1,0))</formula>
    </cfRule>
  </conditionalFormatting>
  <conditionalFormatting sqref="Y34">
    <cfRule type="expression" dxfId="4461" priority="840">
      <formula>AND(IF(OR($Q34=1,$Q34=2),1,0),IF($Y34&lt;=20,1,0))</formula>
    </cfRule>
    <cfRule type="expression" dxfId="4460" priority="841">
      <formula>AND(IF($Q34=2,1,0),IF($Y34&lt;30,1,0))</formula>
    </cfRule>
    <cfRule type="expression" dxfId="4459" priority="842">
      <formula>AND(IF($Q34=3,1,0),IF($Y34&lt;30,1,0))</formula>
    </cfRule>
    <cfRule type="expression" dxfId="4458" priority="843">
      <formula>AND(IF($Q34=3,1,IF($Q34=4,1,0)),IF($F34&lt;=85,1,0))</formula>
    </cfRule>
  </conditionalFormatting>
  <conditionalFormatting sqref="AJ34">
    <cfRule type="expression" dxfId="4457" priority="836">
      <formula>AND(IF(OR($Q34=1,$Q34=2),1,0),IF($Y34&lt;=20,1,0))</formula>
    </cfRule>
    <cfRule type="expression" dxfId="4456" priority="837">
      <formula>AND(IF($Q34=2,1,0),IF($Y34&lt;30,1,0))</formula>
    </cfRule>
    <cfRule type="expression" dxfId="4455" priority="838">
      <formula>AND(IF($Q34=3,1,0),IF($Y34&lt;30,1,0))</formula>
    </cfRule>
    <cfRule type="expression" dxfId="4454" priority="839">
      <formula>AND(IF($Q34=3,1,IF($Q34=4,1,0)),IF($F34&lt;=85,1,0))</formula>
    </cfRule>
  </conditionalFormatting>
  <conditionalFormatting sqref="AW35">
    <cfRule type="expression" dxfId="4453" priority="834">
      <formula>AW35="X"</formula>
    </cfRule>
    <cfRule type="expression" dxfId="4452" priority="835">
      <formula>AW35="후보"</formula>
    </cfRule>
  </conditionalFormatting>
  <conditionalFormatting sqref="AA35">
    <cfRule type="colorScale" priority="8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4451" priority="831" operator="greaterThan">
      <formula>0.9</formula>
    </cfRule>
    <cfRule type="cellIs" dxfId="4450" priority="832" operator="greaterThan">
      <formula>0.85</formula>
    </cfRule>
  </conditionalFormatting>
  <conditionalFormatting sqref="N35">
    <cfRule type="cellIs" dxfId="4449" priority="829" operator="greaterThan">
      <formula>0.9</formula>
    </cfRule>
    <cfRule type="cellIs" dxfId="4448" priority="830" operator="greaterThan">
      <formula>0.85</formula>
    </cfRule>
  </conditionalFormatting>
  <conditionalFormatting sqref="E35">
    <cfRule type="expression" dxfId="4447" priority="825">
      <formula>AND(IF(OR($Q35=1,$Q35=2),1,0),IF($E35&lt;=20,1,0))</formula>
    </cfRule>
    <cfRule type="expression" dxfId="4446" priority="826">
      <formula>AND(IF($Q35=2,1,0),IF($E35&lt;30,1,0))</formula>
    </cfRule>
    <cfRule type="expression" dxfId="4445" priority="827">
      <formula>AND(IF($Q35=3,1,0),IF($E35&lt;30,1,0))</formula>
    </cfRule>
    <cfRule type="expression" dxfId="4444" priority="828">
      <formula>AND(IF($Q35=3,1,IF($Q35=4,1,0)),IF($F35&lt;=85,1,0))</formula>
    </cfRule>
  </conditionalFormatting>
  <conditionalFormatting sqref="Y35">
    <cfRule type="expression" dxfId="4443" priority="821">
      <formula>AND(IF(OR($Q35=1,$Q35=2),1,0),IF($Y35&lt;=20,1,0))</formula>
    </cfRule>
    <cfRule type="expression" dxfId="4442" priority="822">
      <formula>AND(IF($Q35=2,1,0),IF($Y35&lt;30,1,0))</formula>
    </cfRule>
    <cfRule type="expression" dxfId="4441" priority="823">
      <formula>AND(IF($Q35=3,1,0),IF($Y35&lt;30,1,0))</formula>
    </cfRule>
    <cfRule type="expression" dxfId="4440" priority="824">
      <formula>AND(IF($Q35=3,1,IF($Q35=4,1,0)),IF($F35&lt;=85,1,0))</formula>
    </cfRule>
  </conditionalFormatting>
  <conditionalFormatting sqref="AJ35">
    <cfRule type="expression" dxfId="4439" priority="817">
      <formula>AND(IF(OR($Q35=1,$Q35=2),1,0),IF($Y35&lt;=20,1,0))</formula>
    </cfRule>
    <cfRule type="expression" dxfId="4438" priority="818">
      <formula>AND(IF($Q35=2,1,0),IF($Y35&lt;30,1,0))</formula>
    </cfRule>
    <cfRule type="expression" dxfId="4437" priority="819">
      <formula>AND(IF($Q35=3,1,0),IF($Y35&lt;30,1,0))</formula>
    </cfRule>
    <cfRule type="expression" dxfId="4436" priority="820">
      <formula>AND(IF($Q35=3,1,IF($Q35=4,1,0)),IF($F35&lt;=85,1,0))</formula>
    </cfRule>
  </conditionalFormatting>
  <conditionalFormatting sqref="AW36">
    <cfRule type="expression" dxfId="4435" priority="815">
      <formula>AW36="X"</formula>
    </cfRule>
    <cfRule type="expression" dxfId="4434" priority="816">
      <formula>AW36="후보"</formula>
    </cfRule>
  </conditionalFormatting>
  <conditionalFormatting sqref="AA36">
    <cfRule type="colorScale" priority="8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4433" priority="812" operator="greaterThan">
      <formula>0.9</formula>
    </cfRule>
    <cfRule type="cellIs" dxfId="4432" priority="813" operator="greaterThan">
      <formula>0.85</formula>
    </cfRule>
  </conditionalFormatting>
  <conditionalFormatting sqref="N36">
    <cfRule type="cellIs" dxfId="4431" priority="810" operator="greaterThan">
      <formula>0.9</formula>
    </cfRule>
    <cfRule type="cellIs" dxfId="4430" priority="811" operator="greaterThan">
      <formula>0.85</formula>
    </cfRule>
  </conditionalFormatting>
  <conditionalFormatting sqref="E36">
    <cfRule type="expression" dxfId="4429" priority="806">
      <formula>AND(IF(OR($Q36=1,$Q36=2),1,0),IF($E36&lt;=20,1,0))</formula>
    </cfRule>
    <cfRule type="expression" dxfId="4428" priority="807">
      <formula>AND(IF($Q36=2,1,0),IF($E36&lt;30,1,0))</formula>
    </cfRule>
    <cfRule type="expression" dxfId="4427" priority="808">
      <formula>AND(IF($Q36=3,1,0),IF($E36&lt;30,1,0))</formula>
    </cfRule>
    <cfRule type="expression" dxfId="4426" priority="809">
      <formula>AND(IF($Q36=3,1,IF($Q36=4,1,0)),IF($F36&lt;=85,1,0))</formula>
    </cfRule>
  </conditionalFormatting>
  <conditionalFormatting sqref="Y36">
    <cfRule type="expression" dxfId="4425" priority="802">
      <formula>AND(IF(OR($Q36=1,$Q36=2),1,0),IF($Y36&lt;=20,1,0))</formula>
    </cfRule>
    <cfRule type="expression" dxfId="4424" priority="803">
      <formula>AND(IF($Q36=2,1,0),IF($Y36&lt;30,1,0))</formula>
    </cfRule>
    <cfRule type="expression" dxfId="4423" priority="804">
      <formula>AND(IF($Q36=3,1,0),IF($Y36&lt;30,1,0))</formula>
    </cfRule>
    <cfRule type="expression" dxfId="4422" priority="805">
      <formula>AND(IF($Q36=3,1,IF($Q36=4,1,0)),IF($F36&lt;=85,1,0))</formula>
    </cfRule>
  </conditionalFormatting>
  <conditionalFormatting sqref="AJ36">
    <cfRule type="expression" dxfId="4421" priority="798">
      <formula>AND(IF(OR($Q36=1,$Q36=2),1,0),IF($Y36&lt;=20,1,0))</formula>
    </cfRule>
    <cfRule type="expression" dxfId="4420" priority="799">
      <formula>AND(IF($Q36=2,1,0),IF($Y36&lt;30,1,0))</formula>
    </cfRule>
    <cfRule type="expression" dxfId="4419" priority="800">
      <formula>AND(IF($Q36=3,1,0),IF($Y36&lt;30,1,0))</formula>
    </cfRule>
    <cfRule type="expression" dxfId="4418" priority="801">
      <formula>AND(IF($Q36=3,1,IF($Q36=4,1,0)),IF($F36&lt;=85,1,0))</formula>
    </cfRule>
  </conditionalFormatting>
  <conditionalFormatting sqref="AW37">
    <cfRule type="expression" dxfId="4417" priority="796">
      <formula>AW37="X"</formula>
    </cfRule>
    <cfRule type="expression" dxfId="4416" priority="797">
      <formula>AW37="후보"</formula>
    </cfRule>
  </conditionalFormatting>
  <conditionalFormatting sqref="AA37">
    <cfRule type="colorScale" priority="7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 N37">
    <cfRule type="cellIs" dxfId="4415" priority="793" operator="greaterThan">
      <formula>0.9</formula>
    </cfRule>
    <cfRule type="cellIs" dxfId="4414" priority="794" operator="greaterThan">
      <formula>0.85</formula>
    </cfRule>
  </conditionalFormatting>
  <conditionalFormatting sqref="AW38">
    <cfRule type="expression" dxfId="4413" priority="791">
      <formula>AW38="X"</formula>
    </cfRule>
    <cfRule type="expression" dxfId="4412" priority="792">
      <formula>AW38="후보"</formula>
    </cfRule>
  </conditionalFormatting>
  <conditionalFormatting sqref="AA38">
    <cfRule type="colorScale" priority="7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4411" priority="788" operator="greaterThan">
      <formula>0.9</formula>
    </cfRule>
    <cfRule type="cellIs" dxfId="4410" priority="789" operator="greaterThan">
      <formula>0.85</formula>
    </cfRule>
  </conditionalFormatting>
  <conditionalFormatting sqref="N38">
    <cfRule type="cellIs" dxfId="4409" priority="786" operator="greaterThan">
      <formula>0.9</formula>
    </cfRule>
    <cfRule type="cellIs" dxfId="4408" priority="787" operator="greaterThan">
      <formula>0.85</formula>
    </cfRule>
  </conditionalFormatting>
  <conditionalFormatting sqref="E38">
    <cfRule type="expression" dxfId="4407" priority="782">
      <formula>AND(IF(OR($Q38=1,$Q38=2),1,0),IF($E38&lt;=20,1,0))</formula>
    </cfRule>
    <cfRule type="expression" dxfId="4406" priority="783">
      <formula>AND(IF($Q38=2,1,0),IF($E38&lt;30,1,0))</formula>
    </cfRule>
    <cfRule type="expression" dxfId="4405" priority="784">
      <formula>AND(IF($Q38=3,1,0),IF($E38&lt;30,1,0))</formula>
    </cfRule>
    <cfRule type="expression" dxfId="4404" priority="785">
      <formula>AND(IF($Q38=3,1,IF($Q38=4,1,0)),IF($F38&lt;=85,1,0))</formula>
    </cfRule>
  </conditionalFormatting>
  <conditionalFormatting sqref="Y38">
    <cfRule type="expression" dxfId="4403" priority="778">
      <formula>AND(IF(OR($Q38=1,$Q38=2),1,0),IF($Y38&lt;=20,1,0))</formula>
    </cfRule>
    <cfRule type="expression" dxfId="4402" priority="779">
      <formula>AND(IF($Q38=2,1,0),IF($Y38&lt;30,1,0))</formula>
    </cfRule>
    <cfRule type="expression" dxfId="4401" priority="780">
      <formula>AND(IF($Q38=3,1,0),IF($Y38&lt;30,1,0))</formula>
    </cfRule>
    <cfRule type="expression" dxfId="4400" priority="781">
      <formula>AND(IF($Q38=3,1,IF($Q38=4,1,0)),IF($F38&lt;=85,1,0))</formula>
    </cfRule>
  </conditionalFormatting>
  <conditionalFormatting sqref="AJ38">
    <cfRule type="expression" dxfId="4399" priority="774">
      <formula>AND(IF(OR($Q38=1,$Q38=2),1,0),IF($Y38&lt;=20,1,0))</formula>
    </cfRule>
    <cfRule type="expression" dxfId="4398" priority="775">
      <formula>AND(IF($Q38=2,1,0),IF($Y38&lt;30,1,0))</formula>
    </cfRule>
    <cfRule type="expression" dxfId="4397" priority="776">
      <formula>AND(IF($Q38=3,1,0),IF($Y38&lt;30,1,0))</formula>
    </cfRule>
    <cfRule type="expression" dxfId="4396" priority="777">
      <formula>AND(IF($Q38=3,1,IF($Q38=4,1,0)),IF($F38&lt;=85,1,0))</formula>
    </cfRule>
  </conditionalFormatting>
  <conditionalFormatting sqref="AW39">
    <cfRule type="expression" dxfId="4395" priority="772">
      <formula>AW39="X"</formula>
    </cfRule>
    <cfRule type="expression" dxfId="4394" priority="773">
      <formula>AW39="후보"</formula>
    </cfRule>
  </conditionalFormatting>
  <conditionalFormatting sqref="AA39">
    <cfRule type="colorScale" priority="7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4393" priority="769" operator="greaterThan">
      <formula>0.9</formula>
    </cfRule>
    <cfRule type="cellIs" dxfId="4392" priority="770" operator="greaterThan">
      <formula>0.85</formula>
    </cfRule>
  </conditionalFormatting>
  <conditionalFormatting sqref="N39">
    <cfRule type="cellIs" dxfId="4391" priority="767" operator="greaterThan">
      <formula>0.9</formula>
    </cfRule>
    <cfRule type="cellIs" dxfId="4390" priority="768" operator="greaterThan">
      <formula>0.85</formula>
    </cfRule>
  </conditionalFormatting>
  <conditionalFormatting sqref="E39">
    <cfRule type="expression" dxfId="4389" priority="763">
      <formula>AND(IF(OR($Q39=1,$Q39=2),1,0),IF($E39&lt;=20,1,0))</formula>
    </cfRule>
    <cfRule type="expression" dxfId="4388" priority="764">
      <formula>AND(IF($Q39=2,1,0),IF($E39&lt;30,1,0))</formula>
    </cfRule>
    <cfRule type="expression" dxfId="4387" priority="765">
      <formula>AND(IF($Q39=3,1,0),IF($E39&lt;30,1,0))</formula>
    </cfRule>
    <cfRule type="expression" dxfId="4386" priority="766">
      <formula>AND(IF($Q39=3,1,IF($Q39=4,1,0)),IF($F39&lt;=85,1,0))</formula>
    </cfRule>
  </conditionalFormatting>
  <conditionalFormatting sqref="Y39">
    <cfRule type="expression" dxfId="4385" priority="759">
      <formula>AND(IF(OR($Q39=1,$Q39=2),1,0),IF($Y39&lt;=20,1,0))</formula>
    </cfRule>
    <cfRule type="expression" dxfId="4384" priority="760">
      <formula>AND(IF($Q39=2,1,0),IF($Y39&lt;30,1,0))</formula>
    </cfRule>
    <cfRule type="expression" dxfId="4383" priority="761">
      <formula>AND(IF($Q39=3,1,0),IF($Y39&lt;30,1,0))</formula>
    </cfRule>
    <cfRule type="expression" dxfId="4382" priority="762">
      <formula>AND(IF($Q39=3,1,IF($Q39=4,1,0)),IF($F39&lt;=85,1,0))</formula>
    </cfRule>
  </conditionalFormatting>
  <conditionalFormatting sqref="AJ39">
    <cfRule type="expression" dxfId="4381" priority="755">
      <formula>AND(IF(OR($Q39=1,$Q39=2),1,0),IF($Y39&lt;=20,1,0))</formula>
    </cfRule>
    <cfRule type="expression" dxfId="4380" priority="756">
      <formula>AND(IF($Q39=2,1,0),IF($Y39&lt;30,1,0))</formula>
    </cfRule>
    <cfRule type="expression" dxfId="4379" priority="757">
      <formula>AND(IF($Q39=3,1,0),IF($Y39&lt;30,1,0))</formula>
    </cfRule>
    <cfRule type="expression" dxfId="4378" priority="758">
      <formula>AND(IF($Q39=3,1,IF($Q39=4,1,0)),IF($F39&lt;=85,1,0))</formula>
    </cfRule>
  </conditionalFormatting>
  <conditionalFormatting sqref="AW40">
    <cfRule type="expression" dxfId="4377" priority="753">
      <formula>AW40="X"</formula>
    </cfRule>
    <cfRule type="expression" dxfId="4376" priority="754">
      <formula>AW40="후보"</formula>
    </cfRule>
  </conditionalFormatting>
  <conditionalFormatting sqref="AA40">
    <cfRule type="colorScale" priority="7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 N40">
    <cfRule type="cellIs" dxfId="4375" priority="750" operator="greaterThan">
      <formula>0.9</formula>
    </cfRule>
    <cfRule type="cellIs" dxfId="4374" priority="751" operator="greaterThan">
      <formula>0.85</formula>
    </cfRule>
  </conditionalFormatting>
  <conditionalFormatting sqref="AW41">
    <cfRule type="expression" dxfId="4373" priority="748">
      <formula>AW41="X"</formula>
    </cfRule>
    <cfRule type="expression" dxfId="4372" priority="749">
      <formula>AW41="후보"</formula>
    </cfRule>
  </conditionalFormatting>
  <conditionalFormatting sqref="AA41">
    <cfRule type="colorScale" priority="7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4371" priority="745" operator="greaterThan">
      <formula>0.9</formula>
    </cfRule>
    <cfRule type="cellIs" dxfId="4370" priority="746" operator="greaterThan">
      <formula>0.85</formula>
    </cfRule>
  </conditionalFormatting>
  <conditionalFormatting sqref="N41">
    <cfRule type="cellIs" dxfId="4369" priority="743" operator="greaterThan">
      <formula>0.9</formula>
    </cfRule>
    <cfRule type="cellIs" dxfId="4368" priority="744" operator="greaterThan">
      <formula>0.85</formula>
    </cfRule>
  </conditionalFormatting>
  <conditionalFormatting sqref="E41">
    <cfRule type="expression" dxfId="4367" priority="739">
      <formula>AND(IF(OR($Q41=1,$Q41=2),1,0),IF($E41&lt;=20,1,0))</formula>
    </cfRule>
    <cfRule type="expression" dxfId="4366" priority="740">
      <formula>AND(IF($Q41=2,1,0),IF($E41&lt;30,1,0))</formula>
    </cfRule>
    <cfRule type="expression" dxfId="4365" priority="741">
      <formula>AND(IF($Q41=3,1,0),IF($E41&lt;30,1,0))</formula>
    </cfRule>
    <cfRule type="expression" dxfId="4364" priority="742">
      <formula>AND(IF($Q41=3,1,IF($Q41=4,1,0)),IF($F41&lt;=85,1,0))</formula>
    </cfRule>
  </conditionalFormatting>
  <conditionalFormatting sqref="Y41">
    <cfRule type="expression" dxfId="4363" priority="735">
      <formula>AND(IF(OR($Q41=1,$Q41=2),1,0),IF($Y41&lt;=20,1,0))</formula>
    </cfRule>
    <cfRule type="expression" dxfId="4362" priority="736">
      <formula>AND(IF($Q41=2,1,0),IF($Y41&lt;30,1,0))</formula>
    </cfRule>
    <cfRule type="expression" dxfId="4361" priority="737">
      <formula>AND(IF($Q41=3,1,0),IF($Y41&lt;30,1,0))</formula>
    </cfRule>
    <cfRule type="expression" dxfId="4360" priority="738">
      <formula>AND(IF($Q41=3,1,IF($Q41=4,1,0)),IF($F41&lt;=85,1,0))</formula>
    </cfRule>
  </conditionalFormatting>
  <conditionalFormatting sqref="AJ41">
    <cfRule type="expression" dxfId="4359" priority="731">
      <formula>AND(IF(OR($Q41=1,$Q41=2),1,0),IF($Y41&lt;=20,1,0))</formula>
    </cfRule>
    <cfRule type="expression" dxfId="4358" priority="732">
      <formula>AND(IF($Q41=2,1,0),IF($Y41&lt;30,1,0))</formula>
    </cfRule>
    <cfRule type="expression" dxfId="4357" priority="733">
      <formula>AND(IF($Q41=3,1,0),IF($Y41&lt;30,1,0))</formula>
    </cfRule>
    <cfRule type="expression" dxfId="4356" priority="734">
      <formula>AND(IF($Q41=3,1,IF($Q41=4,1,0)),IF($F41&lt;=85,1,0))</formula>
    </cfRule>
  </conditionalFormatting>
  <conditionalFormatting sqref="AW42">
    <cfRule type="expression" dxfId="4355" priority="729">
      <formula>AW42="X"</formula>
    </cfRule>
    <cfRule type="expression" dxfId="4354" priority="730">
      <formula>AW42="후보"</formula>
    </cfRule>
  </conditionalFormatting>
  <conditionalFormatting sqref="AA42">
    <cfRule type="colorScale" priority="7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4353" priority="726" operator="greaterThan">
      <formula>0.9</formula>
    </cfRule>
    <cfRule type="cellIs" dxfId="4352" priority="727" operator="greaterThan">
      <formula>0.85</formula>
    </cfRule>
  </conditionalFormatting>
  <conditionalFormatting sqref="N42">
    <cfRule type="cellIs" dxfId="4351" priority="724" operator="greaterThan">
      <formula>0.9</formula>
    </cfRule>
    <cfRule type="cellIs" dxfId="4350" priority="725" operator="greaterThan">
      <formula>0.85</formula>
    </cfRule>
  </conditionalFormatting>
  <conditionalFormatting sqref="E42">
    <cfRule type="expression" dxfId="4349" priority="720">
      <formula>AND(IF(OR($Q42=1,$Q42=2),1,0),IF($E42&lt;=20,1,0))</formula>
    </cfRule>
    <cfRule type="expression" dxfId="4348" priority="721">
      <formula>AND(IF($Q42=2,1,0),IF($E42&lt;30,1,0))</formula>
    </cfRule>
    <cfRule type="expression" dxfId="4347" priority="722">
      <formula>AND(IF($Q42=3,1,0),IF($E42&lt;30,1,0))</formula>
    </cfRule>
    <cfRule type="expression" dxfId="4346" priority="723">
      <formula>AND(IF($Q42=3,1,IF($Q42=4,1,0)),IF($F42&lt;=85,1,0))</formula>
    </cfRule>
  </conditionalFormatting>
  <conditionalFormatting sqref="Y42">
    <cfRule type="expression" dxfId="4345" priority="716">
      <formula>AND(IF(OR($Q42=1,$Q42=2),1,0),IF($Y42&lt;=20,1,0))</formula>
    </cfRule>
    <cfRule type="expression" dxfId="4344" priority="717">
      <formula>AND(IF($Q42=2,1,0),IF($Y42&lt;30,1,0))</formula>
    </cfRule>
    <cfRule type="expression" dxfId="4343" priority="718">
      <formula>AND(IF($Q42=3,1,0),IF($Y42&lt;30,1,0))</formula>
    </cfRule>
    <cfRule type="expression" dxfId="4342" priority="719">
      <formula>AND(IF($Q42=3,1,IF($Q42=4,1,0)),IF($F42&lt;=85,1,0))</formula>
    </cfRule>
  </conditionalFormatting>
  <conditionalFormatting sqref="AJ42">
    <cfRule type="expression" dxfId="4341" priority="712">
      <formula>AND(IF(OR($Q42=1,$Q42=2),1,0),IF($Y42&lt;=20,1,0))</formula>
    </cfRule>
    <cfRule type="expression" dxfId="4340" priority="713">
      <formula>AND(IF($Q42=2,1,0),IF($Y42&lt;30,1,0))</formula>
    </cfRule>
    <cfRule type="expression" dxfId="4339" priority="714">
      <formula>AND(IF($Q42=3,1,0),IF($Y42&lt;30,1,0))</formula>
    </cfRule>
    <cfRule type="expression" dxfId="4338" priority="715">
      <formula>AND(IF($Q42=3,1,IF($Q42=4,1,0)),IF($F42&lt;=85,1,0))</formula>
    </cfRule>
  </conditionalFormatting>
  <conditionalFormatting sqref="AW43">
    <cfRule type="expression" dxfId="4337" priority="710">
      <formula>AW43="X"</formula>
    </cfRule>
    <cfRule type="expression" dxfId="4336" priority="711">
      <formula>AW43="후보"</formula>
    </cfRule>
  </conditionalFormatting>
  <conditionalFormatting sqref="AA43">
    <cfRule type="colorScale" priority="7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4335" priority="707" operator="greaterThan">
      <formula>0.9</formula>
    </cfRule>
    <cfRule type="cellIs" dxfId="4334" priority="708" operator="greaterThan">
      <formula>0.85</formula>
    </cfRule>
  </conditionalFormatting>
  <conditionalFormatting sqref="N43">
    <cfRule type="cellIs" dxfId="4333" priority="705" operator="greaterThan">
      <formula>0.9</formula>
    </cfRule>
    <cfRule type="cellIs" dxfId="4332" priority="706" operator="greaterThan">
      <formula>0.85</formula>
    </cfRule>
  </conditionalFormatting>
  <conditionalFormatting sqref="E43">
    <cfRule type="expression" dxfId="4331" priority="701">
      <formula>AND(IF(OR($Q43=1,$Q43=2),1,0),IF($E43&lt;=20,1,0))</formula>
    </cfRule>
    <cfRule type="expression" dxfId="4330" priority="702">
      <formula>AND(IF($Q43=2,1,0),IF($E43&lt;30,1,0))</formula>
    </cfRule>
    <cfRule type="expression" dxfId="4329" priority="703">
      <formula>AND(IF($Q43=3,1,0),IF($E43&lt;30,1,0))</formula>
    </cfRule>
    <cfRule type="expression" dxfId="4328" priority="704">
      <formula>AND(IF($Q43=3,1,IF($Q43=4,1,0)),IF($F43&lt;=85,1,0))</formula>
    </cfRule>
  </conditionalFormatting>
  <conditionalFormatting sqref="Y43">
    <cfRule type="expression" dxfId="4327" priority="697">
      <formula>AND(IF(OR($Q43=1,$Q43=2),1,0),IF($Y43&lt;=20,1,0))</formula>
    </cfRule>
    <cfRule type="expression" dxfId="4326" priority="698">
      <formula>AND(IF($Q43=2,1,0),IF($Y43&lt;30,1,0))</formula>
    </cfRule>
    <cfRule type="expression" dxfId="4325" priority="699">
      <formula>AND(IF($Q43=3,1,0),IF($Y43&lt;30,1,0))</formula>
    </cfRule>
    <cfRule type="expression" dxfId="4324" priority="700">
      <formula>AND(IF($Q43=3,1,IF($Q43=4,1,0)),IF($F43&lt;=85,1,0))</formula>
    </cfRule>
  </conditionalFormatting>
  <conditionalFormatting sqref="AJ43">
    <cfRule type="expression" dxfId="4323" priority="693">
      <formula>AND(IF(OR($Q43=1,$Q43=2),1,0),IF($Y43&lt;=20,1,0))</formula>
    </cfRule>
    <cfRule type="expression" dxfId="4322" priority="694">
      <formula>AND(IF($Q43=2,1,0),IF($Y43&lt;30,1,0))</formula>
    </cfRule>
    <cfRule type="expression" dxfId="4321" priority="695">
      <formula>AND(IF($Q43=3,1,0),IF($Y43&lt;30,1,0))</formula>
    </cfRule>
    <cfRule type="expression" dxfId="4320" priority="696">
      <formula>AND(IF($Q43=3,1,IF($Q43=4,1,0)),IF($F43&lt;=85,1,0))</formula>
    </cfRule>
  </conditionalFormatting>
  <conditionalFormatting sqref="AW44">
    <cfRule type="expression" dxfId="4319" priority="691">
      <formula>AW44="X"</formula>
    </cfRule>
    <cfRule type="expression" dxfId="4318" priority="692">
      <formula>AW44="후보"</formula>
    </cfRule>
  </conditionalFormatting>
  <conditionalFormatting sqref="AA44">
    <cfRule type="colorScale" priority="6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 N44">
    <cfRule type="cellIs" dxfId="4317" priority="688" operator="greaterThan">
      <formula>0.9</formula>
    </cfRule>
    <cfRule type="cellIs" dxfId="4316" priority="689" operator="greaterThan">
      <formula>0.85</formula>
    </cfRule>
  </conditionalFormatting>
  <conditionalFormatting sqref="AW45">
    <cfRule type="expression" dxfId="4315" priority="686">
      <formula>AW45="X"</formula>
    </cfRule>
    <cfRule type="expression" dxfId="4314" priority="687">
      <formula>AW45="후보"</formula>
    </cfRule>
  </conditionalFormatting>
  <conditionalFormatting sqref="AA45">
    <cfRule type="colorScale" priority="6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4313" priority="683" operator="greaterThan">
      <formula>0.9</formula>
    </cfRule>
    <cfRule type="cellIs" dxfId="4312" priority="684" operator="greaterThan">
      <formula>0.85</formula>
    </cfRule>
  </conditionalFormatting>
  <conditionalFormatting sqref="N45">
    <cfRule type="cellIs" dxfId="4311" priority="681" operator="greaterThan">
      <formula>0.9</formula>
    </cfRule>
    <cfRule type="cellIs" dxfId="4310" priority="682" operator="greaterThan">
      <formula>0.85</formula>
    </cfRule>
  </conditionalFormatting>
  <conditionalFormatting sqref="E45">
    <cfRule type="expression" dxfId="4309" priority="677">
      <formula>AND(IF(OR($Q45=1,$Q45=2),1,0),IF($E45&lt;=20,1,0))</formula>
    </cfRule>
    <cfRule type="expression" dxfId="4308" priority="678">
      <formula>AND(IF($Q45=2,1,0),IF($E45&lt;30,1,0))</formula>
    </cfRule>
    <cfRule type="expression" dxfId="4307" priority="679">
      <formula>AND(IF($Q45=3,1,0),IF($E45&lt;30,1,0))</formula>
    </cfRule>
    <cfRule type="expression" dxfId="4306" priority="680">
      <formula>AND(IF($Q45=3,1,IF($Q45=4,1,0)),IF($F45&lt;=85,1,0))</formula>
    </cfRule>
  </conditionalFormatting>
  <conditionalFormatting sqref="Y45">
    <cfRule type="expression" dxfId="4305" priority="673">
      <formula>AND(IF(OR($Q45=1,$Q45=2),1,0),IF($Y45&lt;=20,1,0))</formula>
    </cfRule>
    <cfRule type="expression" dxfId="4304" priority="674">
      <formula>AND(IF($Q45=2,1,0),IF($Y45&lt;30,1,0))</formula>
    </cfRule>
    <cfRule type="expression" dxfId="4303" priority="675">
      <formula>AND(IF($Q45=3,1,0),IF($Y45&lt;30,1,0))</formula>
    </cfRule>
    <cfRule type="expression" dxfId="4302" priority="676">
      <formula>AND(IF($Q45=3,1,IF($Q45=4,1,0)),IF($F45&lt;=85,1,0))</formula>
    </cfRule>
  </conditionalFormatting>
  <conditionalFormatting sqref="AJ45">
    <cfRule type="expression" dxfId="4301" priority="669">
      <formula>AND(IF(OR($Q45=1,$Q45=2),1,0),IF($Y45&lt;=20,1,0))</formula>
    </cfRule>
    <cfRule type="expression" dxfId="4300" priority="670">
      <formula>AND(IF($Q45=2,1,0),IF($Y45&lt;30,1,0))</formula>
    </cfRule>
    <cfRule type="expression" dxfId="4299" priority="671">
      <formula>AND(IF($Q45=3,1,0),IF($Y45&lt;30,1,0))</formula>
    </cfRule>
    <cfRule type="expression" dxfId="4298" priority="672">
      <formula>AND(IF($Q45=3,1,IF($Q45=4,1,0)),IF($F45&lt;=85,1,0))</formula>
    </cfRule>
  </conditionalFormatting>
  <conditionalFormatting sqref="AW46">
    <cfRule type="expression" dxfId="4297" priority="667">
      <formula>AW46="X"</formula>
    </cfRule>
    <cfRule type="expression" dxfId="4296" priority="668">
      <formula>AW46="후보"</formula>
    </cfRule>
  </conditionalFormatting>
  <conditionalFormatting sqref="AA46">
    <cfRule type="colorScale" priority="6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4295" priority="664" operator="greaterThan">
      <formula>0.9</formula>
    </cfRule>
    <cfRule type="cellIs" dxfId="4294" priority="665" operator="greaterThan">
      <formula>0.85</formula>
    </cfRule>
  </conditionalFormatting>
  <conditionalFormatting sqref="N46">
    <cfRule type="cellIs" dxfId="4293" priority="662" operator="greaterThan">
      <formula>0.9</formula>
    </cfRule>
    <cfRule type="cellIs" dxfId="4292" priority="663" operator="greaterThan">
      <formula>0.85</formula>
    </cfRule>
  </conditionalFormatting>
  <conditionalFormatting sqref="E46">
    <cfRule type="expression" dxfId="4291" priority="658">
      <formula>AND(IF(OR($Q46=1,$Q46=2),1,0),IF($E46&lt;=20,1,0))</formula>
    </cfRule>
    <cfRule type="expression" dxfId="4290" priority="659">
      <formula>AND(IF($Q46=2,1,0),IF($E46&lt;30,1,0))</formula>
    </cfRule>
    <cfRule type="expression" dxfId="4289" priority="660">
      <formula>AND(IF($Q46=3,1,0),IF($E46&lt;30,1,0))</formula>
    </cfRule>
    <cfRule type="expression" dxfId="4288" priority="661">
      <formula>AND(IF($Q46=3,1,IF($Q46=4,1,0)),IF($F46&lt;=85,1,0))</formula>
    </cfRule>
  </conditionalFormatting>
  <conditionalFormatting sqref="Y46">
    <cfRule type="expression" dxfId="4287" priority="654">
      <formula>AND(IF(OR($Q46=1,$Q46=2),1,0),IF($Y46&lt;=20,1,0))</formula>
    </cfRule>
    <cfRule type="expression" dxfId="4286" priority="655">
      <formula>AND(IF($Q46=2,1,0),IF($Y46&lt;30,1,0))</formula>
    </cfRule>
    <cfRule type="expression" dxfId="4285" priority="656">
      <formula>AND(IF($Q46=3,1,0),IF($Y46&lt;30,1,0))</formula>
    </cfRule>
    <cfRule type="expression" dxfId="4284" priority="657">
      <formula>AND(IF($Q46=3,1,IF($Q46=4,1,0)),IF($F46&lt;=85,1,0))</formula>
    </cfRule>
  </conditionalFormatting>
  <conditionalFormatting sqref="AJ46">
    <cfRule type="expression" dxfId="4283" priority="650">
      <formula>AND(IF(OR($Q46=1,$Q46=2),1,0),IF($Y46&lt;=20,1,0))</formula>
    </cfRule>
    <cfRule type="expression" dxfId="4282" priority="651">
      <formula>AND(IF($Q46=2,1,0),IF($Y46&lt;30,1,0))</formula>
    </cfRule>
    <cfRule type="expression" dxfId="4281" priority="652">
      <formula>AND(IF($Q46=3,1,0),IF($Y46&lt;30,1,0))</formula>
    </cfRule>
    <cfRule type="expression" dxfId="4280" priority="653">
      <formula>AND(IF($Q46=3,1,IF($Q46=4,1,0)),IF($F46&lt;=85,1,0))</formula>
    </cfRule>
  </conditionalFormatting>
  <conditionalFormatting sqref="AW47">
    <cfRule type="expression" dxfId="4279" priority="648">
      <formula>AW47="X"</formula>
    </cfRule>
    <cfRule type="expression" dxfId="4278" priority="649">
      <formula>AW47="후보"</formula>
    </cfRule>
  </conditionalFormatting>
  <conditionalFormatting sqref="AA47">
    <cfRule type="colorScale" priority="6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4277" priority="645" operator="greaterThan">
      <formula>0.9</formula>
    </cfRule>
    <cfRule type="cellIs" dxfId="4276" priority="646" operator="greaterThan">
      <formula>0.85</formula>
    </cfRule>
  </conditionalFormatting>
  <conditionalFormatting sqref="N47">
    <cfRule type="cellIs" dxfId="4275" priority="643" operator="greaterThan">
      <formula>0.9</formula>
    </cfRule>
    <cfRule type="cellIs" dxfId="4274" priority="644" operator="greaterThan">
      <formula>0.85</formula>
    </cfRule>
  </conditionalFormatting>
  <conditionalFormatting sqref="E47">
    <cfRule type="expression" dxfId="4273" priority="639">
      <formula>AND(IF(OR($Q47=1,$Q47=2),1,0),IF($E47&lt;=20,1,0))</formula>
    </cfRule>
    <cfRule type="expression" dxfId="4272" priority="640">
      <formula>AND(IF($Q47=2,1,0),IF($E47&lt;30,1,0))</formula>
    </cfRule>
    <cfRule type="expression" dxfId="4271" priority="641">
      <formula>AND(IF($Q47=3,1,0),IF($E47&lt;30,1,0))</formula>
    </cfRule>
    <cfRule type="expression" dxfId="4270" priority="642">
      <formula>AND(IF($Q47=3,1,IF($Q47=4,1,0)),IF($F47&lt;=85,1,0))</formula>
    </cfRule>
  </conditionalFormatting>
  <conditionalFormatting sqref="Y47">
    <cfRule type="expression" dxfId="4269" priority="635">
      <formula>AND(IF(OR($Q47=1,$Q47=2),1,0),IF($Y47&lt;=20,1,0))</formula>
    </cfRule>
    <cfRule type="expression" dxfId="4268" priority="636">
      <formula>AND(IF($Q47=2,1,0),IF($Y47&lt;30,1,0))</formula>
    </cfRule>
    <cfRule type="expression" dxfId="4267" priority="637">
      <formula>AND(IF($Q47=3,1,0),IF($Y47&lt;30,1,0))</formula>
    </cfRule>
    <cfRule type="expression" dxfId="4266" priority="638">
      <formula>AND(IF($Q47=3,1,IF($Q47=4,1,0)),IF($F47&lt;=85,1,0))</formula>
    </cfRule>
  </conditionalFormatting>
  <conditionalFormatting sqref="AJ47">
    <cfRule type="expression" dxfId="4265" priority="631">
      <formula>AND(IF(OR($Q47=1,$Q47=2),1,0),IF($Y47&lt;=20,1,0))</formula>
    </cfRule>
    <cfRule type="expression" dxfId="4264" priority="632">
      <formula>AND(IF($Q47=2,1,0),IF($Y47&lt;30,1,0))</formula>
    </cfRule>
    <cfRule type="expression" dxfId="4263" priority="633">
      <formula>AND(IF($Q47=3,1,0),IF($Y47&lt;30,1,0))</formula>
    </cfRule>
    <cfRule type="expression" dxfId="4262" priority="634">
      <formula>AND(IF($Q47=3,1,IF($Q47=4,1,0)),IF($F47&lt;=85,1,0))</formula>
    </cfRule>
  </conditionalFormatting>
  <conditionalFormatting sqref="AW48">
    <cfRule type="expression" dxfId="4261" priority="629">
      <formula>AW48="X"</formula>
    </cfRule>
    <cfRule type="expression" dxfId="4260" priority="630">
      <formula>AW48="후보"</formula>
    </cfRule>
  </conditionalFormatting>
  <conditionalFormatting sqref="AA48">
    <cfRule type="colorScale" priority="6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 N48">
    <cfRule type="cellIs" dxfId="4259" priority="626" operator="greaterThan">
      <formula>0.9</formula>
    </cfRule>
    <cfRule type="cellIs" dxfId="4258" priority="627" operator="greaterThan">
      <formula>0.85</formula>
    </cfRule>
  </conditionalFormatting>
  <conditionalFormatting sqref="AW49">
    <cfRule type="expression" dxfId="4257" priority="624">
      <formula>AW49="X"</formula>
    </cfRule>
    <cfRule type="expression" dxfId="4256" priority="625">
      <formula>AW49="후보"</formula>
    </cfRule>
  </conditionalFormatting>
  <conditionalFormatting sqref="AA49">
    <cfRule type="colorScale" priority="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4255" priority="621" operator="greaterThan">
      <formula>0.9</formula>
    </cfRule>
    <cfRule type="cellIs" dxfId="4254" priority="622" operator="greaterThan">
      <formula>0.85</formula>
    </cfRule>
  </conditionalFormatting>
  <conditionalFormatting sqref="N49">
    <cfRule type="cellIs" dxfId="4253" priority="619" operator="greaterThan">
      <formula>0.9</formula>
    </cfRule>
    <cfRule type="cellIs" dxfId="4252" priority="620" operator="greaterThan">
      <formula>0.85</formula>
    </cfRule>
  </conditionalFormatting>
  <conditionalFormatting sqref="E49">
    <cfRule type="expression" dxfId="4251" priority="615">
      <formula>AND(IF(OR($Q49=1,$Q49=2),1,0),IF($E49&lt;=20,1,0))</formula>
    </cfRule>
    <cfRule type="expression" dxfId="4250" priority="616">
      <formula>AND(IF($Q49=2,1,0),IF($E49&lt;30,1,0))</formula>
    </cfRule>
    <cfRule type="expression" dxfId="4249" priority="617">
      <formula>AND(IF($Q49=3,1,0),IF($E49&lt;30,1,0))</formula>
    </cfRule>
    <cfRule type="expression" dxfId="4248" priority="618">
      <formula>AND(IF($Q49=3,1,IF($Q49=4,1,0)),IF($F49&lt;=85,1,0))</formula>
    </cfRule>
  </conditionalFormatting>
  <conditionalFormatting sqref="Y49">
    <cfRule type="expression" dxfId="4247" priority="611">
      <formula>AND(IF(OR($Q49=1,$Q49=2),1,0),IF($Y49&lt;=20,1,0))</formula>
    </cfRule>
    <cfRule type="expression" dxfId="4246" priority="612">
      <formula>AND(IF($Q49=2,1,0),IF($Y49&lt;30,1,0))</formula>
    </cfRule>
    <cfRule type="expression" dxfId="4245" priority="613">
      <formula>AND(IF($Q49=3,1,0),IF($Y49&lt;30,1,0))</formula>
    </cfRule>
    <cfRule type="expression" dxfId="4244" priority="614">
      <formula>AND(IF($Q49=3,1,IF($Q49=4,1,0)),IF($F49&lt;=85,1,0))</formula>
    </cfRule>
  </conditionalFormatting>
  <conditionalFormatting sqref="AJ49">
    <cfRule type="expression" dxfId="4243" priority="607">
      <formula>AND(IF(OR($Q49=1,$Q49=2),1,0),IF($Y49&lt;=20,1,0))</formula>
    </cfRule>
    <cfRule type="expression" dxfId="4242" priority="608">
      <formula>AND(IF($Q49=2,1,0),IF($Y49&lt;30,1,0))</formula>
    </cfRule>
    <cfRule type="expression" dxfId="4241" priority="609">
      <formula>AND(IF($Q49=3,1,0),IF($Y49&lt;30,1,0))</formula>
    </cfRule>
    <cfRule type="expression" dxfId="4240" priority="610">
      <formula>AND(IF($Q49=3,1,IF($Q49=4,1,0)),IF($F49&lt;=85,1,0))</formula>
    </cfRule>
  </conditionalFormatting>
  <conditionalFormatting sqref="AW50">
    <cfRule type="expression" dxfId="4239" priority="605">
      <formula>AW50="X"</formula>
    </cfRule>
    <cfRule type="expression" dxfId="4238" priority="606">
      <formula>AW50="후보"</formula>
    </cfRule>
  </conditionalFormatting>
  <conditionalFormatting sqref="AA50">
    <cfRule type="colorScale" priority="6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">
    <cfRule type="cellIs" dxfId="4237" priority="602" operator="greaterThan">
      <formula>0.9</formula>
    </cfRule>
    <cfRule type="cellIs" dxfId="4236" priority="603" operator="greaterThan">
      <formula>0.85</formula>
    </cfRule>
  </conditionalFormatting>
  <conditionalFormatting sqref="N50">
    <cfRule type="cellIs" dxfId="4235" priority="600" operator="greaterThan">
      <formula>0.9</formula>
    </cfRule>
    <cfRule type="cellIs" dxfId="4234" priority="601" operator="greaterThan">
      <formula>0.85</formula>
    </cfRule>
  </conditionalFormatting>
  <conditionalFormatting sqref="E50">
    <cfRule type="expression" dxfId="4233" priority="596">
      <formula>AND(IF(OR($Q50=1,$Q50=2),1,0),IF($E50&lt;=20,1,0))</formula>
    </cfRule>
    <cfRule type="expression" dxfId="4232" priority="597">
      <formula>AND(IF($Q50=2,1,0),IF($E50&lt;30,1,0))</formula>
    </cfRule>
    <cfRule type="expression" dxfId="4231" priority="598">
      <formula>AND(IF($Q50=3,1,0),IF($E50&lt;30,1,0))</formula>
    </cfRule>
    <cfRule type="expression" dxfId="4230" priority="599">
      <formula>AND(IF($Q50=3,1,IF($Q50=4,1,0)),IF($F50&lt;=85,1,0))</formula>
    </cfRule>
  </conditionalFormatting>
  <conditionalFormatting sqref="Y50">
    <cfRule type="expression" dxfId="4229" priority="592">
      <formula>AND(IF(OR($Q50=1,$Q50=2),1,0),IF($Y50&lt;=20,1,0))</formula>
    </cfRule>
    <cfRule type="expression" dxfId="4228" priority="593">
      <formula>AND(IF($Q50=2,1,0),IF($Y50&lt;30,1,0))</formula>
    </cfRule>
    <cfRule type="expression" dxfId="4227" priority="594">
      <formula>AND(IF($Q50=3,1,0),IF($Y50&lt;30,1,0))</formula>
    </cfRule>
    <cfRule type="expression" dxfId="4226" priority="595">
      <formula>AND(IF($Q50=3,1,IF($Q50=4,1,0)),IF($F50&lt;=85,1,0))</formula>
    </cfRule>
  </conditionalFormatting>
  <conditionalFormatting sqref="AJ50">
    <cfRule type="expression" dxfId="4225" priority="588">
      <formula>AND(IF(OR($Q50=1,$Q50=2),1,0),IF($Y50&lt;=20,1,0))</formula>
    </cfRule>
    <cfRule type="expression" dxfId="4224" priority="589">
      <formula>AND(IF($Q50=2,1,0),IF($Y50&lt;30,1,0))</formula>
    </cfRule>
    <cfRule type="expression" dxfId="4223" priority="590">
      <formula>AND(IF($Q50=3,1,0),IF($Y50&lt;30,1,0))</formula>
    </cfRule>
    <cfRule type="expression" dxfId="4222" priority="591">
      <formula>AND(IF($Q50=3,1,IF($Q50=4,1,0)),IF($F50&lt;=85,1,0))</formula>
    </cfRule>
  </conditionalFormatting>
  <conditionalFormatting sqref="AW51">
    <cfRule type="expression" dxfId="4221" priority="586">
      <formula>AW51="X"</formula>
    </cfRule>
    <cfRule type="expression" dxfId="4220" priority="587">
      <formula>AW51="후보"</formula>
    </cfRule>
  </conditionalFormatting>
  <conditionalFormatting sqref="AA51">
    <cfRule type="colorScale" priority="5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4219" priority="583" operator="greaterThan">
      <formula>0.9</formula>
    </cfRule>
    <cfRule type="cellIs" dxfId="4218" priority="584" operator="greaterThan">
      <formula>0.85</formula>
    </cfRule>
  </conditionalFormatting>
  <conditionalFormatting sqref="N51">
    <cfRule type="cellIs" dxfId="4217" priority="581" operator="greaterThan">
      <formula>0.9</formula>
    </cfRule>
    <cfRule type="cellIs" dxfId="4216" priority="582" operator="greaterThan">
      <formula>0.85</formula>
    </cfRule>
  </conditionalFormatting>
  <conditionalFormatting sqref="E51">
    <cfRule type="expression" dxfId="4215" priority="577">
      <formula>AND(IF(OR($Q51=1,$Q51=2),1,0),IF($E51&lt;=20,1,0))</formula>
    </cfRule>
    <cfRule type="expression" dxfId="4214" priority="578">
      <formula>AND(IF($Q51=2,1,0),IF($E51&lt;30,1,0))</formula>
    </cfRule>
    <cfRule type="expression" dxfId="4213" priority="579">
      <formula>AND(IF($Q51=3,1,0),IF($E51&lt;30,1,0))</formula>
    </cfRule>
    <cfRule type="expression" dxfId="4212" priority="580">
      <formula>AND(IF($Q51=3,1,IF($Q51=4,1,0)),IF($F51&lt;=85,1,0))</formula>
    </cfRule>
  </conditionalFormatting>
  <conditionalFormatting sqref="Y51">
    <cfRule type="expression" dxfId="4211" priority="573">
      <formula>AND(IF(OR($Q51=1,$Q51=2),1,0),IF($Y51&lt;=20,1,0))</formula>
    </cfRule>
    <cfRule type="expression" dxfId="4210" priority="574">
      <formula>AND(IF($Q51=2,1,0),IF($Y51&lt;30,1,0))</formula>
    </cfRule>
    <cfRule type="expression" dxfId="4209" priority="575">
      <formula>AND(IF($Q51=3,1,0),IF($Y51&lt;30,1,0))</formula>
    </cfRule>
    <cfRule type="expression" dxfId="4208" priority="576">
      <formula>AND(IF($Q51=3,1,IF($Q51=4,1,0)),IF($F51&lt;=85,1,0))</formula>
    </cfRule>
  </conditionalFormatting>
  <conditionalFormatting sqref="AJ51">
    <cfRule type="expression" dxfId="4207" priority="569">
      <formula>AND(IF(OR($Q51=1,$Q51=2),1,0),IF($Y51&lt;=20,1,0))</formula>
    </cfRule>
    <cfRule type="expression" dxfId="4206" priority="570">
      <formula>AND(IF($Q51=2,1,0),IF($Y51&lt;30,1,0))</formula>
    </cfRule>
    <cfRule type="expression" dxfId="4205" priority="571">
      <formula>AND(IF($Q51=3,1,0),IF($Y51&lt;30,1,0))</formula>
    </cfRule>
    <cfRule type="expression" dxfId="4204" priority="572">
      <formula>AND(IF($Q51=3,1,IF($Q51=4,1,0)),IF($F51&lt;=85,1,0))</formula>
    </cfRule>
  </conditionalFormatting>
  <conditionalFormatting sqref="AW52">
    <cfRule type="expression" dxfId="4203" priority="567">
      <formula>AW52="X"</formula>
    </cfRule>
    <cfRule type="expression" dxfId="4202" priority="568">
      <formula>AW52="후보"</formula>
    </cfRule>
  </conditionalFormatting>
  <conditionalFormatting sqref="AA52">
    <cfRule type="colorScale" priority="5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 N52">
    <cfRule type="cellIs" dxfId="4201" priority="564" operator="greaterThan">
      <formula>0.9</formula>
    </cfRule>
    <cfRule type="cellIs" dxfId="4200" priority="565" operator="greaterThan">
      <formula>0.85</formula>
    </cfRule>
  </conditionalFormatting>
  <conditionalFormatting sqref="AW53">
    <cfRule type="expression" dxfId="4199" priority="562">
      <formula>AW53="X"</formula>
    </cfRule>
    <cfRule type="expression" dxfId="4198" priority="563">
      <formula>AW53="후보"</formula>
    </cfRule>
  </conditionalFormatting>
  <conditionalFormatting sqref="AA53">
    <cfRule type="colorScale" priority="5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4197" priority="559" operator="greaterThan">
      <formula>0.9</formula>
    </cfRule>
    <cfRule type="cellIs" dxfId="4196" priority="560" operator="greaterThan">
      <formula>0.85</formula>
    </cfRule>
  </conditionalFormatting>
  <conditionalFormatting sqref="N53">
    <cfRule type="cellIs" dxfId="4195" priority="557" operator="greaterThan">
      <formula>0.9</formula>
    </cfRule>
    <cfRule type="cellIs" dxfId="4194" priority="558" operator="greaterThan">
      <formula>0.85</formula>
    </cfRule>
  </conditionalFormatting>
  <conditionalFormatting sqref="E53">
    <cfRule type="expression" dxfId="4193" priority="553">
      <formula>AND(IF(OR($Q53=1,$Q53=2),1,0),IF($E53&lt;=20,1,0))</formula>
    </cfRule>
    <cfRule type="expression" dxfId="4192" priority="554">
      <formula>AND(IF($Q53=2,1,0),IF($E53&lt;30,1,0))</formula>
    </cfRule>
    <cfRule type="expression" dxfId="4191" priority="555">
      <formula>AND(IF($Q53=3,1,0),IF($E53&lt;30,1,0))</formula>
    </cfRule>
    <cfRule type="expression" dxfId="4190" priority="556">
      <formula>AND(IF($Q53=3,1,IF($Q53=4,1,0)),IF($F53&lt;=85,1,0))</formula>
    </cfRule>
  </conditionalFormatting>
  <conditionalFormatting sqref="Y53">
    <cfRule type="expression" dxfId="4189" priority="549">
      <formula>AND(IF(OR($Q53=1,$Q53=2),1,0),IF($Y53&lt;=20,1,0))</formula>
    </cfRule>
    <cfRule type="expression" dxfId="4188" priority="550">
      <formula>AND(IF($Q53=2,1,0),IF($Y53&lt;30,1,0))</formula>
    </cfRule>
    <cfRule type="expression" dxfId="4187" priority="551">
      <formula>AND(IF($Q53=3,1,0),IF($Y53&lt;30,1,0))</formula>
    </cfRule>
    <cfRule type="expression" dxfId="4186" priority="552">
      <formula>AND(IF($Q53=3,1,IF($Q53=4,1,0)),IF($F53&lt;=85,1,0))</formula>
    </cfRule>
  </conditionalFormatting>
  <conditionalFormatting sqref="AJ53">
    <cfRule type="expression" dxfId="4185" priority="545">
      <formula>AND(IF(OR($Q53=1,$Q53=2),1,0),IF($Y53&lt;=20,1,0))</formula>
    </cfRule>
    <cfRule type="expression" dxfId="4184" priority="546">
      <formula>AND(IF($Q53=2,1,0),IF($Y53&lt;30,1,0))</formula>
    </cfRule>
    <cfRule type="expression" dxfId="4183" priority="547">
      <formula>AND(IF($Q53=3,1,0),IF($Y53&lt;30,1,0))</formula>
    </cfRule>
    <cfRule type="expression" dxfId="4182" priority="548">
      <formula>AND(IF($Q53=3,1,IF($Q53=4,1,0)),IF($F53&lt;=85,1,0))</formula>
    </cfRule>
  </conditionalFormatting>
  <conditionalFormatting sqref="AW54">
    <cfRule type="expression" dxfId="4181" priority="543">
      <formula>AW54="X"</formula>
    </cfRule>
    <cfRule type="expression" dxfId="4180" priority="544">
      <formula>AW54="후보"</formula>
    </cfRule>
  </conditionalFormatting>
  <conditionalFormatting sqref="AA54">
    <cfRule type="colorScale" priority="5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">
    <cfRule type="cellIs" dxfId="4179" priority="540" operator="greaterThan">
      <formula>0.9</formula>
    </cfRule>
    <cfRule type="cellIs" dxfId="4178" priority="541" operator="greaterThan">
      <formula>0.85</formula>
    </cfRule>
  </conditionalFormatting>
  <conditionalFormatting sqref="N54">
    <cfRule type="cellIs" dxfId="4177" priority="538" operator="greaterThan">
      <formula>0.9</formula>
    </cfRule>
    <cfRule type="cellIs" dxfId="4176" priority="539" operator="greaterThan">
      <formula>0.85</formula>
    </cfRule>
  </conditionalFormatting>
  <conditionalFormatting sqref="E54">
    <cfRule type="expression" dxfId="4175" priority="534">
      <formula>AND(IF(OR($Q54=1,$Q54=2),1,0),IF($E54&lt;=20,1,0))</formula>
    </cfRule>
    <cfRule type="expression" dxfId="4174" priority="535">
      <formula>AND(IF($Q54=2,1,0),IF($E54&lt;30,1,0))</formula>
    </cfRule>
    <cfRule type="expression" dxfId="4173" priority="536">
      <formula>AND(IF($Q54=3,1,0),IF($E54&lt;30,1,0))</formula>
    </cfRule>
    <cfRule type="expression" dxfId="4172" priority="537">
      <formula>AND(IF($Q54=3,1,IF($Q54=4,1,0)),IF($F54&lt;=85,1,0))</formula>
    </cfRule>
  </conditionalFormatting>
  <conditionalFormatting sqref="Y54">
    <cfRule type="expression" dxfId="4171" priority="530">
      <formula>AND(IF(OR($Q54=1,$Q54=2),1,0),IF($Y54&lt;=20,1,0))</formula>
    </cfRule>
    <cfRule type="expression" dxfId="4170" priority="531">
      <formula>AND(IF($Q54=2,1,0),IF($Y54&lt;30,1,0))</formula>
    </cfRule>
    <cfRule type="expression" dxfId="4169" priority="532">
      <formula>AND(IF($Q54=3,1,0),IF($Y54&lt;30,1,0))</formula>
    </cfRule>
    <cfRule type="expression" dxfId="4168" priority="533">
      <formula>AND(IF($Q54=3,1,IF($Q54=4,1,0)),IF($F54&lt;=85,1,0))</formula>
    </cfRule>
  </conditionalFormatting>
  <conditionalFormatting sqref="AJ54">
    <cfRule type="expression" dxfId="4167" priority="526">
      <formula>AND(IF(OR($Q54=1,$Q54=2),1,0),IF($Y54&lt;=20,1,0))</formula>
    </cfRule>
    <cfRule type="expression" dxfId="4166" priority="527">
      <formula>AND(IF($Q54=2,1,0),IF($Y54&lt;30,1,0))</formula>
    </cfRule>
    <cfRule type="expression" dxfId="4165" priority="528">
      <formula>AND(IF($Q54=3,1,0),IF($Y54&lt;30,1,0))</formula>
    </cfRule>
    <cfRule type="expression" dxfId="4164" priority="529">
      <formula>AND(IF($Q54=3,1,IF($Q54=4,1,0)),IF($F54&lt;=85,1,0))</formula>
    </cfRule>
  </conditionalFormatting>
  <conditionalFormatting sqref="AW55">
    <cfRule type="expression" dxfId="4163" priority="524">
      <formula>AW55="X"</formula>
    </cfRule>
    <cfRule type="expression" dxfId="4162" priority="525">
      <formula>AW55="후보"</formula>
    </cfRule>
  </conditionalFormatting>
  <conditionalFormatting sqref="AA55">
    <cfRule type="colorScale" priority="5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 N55">
    <cfRule type="cellIs" dxfId="4161" priority="521" operator="greaterThan">
      <formula>0.9</formula>
    </cfRule>
    <cfRule type="cellIs" dxfId="4160" priority="522" operator="greaterThan">
      <formula>0.85</formula>
    </cfRule>
  </conditionalFormatting>
  <conditionalFormatting sqref="AW56">
    <cfRule type="expression" dxfId="4159" priority="519">
      <formula>AW56="X"</formula>
    </cfRule>
    <cfRule type="expression" dxfId="4158" priority="520">
      <formula>AW56="후보"</formula>
    </cfRule>
  </conditionalFormatting>
  <conditionalFormatting sqref="AA56">
    <cfRule type="colorScale" priority="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4157" priority="516" operator="greaterThan">
      <formula>0.9</formula>
    </cfRule>
    <cfRule type="cellIs" dxfId="4156" priority="517" operator="greaterThan">
      <formula>0.85</formula>
    </cfRule>
  </conditionalFormatting>
  <conditionalFormatting sqref="N56">
    <cfRule type="cellIs" dxfId="4155" priority="514" operator="greaterThan">
      <formula>0.9</formula>
    </cfRule>
    <cfRule type="cellIs" dxfId="4154" priority="515" operator="greaterThan">
      <formula>0.85</formula>
    </cfRule>
  </conditionalFormatting>
  <conditionalFormatting sqref="E56">
    <cfRule type="expression" dxfId="4153" priority="510">
      <formula>AND(IF(OR($Q56=1,$Q56=2),1,0),IF($E56&lt;=20,1,0))</formula>
    </cfRule>
    <cfRule type="expression" dxfId="4152" priority="511">
      <formula>AND(IF($Q56=2,1,0),IF($E56&lt;30,1,0))</formula>
    </cfRule>
    <cfRule type="expression" dxfId="4151" priority="512">
      <formula>AND(IF($Q56=3,1,0),IF($E56&lt;30,1,0))</formula>
    </cfRule>
    <cfRule type="expression" dxfId="4150" priority="513">
      <formula>AND(IF($Q56=3,1,IF($Q56=4,1,0)),IF($F56&lt;=85,1,0))</formula>
    </cfRule>
  </conditionalFormatting>
  <conditionalFormatting sqref="Y56">
    <cfRule type="expression" dxfId="4149" priority="506">
      <formula>AND(IF(OR($Q56=1,$Q56=2),1,0),IF($Y56&lt;=20,1,0))</formula>
    </cfRule>
    <cfRule type="expression" dxfId="4148" priority="507">
      <formula>AND(IF($Q56=2,1,0),IF($Y56&lt;30,1,0))</formula>
    </cfRule>
    <cfRule type="expression" dxfId="4147" priority="508">
      <formula>AND(IF($Q56=3,1,0),IF($Y56&lt;30,1,0))</formula>
    </cfRule>
    <cfRule type="expression" dxfId="4146" priority="509">
      <formula>AND(IF($Q56=3,1,IF($Q56=4,1,0)),IF($F56&lt;=85,1,0))</formula>
    </cfRule>
  </conditionalFormatting>
  <conditionalFormatting sqref="AJ56">
    <cfRule type="expression" dxfId="4145" priority="502">
      <formula>AND(IF(OR($Q56=1,$Q56=2),1,0),IF($Y56&lt;=20,1,0))</formula>
    </cfRule>
    <cfRule type="expression" dxfId="4144" priority="503">
      <formula>AND(IF($Q56=2,1,0),IF($Y56&lt;30,1,0))</formula>
    </cfRule>
    <cfRule type="expression" dxfId="4143" priority="504">
      <formula>AND(IF($Q56=3,1,0),IF($Y56&lt;30,1,0))</formula>
    </cfRule>
    <cfRule type="expression" dxfId="4142" priority="505">
      <formula>AND(IF($Q56=3,1,IF($Q56=4,1,0)),IF($F56&lt;=85,1,0))</formula>
    </cfRule>
  </conditionalFormatting>
  <conditionalFormatting sqref="AW57">
    <cfRule type="expression" dxfId="4141" priority="500">
      <formula>AW57="X"</formula>
    </cfRule>
    <cfRule type="expression" dxfId="4140" priority="501">
      <formula>AW57="후보"</formula>
    </cfRule>
  </conditionalFormatting>
  <conditionalFormatting sqref="AA57">
    <cfRule type="colorScale" priority="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">
    <cfRule type="cellIs" dxfId="4139" priority="497" operator="greaterThan">
      <formula>0.9</formula>
    </cfRule>
    <cfRule type="cellIs" dxfId="4138" priority="498" operator="greaterThan">
      <formula>0.85</formula>
    </cfRule>
  </conditionalFormatting>
  <conditionalFormatting sqref="N57">
    <cfRule type="cellIs" dxfId="4137" priority="495" operator="greaterThan">
      <formula>0.9</formula>
    </cfRule>
    <cfRule type="cellIs" dxfId="4136" priority="496" operator="greaterThan">
      <formula>0.85</formula>
    </cfRule>
  </conditionalFormatting>
  <conditionalFormatting sqref="E57">
    <cfRule type="expression" dxfId="4135" priority="491">
      <formula>AND(IF(OR($Q57=1,$Q57=2),1,0),IF($E57&lt;=20,1,0))</formula>
    </cfRule>
    <cfRule type="expression" dxfId="4134" priority="492">
      <formula>AND(IF($Q57=2,1,0),IF($E57&lt;30,1,0))</formula>
    </cfRule>
    <cfRule type="expression" dxfId="4133" priority="493">
      <formula>AND(IF($Q57=3,1,0),IF($E57&lt;30,1,0))</formula>
    </cfRule>
    <cfRule type="expression" dxfId="4132" priority="494">
      <formula>AND(IF($Q57=3,1,IF($Q57=4,1,0)),IF($F57&lt;=85,1,0))</formula>
    </cfRule>
  </conditionalFormatting>
  <conditionalFormatting sqref="Y57">
    <cfRule type="expression" dxfId="4131" priority="487">
      <formula>AND(IF(OR($Q57=1,$Q57=2),1,0),IF($Y57&lt;=20,1,0))</formula>
    </cfRule>
    <cfRule type="expression" dxfId="4130" priority="488">
      <formula>AND(IF($Q57=2,1,0),IF($Y57&lt;30,1,0))</formula>
    </cfRule>
    <cfRule type="expression" dxfId="4129" priority="489">
      <formula>AND(IF($Q57=3,1,0),IF($Y57&lt;30,1,0))</formula>
    </cfRule>
    <cfRule type="expression" dxfId="4128" priority="490">
      <formula>AND(IF($Q57=3,1,IF($Q57=4,1,0)),IF($F57&lt;=85,1,0))</formula>
    </cfRule>
  </conditionalFormatting>
  <conditionalFormatting sqref="AJ57">
    <cfRule type="expression" dxfId="4127" priority="483">
      <formula>AND(IF(OR($Q57=1,$Q57=2),1,0),IF($Y57&lt;=20,1,0))</formula>
    </cfRule>
    <cfRule type="expression" dxfId="4126" priority="484">
      <formula>AND(IF($Q57=2,1,0),IF($Y57&lt;30,1,0))</formula>
    </cfRule>
    <cfRule type="expression" dxfId="4125" priority="485">
      <formula>AND(IF($Q57=3,1,0),IF($Y57&lt;30,1,0))</formula>
    </cfRule>
    <cfRule type="expression" dxfId="4124" priority="486">
      <formula>AND(IF($Q57=3,1,IF($Q57=4,1,0)),IF($F57&lt;=85,1,0))</formula>
    </cfRule>
  </conditionalFormatting>
  <conditionalFormatting sqref="AW58">
    <cfRule type="expression" dxfId="4123" priority="481">
      <formula>AW58="X"</formula>
    </cfRule>
    <cfRule type="expression" dxfId="4122" priority="482">
      <formula>AW58="후보"</formula>
    </cfRule>
  </conditionalFormatting>
  <conditionalFormatting sqref="AA58">
    <cfRule type="colorScale" priority="4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 N58">
    <cfRule type="cellIs" dxfId="4121" priority="478" operator="greaterThan">
      <formula>0.9</formula>
    </cfRule>
    <cfRule type="cellIs" dxfId="4120" priority="479" operator="greaterThan">
      <formula>0.85</formula>
    </cfRule>
  </conditionalFormatting>
  <conditionalFormatting sqref="AW59">
    <cfRule type="expression" dxfId="4119" priority="476">
      <formula>AW59="X"</formula>
    </cfRule>
    <cfRule type="expression" dxfId="4118" priority="477">
      <formula>AW59="후보"</formula>
    </cfRule>
  </conditionalFormatting>
  <conditionalFormatting sqref="AA59">
    <cfRule type="colorScale" priority="4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4117" priority="473" operator="greaterThan">
      <formula>0.9</formula>
    </cfRule>
    <cfRule type="cellIs" dxfId="4116" priority="474" operator="greaterThan">
      <formula>0.85</formula>
    </cfRule>
  </conditionalFormatting>
  <conditionalFormatting sqref="N59">
    <cfRule type="cellIs" dxfId="4115" priority="471" operator="greaterThan">
      <formula>0.9</formula>
    </cfRule>
    <cfRule type="cellIs" dxfId="4114" priority="472" operator="greaterThan">
      <formula>0.85</formula>
    </cfRule>
  </conditionalFormatting>
  <conditionalFormatting sqref="E59">
    <cfRule type="expression" dxfId="4113" priority="467">
      <formula>AND(IF(OR($Q59=1,$Q59=2),1,0),IF($E59&lt;=20,1,0))</formula>
    </cfRule>
    <cfRule type="expression" dxfId="4112" priority="468">
      <formula>AND(IF($Q59=2,1,0),IF($E59&lt;30,1,0))</formula>
    </cfRule>
    <cfRule type="expression" dxfId="4111" priority="469">
      <formula>AND(IF($Q59=3,1,0),IF($E59&lt;30,1,0))</formula>
    </cfRule>
    <cfRule type="expression" dxfId="4110" priority="470">
      <formula>AND(IF($Q59=3,1,IF($Q59=4,1,0)),IF($F59&lt;=85,1,0))</formula>
    </cfRule>
  </conditionalFormatting>
  <conditionalFormatting sqref="Y59">
    <cfRule type="expression" dxfId="4109" priority="463">
      <formula>AND(IF(OR($Q59=1,$Q59=2),1,0),IF($Y59&lt;=20,1,0))</formula>
    </cfRule>
    <cfRule type="expression" dxfId="4108" priority="464">
      <formula>AND(IF($Q59=2,1,0),IF($Y59&lt;30,1,0))</formula>
    </cfRule>
    <cfRule type="expression" dxfId="4107" priority="465">
      <formula>AND(IF($Q59=3,1,0),IF($Y59&lt;30,1,0))</formula>
    </cfRule>
    <cfRule type="expression" dxfId="4106" priority="466">
      <formula>AND(IF($Q59=3,1,IF($Q59=4,1,0)),IF($F59&lt;=85,1,0))</formula>
    </cfRule>
  </conditionalFormatting>
  <conditionalFormatting sqref="AJ59">
    <cfRule type="expression" dxfId="4105" priority="459">
      <formula>AND(IF(OR($Q59=1,$Q59=2),1,0),IF($Y59&lt;=20,1,0))</formula>
    </cfRule>
    <cfRule type="expression" dxfId="4104" priority="460">
      <formula>AND(IF($Q59=2,1,0),IF($Y59&lt;30,1,0))</formula>
    </cfRule>
    <cfRule type="expression" dxfId="4103" priority="461">
      <formula>AND(IF($Q59=3,1,0),IF($Y59&lt;30,1,0))</formula>
    </cfRule>
    <cfRule type="expression" dxfId="4102" priority="462">
      <formula>AND(IF($Q59=3,1,IF($Q59=4,1,0)),IF($F59&lt;=85,1,0))</formula>
    </cfRule>
  </conditionalFormatting>
  <conditionalFormatting sqref="AW60">
    <cfRule type="expression" dxfId="4101" priority="457">
      <formula>AW60="X"</formula>
    </cfRule>
    <cfRule type="expression" dxfId="4100" priority="458">
      <formula>AW60="후보"</formula>
    </cfRule>
  </conditionalFormatting>
  <conditionalFormatting sqref="AA60">
    <cfRule type="colorScale" priority="4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4099" priority="454" operator="greaterThan">
      <formula>0.9</formula>
    </cfRule>
    <cfRule type="cellIs" dxfId="4098" priority="455" operator="greaterThan">
      <formula>0.85</formula>
    </cfRule>
  </conditionalFormatting>
  <conditionalFormatting sqref="N60">
    <cfRule type="cellIs" dxfId="4097" priority="452" operator="greaterThan">
      <formula>0.9</formula>
    </cfRule>
    <cfRule type="cellIs" dxfId="4096" priority="453" operator="greaterThan">
      <formula>0.85</formula>
    </cfRule>
  </conditionalFormatting>
  <conditionalFormatting sqref="E60">
    <cfRule type="expression" dxfId="4095" priority="448">
      <formula>AND(IF(OR($Q60=1,$Q60=2),1,0),IF($E60&lt;=20,1,0))</formula>
    </cfRule>
    <cfRule type="expression" dxfId="4094" priority="449">
      <formula>AND(IF($Q60=2,1,0),IF($E60&lt;30,1,0))</formula>
    </cfRule>
    <cfRule type="expression" dxfId="4093" priority="450">
      <formula>AND(IF($Q60=3,1,0),IF($E60&lt;30,1,0))</formula>
    </cfRule>
    <cfRule type="expression" dxfId="4092" priority="451">
      <formula>AND(IF($Q60=3,1,IF($Q60=4,1,0)),IF($F60&lt;=85,1,0))</formula>
    </cfRule>
  </conditionalFormatting>
  <conditionalFormatting sqref="Y60">
    <cfRule type="expression" dxfId="4091" priority="444">
      <formula>AND(IF(OR($Q60=1,$Q60=2),1,0),IF($Y60&lt;=20,1,0))</formula>
    </cfRule>
    <cfRule type="expression" dxfId="4090" priority="445">
      <formula>AND(IF($Q60=2,1,0),IF($Y60&lt;30,1,0))</formula>
    </cfRule>
    <cfRule type="expression" dxfId="4089" priority="446">
      <formula>AND(IF($Q60=3,1,0),IF($Y60&lt;30,1,0))</formula>
    </cfRule>
    <cfRule type="expression" dxfId="4088" priority="447">
      <formula>AND(IF($Q60=3,1,IF($Q60=4,1,0)),IF($F60&lt;=85,1,0))</formula>
    </cfRule>
  </conditionalFormatting>
  <conditionalFormatting sqref="AJ60">
    <cfRule type="expression" dxfId="4087" priority="440">
      <formula>AND(IF(OR($Q60=1,$Q60=2),1,0),IF($Y60&lt;=20,1,0))</formula>
    </cfRule>
    <cfRule type="expression" dxfId="4086" priority="441">
      <formula>AND(IF($Q60=2,1,0),IF($Y60&lt;30,1,0))</formula>
    </cfRule>
    <cfRule type="expression" dxfId="4085" priority="442">
      <formula>AND(IF($Q60=3,1,0),IF($Y60&lt;30,1,0))</formula>
    </cfRule>
    <cfRule type="expression" dxfId="4084" priority="443">
      <formula>AND(IF($Q60=3,1,IF($Q60=4,1,0)),IF($F60&lt;=85,1,0))</formula>
    </cfRule>
  </conditionalFormatting>
  <conditionalFormatting sqref="AW61">
    <cfRule type="expression" dxfId="4083" priority="438">
      <formula>AW61="X"</formula>
    </cfRule>
    <cfRule type="expression" dxfId="4082" priority="439">
      <formula>AW61="후보"</formula>
    </cfRule>
  </conditionalFormatting>
  <conditionalFormatting sqref="AA61">
    <cfRule type="colorScale" priority="4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4081" priority="435" operator="greaterThan">
      <formula>0.9</formula>
    </cfRule>
    <cfRule type="cellIs" dxfId="4080" priority="436" operator="greaterThan">
      <formula>0.85</formula>
    </cfRule>
  </conditionalFormatting>
  <conditionalFormatting sqref="N61">
    <cfRule type="cellIs" dxfId="4079" priority="433" operator="greaterThan">
      <formula>0.9</formula>
    </cfRule>
    <cfRule type="cellIs" dxfId="4078" priority="434" operator="greaterThan">
      <formula>0.85</formula>
    </cfRule>
  </conditionalFormatting>
  <conditionalFormatting sqref="E61">
    <cfRule type="expression" dxfId="4077" priority="429">
      <formula>AND(IF(OR($Q61=1,$Q61=2),1,0),IF($E61&lt;=20,1,0))</formula>
    </cfRule>
    <cfRule type="expression" dxfId="4076" priority="430">
      <formula>AND(IF($Q61=2,1,0),IF($E61&lt;30,1,0))</formula>
    </cfRule>
    <cfRule type="expression" dxfId="4075" priority="431">
      <formula>AND(IF($Q61=3,1,0),IF($E61&lt;30,1,0))</formula>
    </cfRule>
    <cfRule type="expression" dxfId="4074" priority="432">
      <formula>AND(IF($Q61=3,1,IF($Q61=4,1,0)),IF($F61&lt;=85,1,0))</formula>
    </cfRule>
  </conditionalFormatting>
  <conditionalFormatting sqref="Y61">
    <cfRule type="expression" dxfId="4073" priority="425">
      <formula>AND(IF(OR($Q61=1,$Q61=2),1,0),IF($Y61&lt;=20,1,0))</formula>
    </cfRule>
    <cfRule type="expression" dxfId="4072" priority="426">
      <formula>AND(IF($Q61=2,1,0),IF($Y61&lt;30,1,0))</formula>
    </cfRule>
    <cfRule type="expression" dxfId="4071" priority="427">
      <formula>AND(IF($Q61=3,1,0),IF($Y61&lt;30,1,0))</formula>
    </cfRule>
    <cfRule type="expression" dxfId="4070" priority="428">
      <formula>AND(IF($Q61=3,1,IF($Q61=4,1,0)),IF($F61&lt;=85,1,0))</formula>
    </cfRule>
  </conditionalFormatting>
  <conditionalFormatting sqref="AJ61">
    <cfRule type="expression" dxfId="4069" priority="421">
      <formula>AND(IF(OR($Q61=1,$Q61=2),1,0),IF($Y61&lt;=20,1,0))</formula>
    </cfRule>
    <cfRule type="expression" dxfId="4068" priority="422">
      <formula>AND(IF($Q61=2,1,0),IF($Y61&lt;30,1,0))</formula>
    </cfRule>
    <cfRule type="expression" dxfId="4067" priority="423">
      <formula>AND(IF($Q61=3,1,0),IF($Y61&lt;30,1,0))</formula>
    </cfRule>
    <cfRule type="expression" dxfId="4066" priority="424">
      <formula>AND(IF($Q61=3,1,IF($Q61=4,1,0)),IF($F61&lt;=85,1,0))</formula>
    </cfRule>
  </conditionalFormatting>
  <conditionalFormatting sqref="AW62">
    <cfRule type="expression" dxfId="4065" priority="419">
      <formula>AW62="X"</formula>
    </cfRule>
    <cfRule type="expression" dxfId="4064" priority="420">
      <formula>AW62="후보"</formula>
    </cfRule>
  </conditionalFormatting>
  <conditionalFormatting sqref="AA62">
    <cfRule type="colorScale" priority="4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4063" priority="416" operator="greaterThan">
      <formula>0.9</formula>
    </cfRule>
    <cfRule type="cellIs" dxfId="4062" priority="417" operator="greaterThan">
      <formula>0.85</formula>
    </cfRule>
  </conditionalFormatting>
  <conditionalFormatting sqref="N62">
    <cfRule type="cellIs" dxfId="4061" priority="414" operator="greaterThan">
      <formula>0.9</formula>
    </cfRule>
    <cfRule type="cellIs" dxfId="4060" priority="415" operator="greaterThan">
      <formula>0.85</formula>
    </cfRule>
  </conditionalFormatting>
  <conditionalFormatting sqref="E62">
    <cfRule type="expression" dxfId="4059" priority="410">
      <formula>AND(IF(OR($Q62=1,$Q62=2),1,0),IF($E62&lt;=20,1,0))</formula>
    </cfRule>
    <cfRule type="expression" dxfId="4058" priority="411">
      <formula>AND(IF($Q62=2,1,0),IF($E62&lt;30,1,0))</formula>
    </cfRule>
    <cfRule type="expression" dxfId="4057" priority="412">
      <formula>AND(IF($Q62=3,1,0),IF($E62&lt;30,1,0))</formula>
    </cfRule>
    <cfRule type="expression" dxfId="4056" priority="413">
      <formula>AND(IF($Q62=3,1,IF($Q62=4,1,0)),IF($F62&lt;=85,1,0))</formula>
    </cfRule>
  </conditionalFormatting>
  <conditionalFormatting sqref="Y62">
    <cfRule type="expression" dxfId="4055" priority="406">
      <formula>AND(IF(OR($Q62=1,$Q62=2),1,0),IF($Y62&lt;=20,1,0))</formula>
    </cfRule>
    <cfRule type="expression" dxfId="4054" priority="407">
      <formula>AND(IF($Q62=2,1,0),IF($Y62&lt;30,1,0))</formula>
    </cfRule>
    <cfRule type="expression" dxfId="4053" priority="408">
      <formula>AND(IF($Q62=3,1,0),IF($Y62&lt;30,1,0))</formula>
    </cfRule>
    <cfRule type="expression" dxfId="4052" priority="409">
      <formula>AND(IF($Q62=3,1,IF($Q62=4,1,0)),IF($F62&lt;=85,1,0))</formula>
    </cfRule>
  </conditionalFormatting>
  <conditionalFormatting sqref="AJ62">
    <cfRule type="expression" dxfId="4051" priority="402">
      <formula>AND(IF(OR($Q62=1,$Q62=2),1,0),IF($Y62&lt;=20,1,0))</formula>
    </cfRule>
    <cfRule type="expression" dxfId="4050" priority="403">
      <formula>AND(IF($Q62=2,1,0),IF($Y62&lt;30,1,0))</formula>
    </cfRule>
    <cfRule type="expression" dxfId="4049" priority="404">
      <formula>AND(IF($Q62=3,1,0),IF($Y62&lt;30,1,0))</formula>
    </cfRule>
    <cfRule type="expression" dxfId="4048" priority="405">
      <formula>AND(IF($Q62=3,1,IF($Q62=4,1,0)),IF($F62&lt;=85,1,0))</formula>
    </cfRule>
  </conditionalFormatting>
  <conditionalFormatting sqref="AW63">
    <cfRule type="expression" dxfId="4047" priority="400">
      <formula>AW63="X"</formula>
    </cfRule>
    <cfRule type="expression" dxfId="4046" priority="401">
      <formula>AW63="후보"</formula>
    </cfRule>
  </conditionalFormatting>
  <conditionalFormatting sqref="AA63">
    <cfRule type="colorScale" priority="3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 N63">
    <cfRule type="cellIs" dxfId="4045" priority="397" operator="greaterThan">
      <formula>0.9</formula>
    </cfRule>
    <cfRule type="cellIs" dxfId="4044" priority="398" operator="greaterThan">
      <formula>0.85</formula>
    </cfRule>
  </conditionalFormatting>
  <conditionalFormatting sqref="AW64">
    <cfRule type="expression" dxfId="4043" priority="395">
      <formula>AW64="X"</formula>
    </cfRule>
    <cfRule type="expression" dxfId="4042" priority="396">
      <formula>AW64="후보"</formula>
    </cfRule>
  </conditionalFormatting>
  <conditionalFormatting sqref="AA64">
    <cfRule type="colorScale" priority="3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4041" priority="392" operator="greaterThan">
      <formula>0.9</formula>
    </cfRule>
    <cfRule type="cellIs" dxfId="4040" priority="393" operator="greaterThan">
      <formula>0.85</formula>
    </cfRule>
  </conditionalFormatting>
  <conditionalFormatting sqref="N64">
    <cfRule type="cellIs" dxfId="4039" priority="390" operator="greaterThan">
      <formula>0.9</formula>
    </cfRule>
    <cfRule type="cellIs" dxfId="4038" priority="391" operator="greaterThan">
      <formula>0.85</formula>
    </cfRule>
  </conditionalFormatting>
  <conditionalFormatting sqref="E64">
    <cfRule type="expression" dxfId="4037" priority="386">
      <formula>AND(IF(OR($Q64=1,$Q64=2),1,0),IF($E64&lt;=20,1,0))</formula>
    </cfRule>
    <cfRule type="expression" dxfId="4036" priority="387">
      <formula>AND(IF($Q64=2,1,0),IF($E64&lt;30,1,0))</formula>
    </cfRule>
    <cfRule type="expression" dxfId="4035" priority="388">
      <formula>AND(IF($Q64=3,1,0),IF($E64&lt;30,1,0))</formula>
    </cfRule>
    <cfRule type="expression" dxfId="4034" priority="389">
      <formula>AND(IF($Q64=3,1,IF($Q64=4,1,0)),IF($F64&lt;=85,1,0))</formula>
    </cfRule>
  </conditionalFormatting>
  <conditionalFormatting sqref="Y64">
    <cfRule type="expression" dxfId="4033" priority="382">
      <formula>AND(IF(OR($Q64=1,$Q64=2),1,0),IF($Y64&lt;=20,1,0))</formula>
    </cfRule>
    <cfRule type="expression" dxfId="4032" priority="383">
      <formula>AND(IF($Q64=2,1,0),IF($Y64&lt;30,1,0))</formula>
    </cfRule>
    <cfRule type="expression" dxfId="4031" priority="384">
      <formula>AND(IF($Q64=3,1,0),IF($Y64&lt;30,1,0))</formula>
    </cfRule>
    <cfRule type="expression" dxfId="4030" priority="385">
      <formula>AND(IF($Q64=3,1,IF($Q64=4,1,0)),IF($F64&lt;=85,1,0))</formula>
    </cfRule>
  </conditionalFormatting>
  <conditionalFormatting sqref="AJ64">
    <cfRule type="expression" dxfId="4029" priority="378">
      <formula>AND(IF(OR($Q64=1,$Q64=2),1,0),IF($Y64&lt;=20,1,0))</formula>
    </cfRule>
    <cfRule type="expression" dxfId="4028" priority="379">
      <formula>AND(IF($Q64=2,1,0),IF($Y64&lt;30,1,0))</formula>
    </cfRule>
    <cfRule type="expression" dxfId="4027" priority="380">
      <formula>AND(IF($Q64=3,1,0),IF($Y64&lt;30,1,0))</formula>
    </cfRule>
    <cfRule type="expression" dxfId="4026" priority="381">
      <formula>AND(IF($Q64=3,1,IF($Q64=4,1,0)),IF($F64&lt;=85,1,0))</formula>
    </cfRule>
  </conditionalFormatting>
  <conditionalFormatting sqref="AW65">
    <cfRule type="expression" dxfId="4025" priority="376">
      <formula>AW65="X"</formula>
    </cfRule>
    <cfRule type="expression" dxfId="4024" priority="377">
      <formula>AW65="후보"</formula>
    </cfRule>
  </conditionalFormatting>
  <conditionalFormatting sqref="AA65">
    <cfRule type="colorScale" priority="3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 N65">
    <cfRule type="cellIs" dxfId="4023" priority="373" operator="greaterThan">
      <formula>0.9</formula>
    </cfRule>
    <cfRule type="cellIs" dxfId="4022" priority="374" operator="greaterThan">
      <formula>0.85</formula>
    </cfRule>
  </conditionalFormatting>
  <conditionalFormatting sqref="AW66">
    <cfRule type="expression" dxfId="4021" priority="371">
      <formula>AW66="X"</formula>
    </cfRule>
    <cfRule type="expression" dxfId="4020" priority="372">
      <formula>AW66="후보"</formula>
    </cfRule>
  </conditionalFormatting>
  <conditionalFormatting sqref="AA66">
    <cfRule type="colorScale" priority="3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4019" priority="368" operator="greaterThan">
      <formula>0.9</formula>
    </cfRule>
    <cfRule type="cellIs" dxfId="4018" priority="369" operator="greaterThan">
      <formula>0.85</formula>
    </cfRule>
  </conditionalFormatting>
  <conditionalFormatting sqref="N66">
    <cfRule type="cellIs" dxfId="4017" priority="366" operator="greaterThan">
      <formula>0.9</formula>
    </cfRule>
    <cfRule type="cellIs" dxfId="4016" priority="367" operator="greaterThan">
      <formula>0.85</formula>
    </cfRule>
  </conditionalFormatting>
  <conditionalFormatting sqref="E66">
    <cfRule type="expression" dxfId="4015" priority="362">
      <formula>AND(IF(OR($Q66=1,$Q66=2),1,0),IF($E66&lt;=20,1,0))</formula>
    </cfRule>
    <cfRule type="expression" dxfId="4014" priority="363">
      <formula>AND(IF($Q66=2,1,0),IF($E66&lt;30,1,0))</formula>
    </cfRule>
    <cfRule type="expression" dxfId="4013" priority="364">
      <formula>AND(IF($Q66=3,1,0),IF($E66&lt;30,1,0))</formula>
    </cfRule>
    <cfRule type="expression" dxfId="4012" priority="365">
      <formula>AND(IF($Q66=3,1,IF($Q66=4,1,0)),IF($F66&lt;=85,1,0))</formula>
    </cfRule>
  </conditionalFormatting>
  <conditionalFormatting sqref="Y66">
    <cfRule type="expression" dxfId="4011" priority="358">
      <formula>AND(IF(OR($Q66=1,$Q66=2),1,0),IF($Y66&lt;=20,1,0))</formula>
    </cfRule>
    <cfRule type="expression" dxfId="4010" priority="359">
      <formula>AND(IF($Q66=2,1,0),IF($Y66&lt;30,1,0))</formula>
    </cfRule>
    <cfRule type="expression" dxfId="4009" priority="360">
      <formula>AND(IF($Q66=3,1,0),IF($Y66&lt;30,1,0))</formula>
    </cfRule>
    <cfRule type="expression" dxfId="4008" priority="361">
      <formula>AND(IF($Q66=3,1,IF($Q66=4,1,0)),IF($F66&lt;=85,1,0))</formula>
    </cfRule>
  </conditionalFormatting>
  <conditionalFormatting sqref="AJ66">
    <cfRule type="expression" dxfId="4007" priority="354">
      <formula>AND(IF(OR($Q66=1,$Q66=2),1,0),IF($Y66&lt;=20,1,0))</formula>
    </cfRule>
    <cfRule type="expression" dxfId="4006" priority="355">
      <formula>AND(IF($Q66=2,1,0),IF($Y66&lt;30,1,0))</formula>
    </cfRule>
    <cfRule type="expression" dxfId="4005" priority="356">
      <formula>AND(IF($Q66=3,1,0),IF($Y66&lt;30,1,0))</formula>
    </cfRule>
    <cfRule type="expression" dxfId="4004" priority="357">
      <formula>AND(IF($Q66=3,1,IF($Q66=4,1,0)),IF($F66&lt;=85,1,0))</formula>
    </cfRule>
  </conditionalFormatting>
  <conditionalFormatting sqref="AW67">
    <cfRule type="expression" dxfId="4003" priority="352">
      <formula>AW67="X"</formula>
    </cfRule>
    <cfRule type="expression" dxfId="4002" priority="353">
      <formula>AW67="후보"</formula>
    </cfRule>
  </conditionalFormatting>
  <conditionalFormatting sqref="AA67">
    <cfRule type="colorScale" priority="3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4001" priority="349" operator="greaterThan">
      <formula>0.9</formula>
    </cfRule>
    <cfRule type="cellIs" dxfId="4000" priority="350" operator="greaterThan">
      <formula>0.85</formula>
    </cfRule>
  </conditionalFormatting>
  <conditionalFormatting sqref="N67">
    <cfRule type="cellIs" dxfId="3999" priority="347" operator="greaterThan">
      <formula>0.9</formula>
    </cfRule>
    <cfRule type="cellIs" dxfId="3998" priority="348" operator="greaterThan">
      <formula>0.85</formula>
    </cfRule>
  </conditionalFormatting>
  <conditionalFormatting sqref="E67">
    <cfRule type="expression" dxfId="3997" priority="343">
      <formula>AND(IF(OR($Q67=1,$Q67=2),1,0),IF($E67&lt;=20,1,0))</formula>
    </cfRule>
    <cfRule type="expression" dxfId="3996" priority="344">
      <formula>AND(IF($Q67=2,1,0),IF($E67&lt;30,1,0))</formula>
    </cfRule>
    <cfRule type="expression" dxfId="3995" priority="345">
      <formula>AND(IF($Q67=3,1,0),IF($E67&lt;30,1,0))</formula>
    </cfRule>
    <cfRule type="expression" dxfId="3994" priority="346">
      <formula>AND(IF($Q67=3,1,IF($Q67=4,1,0)),IF($F67&lt;=85,1,0))</formula>
    </cfRule>
  </conditionalFormatting>
  <conditionalFormatting sqref="Y67">
    <cfRule type="expression" dxfId="3993" priority="339">
      <formula>AND(IF(OR($Q67=1,$Q67=2),1,0),IF($Y67&lt;=20,1,0))</formula>
    </cfRule>
    <cfRule type="expression" dxfId="3992" priority="340">
      <formula>AND(IF($Q67=2,1,0),IF($Y67&lt;30,1,0))</formula>
    </cfRule>
    <cfRule type="expression" dxfId="3991" priority="341">
      <formula>AND(IF($Q67=3,1,0),IF($Y67&lt;30,1,0))</formula>
    </cfRule>
    <cfRule type="expression" dxfId="3990" priority="342">
      <formula>AND(IF($Q67=3,1,IF($Q67=4,1,0)),IF($F67&lt;=85,1,0))</formula>
    </cfRule>
  </conditionalFormatting>
  <conditionalFormatting sqref="AJ67">
    <cfRule type="expression" dxfId="3989" priority="335">
      <formula>AND(IF(OR($Q67=1,$Q67=2),1,0),IF($Y67&lt;=20,1,0))</formula>
    </cfRule>
    <cfRule type="expression" dxfId="3988" priority="336">
      <formula>AND(IF($Q67=2,1,0),IF($Y67&lt;30,1,0))</formula>
    </cfRule>
    <cfRule type="expression" dxfId="3987" priority="337">
      <formula>AND(IF($Q67=3,1,0),IF($Y67&lt;30,1,0))</formula>
    </cfRule>
    <cfRule type="expression" dxfId="3986" priority="338">
      <formula>AND(IF($Q67=3,1,IF($Q67=4,1,0)),IF($F67&lt;=85,1,0))</formula>
    </cfRule>
  </conditionalFormatting>
  <conditionalFormatting sqref="AW68">
    <cfRule type="expression" dxfId="3985" priority="333">
      <formula>AW68="X"</formula>
    </cfRule>
    <cfRule type="expression" dxfId="3984" priority="334">
      <formula>AW68="후보"</formula>
    </cfRule>
  </conditionalFormatting>
  <conditionalFormatting sqref="AA68">
    <cfRule type="colorScale" priority="3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">
    <cfRule type="cellIs" dxfId="3983" priority="330" operator="greaterThan">
      <formula>0.9</formula>
    </cfRule>
    <cfRule type="cellIs" dxfId="3982" priority="331" operator="greaterThan">
      <formula>0.85</formula>
    </cfRule>
  </conditionalFormatting>
  <conditionalFormatting sqref="N68">
    <cfRule type="cellIs" dxfId="3981" priority="328" operator="greaterThan">
      <formula>0.9</formula>
    </cfRule>
    <cfRule type="cellIs" dxfId="3980" priority="329" operator="greaterThan">
      <formula>0.85</formula>
    </cfRule>
  </conditionalFormatting>
  <conditionalFormatting sqref="E68">
    <cfRule type="expression" dxfId="3979" priority="324">
      <formula>AND(IF(OR($Q68=1,$Q68=2),1,0),IF($E68&lt;=20,1,0))</formula>
    </cfRule>
    <cfRule type="expression" dxfId="3978" priority="325">
      <formula>AND(IF($Q68=2,1,0),IF($E68&lt;30,1,0))</formula>
    </cfRule>
    <cfRule type="expression" dxfId="3977" priority="326">
      <formula>AND(IF($Q68=3,1,0),IF($E68&lt;30,1,0))</formula>
    </cfRule>
    <cfRule type="expression" dxfId="3976" priority="327">
      <formula>AND(IF($Q68=3,1,IF($Q68=4,1,0)),IF($F68&lt;=85,1,0))</formula>
    </cfRule>
  </conditionalFormatting>
  <conditionalFormatting sqref="Y68">
    <cfRule type="expression" dxfId="3975" priority="320">
      <formula>AND(IF(OR($Q68=1,$Q68=2),1,0),IF($Y68&lt;=20,1,0))</formula>
    </cfRule>
    <cfRule type="expression" dxfId="3974" priority="321">
      <formula>AND(IF($Q68=2,1,0),IF($Y68&lt;30,1,0))</formula>
    </cfRule>
    <cfRule type="expression" dxfId="3973" priority="322">
      <formula>AND(IF($Q68=3,1,0),IF($Y68&lt;30,1,0))</formula>
    </cfRule>
    <cfRule type="expression" dxfId="3972" priority="323">
      <formula>AND(IF($Q68=3,1,IF($Q68=4,1,0)),IF($F68&lt;=85,1,0))</formula>
    </cfRule>
  </conditionalFormatting>
  <conditionalFormatting sqref="AJ68">
    <cfRule type="expression" dxfId="3971" priority="316">
      <formula>AND(IF(OR($Q68=1,$Q68=2),1,0),IF($Y68&lt;=20,1,0))</formula>
    </cfRule>
    <cfRule type="expression" dxfId="3970" priority="317">
      <formula>AND(IF($Q68=2,1,0),IF($Y68&lt;30,1,0))</formula>
    </cfRule>
    <cfRule type="expression" dxfId="3969" priority="318">
      <formula>AND(IF($Q68=3,1,0),IF($Y68&lt;30,1,0))</formula>
    </cfRule>
    <cfRule type="expression" dxfId="3968" priority="319">
      <formula>AND(IF($Q68=3,1,IF($Q68=4,1,0)),IF($F68&lt;=85,1,0))</formula>
    </cfRule>
  </conditionalFormatting>
  <conditionalFormatting sqref="AW69">
    <cfRule type="expression" dxfId="3967" priority="314">
      <formula>AW69="X"</formula>
    </cfRule>
    <cfRule type="expression" dxfId="3966" priority="315">
      <formula>AW69="후보"</formula>
    </cfRule>
  </conditionalFormatting>
  <conditionalFormatting sqref="AA69">
    <cfRule type="colorScale" priority="3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 N69">
    <cfRule type="cellIs" dxfId="3965" priority="311" operator="greaterThan">
      <formula>0.9</formula>
    </cfRule>
    <cfRule type="cellIs" dxfId="3964" priority="312" operator="greaterThan">
      <formula>0.85</formula>
    </cfRule>
  </conditionalFormatting>
  <conditionalFormatting sqref="AW70">
    <cfRule type="expression" dxfId="3963" priority="309">
      <formula>AW70="X"</formula>
    </cfRule>
    <cfRule type="expression" dxfId="3962" priority="310">
      <formula>AW70="후보"</formula>
    </cfRule>
  </conditionalFormatting>
  <conditionalFormatting sqref="AA70">
    <cfRule type="colorScale" priority="3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3961" priority="306" operator="greaterThan">
      <formula>0.9</formula>
    </cfRule>
    <cfRule type="cellIs" dxfId="3960" priority="307" operator="greaterThan">
      <formula>0.85</formula>
    </cfRule>
  </conditionalFormatting>
  <conditionalFormatting sqref="N70">
    <cfRule type="cellIs" dxfId="3959" priority="304" operator="greaterThan">
      <formula>0.9</formula>
    </cfRule>
    <cfRule type="cellIs" dxfId="3958" priority="305" operator="greaterThan">
      <formula>0.85</formula>
    </cfRule>
  </conditionalFormatting>
  <conditionalFormatting sqref="E70">
    <cfRule type="expression" dxfId="3957" priority="300">
      <formula>AND(IF(OR($Q70=1,$Q70=2),1,0),IF($E70&lt;=20,1,0))</formula>
    </cfRule>
    <cfRule type="expression" dxfId="3956" priority="301">
      <formula>AND(IF($Q70=2,1,0),IF($E70&lt;30,1,0))</formula>
    </cfRule>
    <cfRule type="expression" dxfId="3955" priority="302">
      <formula>AND(IF($Q70=3,1,0),IF($E70&lt;30,1,0))</formula>
    </cfRule>
    <cfRule type="expression" dxfId="3954" priority="303">
      <formula>AND(IF($Q70=3,1,IF($Q70=4,1,0)),IF($F70&lt;=85,1,0))</formula>
    </cfRule>
  </conditionalFormatting>
  <conditionalFormatting sqref="Y70">
    <cfRule type="expression" dxfId="3953" priority="296">
      <formula>AND(IF(OR($Q70=1,$Q70=2),1,0),IF($Y70&lt;=20,1,0))</formula>
    </cfRule>
    <cfRule type="expression" dxfId="3952" priority="297">
      <formula>AND(IF($Q70=2,1,0),IF($Y70&lt;30,1,0))</formula>
    </cfRule>
    <cfRule type="expression" dxfId="3951" priority="298">
      <formula>AND(IF($Q70=3,1,0),IF($Y70&lt;30,1,0))</formula>
    </cfRule>
    <cfRule type="expression" dxfId="3950" priority="299">
      <formula>AND(IF($Q70=3,1,IF($Q70=4,1,0)),IF($F70&lt;=85,1,0))</formula>
    </cfRule>
  </conditionalFormatting>
  <conditionalFormatting sqref="AJ70">
    <cfRule type="expression" dxfId="3949" priority="292">
      <formula>AND(IF(OR($Q70=1,$Q70=2),1,0),IF($Y70&lt;=20,1,0))</formula>
    </cfRule>
    <cfRule type="expression" dxfId="3948" priority="293">
      <formula>AND(IF($Q70=2,1,0),IF($Y70&lt;30,1,0))</formula>
    </cfRule>
    <cfRule type="expression" dxfId="3947" priority="294">
      <formula>AND(IF($Q70=3,1,0),IF($Y70&lt;30,1,0))</formula>
    </cfRule>
    <cfRule type="expression" dxfId="3946" priority="295">
      <formula>AND(IF($Q70=3,1,IF($Q70=4,1,0)),IF($F70&lt;=85,1,0))</formula>
    </cfRule>
  </conditionalFormatting>
  <conditionalFormatting sqref="AW71">
    <cfRule type="expression" dxfId="3945" priority="290">
      <formula>AW71="X"</formula>
    </cfRule>
    <cfRule type="expression" dxfId="3944" priority="291">
      <formula>AW71="후보"</formula>
    </cfRule>
  </conditionalFormatting>
  <conditionalFormatting sqref="AA71">
    <cfRule type="colorScale" priority="2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3943" priority="287" operator="greaterThan">
      <formula>0.9</formula>
    </cfRule>
    <cfRule type="cellIs" dxfId="3942" priority="288" operator="greaterThan">
      <formula>0.85</formula>
    </cfRule>
  </conditionalFormatting>
  <conditionalFormatting sqref="N71">
    <cfRule type="cellIs" dxfId="3941" priority="285" operator="greaterThan">
      <formula>0.9</formula>
    </cfRule>
    <cfRule type="cellIs" dxfId="3940" priority="286" operator="greaterThan">
      <formula>0.85</formula>
    </cfRule>
  </conditionalFormatting>
  <conditionalFormatting sqref="E71">
    <cfRule type="expression" dxfId="3939" priority="281">
      <formula>AND(IF(OR($Q71=1,$Q71=2),1,0),IF($E71&lt;=20,1,0))</formula>
    </cfRule>
    <cfRule type="expression" dxfId="3938" priority="282">
      <formula>AND(IF($Q71=2,1,0),IF($E71&lt;30,1,0))</formula>
    </cfRule>
    <cfRule type="expression" dxfId="3937" priority="283">
      <formula>AND(IF($Q71=3,1,0),IF($E71&lt;30,1,0))</formula>
    </cfRule>
    <cfRule type="expression" dxfId="3936" priority="284">
      <formula>AND(IF($Q71=3,1,IF($Q71=4,1,0)),IF($F71&lt;=85,1,0))</formula>
    </cfRule>
  </conditionalFormatting>
  <conditionalFormatting sqref="Y71">
    <cfRule type="expression" dxfId="3935" priority="277">
      <formula>AND(IF(OR($Q71=1,$Q71=2),1,0),IF($Y71&lt;=20,1,0))</formula>
    </cfRule>
    <cfRule type="expression" dxfId="3934" priority="278">
      <formula>AND(IF($Q71=2,1,0),IF($Y71&lt;30,1,0))</formula>
    </cfRule>
    <cfRule type="expression" dxfId="3933" priority="279">
      <formula>AND(IF($Q71=3,1,0),IF($Y71&lt;30,1,0))</formula>
    </cfRule>
    <cfRule type="expression" dxfId="3932" priority="280">
      <formula>AND(IF($Q71=3,1,IF($Q71=4,1,0)),IF($F71&lt;=85,1,0))</formula>
    </cfRule>
  </conditionalFormatting>
  <conditionalFormatting sqref="AJ71">
    <cfRule type="expression" dxfId="3931" priority="273">
      <formula>AND(IF(OR($Q71=1,$Q71=2),1,0),IF($Y71&lt;=20,1,0))</formula>
    </cfRule>
    <cfRule type="expression" dxfId="3930" priority="274">
      <formula>AND(IF($Q71=2,1,0),IF($Y71&lt;30,1,0))</formula>
    </cfRule>
    <cfRule type="expression" dxfId="3929" priority="275">
      <formula>AND(IF($Q71=3,1,0),IF($Y71&lt;30,1,0))</formula>
    </cfRule>
    <cfRule type="expression" dxfId="3928" priority="276">
      <formula>AND(IF($Q71=3,1,IF($Q71=4,1,0)),IF($F71&lt;=85,1,0))</formula>
    </cfRule>
  </conditionalFormatting>
  <conditionalFormatting sqref="AW72">
    <cfRule type="expression" dxfId="3927" priority="271">
      <formula>AW72="X"</formula>
    </cfRule>
    <cfRule type="expression" dxfId="3926" priority="272">
      <formula>AW72="후보"</formula>
    </cfRule>
  </conditionalFormatting>
  <conditionalFormatting sqref="AA72">
    <cfRule type="colorScale" priority="2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 N72">
    <cfRule type="cellIs" dxfId="3925" priority="268" operator="greaterThan">
      <formula>0.9</formula>
    </cfRule>
    <cfRule type="cellIs" dxfId="3924" priority="269" operator="greaterThan">
      <formula>0.85</formula>
    </cfRule>
  </conditionalFormatting>
  <conditionalFormatting sqref="AW73">
    <cfRule type="expression" dxfId="3923" priority="266">
      <formula>AW73="X"</formula>
    </cfRule>
    <cfRule type="expression" dxfId="3922" priority="267">
      <formula>AW73="후보"</formula>
    </cfRule>
  </conditionalFormatting>
  <conditionalFormatting sqref="AA73">
    <cfRule type="colorScale" priority="2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3921" priority="263" operator="greaterThan">
      <formula>0.9</formula>
    </cfRule>
    <cfRule type="cellIs" dxfId="3920" priority="264" operator="greaterThan">
      <formula>0.85</formula>
    </cfRule>
  </conditionalFormatting>
  <conditionalFormatting sqref="N73">
    <cfRule type="cellIs" dxfId="3919" priority="261" operator="greaterThan">
      <formula>0.9</formula>
    </cfRule>
    <cfRule type="cellIs" dxfId="3918" priority="262" operator="greaterThan">
      <formula>0.85</formula>
    </cfRule>
  </conditionalFormatting>
  <conditionalFormatting sqref="E73">
    <cfRule type="expression" dxfId="3917" priority="257">
      <formula>AND(IF(OR($Q73=1,$Q73=2),1,0),IF($E73&lt;=20,1,0))</formula>
    </cfRule>
    <cfRule type="expression" dxfId="3916" priority="258">
      <formula>AND(IF($Q73=2,1,0),IF($E73&lt;30,1,0))</formula>
    </cfRule>
    <cfRule type="expression" dxfId="3915" priority="259">
      <formula>AND(IF($Q73=3,1,0),IF($E73&lt;30,1,0))</formula>
    </cfRule>
    <cfRule type="expression" dxfId="3914" priority="260">
      <formula>AND(IF($Q73=3,1,IF($Q73=4,1,0)),IF($F73&lt;=85,1,0))</formula>
    </cfRule>
  </conditionalFormatting>
  <conditionalFormatting sqref="Y73">
    <cfRule type="expression" dxfId="3913" priority="253">
      <formula>AND(IF(OR($Q73=1,$Q73=2),1,0),IF($Y73&lt;=20,1,0))</formula>
    </cfRule>
    <cfRule type="expression" dxfId="3912" priority="254">
      <formula>AND(IF($Q73=2,1,0),IF($Y73&lt;30,1,0))</formula>
    </cfRule>
    <cfRule type="expression" dxfId="3911" priority="255">
      <formula>AND(IF($Q73=3,1,0),IF($Y73&lt;30,1,0))</formula>
    </cfRule>
    <cfRule type="expression" dxfId="3910" priority="256">
      <formula>AND(IF($Q73=3,1,IF($Q73=4,1,0)),IF($F73&lt;=85,1,0))</formula>
    </cfRule>
  </conditionalFormatting>
  <conditionalFormatting sqref="AJ73">
    <cfRule type="expression" dxfId="3909" priority="249">
      <formula>AND(IF(OR($Q73=1,$Q73=2),1,0),IF($Y73&lt;=20,1,0))</formula>
    </cfRule>
    <cfRule type="expression" dxfId="3908" priority="250">
      <formula>AND(IF($Q73=2,1,0),IF($Y73&lt;30,1,0))</formula>
    </cfRule>
    <cfRule type="expression" dxfId="3907" priority="251">
      <formula>AND(IF($Q73=3,1,0),IF($Y73&lt;30,1,0))</formula>
    </cfRule>
    <cfRule type="expression" dxfId="3906" priority="252">
      <formula>AND(IF($Q73=3,1,IF($Q73=4,1,0)),IF($F73&lt;=85,1,0))</formula>
    </cfRule>
  </conditionalFormatting>
  <conditionalFormatting sqref="AW74">
    <cfRule type="expression" dxfId="3905" priority="247">
      <formula>AW74="X"</formula>
    </cfRule>
    <cfRule type="expression" dxfId="3904" priority="248">
      <formula>AW74="후보"</formula>
    </cfRule>
  </conditionalFormatting>
  <conditionalFormatting sqref="AA74">
    <cfRule type="colorScale" priority="2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3903" priority="244" operator="greaterThan">
      <formula>0.9</formula>
    </cfRule>
    <cfRule type="cellIs" dxfId="3902" priority="245" operator="greaterThan">
      <formula>0.85</formula>
    </cfRule>
  </conditionalFormatting>
  <conditionalFormatting sqref="N74">
    <cfRule type="cellIs" dxfId="3901" priority="242" operator="greaterThan">
      <formula>0.9</formula>
    </cfRule>
    <cfRule type="cellIs" dxfId="3900" priority="243" operator="greaterThan">
      <formula>0.85</formula>
    </cfRule>
  </conditionalFormatting>
  <conditionalFormatting sqref="E74">
    <cfRule type="expression" dxfId="3899" priority="238">
      <formula>AND(IF(OR($Q74=1,$Q74=2),1,0),IF($E74&lt;=20,1,0))</formula>
    </cfRule>
    <cfRule type="expression" dxfId="3898" priority="239">
      <formula>AND(IF($Q74=2,1,0),IF($E74&lt;30,1,0))</formula>
    </cfRule>
    <cfRule type="expression" dxfId="3897" priority="240">
      <formula>AND(IF($Q74=3,1,0),IF($E74&lt;30,1,0))</formula>
    </cfRule>
    <cfRule type="expression" dxfId="3896" priority="241">
      <formula>AND(IF($Q74=3,1,IF($Q74=4,1,0)),IF($F74&lt;=85,1,0))</formula>
    </cfRule>
  </conditionalFormatting>
  <conditionalFormatting sqref="Y74">
    <cfRule type="expression" dxfId="3895" priority="234">
      <formula>AND(IF(OR($Q74=1,$Q74=2),1,0),IF($Y74&lt;=20,1,0))</formula>
    </cfRule>
    <cfRule type="expression" dxfId="3894" priority="235">
      <formula>AND(IF($Q74=2,1,0),IF($Y74&lt;30,1,0))</formula>
    </cfRule>
    <cfRule type="expression" dxfId="3893" priority="236">
      <formula>AND(IF($Q74=3,1,0),IF($Y74&lt;30,1,0))</formula>
    </cfRule>
    <cfRule type="expression" dxfId="3892" priority="237">
      <formula>AND(IF($Q74=3,1,IF($Q74=4,1,0)),IF($F74&lt;=85,1,0))</formula>
    </cfRule>
  </conditionalFormatting>
  <conditionalFormatting sqref="AJ74">
    <cfRule type="expression" dxfId="3891" priority="230">
      <formula>AND(IF(OR($Q74=1,$Q74=2),1,0),IF($Y74&lt;=20,1,0))</formula>
    </cfRule>
    <cfRule type="expression" dxfId="3890" priority="231">
      <formula>AND(IF($Q74=2,1,0),IF($Y74&lt;30,1,0))</formula>
    </cfRule>
    <cfRule type="expression" dxfId="3889" priority="232">
      <formula>AND(IF($Q74=3,1,0),IF($Y74&lt;30,1,0))</formula>
    </cfRule>
    <cfRule type="expression" dxfId="3888" priority="233">
      <formula>AND(IF($Q74=3,1,IF($Q74=4,1,0)),IF($F74&lt;=85,1,0))</formula>
    </cfRule>
  </conditionalFormatting>
  <conditionalFormatting sqref="AW75">
    <cfRule type="expression" dxfId="3887" priority="228">
      <formula>AW75="X"</formula>
    </cfRule>
    <cfRule type="expression" dxfId="3886" priority="229">
      <formula>AW75="후보"</formula>
    </cfRule>
  </conditionalFormatting>
  <conditionalFormatting sqref="AA75">
    <cfRule type="colorScale" priority="2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 N75">
    <cfRule type="cellIs" dxfId="3885" priority="225" operator="greaterThan">
      <formula>0.9</formula>
    </cfRule>
    <cfRule type="cellIs" dxfId="3884" priority="226" operator="greaterThan">
      <formula>0.85</formula>
    </cfRule>
  </conditionalFormatting>
  <conditionalFormatting sqref="AW76">
    <cfRule type="expression" dxfId="3883" priority="223">
      <formula>AW76="X"</formula>
    </cfRule>
    <cfRule type="expression" dxfId="3882" priority="224">
      <formula>AW76="후보"</formula>
    </cfRule>
  </conditionalFormatting>
  <conditionalFormatting sqref="AA76">
    <cfRule type="colorScale" priority="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3881" priority="220" operator="greaterThan">
      <formula>0.9</formula>
    </cfRule>
    <cfRule type="cellIs" dxfId="3880" priority="221" operator="greaterThan">
      <formula>0.85</formula>
    </cfRule>
  </conditionalFormatting>
  <conditionalFormatting sqref="N76">
    <cfRule type="cellIs" dxfId="3879" priority="218" operator="greaterThan">
      <formula>0.9</formula>
    </cfRule>
    <cfRule type="cellIs" dxfId="3878" priority="219" operator="greaterThan">
      <formula>0.85</formula>
    </cfRule>
  </conditionalFormatting>
  <conditionalFormatting sqref="E76">
    <cfRule type="expression" dxfId="3877" priority="214">
      <formula>AND(IF(OR($Q76=1,$Q76=2),1,0),IF($E76&lt;=20,1,0))</formula>
    </cfRule>
    <cfRule type="expression" dxfId="3876" priority="215">
      <formula>AND(IF($Q76=2,1,0),IF($E76&lt;30,1,0))</formula>
    </cfRule>
    <cfRule type="expression" dxfId="3875" priority="216">
      <formula>AND(IF($Q76=3,1,0),IF($E76&lt;30,1,0))</formula>
    </cfRule>
    <cfRule type="expression" dxfId="3874" priority="217">
      <formula>AND(IF($Q76=3,1,IF($Q76=4,1,0)),IF($F76&lt;=85,1,0))</formula>
    </cfRule>
  </conditionalFormatting>
  <conditionalFormatting sqref="Y76">
    <cfRule type="expression" dxfId="3873" priority="210">
      <formula>AND(IF(OR($Q76=1,$Q76=2),1,0),IF($Y76&lt;=20,1,0))</formula>
    </cfRule>
    <cfRule type="expression" dxfId="3872" priority="211">
      <formula>AND(IF($Q76=2,1,0),IF($Y76&lt;30,1,0))</formula>
    </cfRule>
    <cfRule type="expression" dxfId="3871" priority="212">
      <formula>AND(IF($Q76=3,1,0),IF($Y76&lt;30,1,0))</formula>
    </cfRule>
    <cfRule type="expression" dxfId="3870" priority="213">
      <formula>AND(IF($Q76=3,1,IF($Q76=4,1,0)),IF($F76&lt;=85,1,0))</formula>
    </cfRule>
  </conditionalFormatting>
  <conditionalFormatting sqref="AJ76">
    <cfRule type="expression" dxfId="3869" priority="206">
      <formula>AND(IF(OR($Q76=1,$Q76=2),1,0),IF($Y76&lt;=20,1,0))</formula>
    </cfRule>
    <cfRule type="expression" dxfId="3868" priority="207">
      <formula>AND(IF($Q76=2,1,0),IF($Y76&lt;30,1,0))</formula>
    </cfRule>
    <cfRule type="expression" dxfId="3867" priority="208">
      <formula>AND(IF($Q76=3,1,0),IF($Y76&lt;30,1,0))</formula>
    </cfRule>
    <cfRule type="expression" dxfId="3866" priority="209">
      <formula>AND(IF($Q76=3,1,IF($Q76=4,1,0)),IF($F76&lt;=85,1,0))</formula>
    </cfRule>
  </conditionalFormatting>
  <conditionalFormatting sqref="AW77">
    <cfRule type="expression" dxfId="3865" priority="204">
      <formula>AW77="X"</formula>
    </cfRule>
    <cfRule type="expression" dxfId="3864" priority="205">
      <formula>AW77="후보"</formula>
    </cfRule>
  </conditionalFormatting>
  <conditionalFormatting sqref="AA77">
    <cfRule type="colorScale" priority="2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3863" priority="201" operator="greaterThan">
      <formula>0.9</formula>
    </cfRule>
    <cfRule type="cellIs" dxfId="3862" priority="202" operator="greaterThan">
      <formula>0.85</formula>
    </cfRule>
  </conditionalFormatting>
  <conditionalFormatting sqref="N77">
    <cfRule type="cellIs" dxfId="3861" priority="199" operator="greaterThan">
      <formula>0.9</formula>
    </cfRule>
    <cfRule type="cellIs" dxfId="3860" priority="200" operator="greaterThan">
      <formula>0.85</formula>
    </cfRule>
  </conditionalFormatting>
  <conditionalFormatting sqref="E77">
    <cfRule type="expression" dxfId="3859" priority="195">
      <formula>AND(IF(OR($Q77=1,$Q77=2),1,0),IF($E77&lt;=20,1,0))</formula>
    </cfRule>
    <cfRule type="expression" dxfId="3858" priority="196">
      <formula>AND(IF($Q77=2,1,0),IF($E77&lt;30,1,0))</formula>
    </cfRule>
    <cfRule type="expression" dxfId="3857" priority="197">
      <formula>AND(IF($Q77=3,1,0),IF($E77&lt;30,1,0))</formula>
    </cfRule>
    <cfRule type="expression" dxfId="3856" priority="198">
      <formula>AND(IF($Q77=3,1,IF($Q77=4,1,0)),IF($F77&lt;=85,1,0))</formula>
    </cfRule>
  </conditionalFormatting>
  <conditionalFormatting sqref="Y77">
    <cfRule type="expression" dxfId="3855" priority="191">
      <formula>AND(IF(OR($Q77=1,$Q77=2),1,0),IF($Y77&lt;=20,1,0))</formula>
    </cfRule>
    <cfRule type="expression" dxfId="3854" priority="192">
      <formula>AND(IF($Q77=2,1,0),IF($Y77&lt;30,1,0))</formula>
    </cfRule>
    <cfRule type="expression" dxfId="3853" priority="193">
      <formula>AND(IF($Q77=3,1,0),IF($Y77&lt;30,1,0))</formula>
    </cfRule>
    <cfRule type="expression" dxfId="3852" priority="194">
      <formula>AND(IF($Q77=3,1,IF($Q77=4,1,0)),IF($F77&lt;=85,1,0))</formula>
    </cfRule>
  </conditionalFormatting>
  <conditionalFormatting sqref="AJ77">
    <cfRule type="expression" dxfId="3851" priority="187">
      <formula>AND(IF(OR($Q77=1,$Q77=2),1,0),IF($Y77&lt;=20,1,0))</formula>
    </cfRule>
    <cfRule type="expression" dxfId="3850" priority="188">
      <formula>AND(IF($Q77=2,1,0),IF($Y77&lt;30,1,0))</formula>
    </cfRule>
    <cfRule type="expression" dxfId="3849" priority="189">
      <formula>AND(IF($Q77=3,1,0),IF($Y77&lt;30,1,0))</formula>
    </cfRule>
    <cfRule type="expression" dxfId="3848" priority="190">
      <formula>AND(IF($Q77=3,1,IF($Q77=4,1,0)),IF($F77&lt;=85,1,0))</formula>
    </cfRule>
  </conditionalFormatting>
  <conditionalFormatting sqref="AW78">
    <cfRule type="expression" dxfId="3847" priority="185">
      <formula>AW78="X"</formula>
    </cfRule>
    <cfRule type="expression" dxfId="3846" priority="186">
      <formula>AW78="후보"</formula>
    </cfRule>
  </conditionalFormatting>
  <conditionalFormatting sqref="AA78">
    <cfRule type="colorScale" priority="1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3845" priority="182" operator="greaterThan">
      <formula>0.9</formula>
    </cfRule>
    <cfRule type="cellIs" dxfId="3844" priority="183" operator="greaterThan">
      <formula>0.85</formula>
    </cfRule>
  </conditionalFormatting>
  <conditionalFormatting sqref="N78">
    <cfRule type="cellIs" dxfId="3843" priority="180" operator="greaterThan">
      <formula>0.9</formula>
    </cfRule>
    <cfRule type="cellIs" dxfId="3842" priority="181" operator="greaterThan">
      <formula>0.85</formula>
    </cfRule>
  </conditionalFormatting>
  <conditionalFormatting sqref="E78">
    <cfRule type="expression" dxfId="3841" priority="176">
      <formula>AND(IF(OR($Q78=1,$Q78=2),1,0),IF($E78&lt;=20,1,0))</formula>
    </cfRule>
    <cfRule type="expression" dxfId="3840" priority="177">
      <formula>AND(IF($Q78=2,1,0),IF($E78&lt;30,1,0))</formula>
    </cfRule>
    <cfRule type="expression" dxfId="3839" priority="178">
      <formula>AND(IF($Q78=3,1,0),IF($E78&lt;30,1,0))</formula>
    </cfRule>
    <cfRule type="expression" dxfId="3838" priority="179">
      <formula>AND(IF($Q78=3,1,IF($Q78=4,1,0)),IF($F78&lt;=85,1,0))</formula>
    </cfRule>
  </conditionalFormatting>
  <conditionalFormatting sqref="Y78">
    <cfRule type="expression" dxfId="3837" priority="172">
      <formula>AND(IF(OR($Q78=1,$Q78=2),1,0),IF($Y78&lt;=20,1,0))</formula>
    </cfRule>
    <cfRule type="expression" dxfId="3836" priority="173">
      <formula>AND(IF($Q78=2,1,0),IF($Y78&lt;30,1,0))</formula>
    </cfRule>
    <cfRule type="expression" dxfId="3835" priority="174">
      <formula>AND(IF($Q78=3,1,0),IF($Y78&lt;30,1,0))</formula>
    </cfRule>
    <cfRule type="expression" dxfId="3834" priority="175">
      <formula>AND(IF($Q78=3,1,IF($Q78=4,1,0)),IF($F78&lt;=85,1,0))</formula>
    </cfRule>
  </conditionalFormatting>
  <conditionalFormatting sqref="AJ78">
    <cfRule type="expression" dxfId="3833" priority="168">
      <formula>AND(IF(OR($Q78=1,$Q78=2),1,0),IF($Y78&lt;=20,1,0))</formula>
    </cfRule>
    <cfRule type="expression" dxfId="3832" priority="169">
      <formula>AND(IF($Q78=2,1,0),IF($Y78&lt;30,1,0))</formula>
    </cfRule>
    <cfRule type="expression" dxfId="3831" priority="170">
      <formula>AND(IF($Q78=3,1,0),IF($Y78&lt;30,1,0))</formula>
    </cfRule>
    <cfRule type="expression" dxfId="3830" priority="171">
      <formula>AND(IF($Q78=3,1,IF($Q78=4,1,0)),IF($F78&lt;=85,1,0))</formula>
    </cfRule>
  </conditionalFormatting>
  <conditionalFormatting sqref="AW79">
    <cfRule type="expression" dxfId="3829" priority="166">
      <formula>AW79="X"</formula>
    </cfRule>
    <cfRule type="expression" dxfId="3828" priority="167">
      <formula>AW79="후보"</formula>
    </cfRule>
  </conditionalFormatting>
  <conditionalFormatting sqref="AA79">
    <cfRule type="colorScale" priority="1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 N79">
    <cfRule type="cellIs" dxfId="3827" priority="163" operator="greaterThan">
      <formula>0.9</formula>
    </cfRule>
    <cfRule type="cellIs" dxfId="3826" priority="164" operator="greaterThan">
      <formula>0.85</formula>
    </cfRule>
  </conditionalFormatting>
  <conditionalFormatting sqref="AW80">
    <cfRule type="expression" dxfId="3825" priority="161">
      <formula>AW80="X"</formula>
    </cfRule>
    <cfRule type="expression" dxfId="3824" priority="162">
      <formula>AW80="후보"</formula>
    </cfRule>
  </conditionalFormatting>
  <conditionalFormatting sqref="AA80">
    <cfRule type="colorScale" priority="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">
    <cfRule type="cellIs" dxfId="3823" priority="158" operator="greaterThan">
      <formula>0.9</formula>
    </cfRule>
    <cfRule type="cellIs" dxfId="3822" priority="159" operator="greaterThan">
      <formula>0.85</formula>
    </cfRule>
  </conditionalFormatting>
  <conditionalFormatting sqref="N80">
    <cfRule type="cellIs" dxfId="3821" priority="156" operator="greaterThan">
      <formula>0.9</formula>
    </cfRule>
    <cfRule type="cellIs" dxfId="3820" priority="157" operator="greaterThan">
      <formula>0.85</formula>
    </cfRule>
  </conditionalFormatting>
  <conditionalFormatting sqref="E80">
    <cfRule type="expression" dxfId="3819" priority="152">
      <formula>AND(IF(OR($Q80=1,$Q80=2),1,0),IF($E80&lt;=20,1,0))</formula>
    </cfRule>
    <cfRule type="expression" dxfId="3818" priority="153">
      <formula>AND(IF($Q80=2,1,0),IF($E80&lt;30,1,0))</formula>
    </cfRule>
    <cfRule type="expression" dxfId="3817" priority="154">
      <formula>AND(IF($Q80=3,1,0),IF($E80&lt;30,1,0))</formula>
    </cfRule>
    <cfRule type="expression" dxfId="3816" priority="155">
      <formula>AND(IF($Q80=3,1,IF($Q80=4,1,0)),IF($F80&lt;=85,1,0))</formula>
    </cfRule>
  </conditionalFormatting>
  <conditionalFormatting sqref="Y80">
    <cfRule type="expression" dxfId="3815" priority="148">
      <formula>AND(IF(OR($Q80=1,$Q80=2),1,0),IF($Y80&lt;=20,1,0))</formula>
    </cfRule>
    <cfRule type="expression" dxfId="3814" priority="149">
      <formula>AND(IF($Q80=2,1,0),IF($Y80&lt;30,1,0))</formula>
    </cfRule>
    <cfRule type="expression" dxfId="3813" priority="150">
      <formula>AND(IF($Q80=3,1,0),IF($Y80&lt;30,1,0))</formula>
    </cfRule>
    <cfRule type="expression" dxfId="3812" priority="151">
      <formula>AND(IF($Q80=3,1,IF($Q80=4,1,0)),IF($F80&lt;=85,1,0))</formula>
    </cfRule>
  </conditionalFormatting>
  <conditionalFormatting sqref="AJ80">
    <cfRule type="expression" dxfId="3811" priority="144">
      <formula>AND(IF(OR($Q80=1,$Q80=2),1,0),IF($Y80&lt;=20,1,0))</formula>
    </cfRule>
    <cfRule type="expression" dxfId="3810" priority="145">
      <formula>AND(IF($Q80=2,1,0),IF($Y80&lt;30,1,0))</formula>
    </cfRule>
    <cfRule type="expression" dxfId="3809" priority="146">
      <formula>AND(IF($Q80=3,1,0),IF($Y80&lt;30,1,0))</formula>
    </cfRule>
    <cfRule type="expression" dxfId="3808" priority="147">
      <formula>AND(IF($Q80=3,1,IF($Q80=4,1,0)),IF($F80&lt;=85,1,0))</formula>
    </cfRule>
  </conditionalFormatting>
  <conditionalFormatting sqref="AW81">
    <cfRule type="expression" dxfId="3807" priority="142">
      <formula>AW81="X"</formula>
    </cfRule>
    <cfRule type="expression" dxfId="3806" priority="143">
      <formula>AW81="후보"</formula>
    </cfRule>
  </conditionalFormatting>
  <conditionalFormatting sqref="AA81">
    <cfRule type="colorScale" priority="1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3805" priority="139" operator="greaterThan">
      <formula>0.9</formula>
    </cfRule>
    <cfRule type="cellIs" dxfId="3804" priority="140" operator="greaterThan">
      <formula>0.85</formula>
    </cfRule>
  </conditionalFormatting>
  <conditionalFormatting sqref="N81">
    <cfRule type="cellIs" dxfId="3803" priority="137" operator="greaterThan">
      <formula>0.9</formula>
    </cfRule>
    <cfRule type="cellIs" dxfId="3802" priority="138" operator="greaterThan">
      <formula>0.85</formula>
    </cfRule>
  </conditionalFormatting>
  <conditionalFormatting sqref="E81">
    <cfRule type="expression" dxfId="3801" priority="133">
      <formula>AND(IF(OR($Q81=1,$Q81=2),1,0),IF($E81&lt;=20,1,0))</formula>
    </cfRule>
    <cfRule type="expression" dxfId="3800" priority="134">
      <formula>AND(IF($Q81=2,1,0),IF($E81&lt;30,1,0))</formula>
    </cfRule>
    <cfRule type="expression" dxfId="3799" priority="135">
      <formula>AND(IF($Q81=3,1,0),IF($E81&lt;30,1,0))</formula>
    </cfRule>
    <cfRule type="expression" dxfId="3798" priority="136">
      <formula>AND(IF($Q81=3,1,IF($Q81=4,1,0)),IF($F81&lt;=85,1,0))</formula>
    </cfRule>
  </conditionalFormatting>
  <conditionalFormatting sqref="Y81">
    <cfRule type="expression" dxfId="3797" priority="129">
      <formula>AND(IF(OR($Q81=1,$Q81=2),1,0),IF($Y81&lt;=20,1,0))</formula>
    </cfRule>
    <cfRule type="expression" dxfId="3796" priority="130">
      <formula>AND(IF($Q81=2,1,0),IF($Y81&lt;30,1,0))</formula>
    </cfRule>
    <cfRule type="expression" dxfId="3795" priority="131">
      <formula>AND(IF($Q81=3,1,0),IF($Y81&lt;30,1,0))</formula>
    </cfRule>
    <cfRule type="expression" dxfId="3794" priority="132">
      <formula>AND(IF($Q81=3,1,IF($Q81=4,1,0)),IF($F81&lt;=85,1,0))</formula>
    </cfRule>
  </conditionalFormatting>
  <conditionalFormatting sqref="AJ81">
    <cfRule type="expression" dxfId="3793" priority="125">
      <formula>AND(IF(OR($Q81=1,$Q81=2),1,0),IF($Y81&lt;=20,1,0))</formula>
    </cfRule>
    <cfRule type="expression" dxfId="3792" priority="126">
      <formula>AND(IF($Q81=2,1,0),IF($Y81&lt;30,1,0))</formula>
    </cfRule>
    <cfRule type="expression" dxfId="3791" priority="127">
      <formula>AND(IF($Q81=3,1,0),IF($Y81&lt;30,1,0))</formula>
    </cfRule>
    <cfRule type="expression" dxfId="3790" priority="128">
      <formula>AND(IF($Q81=3,1,IF($Q81=4,1,0)),IF($F81&lt;=85,1,0))</formula>
    </cfRule>
  </conditionalFormatting>
  <conditionalFormatting sqref="AW82">
    <cfRule type="expression" dxfId="3789" priority="123">
      <formula>AW82="X"</formula>
    </cfRule>
    <cfRule type="expression" dxfId="3788" priority="124">
      <formula>AW82="후보"</formula>
    </cfRule>
  </conditionalFormatting>
  <conditionalFormatting sqref="AA82">
    <cfRule type="colorScale" priority="1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 N82">
    <cfRule type="cellIs" dxfId="3787" priority="120" operator="greaterThan">
      <formula>0.9</formula>
    </cfRule>
    <cfRule type="cellIs" dxfId="3786" priority="121" operator="greaterThan">
      <formula>0.85</formula>
    </cfRule>
  </conditionalFormatting>
  <conditionalFormatting sqref="AW83">
    <cfRule type="expression" dxfId="3785" priority="118">
      <formula>AW83="X"</formula>
    </cfRule>
    <cfRule type="expression" dxfId="3784" priority="119">
      <formula>AW83="후보"</formula>
    </cfRule>
  </conditionalFormatting>
  <conditionalFormatting sqref="AA83">
    <cfRule type="colorScale" priority="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3783" priority="115" operator="greaterThan">
      <formula>0.9</formula>
    </cfRule>
    <cfRule type="cellIs" dxfId="3782" priority="116" operator="greaterThan">
      <formula>0.85</formula>
    </cfRule>
  </conditionalFormatting>
  <conditionalFormatting sqref="N83">
    <cfRule type="cellIs" dxfId="3781" priority="113" operator="greaterThan">
      <formula>0.9</formula>
    </cfRule>
    <cfRule type="cellIs" dxfId="3780" priority="114" operator="greaterThan">
      <formula>0.85</formula>
    </cfRule>
  </conditionalFormatting>
  <conditionalFormatting sqref="E83">
    <cfRule type="expression" dxfId="3779" priority="109">
      <formula>AND(IF(OR($Q83=1,$Q83=2),1,0),IF($E83&lt;=20,1,0))</formula>
    </cfRule>
    <cfRule type="expression" dxfId="3778" priority="110">
      <formula>AND(IF($Q83=2,1,0),IF($E83&lt;30,1,0))</formula>
    </cfRule>
    <cfRule type="expression" dxfId="3777" priority="111">
      <formula>AND(IF($Q83=3,1,0),IF($E83&lt;30,1,0))</formula>
    </cfRule>
    <cfRule type="expression" dxfId="3776" priority="112">
      <formula>AND(IF($Q83=3,1,IF($Q83=4,1,0)),IF($F83&lt;=85,1,0))</formula>
    </cfRule>
  </conditionalFormatting>
  <conditionalFormatting sqref="Y83">
    <cfRule type="expression" dxfId="3775" priority="105">
      <formula>AND(IF(OR($Q83=1,$Q83=2),1,0),IF($Y83&lt;=20,1,0))</formula>
    </cfRule>
    <cfRule type="expression" dxfId="3774" priority="106">
      <formula>AND(IF($Q83=2,1,0),IF($Y83&lt;30,1,0))</formula>
    </cfRule>
    <cfRule type="expression" dxfId="3773" priority="107">
      <formula>AND(IF($Q83=3,1,0),IF($Y83&lt;30,1,0))</formula>
    </cfRule>
    <cfRule type="expression" dxfId="3772" priority="108">
      <formula>AND(IF($Q83=3,1,IF($Q83=4,1,0)),IF($F83&lt;=85,1,0))</formula>
    </cfRule>
  </conditionalFormatting>
  <conditionalFormatting sqref="AJ83">
    <cfRule type="expression" dxfId="3771" priority="101">
      <formula>AND(IF(OR($Q83=1,$Q83=2),1,0),IF($Y83&lt;=20,1,0))</formula>
    </cfRule>
    <cfRule type="expression" dxfId="3770" priority="102">
      <formula>AND(IF($Q83=2,1,0),IF($Y83&lt;30,1,0))</formula>
    </cfRule>
    <cfRule type="expression" dxfId="3769" priority="103">
      <formula>AND(IF($Q83=3,1,0),IF($Y83&lt;30,1,0))</formula>
    </cfRule>
    <cfRule type="expression" dxfId="3768" priority="104">
      <formula>AND(IF($Q83=3,1,IF($Q83=4,1,0)),IF($F83&lt;=85,1,0))</formula>
    </cfRule>
  </conditionalFormatting>
  <conditionalFormatting sqref="AW84">
    <cfRule type="expression" dxfId="3767" priority="99">
      <formula>AW84="X"</formula>
    </cfRule>
    <cfRule type="expression" dxfId="3766" priority="100">
      <formula>AW84="후보"</formula>
    </cfRule>
  </conditionalFormatting>
  <conditionalFormatting sqref="AA84">
    <cfRule type="colorScale" priority="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3765" priority="96" operator="greaterThan">
      <formula>0.9</formula>
    </cfRule>
    <cfRule type="cellIs" dxfId="3764" priority="97" operator="greaterThan">
      <formula>0.85</formula>
    </cfRule>
  </conditionalFormatting>
  <conditionalFormatting sqref="N84">
    <cfRule type="cellIs" dxfId="3763" priority="94" operator="greaterThan">
      <formula>0.9</formula>
    </cfRule>
    <cfRule type="cellIs" dxfId="3762" priority="95" operator="greaterThan">
      <formula>0.85</formula>
    </cfRule>
  </conditionalFormatting>
  <conditionalFormatting sqref="E84">
    <cfRule type="expression" dxfId="3761" priority="90">
      <formula>AND(IF(OR($Q84=1,$Q84=2),1,0),IF($E84&lt;=20,1,0))</formula>
    </cfRule>
    <cfRule type="expression" dxfId="3760" priority="91">
      <formula>AND(IF($Q84=2,1,0),IF($E84&lt;30,1,0))</formula>
    </cfRule>
    <cfRule type="expression" dxfId="3759" priority="92">
      <formula>AND(IF($Q84=3,1,0),IF($E84&lt;30,1,0))</formula>
    </cfRule>
    <cfRule type="expression" dxfId="3758" priority="93">
      <formula>AND(IF($Q84=3,1,IF($Q84=4,1,0)),IF($F84&lt;=85,1,0))</formula>
    </cfRule>
  </conditionalFormatting>
  <conditionalFormatting sqref="Y84">
    <cfRule type="expression" dxfId="3757" priority="86">
      <formula>AND(IF(OR($Q84=1,$Q84=2),1,0),IF($Y84&lt;=20,1,0))</formula>
    </cfRule>
    <cfRule type="expression" dxfId="3756" priority="87">
      <formula>AND(IF($Q84=2,1,0),IF($Y84&lt;30,1,0))</formula>
    </cfRule>
    <cfRule type="expression" dxfId="3755" priority="88">
      <formula>AND(IF($Q84=3,1,0),IF($Y84&lt;30,1,0))</formula>
    </cfRule>
    <cfRule type="expression" dxfId="3754" priority="89">
      <formula>AND(IF($Q84=3,1,IF($Q84=4,1,0)),IF($F84&lt;=85,1,0))</formula>
    </cfRule>
  </conditionalFormatting>
  <conditionalFormatting sqref="AJ84">
    <cfRule type="expression" dxfId="3753" priority="82">
      <formula>AND(IF(OR($Q84=1,$Q84=2),1,0),IF($Y84&lt;=20,1,0))</formula>
    </cfRule>
    <cfRule type="expression" dxfId="3752" priority="83">
      <formula>AND(IF($Q84=2,1,0),IF($Y84&lt;30,1,0))</formula>
    </cfRule>
    <cfRule type="expression" dxfId="3751" priority="84">
      <formula>AND(IF($Q84=3,1,0),IF($Y84&lt;30,1,0))</formula>
    </cfRule>
    <cfRule type="expression" dxfId="3750" priority="85">
      <formula>AND(IF($Q84=3,1,IF($Q84=4,1,0)),IF($F84&lt;=85,1,0))</formula>
    </cfRule>
  </conditionalFormatting>
  <conditionalFormatting sqref="AW85">
    <cfRule type="expression" dxfId="3749" priority="80">
      <formula>AW85="X"</formula>
    </cfRule>
    <cfRule type="expression" dxfId="3748" priority="81">
      <formula>AW85="후보"</formula>
    </cfRule>
  </conditionalFormatting>
  <conditionalFormatting sqref="AA85">
    <cfRule type="colorScale" priority="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3747" priority="77" operator="greaterThan">
      <formula>0.9</formula>
    </cfRule>
    <cfRule type="cellIs" dxfId="3746" priority="78" operator="greaterThan">
      <formula>0.85</formula>
    </cfRule>
  </conditionalFormatting>
  <conditionalFormatting sqref="N85">
    <cfRule type="cellIs" dxfId="3745" priority="75" operator="greaterThan">
      <formula>0.9</formula>
    </cfRule>
    <cfRule type="cellIs" dxfId="3744" priority="76" operator="greaterThan">
      <formula>0.85</formula>
    </cfRule>
  </conditionalFormatting>
  <conditionalFormatting sqref="E85">
    <cfRule type="expression" dxfId="3743" priority="71">
      <formula>AND(IF(OR($Q85=1,$Q85=2),1,0),IF($E85&lt;=20,1,0))</formula>
    </cfRule>
    <cfRule type="expression" dxfId="3742" priority="72">
      <formula>AND(IF($Q85=2,1,0),IF($E85&lt;30,1,0))</formula>
    </cfRule>
    <cfRule type="expression" dxfId="3741" priority="73">
      <formula>AND(IF($Q85=3,1,0),IF($E85&lt;30,1,0))</formula>
    </cfRule>
    <cfRule type="expression" dxfId="3740" priority="74">
      <formula>AND(IF($Q85=3,1,IF($Q85=4,1,0)),IF($F85&lt;=85,1,0))</formula>
    </cfRule>
  </conditionalFormatting>
  <conditionalFormatting sqref="Y85">
    <cfRule type="expression" dxfId="3739" priority="67">
      <formula>AND(IF(OR($Q85=1,$Q85=2),1,0),IF($Y85&lt;=20,1,0))</formula>
    </cfRule>
    <cfRule type="expression" dxfId="3738" priority="68">
      <formula>AND(IF($Q85=2,1,0),IF($Y85&lt;30,1,0))</formula>
    </cfRule>
    <cfRule type="expression" dxfId="3737" priority="69">
      <formula>AND(IF($Q85=3,1,0),IF($Y85&lt;30,1,0))</formula>
    </cfRule>
    <cfRule type="expression" dxfId="3736" priority="70">
      <formula>AND(IF($Q85=3,1,IF($Q85=4,1,0)),IF($F85&lt;=85,1,0))</formula>
    </cfRule>
  </conditionalFormatting>
  <conditionalFormatting sqref="AJ85">
    <cfRule type="expression" dxfId="3735" priority="63">
      <formula>AND(IF(OR($Q85=1,$Q85=2),1,0),IF($Y85&lt;=20,1,0))</formula>
    </cfRule>
    <cfRule type="expression" dxfId="3734" priority="64">
      <formula>AND(IF($Q85=2,1,0),IF($Y85&lt;30,1,0))</formula>
    </cfRule>
    <cfRule type="expression" dxfId="3733" priority="65">
      <formula>AND(IF($Q85=3,1,0),IF($Y85&lt;30,1,0))</formula>
    </cfRule>
    <cfRule type="expression" dxfId="3732" priority="66">
      <formula>AND(IF($Q85=3,1,IF($Q85=4,1,0)),IF($F85&lt;=85,1,0))</formula>
    </cfRule>
  </conditionalFormatting>
  <conditionalFormatting sqref="AW86">
    <cfRule type="expression" dxfId="3731" priority="61">
      <formula>AW86="X"</formula>
    </cfRule>
    <cfRule type="expression" dxfId="3730" priority="62">
      <formula>AW86="후보"</formula>
    </cfRule>
  </conditionalFormatting>
  <conditionalFormatting sqref="AA86">
    <cfRule type="colorScale" priority="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3729" priority="58" operator="greaterThan">
      <formula>0.9</formula>
    </cfRule>
    <cfRule type="cellIs" dxfId="3728" priority="59" operator="greaterThan">
      <formula>0.85</formula>
    </cfRule>
  </conditionalFormatting>
  <conditionalFormatting sqref="N86">
    <cfRule type="cellIs" dxfId="3727" priority="56" operator="greaterThan">
      <formula>0.9</formula>
    </cfRule>
    <cfRule type="cellIs" dxfId="3726" priority="57" operator="greaterThan">
      <formula>0.85</formula>
    </cfRule>
  </conditionalFormatting>
  <conditionalFormatting sqref="E86">
    <cfRule type="expression" dxfId="3725" priority="52">
      <formula>AND(IF(OR($Q86=1,$Q86=2),1,0),IF($E86&lt;=20,1,0))</formula>
    </cfRule>
    <cfRule type="expression" dxfId="3724" priority="53">
      <formula>AND(IF($Q86=2,1,0),IF($E86&lt;30,1,0))</formula>
    </cfRule>
    <cfRule type="expression" dxfId="3723" priority="54">
      <formula>AND(IF($Q86=3,1,0),IF($E86&lt;30,1,0))</formula>
    </cfRule>
    <cfRule type="expression" dxfId="3722" priority="55">
      <formula>AND(IF($Q86=3,1,IF($Q86=4,1,0)),IF($F86&lt;=85,1,0))</formula>
    </cfRule>
  </conditionalFormatting>
  <conditionalFormatting sqref="Y86">
    <cfRule type="expression" dxfId="3721" priority="48">
      <formula>AND(IF(OR($Q86=1,$Q86=2),1,0),IF($Y86&lt;=20,1,0))</formula>
    </cfRule>
    <cfRule type="expression" dxfId="3720" priority="49">
      <formula>AND(IF($Q86=2,1,0),IF($Y86&lt;30,1,0))</formula>
    </cfRule>
    <cfRule type="expression" dxfId="3719" priority="50">
      <formula>AND(IF($Q86=3,1,0),IF($Y86&lt;30,1,0))</formula>
    </cfRule>
    <cfRule type="expression" dxfId="3718" priority="51">
      <formula>AND(IF($Q86=3,1,IF($Q86=4,1,0)),IF($F86&lt;=85,1,0))</formula>
    </cfRule>
  </conditionalFormatting>
  <conditionalFormatting sqref="AJ86">
    <cfRule type="expression" dxfId="3717" priority="44">
      <formula>AND(IF(OR($Q86=1,$Q86=2),1,0),IF($Y86&lt;=20,1,0))</formula>
    </cfRule>
    <cfRule type="expression" dxfId="3716" priority="45">
      <formula>AND(IF($Q86=2,1,0),IF($Y86&lt;30,1,0))</formula>
    </cfRule>
    <cfRule type="expression" dxfId="3715" priority="46">
      <formula>AND(IF($Q86=3,1,0),IF($Y86&lt;30,1,0))</formula>
    </cfRule>
    <cfRule type="expression" dxfId="3714" priority="47">
      <formula>AND(IF($Q86=3,1,IF($Q86=4,1,0)),IF($F86&lt;=85,1,0))</formula>
    </cfRule>
  </conditionalFormatting>
  <conditionalFormatting sqref="AW87">
    <cfRule type="expression" dxfId="3713" priority="42">
      <formula>AW87="X"</formula>
    </cfRule>
    <cfRule type="expression" dxfId="3712" priority="43">
      <formula>AW87="후보"</formula>
    </cfRule>
  </conditionalFormatting>
  <conditionalFormatting sqref="AA87">
    <cfRule type="colorScale" priority="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 N87">
    <cfRule type="cellIs" dxfId="3711" priority="39" operator="greaterThan">
      <formula>0.9</formula>
    </cfRule>
    <cfRule type="cellIs" dxfId="3710" priority="40" operator="greaterThan">
      <formula>0.85</formula>
    </cfRule>
  </conditionalFormatting>
  <conditionalFormatting sqref="AW88">
    <cfRule type="expression" dxfId="3709" priority="37">
      <formula>AW88="X"</formula>
    </cfRule>
    <cfRule type="expression" dxfId="3708" priority="38">
      <formula>AW88="후보"</formula>
    </cfRule>
  </conditionalFormatting>
  <conditionalFormatting sqref="AA88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3707" priority="34" operator="greaterThan">
      <formula>0.9</formula>
    </cfRule>
    <cfRule type="cellIs" dxfId="3706" priority="35" operator="greaterThan">
      <formula>0.85</formula>
    </cfRule>
  </conditionalFormatting>
  <conditionalFormatting sqref="N88">
    <cfRule type="cellIs" dxfId="3705" priority="32" operator="greaterThan">
      <formula>0.9</formula>
    </cfRule>
    <cfRule type="cellIs" dxfId="3704" priority="33" operator="greaterThan">
      <formula>0.85</formula>
    </cfRule>
  </conditionalFormatting>
  <conditionalFormatting sqref="E88">
    <cfRule type="expression" dxfId="3703" priority="28">
      <formula>AND(IF(OR($Q88=1,$Q88=2),1,0),IF($E88&lt;=20,1,0))</formula>
    </cfRule>
    <cfRule type="expression" dxfId="3702" priority="29">
      <formula>AND(IF($Q88=2,1,0),IF($E88&lt;30,1,0))</formula>
    </cfRule>
    <cfRule type="expression" dxfId="3701" priority="30">
      <formula>AND(IF($Q88=3,1,0),IF($E88&lt;30,1,0))</formula>
    </cfRule>
    <cfRule type="expression" dxfId="3700" priority="31">
      <formula>AND(IF($Q88=3,1,IF($Q88=4,1,0)),IF($F88&lt;=85,1,0))</formula>
    </cfRule>
  </conditionalFormatting>
  <conditionalFormatting sqref="Y88">
    <cfRule type="expression" dxfId="3699" priority="24">
      <formula>AND(IF(OR($Q88=1,$Q88=2),1,0),IF($Y88&lt;=20,1,0))</formula>
    </cfRule>
    <cfRule type="expression" dxfId="3698" priority="25">
      <formula>AND(IF($Q88=2,1,0),IF($Y88&lt;30,1,0))</formula>
    </cfRule>
    <cfRule type="expression" dxfId="3697" priority="26">
      <formula>AND(IF($Q88=3,1,0),IF($Y88&lt;30,1,0))</formula>
    </cfRule>
    <cfRule type="expression" dxfId="3696" priority="27">
      <formula>AND(IF($Q88=3,1,IF($Q88=4,1,0)),IF($F88&lt;=85,1,0))</formula>
    </cfRule>
  </conditionalFormatting>
  <conditionalFormatting sqref="AJ88">
    <cfRule type="expression" dxfId="3695" priority="20">
      <formula>AND(IF(OR($Q88=1,$Q88=2),1,0),IF($Y88&lt;=20,1,0))</formula>
    </cfRule>
    <cfRule type="expression" dxfId="3694" priority="21">
      <formula>AND(IF($Q88=2,1,0),IF($Y88&lt;30,1,0))</formula>
    </cfRule>
    <cfRule type="expression" dxfId="3693" priority="22">
      <formula>AND(IF($Q88=3,1,0),IF($Y88&lt;30,1,0))</formula>
    </cfRule>
    <cfRule type="expression" dxfId="3692" priority="23">
      <formula>AND(IF($Q88=3,1,IF($Q88=4,1,0)),IF($F88&lt;=85,1,0))</formula>
    </cfRule>
  </conditionalFormatting>
  <conditionalFormatting sqref="AW89">
    <cfRule type="expression" dxfId="3691" priority="18">
      <formula>AW89="X"</formula>
    </cfRule>
    <cfRule type="expression" dxfId="3690" priority="19">
      <formula>AW89="후보"</formula>
    </cfRule>
  </conditionalFormatting>
  <conditionalFormatting sqref="AA89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3689" priority="15" operator="greaterThan">
      <formula>0.9</formula>
    </cfRule>
    <cfRule type="cellIs" dxfId="3688" priority="16" operator="greaterThan">
      <formula>0.85</formula>
    </cfRule>
  </conditionalFormatting>
  <conditionalFormatting sqref="N89">
    <cfRule type="cellIs" dxfId="3687" priority="13" operator="greaterThan">
      <formula>0.9</formula>
    </cfRule>
    <cfRule type="cellIs" dxfId="3686" priority="14" operator="greaterThan">
      <formula>0.85</formula>
    </cfRule>
  </conditionalFormatting>
  <conditionalFormatting sqref="E89">
    <cfRule type="expression" dxfId="3685" priority="9">
      <formula>AND(IF(OR($Q89=1,$Q89=2),1,0),IF($E89&lt;=20,1,0))</formula>
    </cfRule>
    <cfRule type="expression" dxfId="3684" priority="10">
      <formula>AND(IF($Q89=2,1,0),IF($E89&lt;30,1,0))</formula>
    </cfRule>
    <cfRule type="expression" dxfId="3683" priority="11">
      <formula>AND(IF($Q89=3,1,0),IF($E89&lt;30,1,0))</formula>
    </cfRule>
    <cfRule type="expression" dxfId="3682" priority="12">
      <formula>AND(IF($Q89=3,1,IF($Q89=4,1,0)),IF($F89&lt;=85,1,0))</formula>
    </cfRule>
  </conditionalFormatting>
  <conditionalFormatting sqref="Y89">
    <cfRule type="expression" dxfId="3681" priority="5">
      <formula>AND(IF(OR($Q89=1,$Q89=2),1,0),IF($Y89&lt;=20,1,0))</formula>
    </cfRule>
    <cfRule type="expression" dxfId="3680" priority="6">
      <formula>AND(IF($Q89=2,1,0),IF($Y89&lt;30,1,0))</formula>
    </cfRule>
    <cfRule type="expression" dxfId="3679" priority="7">
      <formula>AND(IF($Q89=3,1,0),IF($Y89&lt;30,1,0))</formula>
    </cfRule>
    <cfRule type="expression" dxfId="3678" priority="8">
      <formula>AND(IF($Q89=3,1,IF($Q89=4,1,0)),IF($F89&lt;=85,1,0))</formula>
    </cfRule>
  </conditionalFormatting>
  <conditionalFormatting sqref="AJ89">
    <cfRule type="expression" dxfId="3677" priority="1">
      <formula>AND(IF(OR($Q89=1,$Q89=2),1,0),IF($Y89&lt;=20,1,0))</formula>
    </cfRule>
    <cfRule type="expression" dxfId="3676" priority="2">
      <formula>AND(IF($Q89=2,1,0),IF($Y89&lt;30,1,0))</formula>
    </cfRule>
    <cfRule type="expression" dxfId="3675" priority="3">
      <formula>AND(IF($Q89=3,1,0),IF($Y89&lt;30,1,0))</formula>
    </cfRule>
    <cfRule type="expression" dxfId="3674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B6195-517E-4551-B74C-2DB08089B7D1}">
  <sheetPr codeName="Sheet10">
    <pageSetUpPr fitToPage="1"/>
  </sheetPr>
  <dimension ref="A1:AW239"/>
  <sheetViews>
    <sheetView zoomScaleNormal="100" zoomScaleSheetLayoutView="85" workbookViewId="0">
      <pane xSplit="1" ySplit="3" topLeftCell="B199" activePane="bottomRight" state="frozen"/>
      <selection activeCell="AO10" sqref="AO10"/>
      <selection pane="topRight" activeCell="AO10" sqref="AO10"/>
      <selection pane="bottomLeft" activeCell="AO10" sqref="AO10"/>
      <selection pane="bottomRight" activeCell="M202" sqref="M20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7.62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5" t="str">
        <f>A1&amp;" 전체 등급"</f>
        <v>OO시 OO구 전체 등급</v>
      </c>
      <c r="AL1" s="116"/>
      <c r="AM1" s="116"/>
      <c r="AN1" s="116"/>
      <c r="AO1" s="117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호계동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 t="shared" ref="AJ3:AJ66" si="0"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1728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 t="shared" si="0"/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호계동 목련9단지('94.07,578^)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 t="shared" ref="AI5:AI68" si="1">IF(A5="","",A5)</f>
        <v/>
      </c>
      <c r="AJ5" s="33" t="str">
        <f t="shared" si="0"/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1729</v>
      </c>
      <c r="B6" s="14" t="s">
        <v>1730</v>
      </c>
      <c r="C6" s="25">
        <v>578</v>
      </c>
      <c r="D6" s="23">
        <v>120.1</v>
      </c>
      <c r="E6" s="21">
        <v>36</v>
      </c>
      <c r="F6" s="23">
        <v>100.8</v>
      </c>
      <c r="G6" s="24">
        <v>30</v>
      </c>
      <c r="H6" s="25">
        <v>222</v>
      </c>
      <c r="I6" s="29">
        <v>107000</v>
      </c>
      <c r="J6" s="29"/>
      <c r="K6" s="29">
        <v>73000</v>
      </c>
      <c r="L6" s="29"/>
      <c r="M6" s="6">
        <f>I6-K6</f>
        <v>34000</v>
      </c>
      <c r="N6" s="7">
        <f>IF(ISERROR(K6/I6),"",K6/I6)</f>
        <v>0.68224299065420557</v>
      </c>
      <c r="O6" s="12">
        <f>I6/E6</f>
        <v>2972.2222222222222</v>
      </c>
      <c r="P6" s="12">
        <f>K6/E6</f>
        <v>2027.7777777777778</v>
      </c>
      <c r="Q6" s="13">
        <v>3</v>
      </c>
      <c r="R6" s="13">
        <v>2</v>
      </c>
      <c r="S6" s="13" t="s">
        <v>51</v>
      </c>
      <c r="T6" s="8">
        <v>120</v>
      </c>
      <c r="U6" s="5"/>
      <c r="V6" s="5" t="s">
        <v>1731</v>
      </c>
      <c r="X6" s="23">
        <f t="shared" ref="X6:Y8" si="2">D6</f>
        <v>120.1</v>
      </c>
      <c r="Y6" s="21">
        <f t="shared" si="2"/>
        <v>36</v>
      </c>
      <c r="Z6" s="28">
        <f t="shared" ref="Z6:AA8" si="3">H6</f>
        <v>222</v>
      </c>
      <c r="AA6" s="6">
        <f t="shared" si="3"/>
        <v>107000</v>
      </c>
      <c r="AB6" s="6">
        <f>K6</f>
        <v>73000</v>
      </c>
      <c r="AC6" s="6">
        <f t="shared" ref="AC6:AE8" si="4">M6</f>
        <v>34000</v>
      </c>
      <c r="AD6" s="7">
        <f t="shared" si="4"/>
        <v>0.68224299065420557</v>
      </c>
      <c r="AE6" s="12">
        <f t="shared" si="4"/>
        <v>2972.2222222222222</v>
      </c>
      <c r="AF6" s="13" t="str">
        <f>S6</f>
        <v>계</v>
      </c>
      <c r="AG6" s="13" t="str">
        <f>Q6&amp;"/"&amp;R6</f>
        <v>3/2</v>
      </c>
      <c r="AI6" s="32" t="str">
        <f t="shared" si="1"/>
        <v>목련9단지</v>
      </c>
      <c r="AJ6" s="21">
        <f t="shared" si="0"/>
        <v>36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>X</v>
      </c>
      <c r="AQ6" s="13" t="str">
        <f>IF(I6="","",IF(I6&lt;=$AQ$1,"O","X"))</f>
        <v>X</v>
      </c>
      <c r="AR6" s="13" t="str">
        <f>IF(O6="","",IF(O6&lt;=$AR$1,"O","X"))</f>
        <v>X</v>
      </c>
      <c r="AS6" s="13" t="str">
        <f>IF(M6="","",IF(M6&lt;=$AS$1,"O","X"))</f>
        <v>X</v>
      </c>
      <c r="AT6" s="13" t="s">
        <v>32</v>
      </c>
      <c r="AU6" s="13" t="str">
        <f>IF(OR(F6="",AJ6=""),"",IF(AND((F6&lt;=85),(AJ6&gt;=15)),"O","X"))</f>
        <v>X</v>
      </c>
      <c r="AV6" s="13" t="str">
        <f>IF(C6="","",IF(C6&gt;=$AV$1,"O","X"))</f>
        <v>O</v>
      </c>
      <c r="AW6" s="13" t="str">
        <f>IF(AP6="","",IF(AND(AP6="O",AQ6="O",AS6="O",AU6="O",AV6="O"),"후보","X"))</f>
        <v>X</v>
      </c>
    </row>
    <row r="7" spans="1:49" x14ac:dyDescent="0.3">
      <c r="A7" s="5" t="s">
        <v>1729</v>
      </c>
      <c r="B7" s="14" t="s">
        <v>1730</v>
      </c>
      <c r="C7" s="25">
        <v>578</v>
      </c>
      <c r="D7" s="23">
        <v>151.69999999999999</v>
      </c>
      <c r="E7" s="21">
        <v>46</v>
      </c>
      <c r="F7" s="23">
        <v>128.19999999999999</v>
      </c>
      <c r="G7" s="24">
        <v>39</v>
      </c>
      <c r="H7" s="25">
        <v>306</v>
      </c>
      <c r="I7" s="29">
        <v>120000</v>
      </c>
      <c r="J7" s="29"/>
      <c r="K7" s="29">
        <v>80000</v>
      </c>
      <c r="L7" s="29"/>
      <c r="M7" s="6">
        <f>I7-K7</f>
        <v>40000</v>
      </c>
      <c r="N7" s="7">
        <f>IF(ISERROR(K7/I7),"",K7/I7)</f>
        <v>0.66666666666666663</v>
      </c>
      <c r="O7" s="12">
        <f>I7/E7</f>
        <v>2608.695652173913</v>
      </c>
      <c r="P7" s="12">
        <f>K7/E7</f>
        <v>1739.1304347826087</v>
      </c>
      <c r="Q7" s="13">
        <v>4</v>
      </c>
      <c r="R7" s="13">
        <v>2</v>
      </c>
      <c r="S7" s="13" t="s">
        <v>51</v>
      </c>
      <c r="T7" s="8">
        <v>151</v>
      </c>
      <c r="U7" s="5"/>
      <c r="V7" s="5" t="s">
        <v>1732</v>
      </c>
      <c r="X7" s="23">
        <f t="shared" si="2"/>
        <v>151.69999999999999</v>
      </c>
      <c r="Y7" s="21">
        <f t="shared" si="2"/>
        <v>46</v>
      </c>
      <c r="Z7" s="28">
        <f t="shared" si="3"/>
        <v>306</v>
      </c>
      <c r="AA7" s="6">
        <f t="shared" si="3"/>
        <v>120000</v>
      </c>
      <c r="AB7" s="6">
        <f>K7</f>
        <v>80000</v>
      </c>
      <c r="AC7" s="6">
        <f t="shared" si="4"/>
        <v>40000</v>
      </c>
      <c r="AD7" s="7">
        <f t="shared" si="4"/>
        <v>0.66666666666666663</v>
      </c>
      <c r="AE7" s="12">
        <f t="shared" si="4"/>
        <v>2608.695652173913</v>
      </c>
      <c r="AF7" s="13" t="str">
        <f>S7</f>
        <v>계</v>
      </c>
      <c r="AG7" s="13" t="str">
        <f>Q7&amp;"/"&amp;R7</f>
        <v>4/2</v>
      </c>
      <c r="AI7" s="32" t="str">
        <f t="shared" si="1"/>
        <v>목련9단지</v>
      </c>
      <c r="AJ7" s="21">
        <f t="shared" si="0"/>
        <v>46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>X</v>
      </c>
      <c r="AQ7" s="13" t="str">
        <f>IF(I7="","",IF(I7&lt;=$AQ$1,"O","X"))</f>
        <v>X</v>
      </c>
      <c r="AR7" s="13" t="str">
        <f>IF(O7="","",IF(O7&lt;=$AR$1,"O","X"))</f>
        <v>X</v>
      </c>
      <c r="AS7" s="13" t="str">
        <f>IF(M7="","",IF(M7&lt;=$AS$1,"O","X"))</f>
        <v>X</v>
      </c>
      <c r="AT7" s="13" t="s">
        <v>32</v>
      </c>
      <c r="AU7" s="13" t="str">
        <f>IF(OR(F7="",AJ7=""),"",IF(AND((F7&lt;=85),(AJ7&gt;=15)),"O","X"))</f>
        <v>X</v>
      </c>
      <c r="AV7" s="13" t="str">
        <f>IF(C7="","",IF(C7&gt;=$AV$1,"O","X"))</f>
        <v>O</v>
      </c>
      <c r="AW7" s="13" t="str">
        <f>IF(AP7="","",IF(AND(AP7="O",AQ7="O",AS7="O",AU7="O",AV7="O"),"후보","X"))</f>
        <v>X</v>
      </c>
    </row>
    <row r="8" spans="1:49" x14ac:dyDescent="0.3">
      <c r="A8" s="5" t="s">
        <v>1729</v>
      </c>
      <c r="B8" s="14" t="s">
        <v>1730</v>
      </c>
      <c r="C8" s="25">
        <v>578</v>
      </c>
      <c r="D8" s="23">
        <v>177</v>
      </c>
      <c r="E8" s="21">
        <v>54</v>
      </c>
      <c r="F8" s="23">
        <v>150.19999999999999</v>
      </c>
      <c r="G8" s="24">
        <v>45</v>
      </c>
      <c r="H8" s="25">
        <v>50</v>
      </c>
      <c r="I8" s="29">
        <v>145000</v>
      </c>
      <c r="J8" s="29"/>
      <c r="K8" s="29">
        <v>88000</v>
      </c>
      <c r="L8" s="29"/>
      <c r="M8" s="6">
        <f>I8-K8</f>
        <v>57000</v>
      </c>
      <c r="N8" s="7">
        <f>IF(ISERROR(K8/I8),"",K8/I8)</f>
        <v>0.60689655172413792</v>
      </c>
      <c r="O8" s="12">
        <f>I8/E8</f>
        <v>2685.1851851851852</v>
      </c>
      <c r="P8" s="12">
        <f>K8/E8</f>
        <v>1629.6296296296296</v>
      </c>
      <c r="Q8" s="13">
        <v>4</v>
      </c>
      <c r="R8" s="13">
        <v>2</v>
      </c>
      <c r="S8" s="13" t="s">
        <v>51</v>
      </c>
      <c r="T8" s="8">
        <v>176</v>
      </c>
      <c r="U8" s="5"/>
      <c r="V8" s="5" t="s">
        <v>1733</v>
      </c>
      <c r="X8" s="23">
        <f t="shared" si="2"/>
        <v>177</v>
      </c>
      <c r="Y8" s="21">
        <f t="shared" si="2"/>
        <v>54</v>
      </c>
      <c r="Z8" s="28">
        <f t="shared" si="3"/>
        <v>50</v>
      </c>
      <c r="AA8" s="6">
        <f t="shared" si="3"/>
        <v>145000</v>
      </c>
      <c r="AB8" s="6">
        <f>K8</f>
        <v>88000</v>
      </c>
      <c r="AC8" s="6">
        <f t="shared" si="4"/>
        <v>57000</v>
      </c>
      <c r="AD8" s="7">
        <f t="shared" si="4"/>
        <v>0.60689655172413792</v>
      </c>
      <c r="AE8" s="12">
        <f t="shared" si="4"/>
        <v>2685.1851851851852</v>
      </c>
      <c r="AF8" s="13" t="str">
        <f>S8</f>
        <v>계</v>
      </c>
      <c r="AG8" s="13" t="str">
        <f>Q8&amp;"/"&amp;R8</f>
        <v>4/2</v>
      </c>
      <c r="AI8" s="32" t="str">
        <f t="shared" si="1"/>
        <v>목련9단지</v>
      </c>
      <c r="AJ8" s="21">
        <f t="shared" si="0"/>
        <v>54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>X</v>
      </c>
      <c r="AQ8" s="13" t="str">
        <f>IF(I8="","",IF(I8&lt;=$AQ$1,"O","X"))</f>
        <v>X</v>
      </c>
      <c r="AR8" s="13" t="str">
        <f>IF(O8="","",IF(O8&lt;=$AR$1,"O","X"))</f>
        <v>X</v>
      </c>
      <c r="AS8" s="13" t="str">
        <f>IF(M8="","",IF(M8&lt;=$AS$1,"O","X"))</f>
        <v>X</v>
      </c>
      <c r="AT8" s="13" t="s">
        <v>32</v>
      </c>
      <c r="AU8" s="13" t="str">
        <f>IF(OR(F8="",AJ8=""),"",IF(AND((F8&lt;=85),(AJ8&gt;=15)),"O","X"))</f>
        <v>X</v>
      </c>
      <c r="AV8" s="13" t="str">
        <f>IF(C8="","",IF(C8&gt;=$AV$1,"O","X"))</f>
        <v>O</v>
      </c>
      <c r="AW8" s="13" t="str">
        <f>IF(AP8="","",IF(AND(AP8="O",AQ8="O",AS8="O",AU8="O",AV8="O"),"후보","X"))</f>
        <v>X</v>
      </c>
    </row>
    <row r="9" spans="1:49" x14ac:dyDescent="0.3">
      <c r="A9" s="5"/>
      <c r="B9" s="13"/>
      <c r="C9" s="9"/>
      <c r="D9" s="5"/>
      <c r="E9" s="18"/>
      <c r="F9" s="23"/>
      <c r="G9" s="5"/>
      <c r="H9" s="5"/>
      <c r="I9" s="5"/>
      <c r="J9" s="5"/>
      <c r="K9" s="5"/>
      <c r="L9" s="5"/>
      <c r="M9" s="5"/>
      <c r="N9" s="5"/>
      <c r="O9" s="12"/>
      <c r="P9" s="12"/>
      <c r="Q9" s="21"/>
      <c r="R9" s="21"/>
      <c r="S9" s="5"/>
      <c r="T9" s="59"/>
      <c r="U9" s="5"/>
      <c r="V9" s="5"/>
      <c r="X9" s="90" t="str">
        <f>$A$4&amp;" "&amp;A10&amp;"("&amp;B10&amp;","&amp;C10&amp;"^)"</f>
        <v>호계동 호계신도브래뉴('04.1,203^)</v>
      </c>
      <c r="Y9" s="91"/>
      <c r="Z9" s="91"/>
      <c r="AA9" s="91"/>
      <c r="AB9" s="91"/>
      <c r="AC9" s="91"/>
      <c r="AD9" s="91"/>
      <c r="AE9" s="91"/>
      <c r="AF9" s="91"/>
      <c r="AG9" s="92"/>
      <c r="AI9" s="32" t="str">
        <f t="shared" si="1"/>
        <v/>
      </c>
      <c r="AJ9" s="33" t="str">
        <f t="shared" si="0"/>
        <v/>
      </c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x14ac:dyDescent="0.3">
      <c r="A10" s="5" t="s">
        <v>1734</v>
      </c>
      <c r="B10" s="14" t="s">
        <v>1735</v>
      </c>
      <c r="C10" s="25">
        <v>203</v>
      </c>
      <c r="D10" s="23">
        <v>84.8</v>
      </c>
      <c r="E10" s="21">
        <v>26</v>
      </c>
      <c r="F10" s="23">
        <v>66.7</v>
      </c>
      <c r="G10" s="24">
        <v>20</v>
      </c>
      <c r="H10" s="25">
        <v>36</v>
      </c>
      <c r="I10" s="29">
        <v>40000</v>
      </c>
      <c r="J10" s="29"/>
      <c r="K10" s="29">
        <v>30000</v>
      </c>
      <c r="L10" s="29"/>
      <c r="M10" s="6">
        <f>I10-K10</f>
        <v>10000</v>
      </c>
      <c r="N10" s="7">
        <f>IF(ISERROR(K10/I10),"",K10/I10)</f>
        <v>0.75</v>
      </c>
      <c r="O10" s="12">
        <f>I10/E10</f>
        <v>1538.4615384615386</v>
      </c>
      <c r="P10" s="12">
        <f>K10/E10</f>
        <v>1153.8461538461538</v>
      </c>
      <c r="Q10" s="13">
        <v>3</v>
      </c>
      <c r="R10" s="13">
        <v>2</v>
      </c>
      <c r="S10" s="13" t="s">
        <v>51</v>
      </c>
      <c r="T10" s="8" t="s">
        <v>108</v>
      </c>
      <c r="U10" s="5"/>
      <c r="V10" s="5" t="s">
        <v>1736</v>
      </c>
      <c r="X10" s="23">
        <f t="shared" ref="X10:Y13" si="5">D10</f>
        <v>84.8</v>
      </c>
      <c r="Y10" s="21">
        <f t="shared" si="5"/>
        <v>26</v>
      </c>
      <c r="Z10" s="28">
        <f t="shared" ref="Z10:AA13" si="6">H10</f>
        <v>36</v>
      </c>
      <c r="AA10" s="6">
        <f t="shared" si="6"/>
        <v>40000</v>
      </c>
      <c r="AB10" s="6">
        <f>K10</f>
        <v>30000</v>
      </c>
      <c r="AC10" s="6">
        <f t="shared" ref="AC10:AE13" si="7">M10</f>
        <v>10000</v>
      </c>
      <c r="AD10" s="7">
        <f t="shared" si="7"/>
        <v>0.75</v>
      </c>
      <c r="AE10" s="12">
        <f t="shared" si="7"/>
        <v>1538.4615384615386</v>
      </c>
      <c r="AF10" s="13" t="str">
        <f>S10</f>
        <v>계</v>
      </c>
      <c r="AG10" s="13" t="str">
        <f>Q10&amp;"/"&amp;R10</f>
        <v>3/2</v>
      </c>
      <c r="AI10" s="32" t="str">
        <f t="shared" si="1"/>
        <v>호계신도브래뉴</v>
      </c>
      <c r="AJ10" s="21">
        <f t="shared" si="0"/>
        <v>26</v>
      </c>
      <c r="AK10" s="13" t="str">
        <f>IF(AJ10="","",$AK$2)</f>
        <v>A-</v>
      </c>
      <c r="AL10" s="13"/>
      <c r="AM10" s="13"/>
      <c r="AN10" s="13"/>
      <c r="AO10" s="13" t="str">
        <f>IF(AJ10="","",$AO$2)</f>
        <v>C</v>
      </c>
      <c r="AP10" s="13" t="str">
        <f>IF(N10="","",IF(N10&gt;=$AP$1/100,"O","X"))</f>
        <v>X</v>
      </c>
      <c r="AQ10" s="13" t="str">
        <f>IF(I10="","",IF(I10&lt;=$AQ$1,"O","X"))</f>
        <v>O</v>
      </c>
      <c r="AR10" s="13" t="str">
        <f>IF(O10="","",IF(O10&lt;=$AR$1,"O","X"))</f>
        <v>X</v>
      </c>
      <c r="AS10" s="13" t="str">
        <f>IF(M10="","",IF(M10&lt;=$AS$1,"O","X"))</f>
        <v>X</v>
      </c>
      <c r="AT10" s="13" t="s">
        <v>32</v>
      </c>
      <c r="AU10" s="13" t="str">
        <f>IF(OR(F10="",AJ10=""),"",IF(AND((F10&lt;=85),(AJ10&gt;=15)),"O","X"))</f>
        <v>O</v>
      </c>
      <c r="AV10" s="13" t="str">
        <f>IF(C10="","",IF(C10&gt;=$AV$1,"O","X"))</f>
        <v>X</v>
      </c>
      <c r="AW10" s="13" t="str">
        <f>IF(AP10="","",IF(AND(AP10="O",AQ10="O",AS10="O",AU10="O",AV10="O"),"후보","X"))</f>
        <v>X</v>
      </c>
    </row>
    <row r="11" spans="1:49" x14ac:dyDescent="0.3">
      <c r="A11" s="5" t="s">
        <v>1734</v>
      </c>
      <c r="B11" s="14" t="s">
        <v>1735</v>
      </c>
      <c r="C11" s="25">
        <v>203</v>
      </c>
      <c r="D11" s="23">
        <v>85</v>
      </c>
      <c r="E11" s="21">
        <v>26</v>
      </c>
      <c r="F11" s="23">
        <v>66.599999999999994</v>
      </c>
      <c r="G11" s="24">
        <v>20</v>
      </c>
      <c r="H11" s="25">
        <v>30</v>
      </c>
      <c r="I11" s="29">
        <v>40000</v>
      </c>
      <c r="J11" s="29"/>
      <c r="K11" s="29">
        <v>30000</v>
      </c>
      <c r="L11" s="29"/>
      <c r="M11" s="6">
        <f>I11-K11</f>
        <v>10000</v>
      </c>
      <c r="N11" s="7">
        <f>IF(ISERROR(K11/I11),"",K11/I11)</f>
        <v>0.75</v>
      </c>
      <c r="O11" s="12">
        <f>I11/E11</f>
        <v>1538.4615384615386</v>
      </c>
      <c r="P11" s="12">
        <f>K11/E11</f>
        <v>1153.8461538461538</v>
      </c>
      <c r="Q11" s="13">
        <v>3</v>
      </c>
      <c r="R11" s="13">
        <v>2</v>
      </c>
      <c r="S11" s="13" t="s">
        <v>51</v>
      </c>
      <c r="T11" s="8" t="s">
        <v>445</v>
      </c>
      <c r="U11" s="5"/>
      <c r="V11" s="5" t="s">
        <v>1736</v>
      </c>
      <c r="X11" s="23">
        <f t="shared" si="5"/>
        <v>85</v>
      </c>
      <c r="Y11" s="21">
        <f t="shared" si="5"/>
        <v>26</v>
      </c>
      <c r="Z11" s="28">
        <f t="shared" si="6"/>
        <v>30</v>
      </c>
      <c r="AA11" s="6">
        <f t="shared" si="6"/>
        <v>40000</v>
      </c>
      <c r="AB11" s="6">
        <f>K11</f>
        <v>30000</v>
      </c>
      <c r="AC11" s="6">
        <f t="shared" si="7"/>
        <v>10000</v>
      </c>
      <c r="AD11" s="7">
        <f t="shared" si="7"/>
        <v>0.75</v>
      </c>
      <c r="AE11" s="12">
        <f t="shared" si="7"/>
        <v>1538.4615384615386</v>
      </c>
      <c r="AF11" s="13" t="str">
        <f>S11</f>
        <v>계</v>
      </c>
      <c r="AG11" s="13" t="str">
        <f>Q11&amp;"/"&amp;R11</f>
        <v>3/2</v>
      </c>
      <c r="AI11" s="32" t="str">
        <f t="shared" si="1"/>
        <v>호계신도브래뉴</v>
      </c>
      <c r="AJ11" s="21">
        <f t="shared" si="0"/>
        <v>26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>X</v>
      </c>
      <c r="AQ11" s="13" t="str">
        <f>IF(I11="","",IF(I11&lt;=$AQ$1,"O","X"))</f>
        <v>O</v>
      </c>
      <c r="AR11" s="13" t="str">
        <f>IF(O11="","",IF(O11&lt;=$AR$1,"O","X"))</f>
        <v>X</v>
      </c>
      <c r="AS11" s="13" t="str">
        <f>IF(M11="","",IF(M11&lt;=$AS$1,"O","X"))</f>
        <v>X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X</v>
      </c>
      <c r="AW11" s="13" t="str">
        <f>IF(AP11="","",IF(AND(AP11="O",AQ11="O",AS11="O",AU11="O",AV11="O"),"후보","X"))</f>
        <v>X</v>
      </c>
    </row>
    <row r="12" spans="1:49" x14ac:dyDescent="0.3">
      <c r="A12" s="5" t="s">
        <v>1734</v>
      </c>
      <c r="B12" s="14" t="s">
        <v>1735</v>
      </c>
      <c r="C12" s="25">
        <v>203</v>
      </c>
      <c r="D12" s="23">
        <v>107.9</v>
      </c>
      <c r="E12" s="21">
        <v>33</v>
      </c>
      <c r="F12" s="23">
        <v>85</v>
      </c>
      <c r="G12" s="24">
        <v>26</v>
      </c>
      <c r="H12" s="25">
        <v>97</v>
      </c>
      <c r="I12" s="29">
        <v>48000</v>
      </c>
      <c r="J12" s="29"/>
      <c r="K12" s="29">
        <v>39000</v>
      </c>
      <c r="L12" s="29"/>
      <c r="M12" s="6">
        <f>I12-K12</f>
        <v>9000</v>
      </c>
      <c r="N12" s="7">
        <f>IF(ISERROR(K12/I12),"",K12/I12)</f>
        <v>0.8125</v>
      </c>
      <c r="O12" s="12">
        <f>I12/E12</f>
        <v>1454.5454545454545</v>
      </c>
      <c r="P12" s="12">
        <f>K12/E12</f>
        <v>1181.8181818181818</v>
      </c>
      <c r="Q12" s="13">
        <v>3</v>
      </c>
      <c r="R12" s="13">
        <v>2</v>
      </c>
      <c r="S12" s="13" t="s">
        <v>51</v>
      </c>
      <c r="T12" s="8" t="s">
        <v>427</v>
      </c>
      <c r="U12" s="5"/>
      <c r="V12" s="5" t="s">
        <v>1737</v>
      </c>
      <c r="X12" s="23">
        <f t="shared" si="5"/>
        <v>107.9</v>
      </c>
      <c r="Y12" s="21">
        <f t="shared" si="5"/>
        <v>33</v>
      </c>
      <c r="Z12" s="28">
        <f t="shared" si="6"/>
        <v>97</v>
      </c>
      <c r="AA12" s="6">
        <f t="shared" si="6"/>
        <v>48000</v>
      </c>
      <c r="AB12" s="6">
        <f>K12</f>
        <v>39000</v>
      </c>
      <c r="AC12" s="6">
        <f t="shared" si="7"/>
        <v>9000</v>
      </c>
      <c r="AD12" s="7">
        <f t="shared" si="7"/>
        <v>0.8125</v>
      </c>
      <c r="AE12" s="12">
        <f t="shared" si="7"/>
        <v>1454.5454545454545</v>
      </c>
      <c r="AF12" s="13" t="str">
        <f>S12</f>
        <v>계</v>
      </c>
      <c r="AG12" s="13" t="str">
        <f>Q12&amp;"/"&amp;R12</f>
        <v>3/2</v>
      </c>
      <c r="AI12" s="32" t="str">
        <f t="shared" si="1"/>
        <v>호계신도브래뉴</v>
      </c>
      <c r="AJ12" s="21">
        <f t="shared" si="0"/>
        <v>33</v>
      </c>
      <c r="AK12" s="13" t="str">
        <f>IF(AJ12="","",$AK$2)</f>
        <v>A-</v>
      </c>
      <c r="AL12" s="13"/>
      <c r="AM12" s="13"/>
      <c r="AN12" s="13"/>
      <c r="AO12" s="13" t="str">
        <f>IF(AJ12="","",$AO$2)</f>
        <v>C</v>
      </c>
      <c r="AP12" s="13" t="str">
        <f>IF(N12="","",IF(N12&gt;=$AP$1/100,"O","X"))</f>
        <v>O</v>
      </c>
      <c r="AQ12" s="13" t="str">
        <f>IF(I12="","",IF(I12&lt;=$AQ$1,"O","X"))</f>
        <v>X</v>
      </c>
      <c r="AR12" s="13" t="str">
        <f>IF(O12="","",IF(O12&lt;=$AR$1,"O","X"))</f>
        <v>X</v>
      </c>
      <c r="AS12" s="13" t="str">
        <f>IF(M12="","",IF(M12&lt;=$AS$1,"O","X"))</f>
        <v>X</v>
      </c>
      <c r="AT12" s="13" t="s">
        <v>32</v>
      </c>
      <c r="AU12" s="13" t="str">
        <f>IF(OR(F12="",AJ12=""),"",IF(AND((F12&lt;=85),(AJ12&gt;=15)),"O","X"))</f>
        <v>O</v>
      </c>
      <c r="AV12" s="13" t="str">
        <f>IF(C12="","",IF(C12&gt;=$AV$1,"O","X"))</f>
        <v>X</v>
      </c>
      <c r="AW12" s="13" t="str">
        <f>IF(AP12="","",IF(AND(AP12="O",AQ12="O",AS12="O",AU12="O",AV12="O"),"후보","X"))</f>
        <v>X</v>
      </c>
    </row>
    <row r="13" spans="1:49" x14ac:dyDescent="0.3">
      <c r="A13" s="5" t="s">
        <v>1734</v>
      </c>
      <c r="B13" s="14" t="s">
        <v>1735</v>
      </c>
      <c r="C13" s="25">
        <v>203</v>
      </c>
      <c r="D13" s="23">
        <v>110</v>
      </c>
      <c r="E13" s="21">
        <v>33</v>
      </c>
      <c r="F13" s="23">
        <v>83</v>
      </c>
      <c r="G13" s="24">
        <v>25</v>
      </c>
      <c r="H13" s="25">
        <v>40</v>
      </c>
      <c r="I13" s="29">
        <v>47000</v>
      </c>
      <c r="J13" s="29"/>
      <c r="K13" s="29">
        <v>36000</v>
      </c>
      <c r="L13" s="29"/>
      <c r="M13" s="6">
        <f>I13-K13</f>
        <v>11000</v>
      </c>
      <c r="N13" s="7">
        <f>IF(ISERROR(K13/I13),"",K13/I13)</f>
        <v>0.76595744680851063</v>
      </c>
      <c r="O13" s="12">
        <f>I13/E13</f>
        <v>1424.2424242424242</v>
      </c>
      <c r="P13" s="12">
        <f>K13/E13</f>
        <v>1090.909090909091</v>
      </c>
      <c r="Q13" s="13">
        <v>3</v>
      </c>
      <c r="R13" s="13">
        <v>2</v>
      </c>
      <c r="S13" s="13" t="s">
        <v>51</v>
      </c>
      <c r="T13" s="8" t="s">
        <v>805</v>
      </c>
      <c r="U13" s="5"/>
      <c r="V13" s="5" t="s">
        <v>1738</v>
      </c>
      <c r="X13" s="23">
        <f t="shared" si="5"/>
        <v>110</v>
      </c>
      <c r="Y13" s="21">
        <f t="shared" si="5"/>
        <v>33</v>
      </c>
      <c r="Z13" s="28">
        <f t="shared" si="6"/>
        <v>40</v>
      </c>
      <c r="AA13" s="6">
        <f t="shared" si="6"/>
        <v>47000</v>
      </c>
      <c r="AB13" s="6">
        <f>K13</f>
        <v>36000</v>
      </c>
      <c r="AC13" s="6">
        <f t="shared" si="7"/>
        <v>11000</v>
      </c>
      <c r="AD13" s="7">
        <f t="shared" si="7"/>
        <v>0.76595744680851063</v>
      </c>
      <c r="AE13" s="12">
        <f t="shared" si="7"/>
        <v>1424.2424242424242</v>
      </c>
      <c r="AF13" s="13" t="str">
        <f>S13</f>
        <v>계</v>
      </c>
      <c r="AG13" s="13" t="str">
        <f>Q13&amp;"/"&amp;R13</f>
        <v>3/2</v>
      </c>
      <c r="AI13" s="32" t="str">
        <f t="shared" si="1"/>
        <v>호계신도브래뉴</v>
      </c>
      <c r="AJ13" s="21">
        <f t="shared" si="0"/>
        <v>33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>X</v>
      </c>
      <c r="AQ13" s="13" t="str">
        <f>IF(I13="","",IF(I13&lt;=$AQ$1,"O","X"))</f>
        <v>X</v>
      </c>
      <c r="AR13" s="13" t="str">
        <f>IF(O13="","",IF(O13&lt;=$AR$1,"O","X"))</f>
        <v>X</v>
      </c>
      <c r="AS13" s="13" t="str">
        <f>IF(M13="","",IF(M13&lt;=$AS$1,"O","X"))</f>
        <v>X</v>
      </c>
      <c r="AT13" s="13" t="s">
        <v>32</v>
      </c>
      <c r="AU13" s="13" t="str">
        <f>IF(OR(F13="",AJ13=""),"",IF(AND((F13&lt;=85),(AJ13&gt;=15)),"O","X"))</f>
        <v>O</v>
      </c>
      <c r="AV13" s="13" t="str">
        <f>IF(C13="","",IF(C13&gt;=$AV$1,"O","X"))</f>
        <v>X</v>
      </c>
      <c r="AW13" s="13" t="str">
        <f>IF(AP13="","",IF(AND(AP13="O",AQ13="O",AS13="O",AU13="O",AV13="O"),"후보","X"))</f>
        <v>X</v>
      </c>
    </row>
    <row r="14" spans="1:49" x14ac:dyDescent="0.3">
      <c r="A14" s="5"/>
      <c r="B14" s="13"/>
      <c r="C14" s="9"/>
      <c r="D14" s="5"/>
      <c r="E14" s="18"/>
      <c r="F14" s="23"/>
      <c r="G14" s="5"/>
      <c r="H14" s="5"/>
      <c r="I14" s="5"/>
      <c r="J14" s="5"/>
      <c r="K14" s="5"/>
      <c r="L14" s="5"/>
      <c r="M14" s="5"/>
      <c r="N14" s="5"/>
      <c r="O14" s="12"/>
      <c r="P14" s="12"/>
      <c r="Q14" s="21"/>
      <c r="R14" s="21"/>
      <c r="S14" s="5"/>
      <c r="T14" s="59"/>
      <c r="U14" s="5"/>
      <c r="V14" s="5"/>
      <c r="X14" s="90" t="str">
        <f>$A$4&amp;" "&amp;A15&amp;"("&amp;B15&amp;","&amp;C15&amp;"^)"</f>
        <v>호계동 목련3단지('92.07,902^)</v>
      </c>
      <c r="Y14" s="91"/>
      <c r="Z14" s="91"/>
      <c r="AA14" s="91"/>
      <c r="AB14" s="91"/>
      <c r="AC14" s="91"/>
      <c r="AD14" s="91"/>
      <c r="AE14" s="91"/>
      <c r="AF14" s="91"/>
      <c r="AG14" s="92"/>
      <c r="AI14" s="32" t="str">
        <f t="shared" si="1"/>
        <v/>
      </c>
      <c r="AJ14" s="33" t="str">
        <f t="shared" si="0"/>
        <v/>
      </c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</row>
    <row r="15" spans="1:49" x14ac:dyDescent="0.3">
      <c r="A15" s="5" t="s">
        <v>1739</v>
      </c>
      <c r="B15" s="14" t="s">
        <v>1414</v>
      </c>
      <c r="C15" s="25">
        <v>902</v>
      </c>
      <c r="D15" s="23">
        <v>56.2</v>
      </c>
      <c r="E15" s="21">
        <v>17</v>
      </c>
      <c r="F15" s="23">
        <v>41.6</v>
      </c>
      <c r="G15" s="24">
        <v>13</v>
      </c>
      <c r="H15" s="25">
        <v>98</v>
      </c>
      <c r="I15" s="29">
        <v>43000</v>
      </c>
      <c r="J15" s="29"/>
      <c r="K15" s="29">
        <v>21000</v>
      </c>
      <c r="L15" s="29"/>
      <c r="M15" s="6">
        <f>I15-K15</f>
        <v>22000</v>
      </c>
      <c r="N15" s="7">
        <f>IF(ISERROR(K15/I15),"",K15/I15)</f>
        <v>0.48837209302325579</v>
      </c>
      <c r="O15" s="12">
        <f>I15/E15</f>
        <v>2529.4117647058824</v>
      </c>
      <c r="P15" s="12">
        <f>K15/E15</f>
        <v>1235.2941176470588</v>
      </c>
      <c r="Q15" s="13">
        <v>2</v>
      </c>
      <c r="R15" s="13">
        <v>1</v>
      </c>
      <c r="S15" s="13" t="s">
        <v>1356</v>
      </c>
      <c r="T15" s="8">
        <v>56</v>
      </c>
      <c r="U15" s="5"/>
      <c r="V15" s="5" t="s">
        <v>1740</v>
      </c>
      <c r="X15" s="23">
        <f t="shared" ref="X15:Y18" si="8">D15</f>
        <v>56.2</v>
      </c>
      <c r="Y15" s="21">
        <f t="shared" si="8"/>
        <v>17</v>
      </c>
      <c r="Z15" s="28">
        <f t="shared" ref="Z15:AA18" si="9">H15</f>
        <v>98</v>
      </c>
      <c r="AA15" s="6">
        <f t="shared" si="9"/>
        <v>43000</v>
      </c>
      <c r="AB15" s="6">
        <f>K15</f>
        <v>21000</v>
      </c>
      <c r="AC15" s="6">
        <f t="shared" ref="AC15:AE18" si="10">M15</f>
        <v>22000</v>
      </c>
      <c r="AD15" s="7">
        <f t="shared" si="10"/>
        <v>0.48837209302325579</v>
      </c>
      <c r="AE15" s="12">
        <f t="shared" si="10"/>
        <v>2529.4117647058824</v>
      </c>
      <c r="AF15" s="13" t="str">
        <f>S15</f>
        <v>복</v>
      </c>
      <c r="AG15" s="13" t="str">
        <f>Q15&amp;"/"&amp;R15</f>
        <v>2/1</v>
      </c>
      <c r="AI15" s="32" t="str">
        <f t="shared" si="1"/>
        <v>목련3단지</v>
      </c>
      <c r="AJ15" s="21">
        <f t="shared" si="0"/>
        <v>17</v>
      </c>
      <c r="AK15" s="13" t="str">
        <f>IF(AJ15="","",$AK$2)</f>
        <v>A-</v>
      </c>
      <c r="AL15" s="13"/>
      <c r="AM15" s="13"/>
      <c r="AN15" s="13"/>
      <c r="AO15" s="13" t="str">
        <f>IF(AJ15="","",$AO$2)</f>
        <v>C</v>
      </c>
      <c r="AP15" s="13" t="str">
        <f>IF(N15="","",IF(N15&gt;=$AP$1/100,"O","X"))</f>
        <v>X</v>
      </c>
      <c r="AQ15" s="13" t="str">
        <f>IF(I15="","",IF(I15&lt;=$AQ$1,"O","X"))</f>
        <v>O</v>
      </c>
      <c r="AR15" s="13" t="str">
        <f>IF(O15="","",IF(O15&lt;=$AR$1,"O","X"))</f>
        <v>X</v>
      </c>
      <c r="AS15" s="13" t="str">
        <f>IF(M15="","",IF(M15&lt;=$AS$1,"O","X"))</f>
        <v>X</v>
      </c>
      <c r="AT15" s="13" t="s">
        <v>32</v>
      </c>
      <c r="AU15" s="13" t="str">
        <f>IF(OR(F15="",AJ15=""),"",IF(AND((F15&lt;=85),(AJ15&gt;=15)),"O","X"))</f>
        <v>O</v>
      </c>
      <c r="AV15" s="13" t="str">
        <f>IF(C15="","",IF(C15&gt;=$AV$1,"O","X"))</f>
        <v>O</v>
      </c>
      <c r="AW15" s="13" t="str">
        <f>IF(AP15="","",IF(AND(AP15="O",AQ15="O",AS15="O",AU15="O",AV15="O"),"후보","X"))</f>
        <v>X</v>
      </c>
    </row>
    <row r="16" spans="1:49" x14ac:dyDescent="0.3">
      <c r="A16" s="5" t="s">
        <v>1739</v>
      </c>
      <c r="B16" s="14" t="s">
        <v>1414</v>
      </c>
      <c r="C16" s="25">
        <v>902</v>
      </c>
      <c r="D16" s="23">
        <v>68.400000000000006</v>
      </c>
      <c r="E16" s="21">
        <v>21</v>
      </c>
      <c r="F16" s="23">
        <v>50.7</v>
      </c>
      <c r="G16" s="24">
        <v>15</v>
      </c>
      <c r="H16" s="25">
        <v>294</v>
      </c>
      <c r="I16" s="29">
        <v>52500</v>
      </c>
      <c r="J16" s="29"/>
      <c r="K16" s="29">
        <v>25000</v>
      </c>
      <c r="L16" s="29"/>
      <c r="M16" s="6">
        <f>I16-K16</f>
        <v>27500</v>
      </c>
      <c r="N16" s="7">
        <f>IF(ISERROR(K16/I16),"",K16/I16)</f>
        <v>0.47619047619047616</v>
      </c>
      <c r="O16" s="12">
        <f>I16/E16</f>
        <v>2500</v>
      </c>
      <c r="P16" s="12">
        <f>K16/E16</f>
        <v>1190.4761904761904</v>
      </c>
      <c r="Q16" s="13">
        <v>2</v>
      </c>
      <c r="R16" s="13">
        <v>1</v>
      </c>
      <c r="S16" s="13" t="s">
        <v>1356</v>
      </c>
      <c r="T16" s="8">
        <v>68</v>
      </c>
      <c r="U16" s="5"/>
      <c r="V16" s="5" t="s">
        <v>1741</v>
      </c>
      <c r="X16" s="23">
        <f t="shared" si="8"/>
        <v>68.400000000000006</v>
      </c>
      <c r="Y16" s="21">
        <f t="shared" si="8"/>
        <v>21</v>
      </c>
      <c r="Z16" s="28">
        <f t="shared" si="9"/>
        <v>294</v>
      </c>
      <c r="AA16" s="6">
        <f t="shared" si="9"/>
        <v>52500</v>
      </c>
      <c r="AB16" s="6">
        <f>K16</f>
        <v>25000</v>
      </c>
      <c r="AC16" s="6">
        <f t="shared" si="10"/>
        <v>27500</v>
      </c>
      <c r="AD16" s="7">
        <f t="shared" si="10"/>
        <v>0.47619047619047616</v>
      </c>
      <c r="AE16" s="12">
        <f t="shared" si="10"/>
        <v>2500</v>
      </c>
      <c r="AF16" s="13" t="str">
        <f>S16</f>
        <v>복</v>
      </c>
      <c r="AG16" s="13" t="str">
        <f>Q16&amp;"/"&amp;R16</f>
        <v>2/1</v>
      </c>
      <c r="AI16" s="32" t="str">
        <f t="shared" si="1"/>
        <v>목련3단지</v>
      </c>
      <c r="AJ16" s="21">
        <f t="shared" si="0"/>
        <v>21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>X</v>
      </c>
      <c r="AQ16" s="13" t="str">
        <f>IF(I16="","",IF(I16&lt;=$AQ$1,"O","X"))</f>
        <v>X</v>
      </c>
      <c r="AR16" s="13" t="str">
        <f>IF(O16="","",IF(O16&lt;=$AR$1,"O","X"))</f>
        <v>X</v>
      </c>
      <c r="AS16" s="13" t="str">
        <f>IF(M16="","",IF(M16&lt;=$AS$1,"O","X"))</f>
        <v>X</v>
      </c>
      <c r="AT16" s="13" t="s">
        <v>32</v>
      </c>
      <c r="AU16" s="13" t="str">
        <f>IF(OR(F16="",AJ16=""),"",IF(AND((F16&lt;=85),(AJ16&gt;=15)),"O","X"))</f>
        <v>O</v>
      </c>
      <c r="AV16" s="13" t="str">
        <f>IF(C16="","",IF(C16&gt;=$AV$1,"O","X"))</f>
        <v>O</v>
      </c>
      <c r="AW16" s="13" t="str">
        <f>IF(AP16="","",IF(AND(AP16="O",AQ16="O",AS16="O",AU16="O",AV16="O"),"후보","X"))</f>
        <v>X</v>
      </c>
    </row>
    <row r="17" spans="1:49" x14ac:dyDescent="0.3">
      <c r="A17" s="5" t="s">
        <v>1739</v>
      </c>
      <c r="B17" s="14" t="s">
        <v>1414</v>
      </c>
      <c r="C17" s="25">
        <v>902</v>
      </c>
      <c r="D17" s="23">
        <v>74.8</v>
      </c>
      <c r="E17" s="21">
        <v>23</v>
      </c>
      <c r="F17" s="23">
        <v>56.7</v>
      </c>
      <c r="G17" s="24">
        <v>17</v>
      </c>
      <c r="H17" s="25">
        <v>270</v>
      </c>
      <c r="I17" s="29">
        <v>60000</v>
      </c>
      <c r="J17" s="29"/>
      <c r="K17" s="29">
        <v>28000</v>
      </c>
      <c r="L17" s="29"/>
      <c r="M17" s="6">
        <f>I17-K17</f>
        <v>32000</v>
      </c>
      <c r="N17" s="7">
        <f>IF(ISERROR(K17/I17),"",K17/I17)</f>
        <v>0.46666666666666667</v>
      </c>
      <c r="O17" s="12">
        <f>I17/E17</f>
        <v>2608.695652173913</v>
      </c>
      <c r="P17" s="12">
        <f>K17/E17</f>
        <v>1217.391304347826</v>
      </c>
      <c r="Q17" s="13">
        <v>2</v>
      </c>
      <c r="R17" s="13">
        <v>1</v>
      </c>
      <c r="S17" s="13" t="s">
        <v>1356</v>
      </c>
      <c r="T17" s="8" t="s">
        <v>281</v>
      </c>
      <c r="U17" s="5"/>
      <c r="V17" s="5" t="s">
        <v>1742</v>
      </c>
      <c r="X17" s="23">
        <f t="shared" si="8"/>
        <v>74.8</v>
      </c>
      <c r="Y17" s="21">
        <f t="shared" si="8"/>
        <v>23</v>
      </c>
      <c r="Z17" s="28">
        <f t="shared" si="9"/>
        <v>270</v>
      </c>
      <c r="AA17" s="6">
        <f t="shared" si="9"/>
        <v>60000</v>
      </c>
      <c r="AB17" s="6">
        <f>K17</f>
        <v>28000</v>
      </c>
      <c r="AC17" s="6">
        <f t="shared" si="10"/>
        <v>32000</v>
      </c>
      <c r="AD17" s="7">
        <f t="shared" si="10"/>
        <v>0.46666666666666667</v>
      </c>
      <c r="AE17" s="12">
        <f t="shared" si="10"/>
        <v>2608.695652173913</v>
      </c>
      <c r="AF17" s="13" t="str">
        <f>S17</f>
        <v>복</v>
      </c>
      <c r="AG17" s="13" t="str">
        <f>Q17&amp;"/"&amp;R17</f>
        <v>2/1</v>
      </c>
      <c r="AI17" s="32" t="str">
        <f t="shared" si="1"/>
        <v>목련3단지</v>
      </c>
      <c r="AJ17" s="21">
        <f t="shared" si="0"/>
        <v>23</v>
      </c>
      <c r="AK17" s="13" t="str">
        <f>IF(AJ17="","",$AK$2)</f>
        <v>A-</v>
      </c>
      <c r="AL17" s="13"/>
      <c r="AM17" s="13"/>
      <c r="AN17" s="13"/>
      <c r="AO17" s="13" t="str">
        <f>IF(AJ17="","",$AO$2)</f>
        <v>C</v>
      </c>
      <c r="AP17" s="13" t="str">
        <f>IF(N17="","",IF(N17&gt;=$AP$1/100,"O","X"))</f>
        <v>X</v>
      </c>
      <c r="AQ17" s="13" t="str">
        <f>IF(I17="","",IF(I17&lt;=$AQ$1,"O","X"))</f>
        <v>X</v>
      </c>
      <c r="AR17" s="13" t="str">
        <f>IF(O17="","",IF(O17&lt;=$AR$1,"O","X"))</f>
        <v>X</v>
      </c>
      <c r="AS17" s="13" t="str">
        <f>IF(M17="","",IF(M17&lt;=$AS$1,"O","X"))</f>
        <v>X</v>
      </c>
      <c r="AT17" s="13" t="s">
        <v>32</v>
      </c>
      <c r="AU17" s="13" t="str">
        <f>IF(OR(F17="",AJ17=""),"",IF(AND((F17&lt;=85),(AJ17&gt;=15)),"O","X"))</f>
        <v>O</v>
      </c>
      <c r="AV17" s="13" t="str">
        <f>IF(C17="","",IF(C17&gt;=$AV$1,"O","X"))</f>
        <v>O</v>
      </c>
      <c r="AW17" s="13" t="str">
        <f>IF(AP17="","",IF(AND(AP17="O",AQ17="O",AS17="O",AU17="O",AV17="O"),"후보","X"))</f>
        <v>X</v>
      </c>
    </row>
    <row r="18" spans="1:49" x14ac:dyDescent="0.3">
      <c r="A18" s="5" t="s">
        <v>1739</v>
      </c>
      <c r="B18" s="14" t="s">
        <v>1414</v>
      </c>
      <c r="C18" s="25">
        <v>902</v>
      </c>
      <c r="D18" s="23">
        <v>74.8</v>
      </c>
      <c r="E18" s="21">
        <v>23</v>
      </c>
      <c r="F18" s="23">
        <v>56.7</v>
      </c>
      <c r="G18" s="24">
        <v>17</v>
      </c>
      <c r="H18" s="25">
        <v>120</v>
      </c>
      <c r="I18" s="29">
        <v>56500</v>
      </c>
      <c r="J18" s="29"/>
      <c r="K18" s="29">
        <v>30000</v>
      </c>
      <c r="L18" s="29"/>
      <c r="M18" s="6">
        <f>I18-K18</f>
        <v>26500</v>
      </c>
      <c r="N18" s="7">
        <f>IF(ISERROR(K18/I18),"",K18/I18)</f>
        <v>0.53097345132743368</v>
      </c>
      <c r="O18" s="12">
        <f>I18/E18</f>
        <v>2456.521739130435</v>
      </c>
      <c r="P18" s="12">
        <f>K18/E18</f>
        <v>1304.3478260869565</v>
      </c>
      <c r="Q18" s="13">
        <v>2</v>
      </c>
      <c r="R18" s="13">
        <v>1</v>
      </c>
      <c r="S18" s="13" t="s">
        <v>1356</v>
      </c>
      <c r="T18" s="8" t="s">
        <v>136</v>
      </c>
      <c r="U18" s="5" t="s">
        <v>1960</v>
      </c>
      <c r="V18" s="5" t="s">
        <v>1742</v>
      </c>
      <c r="X18" s="23">
        <f t="shared" si="8"/>
        <v>74.8</v>
      </c>
      <c r="Y18" s="21">
        <f t="shared" si="8"/>
        <v>23</v>
      </c>
      <c r="Z18" s="28">
        <f t="shared" si="9"/>
        <v>120</v>
      </c>
      <c r="AA18" s="6">
        <f t="shared" si="9"/>
        <v>56500</v>
      </c>
      <c r="AB18" s="6">
        <f>K18</f>
        <v>30000</v>
      </c>
      <c r="AC18" s="6">
        <f t="shared" si="10"/>
        <v>26500</v>
      </c>
      <c r="AD18" s="7">
        <f t="shared" si="10"/>
        <v>0.53097345132743368</v>
      </c>
      <c r="AE18" s="12">
        <f t="shared" si="10"/>
        <v>2456.521739130435</v>
      </c>
      <c r="AF18" s="13" t="str">
        <f>S18</f>
        <v>복</v>
      </c>
      <c r="AG18" s="13" t="str">
        <f>Q18&amp;"/"&amp;R18</f>
        <v>2/1</v>
      </c>
      <c r="AI18" s="32" t="str">
        <f t="shared" si="1"/>
        <v>목련3단지</v>
      </c>
      <c r="AJ18" s="21">
        <f t="shared" si="0"/>
        <v>23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>X</v>
      </c>
      <c r="AQ18" s="13" t="str">
        <f>IF(I18="","",IF(I18&lt;=$AQ$1,"O","X"))</f>
        <v>X</v>
      </c>
      <c r="AR18" s="13" t="str">
        <f>IF(O18="","",IF(O18&lt;=$AR$1,"O","X"))</f>
        <v>X</v>
      </c>
      <c r="AS18" s="13" t="str">
        <f>IF(M18="","",IF(M18&lt;=$AS$1,"O","X"))</f>
        <v>X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O</v>
      </c>
      <c r="AW18" s="13" t="str">
        <f>IF(AP18="","",IF(AND(AP18="O",AQ18="O",AS18="O",AU18="O",AV18="O"),"후보","X"))</f>
        <v>X</v>
      </c>
    </row>
    <row r="19" spans="1:49" x14ac:dyDescent="0.3">
      <c r="A19" s="5"/>
      <c r="B19" s="13"/>
      <c r="C19" s="9"/>
      <c r="D19" s="5"/>
      <c r="E19" s="18"/>
      <c r="F19" s="23"/>
      <c r="G19" s="5"/>
      <c r="H19" s="5"/>
      <c r="I19" s="5"/>
      <c r="J19" s="5"/>
      <c r="K19" s="5"/>
      <c r="L19" s="5"/>
      <c r="M19" s="5"/>
      <c r="N19" s="5"/>
      <c r="O19" s="12"/>
      <c r="P19" s="12"/>
      <c r="Q19" s="21"/>
      <c r="R19" s="21"/>
      <c r="S19" s="5"/>
      <c r="T19" s="59"/>
      <c r="U19" s="5"/>
      <c r="V19" s="5"/>
      <c r="X19" s="90" t="str">
        <f>$A$4&amp;" "&amp;A20&amp;"("&amp;B20&amp;","&amp;C20&amp;"^)"</f>
        <v>호계동 호계현대('99.12,212^)</v>
      </c>
      <c r="Y19" s="91"/>
      <c r="Z19" s="91"/>
      <c r="AA19" s="91"/>
      <c r="AB19" s="91"/>
      <c r="AC19" s="91"/>
      <c r="AD19" s="91"/>
      <c r="AE19" s="91"/>
      <c r="AF19" s="91"/>
      <c r="AG19" s="92"/>
      <c r="AI19" s="32" t="str">
        <f t="shared" si="1"/>
        <v/>
      </c>
      <c r="AJ19" s="33" t="str">
        <f t="shared" si="0"/>
        <v/>
      </c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x14ac:dyDescent="0.3">
      <c r="A20" s="5" t="s">
        <v>1743</v>
      </c>
      <c r="B20" s="14" t="s">
        <v>1744</v>
      </c>
      <c r="C20" s="25">
        <v>212</v>
      </c>
      <c r="D20" s="23">
        <v>78.7</v>
      </c>
      <c r="E20" s="21">
        <v>24</v>
      </c>
      <c r="F20" s="23">
        <v>59.9</v>
      </c>
      <c r="G20" s="24">
        <v>18</v>
      </c>
      <c r="H20" s="25">
        <v>90</v>
      </c>
      <c r="I20" s="29">
        <v>38000</v>
      </c>
      <c r="J20" s="29"/>
      <c r="K20" s="29">
        <v>29000</v>
      </c>
      <c r="L20" s="29"/>
      <c r="M20" s="6">
        <f>I20-K20</f>
        <v>9000</v>
      </c>
      <c r="N20" s="7">
        <f>IF(ISERROR(K20/I20),"",K20/I20)</f>
        <v>0.76315789473684215</v>
      </c>
      <c r="O20" s="12">
        <f>I20/E20</f>
        <v>1583.3333333333333</v>
      </c>
      <c r="P20" s="12">
        <f>K20/E20</f>
        <v>1208.3333333333333</v>
      </c>
      <c r="Q20" s="13">
        <v>3</v>
      </c>
      <c r="R20" s="13">
        <v>1</v>
      </c>
      <c r="S20" s="13" t="s">
        <v>51</v>
      </c>
      <c r="T20" s="8">
        <v>78</v>
      </c>
      <c r="U20" s="5"/>
      <c r="V20" s="5" t="s">
        <v>1745</v>
      </c>
      <c r="X20" s="23">
        <f t="shared" ref="X20:Y22" si="11">D20</f>
        <v>78.7</v>
      </c>
      <c r="Y20" s="21">
        <f t="shared" si="11"/>
        <v>24</v>
      </c>
      <c r="Z20" s="28">
        <f t="shared" ref="Z20:AA22" si="12">H20</f>
        <v>90</v>
      </c>
      <c r="AA20" s="6">
        <f t="shared" si="12"/>
        <v>38000</v>
      </c>
      <c r="AB20" s="6">
        <f>K20</f>
        <v>29000</v>
      </c>
      <c r="AC20" s="6">
        <f t="shared" ref="AC20:AE22" si="13">M20</f>
        <v>9000</v>
      </c>
      <c r="AD20" s="7">
        <f t="shared" si="13"/>
        <v>0.76315789473684215</v>
      </c>
      <c r="AE20" s="12">
        <f t="shared" si="13"/>
        <v>1583.3333333333333</v>
      </c>
      <c r="AF20" s="13" t="str">
        <f>S20</f>
        <v>계</v>
      </c>
      <c r="AG20" s="13" t="str">
        <f>Q20&amp;"/"&amp;R20</f>
        <v>3/1</v>
      </c>
      <c r="AI20" s="32" t="str">
        <f t="shared" si="1"/>
        <v>호계현대</v>
      </c>
      <c r="AJ20" s="21">
        <f t="shared" si="0"/>
        <v>24</v>
      </c>
      <c r="AK20" s="13" t="str">
        <f>IF(AJ20="","",$AK$2)</f>
        <v>A-</v>
      </c>
      <c r="AL20" s="13"/>
      <c r="AM20" s="13"/>
      <c r="AN20" s="13"/>
      <c r="AO20" s="13" t="str">
        <f>IF(AJ20="","",$AO$2)</f>
        <v>C</v>
      </c>
      <c r="AP20" s="13" t="str">
        <f>IF(N20="","",IF(N20&gt;=$AP$1/100,"O","X"))</f>
        <v>X</v>
      </c>
      <c r="AQ20" s="13" t="str">
        <f>IF(I20="","",IF(I20&lt;=$AQ$1,"O","X"))</f>
        <v>O</v>
      </c>
      <c r="AR20" s="13" t="str">
        <f>IF(O20="","",IF(O20&lt;=$AR$1,"O","X"))</f>
        <v>X</v>
      </c>
      <c r="AS20" s="13" t="str">
        <f>IF(M20="","",IF(M20&lt;=$AS$1,"O","X"))</f>
        <v>X</v>
      </c>
      <c r="AT20" s="13" t="s">
        <v>32</v>
      </c>
      <c r="AU20" s="13" t="str">
        <f>IF(OR(F20="",AJ20=""),"",IF(AND((F20&lt;=85),(AJ20&gt;=15)),"O","X"))</f>
        <v>O</v>
      </c>
      <c r="AV20" s="13" t="str">
        <f>IF(C20="","",IF(C20&gt;=$AV$1,"O","X"))</f>
        <v>X</v>
      </c>
      <c r="AW20" s="13" t="str">
        <f>IF(AP20="","",IF(AND(AP20="O",AQ20="O",AS20="O",AU20="O",AV20="O"),"후보","X"))</f>
        <v>X</v>
      </c>
    </row>
    <row r="21" spans="1:49" x14ac:dyDescent="0.3">
      <c r="A21" s="5" t="s">
        <v>1743</v>
      </c>
      <c r="B21" s="14" t="s">
        <v>1744</v>
      </c>
      <c r="C21" s="25">
        <v>212</v>
      </c>
      <c r="D21" s="23">
        <v>97.8</v>
      </c>
      <c r="E21" s="21">
        <v>30</v>
      </c>
      <c r="F21" s="23">
        <v>74.400000000000006</v>
      </c>
      <c r="G21" s="24">
        <v>22</v>
      </c>
      <c r="H21" s="25">
        <v>18</v>
      </c>
      <c r="I21" s="29">
        <v>42000</v>
      </c>
      <c r="J21" s="29"/>
      <c r="K21" s="29">
        <v>34000</v>
      </c>
      <c r="L21" s="29"/>
      <c r="M21" s="6">
        <f>I21-K21</f>
        <v>8000</v>
      </c>
      <c r="N21" s="7">
        <f>IF(ISERROR(K21/I21),"",K21/I21)</f>
        <v>0.80952380952380953</v>
      </c>
      <c r="O21" s="12">
        <f>I21/E21</f>
        <v>1400</v>
      </c>
      <c r="P21" s="12">
        <f>K21/E21</f>
        <v>1133.3333333333333</v>
      </c>
      <c r="Q21" s="13">
        <v>3</v>
      </c>
      <c r="R21" s="13">
        <v>2</v>
      </c>
      <c r="S21" s="13" t="s">
        <v>51</v>
      </c>
      <c r="T21" s="8">
        <v>97</v>
      </c>
      <c r="U21" s="5" t="s">
        <v>1961</v>
      </c>
      <c r="V21" s="5" t="s">
        <v>1746</v>
      </c>
      <c r="X21" s="23">
        <f t="shared" si="11"/>
        <v>97.8</v>
      </c>
      <c r="Y21" s="21">
        <f t="shared" si="11"/>
        <v>30</v>
      </c>
      <c r="Z21" s="28">
        <f t="shared" si="12"/>
        <v>18</v>
      </c>
      <c r="AA21" s="6">
        <f t="shared" si="12"/>
        <v>42000</v>
      </c>
      <c r="AB21" s="6">
        <f>K21</f>
        <v>34000</v>
      </c>
      <c r="AC21" s="6">
        <f t="shared" si="13"/>
        <v>8000</v>
      </c>
      <c r="AD21" s="7">
        <f t="shared" si="13"/>
        <v>0.80952380952380953</v>
      </c>
      <c r="AE21" s="12">
        <f t="shared" si="13"/>
        <v>1400</v>
      </c>
      <c r="AF21" s="13" t="str">
        <f>S21</f>
        <v>계</v>
      </c>
      <c r="AG21" s="13" t="str">
        <f>Q21&amp;"/"&amp;R21</f>
        <v>3/2</v>
      </c>
      <c r="AI21" s="32" t="str">
        <f t="shared" si="1"/>
        <v>호계현대</v>
      </c>
      <c r="AJ21" s="21">
        <f t="shared" si="0"/>
        <v>30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>O</v>
      </c>
      <c r="AQ21" s="13" t="str">
        <f>IF(I21="","",IF(I21&lt;=$AQ$1,"O","X"))</f>
        <v>O</v>
      </c>
      <c r="AR21" s="13" t="str">
        <f>IF(O21="","",IF(O21&lt;=$AR$1,"O","X"))</f>
        <v>X</v>
      </c>
      <c r="AS21" s="13" t="str">
        <f>IF(M21="","",IF(M21&lt;=$AS$1,"O","X"))</f>
        <v>X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X</v>
      </c>
      <c r="AW21" s="13" t="str">
        <f>IF(AP21="","",IF(AND(AP21="O",AQ21="O",AS21="O",AU21="O",AV21="O"),"후보","X"))</f>
        <v>X</v>
      </c>
    </row>
    <row r="22" spans="1:49" x14ac:dyDescent="0.3">
      <c r="A22" s="5" t="s">
        <v>1743</v>
      </c>
      <c r="B22" s="14" t="s">
        <v>1744</v>
      </c>
      <c r="C22" s="25">
        <v>212</v>
      </c>
      <c r="D22" s="23">
        <v>111.7</v>
      </c>
      <c r="E22" s="21">
        <v>34</v>
      </c>
      <c r="F22" s="23">
        <v>84.9</v>
      </c>
      <c r="G22" s="24">
        <v>26</v>
      </c>
      <c r="H22" s="25">
        <v>104</v>
      </c>
      <c r="I22" s="29">
        <v>45000</v>
      </c>
      <c r="J22" s="29"/>
      <c r="K22" s="29">
        <v>36000</v>
      </c>
      <c r="L22" s="29"/>
      <c r="M22" s="6">
        <f>I22-K22</f>
        <v>9000</v>
      </c>
      <c r="N22" s="7">
        <f>IF(ISERROR(K22/I22),"",K22/I22)</f>
        <v>0.8</v>
      </c>
      <c r="O22" s="12">
        <f>I22/E22</f>
        <v>1323.5294117647059</v>
      </c>
      <c r="P22" s="12">
        <f>K22/E22</f>
        <v>1058.8235294117646</v>
      </c>
      <c r="Q22" s="13">
        <v>3</v>
      </c>
      <c r="R22" s="13">
        <v>2</v>
      </c>
      <c r="S22" s="13" t="s">
        <v>51</v>
      </c>
      <c r="T22" s="8">
        <v>111</v>
      </c>
      <c r="U22" s="5"/>
      <c r="V22" s="5" t="s">
        <v>1747</v>
      </c>
      <c r="X22" s="23">
        <f t="shared" si="11"/>
        <v>111.7</v>
      </c>
      <c r="Y22" s="21">
        <f t="shared" si="11"/>
        <v>34</v>
      </c>
      <c r="Z22" s="28">
        <f t="shared" si="12"/>
        <v>104</v>
      </c>
      <c r="AA22" s="6">
        <f t="shared" si="12"/>
        <v>45000</v>
      </c>
      <c r="AB22" s="6">
        <f>K22</f>
        <v>36000</v>
      </c>
      <c r="AC22" s="6">
        <f t="shared" si="13"/>
        <v>9000</v>
      </c>
      <c r="AD22" s="7">
        <f t="shared" si="13"/>
        <v>0.8</v>
      </c>
      <c r="AE22" s="12">
        <f t="shared" si="13"/>
        <v>1323.5294117647059</v>
      </c>
      <c r="AF22" s="13" t="str">
        <f>S22</f>
        <v>계</v>
      </c>
      <c r="AG22" s="13" t="str">
        <f>Q22&amp;"/"&amp;R22</f>
        <v>3/2</v>
      </c>
      <c r="AI22" s="32" t="str">
        <f t="shared" si="1"/>
        <v>호계현대</v>
      </c>
      <c r="AJ22" s="21">
        <f t="shared" si="0"/>
        <v>34</v>
      </c>
      <c r="AK22" s="13" t="str">
        <f>IF(AJ22="","",$AK$2)</f>
        <v>A-</v>
      </c>
      <c r="AL22" s="13"/>
      <c r="AM22" s="13"/>
      <c r="AN22" s="13"/>
      <c r="AO22" s="13" t="str">
        <f>IF(AJ22="","",$AO$2)</f>
        <v>C</v>
      </c>
      <c r="AP22" s="13" t="str">
        <f>IF(N22="","",IF(N22&gt;=$AP$1/100,"O","X"))</f>
        <v>O</v>
      </c>
      <c r="AQ22" s="13" t="str">
        <f>IF(I22="","",IF(I22&lt;=$AQ$1,"O","X"))</f>
        <v>O</v>
      </c>
      <c r="AR22" s="13" t="str">
        <f>IF(O22="","",IF(O22&lt;=$AR$1,"O","X"))</f>
        <v>X</v>
      </c>
      <c r="AS22" s="13" t="str">
        <f>IF(M22="","",IF(M22&lt;=$AS$1,"O","X"))</f>
        <v>X</v>
      </c>
      <c r="AT22" s="13" t="s">
        <v>32</v>
      </c>
      <c r="AU22" s="13" t="str">
        <f>IF(OR(F22="",AJ22=""),"",IF(AND((F22&lt;=85),(AJ22&gt;=15)),"O","X"))</f>
        <v>O</v>
      </c>
      <c r="AV22" s="13" t="str">
        <f>IF(C22="","",IF(C22&gt;=$AV$1,"O","X"))</f>
        <v>X</v>
      </c>
      <c r="AW22" s="13" t="str">
        <f>IF(AP22="","",IF(AND(AP22="O",AQ22="O",AS22="O",AU22="O",AV22="O"),"후보","X"))</f>
        <v>X</v>
      </c>
    </row>
    <row r="23" spans="1:49" x14ac:dyDescent="0.3">
      <c r="A23" s="5"/>
      <c r="B23" s="13"/>
      <c r="C23" s="9"/>
      <c r="D23" s="5"/>
      <c r="E23" s="18"/>
      <c r="F23" s="23"/>
      <c r="G23" s="5"/>
      <c r="H23" s="5"/>
      <c r="I23" s="5"/>
      <c r="J23" s="5"/>
      <c r="K23" s="5"/>
      <c r="L23" s="5"/>
      <c r="M23" s="5"/>
      <c r="N23" s="5"/>
      <c r="O23" s="12"/>
      <c r="P23" s="12"/>
      <c r="Q23" s="21"/>
      <c r="R23" s="21"/>
      <c r="S23" s="5"/>
      <c r="T23" s="59"/>
      <c r="U23" s="5"/>
      <c r="V23" s="5"/>
      <c r="X23" s="90" t="str">
        <f>$A$4&amp;" "&amp;A24&amp;"("&amp;B24&amp;","&amp;C24&amp;"^)"</f>
        <v>호계동 샘쌍용('92.09,384^)</v>
      </c>
      <c r="Y23" s="91"/>
      <c r="Z23" s="91"/>
      <c r="AA23" s="91"/>
      <c r="AB23" s="91"/>
      <c r="AC23" s="91"/>
      <c r="AD23" s="91"/>
      <c r="AE23" s="91"/>
      <c r="AF23" s="91"/>
      <c r="AG23" s="92"/>
      <c r="AI23" s="32" t="str">
        <f t="shared" si="1"/>
        <v/>
      </c>
      <c r="AJ23" s="33" t="str">
        <f t="shared" si="0"/>
        <v/>
      </c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</row>
    <row r="24" spans="1:49" x14ac:dyDescent="0.3">
      <c r="A24" s="5" t="s">
        <v>1748</v>
      </c>
      <c r="B24" s="14" t="s">
        <v>1649</v>
      </c>
      <c r="C24" s="25">
        <v>384</v>
      </c>
      <c r="D24" s="23">
        <v>122.9</v>
      </c>
      <c r="E24" s="21">
        <v>37</v>
      </c>
      <c r="F24" s="23">
        <v>101.9</v>
      </c>
      <c r="G24" s="24">
        <v>31</v>
      </c>
      <c r="H24" s="25">
        <v>120</v>
      </c>
      <c r="I24" s="29">
        <v>80000</v>
      </c>
      <c r="J24" s="29"/>
      <c r="K24" s="29">
        <v>54000</v>
      </c>
      <c r="L24" s="29"/>
      <c r="M24" s="6">
        <f>I24-K24</f>
        <v>26000</v>
      </c>
      <c r="N24" s="7">
        <f>IF(ISERROR(K24/I24),"",K24/I24)</f>
        <v>0.67500000000000004</v>
      </c>
      <c r="O24" s="12">
        <f>I24/E24</f>
        <v>2162.1621621621621</v>
      </c>
      <c r="P24" s="12">
        <f>K24/E24</f>
        <v>1459.4594594594594</v>
      </c>
      <c r="Q24" s="13">
        <v>4</v>
      </c>
      <c r="R24" s="13">
        <v>2</v>
      </c>
      <c r="S24" s="13" t="s">
        <v>51</v>
      </c>
      <c r="T24" s="8">
        <v>122</v>
      </c>
      <c r="U24" s="5"/>
      <c r="V24" s="5" t="s">
        <v>1749</v>
      </c>
      <c r="X24" s="23">
        <f t="shared" ref="X24:Y26" si="14">D24</f>
        <v>122.9</v>
      </c>
      <c r="Y24" s="21">
        <f t="shared" si="14"/>
        <v>37</v>
      </c>
      <c r="Z24" s="28">
        <f t="shared" ref="Z24:AA26" si="15">H24</f>
        <v>120</v>
      </c>
      <c r="AA24" s="6">
        <f t="shared" si="15"/>
        <v>80000</v>
      </c>
      <c r="AB24" s="6">
        <f>K24</f>
        <v>54000</v>
      </c>
      <c r="AC24" s="6">
        <f t="shared" ref="AC24:AE26" si="16">M24</f>
        <v>26000</v>
      </c>
      <c r="AD24" s="7">
        <f t="shared" si="16"/>
        <v>0.67500000000000004</v>
      </c>
      <c r="AE24" s="12">
        <f t="shared" si="16"/>
        <v>2162.1621621621621</v>
      </c>
      <c r="AF24" s="13" t="str">
        <f>S24</f>
        <v>계</v>
      </c>
      <c r="AG24" s="13" t="str">
        <f>Q24&amp;"/"&amp;R24</f>
        <v>4/2</v>
      </c>
      <c r="AI24" s="32" t="str">
        <f t="shared" si="1"/>
        <v>샘쌍용</v>
      </c>
      <c r="AJ24" s="21">
        <f t="shared" si="0"/>
        <v>37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>X</v>
      </c>
      <c r="AQ24" s="13" t="str">
        <f>IF(I24="","",IF(I24&lt;=$AQ$1,"O","X"))</f>
        <v>X</v>
      </c>
      <c r="AR24" s="13" t="str">
        <f>IF(O24="","",IF(O24&lt;=$AR$1,"O","X"))</f>
        <v>X</v>
      </c>
      <c r="AS24" s="13" t="str">
        <f>IF(M24="","",IF(M24&lt;=$AS$1,"O","X"))</f>
        <v>X</v>
      </c>
      <c r="AT24" s="13" t="s">
        <v>32</v>
      </c>
      <c r="AU24" s="13" t="str">
        <f>IF(OR(F24="",AJ24=""),"",IF(AND((F24&lt;=85),(AJ24&gt;=15)),"O","X"))</f>
        <v>X</v>
      </c>
      <c r="AV24" s="13" t="str">
        <f>IF(C24="","",IF(C24&gt;=$AV$1,"O","X"))</f>
        <v>O</v>
      </c>
      <c r="AW24" s="13" t="str">
        <f>IF(AP24="","",IF(AND(AP24="O",AQ24="O",AS24="O",AU24="O",AV24="O"),"후보","X"))</f>
        <v>X</v>
      </c>
    </row>
    <row r="25" spans="1:49" x14ac:dyDescent="0.3">
      <c r="A25" s="5" t="s">
        <v>1748</v>
      </c>
      <c r="B25" s="14" t="s">
        <v>1649</v>
      </c>
      <c r="C25" s="25">
        <v>384</v>
      </c>
      <c r="D25" s="23">
        <v>158.19999999999999</v>
      </c>
      <c r="E25" s="21">
        <v>48</v>
      </c>
      <c r="F25" s="23">
        <v>132.6</v>
      </c>
      <c r="G25" s="24">
        <v>40</v>
      </c>
      <c r="H25" s="25">
        <v>256</v>
      </c>
      <c r="I25" s="29">
        <v>95000</v>
      </c>
      <c r="J25" s="29"/>
      <c r="K25" s="29">
        <v>65000</v>
      </c>
      <c r="L25" s="29"/>
      <c r="M25" s="6">
        <f>I25-K25</f>
        <v>30000</v>
      </c>
      <c r="N25" s="7">
        <f>IF(ISERROR(K25/I25),"",K25/I25)</f>
        <v>0.68421052631578949</v>
      </c>
      <c r="O25" s="12">
        <f>I25/E25</f>
        <v>1979.1666666666667</v>
      </c>
      <c r="P25" s="12">
        <f>K25/E25</f>
        <v>1354.1666666666667</v>
      </c>
      <c r="Q25" s="13">
        <v>4</v>
      </c>
      <c r="R25" s="13">
        <v>2</v>
      </c>
      <c r="S25" s="13" t="s">
        <v>51</v>
      </c>
      <c r="T25" s="8">
        <v>158</v>
      </c>
      <c r="U25" s="5"/>
      <c r="V25" s="5" t="s">
        <v>1750</v>
      </c>
      <c r="X25" s="23">
        <f t="shared" si="14"/>
        <v>158.19999999999999</v>
      </c>
      <c r="Y25" s="21">
        <f t="shared" si="14"/>
        <v>48</v>
      </c>
      <c r="Z25" s="28">
        <f t="shared" si="15"/>
        <v>256</v>
      </c>
      <c r="AA25" s="6">
        <f t="shared" si="15"/>
        <v>95000</v>
      </c>
      <c r="AB25" s="6">
        <f>K25</f>
        <v>65000</v>
      </c>
      <c r="AC25" s="6">
        <f t="shared" si="16"/>
        <v>30000</v>
      </c>
      <c r="AD25" s="7">
        <f t="shared" si="16"/>
        <v>0.68421052631578949</v>
      </c>
      <c r="AE25" s="12">
        <f t="shared" si="16"/>
        <v>1979.1666666666667</v>
      </c>
      <c r="AF25" s="13" t="str">
        <f>S25</f>
        <v>계</v>
      </c>
      <c r="AG25" s="13" t="str">
        <f>Q25&amp;"/"&amp;R25</f>
        <v>4/2</v>
      </c>
      <c r="AI25" s="32" t="str">
        <f t="shared" si="1"/>
        <v>샘쌍용</v>
      </c>
      <c r="AJ25" s="21">
        <f t="shared" si="0"/>
        <v>48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>X</v>
      </c>
      <c r="AQ25" s="13" t="str">
        <f>IF(I25="","",IF(I25&lt;=$AQ$1,"O","X"))</f>
        <v>X</v>
      </c>
      <c r="AR25" s="13" t="str">
        <f>IF(O25="","",IF(O25&lt;=$AR$1,"O","X"))</f>
        <v>X</v>
      </c>
      <c r="AS25" s="13" t="str">
        <f>IF(M25="","",IF(M25&lt;=$AS$1,"O","X"))</f>
        <v>X</v>
      </c>
      <c r="AT25" s="13" t="s">
        <v>32</v>
      </c>
      <c r="AU25" s="13" t="str">
        <f>IF(OR(F25="",AJ25=""),"",IF(AND((F25&lt;=85),(AJ25&gt;=15)),"O","X"))</f>
        <v>X</v>
      </c>
      <c r="AV25" s="13" t="str">
        <f>IF(C25="","",IF(C25&gt;=$AV$1,"O","X"))</f>
        <v>O</v>
      </c>
      <c r="AW25" s="13" t="str">
        <f>IF(AP25="","",IF(AND(AP25="O",AQ25="O",AS25="O",AU25="O",AV25="O"),"후보","X"))</f>
        <v>X</v>
      </c>
    </row>
    <row r="26" spans="1:49" x14ac:dyDescent="0.3">
      <c r="A26" s="5" t="s">
        <v>1748</v>
      </c>
      <c r="B26" s="14" t="s">
        <v>1649</v>
      </c>
      <c r="C26" s="25">
        <v>384</v>
      </c>
      <c r="D26" s="23">
        <v>205.7</v>
      </c>
      <c r="E26" s="21">
        <v>62</v>
      </c>
      <c r="F26" s="23">
        <v>175.4</v>
      </c>
      <c r="G26" s="24">
        <v>53</v>
      </c>
      <c r="H26" s="25">
        <v>8</v>
      </c>
      <c r="I26" s="29">
        <v>107500</v>
      </c>
      <c r="J26" s="29"/>
      <c r="K26" s="29">
        <v>70000</v>
      </c>
      <c r="L26" s="29"/>
      <c r="M26" s="6">
        <f>I26-K26</f>
        <v>37500</v>
      </c>
      <c r="N26" s="7">
        <f>IF(ISERROR(K26/I26),"",K26/I26)</f>
        <v>0.65116279069767447</v>
      </c>
      <c r="O26" s="12">
        <f>I26/E26</f>
        <v>1733.8709677419354</v>
      </c>
      <c r="P26" s="12">
        <f>K26/E26</f>
        <v>1129.0322580645161</v>
      </c>
      <c r="Q26" s="13">
        <v>4</v>
      </c>
      <c r="R26" s="13">
        <v>2</v>
      </c>
      <c r="S26" s="13" t="s">
        <v>51</v>
      </c>
      <c r="T26" s="8">
        <v>205</v>
      </c>
      <c r="U26" s="5" t="s">
        <v>1962</v>
      </c>
      <c r="V26" s="5" t="s">
        <v>1751</v>
      </c>
      <c r="X26" s="23">
        <f t="shared" si="14"/>
        <v>205.7</v>
      </c>
      <c r="Y26" s="21">
        <f t="shared" si="14"/>
        <v>62</v>
      </c>
      <c r="Z26" s="28">
        <f t="shared" si="15"/>
        <v>8</v>
      </c>
      <c r="AA26" s="6">
        <f t="shared" si="15"/>
        <v>107500</v>
      </c>
      <c r="AB26" s="6">
        <f>K26</f>
        <v>70000</v>
      </c>
      <c r="AC26" s="6">
        <f t="shared" si="16"/>
        <v>37500</v>
      </c>
      <c r="AD26" s="7">
        <f t="shared" si="16"/>
        <v>0.65116279069767447</v>
      </c>
      <c r="AE26" s="12">
        <f t="shared" si="16"/>
        <v>1733.8709677419354</v>
      </c>
      <c r="AF26" s="13" t="str">
        <f>S26</f>
        <v>계</v>
      </c>
      <c r="AG26" s="13" t="str">
        <f>Q26&amp;"/"&amp;R26</f>
        <v>4/2</v>
      </c>
      <c r="AI26" s="32" t="str">
        <f t="shared" si="1"/>
        <v>샘쌍용</v>
      </c>
      <c r="AJ26" s="21">
        <f t="shared" si="0"/>
        <v>62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>X</v>
      </c>
      <c r="AQ26" s="13" t="str">
        <f>IF(I26="","",IF(I26&lt;=$AQ$1,"O","X"))</f>
        <v>X</v>
      </c>
      <c r="AR26" s="13" t="str">
        <f>IF(O26="","",IF(O26&lt;=$AR$1,"O","X"))</f>
        <v>X</v>
      </c>
      <c r="AS26" s="13" t="str">
        <f>IF(M26="","",IF(M26&lt;=$AS$1,"O","X"))</f>
        <v>X</v>
      </c>
      <c r="AT26" s="13" t="s">
        <v>32</v>
      </c>
      <c r="AU26" s="13" t="str">
        <f>IF(OR(F26="",AJ26=""),"",IF(AND((F26&lt;=85),(AJ26&gt;=15)),"O","X"))</f>
        <v>X</v>
      </c>
      <c r="AV26" s="13" t="str">
        <f>IF(C26="","",IF(C26&gt;=$AV$1,"O","X"))</f>
        <v>O</v>
      </c>
      <c r="AW26" s="13" t="str">
        <f>IF(AP26="","",IF(AND(AP26="O",AQ26="O",AS26="O",AU26="O",AV26="O"),"후보","X"))</f>
        <v>X</v>
      </c>
    </row>
    <row r="27" spans="1:49" x14ac:dyDescent="0.3">
      <c r="A27" s="5"/>
      <c r="B27" s="13"/>
      <c r="C27" s="9"/>
      <c r="D27" s="5"/>
      <c r="E27" s="18"/>
      <c r="F27" s="23"/>
      <c r="G27" s="5"/>
      <c r="H27" s="5"/>
      <c r="I27" s="5"/>
      <c r="J27" s="5"/>
      <c r="K27" s="5"/>
      <c r="L27" s="5"/>
      <c r="M27" s="5"/>
      <c r="N27" s="5"/>
      <c r="O27" s="12"/>
      <c r="P27" s="12"/>
      <c r="Q27" s="21"/>
      <c r="R27" s="21"/>
      <c r="S27" s="5"/>
      <c r="T27" s="59"/>
      <c r="U27" s="5"/>
      <c r="V27" s="5"/>
      <c r="X27" s="90" t="str">
        <f>$A$4&amp;" "&amp;A28&amp;"("&amp;B28&amp;","&amp;C28&amp;"^)"</f>
        <v>호계동 무궁화건영('92.09,468^)</v>
      </c>
      <c r="Y27" s="91"/>
      <c r="Z27" s="91"/>
      <c r="AA27" s="91"/>
      <c r="AB27" s="91"/>
      <c r="AC27" s="91"/>
      <c r="AD27" s="91"/>
      <c r="AE27" s="91"/>
      <c r="AF27" s="91"/>
      <c r="AG27" s="92"/>
      <c r="AI27" s="32" t="str">
        <f t="shared" si="1"/>
        <v/>
      </c>
      <c r="AJ27" s="33" t="str">
        <f t="shared" si="0"/>
        <v/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x14ac:dyDescent="0.3">
      <c r="A28" s="5" t="s">
        <v>1752</v>
      </c>
      <c r="B28" s="14" t="s">
        <v>1649</v>
      </c>
      <c r="C28" s="25">
        <v>468</v>
      </c>
      <c r="D28" s="23">
        <v>66.7</v>
      </c>
      <c r="E28" s="21">
        <v>20</v>
      </c>
      <c r="F28" s="23">
        <v>53.6</v>
      </c>
      <c r="G28" s="24">
        <v>16</v>
      </c>
      <c r="H28" s="25">
        <v>112</v>
      </c>
      <c r="I28" s="29">
        <v>44000</v>
      </c>
      <c r="J28" s="29"/>
      <c r="K28" s="29">
        <v>27500</v>
      </c>
      <c r="L28" s="29"/>
      <c r="M28" s="6">
        <f>I28-K28</f>
        <v>16500</v>
      </c>
      <c r="N28" s="7">
        <f>IF(ISERROR(K28/I28),"",K28/I28)</f>
        <v>0.625</v>
      </c>
      <c r="O28" s="12">
        <f>I28/E28</f>
        <v>2200</v>
      </c>
      <c r="P28" s="12">
        <f>K28/E28</f>
        <v>1375</v>
      </c>
      <c r="Q28" s="13">
        <v>2</v>
      </c>
      <c r="R28" s="13">
        <v>1</v>
      </c>
      <c r="S28" s="13" t="s">
        <v>1356</v>
      </c>
      <c r="T28" s="8">
        <v>66</v>
      </c>
      <c r="U28" s="5"/>
      <c r="V28" s="5" t="s">
        <v>1753</v>
      </c>
      <c r="X28" s="23">
        <f t="shared" ref="X28:Y30" si="17">D28</f>
        <v>66.7</v>
      </c>
      <c r="Y28" s="21">
        <f t="shared" si="17"/>
        <v>20</v>
      </c>
      <c r="Z28" s="28">
        <f t="shared" ref="Z28:AA30" si="18">H28</f>
        <v>112</v>
      </c>
      <c r="AA28" s="6">
        <f t="shared" si="18"/>
        <v>44000</v>
      </c>
      <c r="AB28" s="6">
        <f>K28</f>
        <v>27500</v>
      </c>
      <c r="AC28" s="6">
        <f t="shared" ref="AC28:AE30" si="19">M28</f>
        <v>16500</v>
      </c>
      <c r="AD28" s="7">
        <f t="shared" si="19"/>
        <v>0.625</v>
      </c>
      <c r="AE28" s="12">
        <f t="shared" si="19"/>
        <v>2200</v>
      </c>
      <c r="AF28" s="13" t="str">
        <f>S28</f>
        <v>복</v>
      </c>
      <c r="AG28" s="13" t="str">
        <f>Q28&amp;"/"&amp;R28</f>
        <v>2/1</v>
      </c>
      <c r="AI28" s="32" t="str">
        <f t="shared" si="1"/>
        <v>무궁화건영</v>
      </c>
      <c r="AJ28" s="21">
        <f t="shared" si="0"/>
        <v>20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>X</v>
      </c>
      <c r="AQ28" s="13" t="str">
        <f>IF(I28="","",IF(I28&lt;=$AQ$1,"O","X"))</f>
        <v>O</v>
      </c>
      <c r="AR28" s="13" t="str">
        <f>IF(O28="","",IF(O28&lt;=$AR$1,"O","X"))</f>
        <v>X</v>
      </c>
      <c r="AS28" s="13" t="str">
        <f>IF(M28="","",IF(M28&lt;=$AS$1,"O","X"))</f>
        <v>X</v>
      </c>
      <c r="AT28" s="13" t="s">
        <v>32</v>
      </c>
      <c r="AU28" s="13" t="str">
        <f>IF(OR(F28="",AJ28=""),"",IF(AND((F28&lt;=85),(AJ28&gt;=15)),"O","X"))</f>
        <v>O</v>
      </c>
      <c r="AV28" s="13" t="str">
        <f>IF(C28="","",IF(C28&gt;=$AV$1,"O","X"))</f>
        <v>O</v>
      </c>
      <c r="AW28" s="13" t="str">
        <f>IF(AP28="","",IF(AND(AP28="O",AQ28="O",AS28="O",AU28="O",AV28="O"),"후보","X"))</f>
        <v>X</v>
      </c>
    </row>
    <row r="29" spans="1:49" x14ac:dyDescent="0.3">
      <c r="A29" s="5" t="s">
        <v>1752</v>
      </c>
      <c r="B29" s="14" t="s">
        <v>1649</v>
      </c>
      <c r="C29" s="25">
        <v>468</v>
      </c>
      <c r="D29" s="23">
        <v>95.1</v>
      </c>
      <c r="E29" s="21">
        <v>29</v>
      </c>
      <c r="F29" s="23">
        <v>76.400000000000006</v>
      </c>
      <c r="G29" s="24">
        <v>23</v>
      </c>
      <c r="H29" s="25">
        <v>56</v>
      </c>
      <c r="I29" s="29">
        <v>57000</v>
      </c>
      <c r="J29" s="29"/>
      <c r="K29" s="29">
        <v>42000</v>
      </c>
      <c r="L29" s="29"/>
      <c r="M29" s="6">
        <f>I29-K29</f>
        <v>15000</v>
      </c>
      <c r="N29" s="7">
        <f>IF(ISERROR(K29/I29),"",K29/I29)</f>
        <v>0.73684210526315785</v>
      </c>
      <c r="O29" s="12">
        <f>I29/E29</f>
        <v>1965.5172413793102</v>
      </c>
      <c r="P29" s="12">
        <f>K29/E29</f>
        <v>1448.2758620689656</v>
      </c>
      <c r="Q29" s="13">
        <v>3</v>
      </c>
      <c r="R29" s="13">
        <v>2</v>
      </c>
      <c r="S29" s="13" t="s">
        <v>51</v>
      </c>
      <c r="T29" s="8">
        <v>95</v>
      </c>
      <c r="U29" s="5"/>
      <c r="V29" s="5" t="s">
        <v>1754</v>
      </c>
      <c r="X29" s="23">
        <f t="shared" si="17"/>
        <v>95.1</v>
      </c>
      <c r="Y29" s="21">
        <f t="shared" si="17"/>
        <v>29</v>
      </c>
      <c r="Z29" s="28">
        <f t="shared" si="18"/>
        <v>56</v>
      </c>
      <c r="AA29" s="6">
        <f t="shared" si="18"/>
        <v>57000</v>
      </c>
      <c r="AB29" s="6">
        <f>K29</f>
        <v>42000</v>
      </c>
      <c r="AC29" s="6">
        <f t="shared" si="19"/>
        <v>15000</v>
      </c>
      <c r="AD29" s="7">
        <f t="shared" si="19"/>
        <v>0.73684210526315785</v>
      </c>
      <c r="AE29" s="12">
        <f t="shared" si="19"/>
        <v>1965.5172413793102</v>
      </c>
      <c r="AF29" s="13" t="str">
        <f>S29</f>
        <v>계</v>
      </c>
      <c r="AG29" s="13" t="str">
        <f>Q29&amp;"/"&amp;R29</f>
        <v>3/2</v>
      </c>
      <c r="AI29" s="32" t="str">
        <f t="shared" si="1"/>
        <v>무궁화건영</v>
      </c>
      <c r="AJ29" s="21">
        <f t="shared" si="0"/>
        <v>29</v>
      </c>
      <c r="AK29" s="13" t="str">
        <f>IF(AJ29="","",$AK$2)</f>
        <v>A-</v>
      </c>
      <c r="AL29" s="13"/>
      <c r="AM29" s="13"/>
      <c r="AN29" s="13"/>
      <c r="AO29" s="13" t="str">
        <f>IF(AJ29="","",$AO$2)</f>
        <v>C</v>
      </c>
      <c r="AP29" s="13" t="str">
        <f>IF(N29="","",IF(N29&gt;=$AP$1/100,"O","X"))</f>
        <v>X</v>
      </c>
      <c r="AQ29" s="13" t="str">
        <f>IF(I29="","",IF(I29&lt;=$AQ$1,"O","X"))</f>
        <v>X</v>
      </c>
      <c r="AR29" s="13" t="str">
        <f>IF(O29="","",IF(O29&lt;=$AR$1,"O","X"))</f>
        <v>X</v>
      </c>
      <c r="AS29" s="13" t="str">
        <f>IF(M29="","",IF(M29&lt;=$AS$1,"O","X"))</f>
        <v>X</v>
      </c>
      <c r="AT29" s="13" t="s">
        <v>32</v>
      </c>
      <c r="AU29" s="13" t="str">
        <f>IF(OR(F29="",AJ29=""),"",IF(AND((F29&lt;=85),(AJ29&gt;=15)),"O","X"))</f>
        <v>O</v>
      </c>
      <c r="AV29" s="13" t="str">
        <f>IF(C29="","",IF(C29&gt;=$AV$1,"O","X"))</f>
        <v>O</v>
      </c>
      <c r="AW29" s="13" t="str">
        <f>IF(AP29="","",IF(AND(AP29="O",AQ29="O",AS29="O",AU29="O",AV29="O"),"후보","X"))</f>
        <v>X</v>
      </c>
    </row>
    <row r="30" spans="1:49" x14ac:dyDescent="0.3">
      <c r="A30" s="5" t="s">
        <v>1752</v>
      </c>
      <c r="B30" s="14" t="s">
        <v>1649</v>
      </c>
      <c r="C30" s="25">
        <v>468</v>
      </c>
      <c r="D30" s="23">
        <v>102.4</v>
      </c>
      <c r="E30" s="21">
        <v>31</v>
      </c>
      <c r="F30" s="23">
        <v>84.8</v>
      </c>
      <c r="G30" s="24">
        <v>26</v>
      </c>
      <c r="H30" s="25">
        <v>300</v>
      </c>
      <c r="I30" s="29">
        <v>58000</v>
      </c>
      <c r="J30" s="29"/>
      <c r="K30" s="29">
        <v>45000</v>
      </c>
      <c r="L30" s="29"/>
      <c r="M30" s="6">
        <f>I30-K30</f>
        <v>13000</v>
      </c>
      <c r="N30" s="7">
        <f>IF(ISERROR(K30/I30),"",K30/I30)</f>
        <v>0.77586206896551724</v>
      </c>
      <c r="O30" s="12">
        <f>I30/E30</f>
        <v>1870.9677419354839</v>
      </c>
      <c r="P30" s="12">
        <f>K30/E30</f>
        <v>1451.6129032258063</v>
      </c>
      <c r="Q30" s="13">
        <v>3</v>
      </c>
      <c r="R30" s="13">
        <v>2</v>
      </c>
      <c r="S30" s="13" t="s">
        <v>51</v>
      </c>
      <c r="T30" s="8">
        <v>102</v>
      </c>
      <c r="U30" s="5"/>
      <c r="V30" s="5" t="s">
        <v>1755</v>
      </c>
      <c r="X30" s="23">
        <f t="shared" si="17"/>
        <v>102.4</v>
      </c>
      <c r="Y30" s="21">
        <f t="shared" si="17"/>
        <v>31</v>
      </c>
      <c r="Z30" s="28">
        <f t="shared" si="18"/>
        <v>300</v>
      </c>
      <c r="AA30" s="6">
        <f t="shared" si="18"/>
        <v>58000</v>
      </c>
      <c r="AB30" s="6">
        <f>K30</f>
        <v>45000</v>
      </c>
      <c r="AC30" s="6">
        <f t="shared" si="19"/>
        <v>13000</v>
      </c>
      <c r="AD30" s="7">
        <f t="shared" si="19"/>
        <v>0.77586206896551724</v>
      </c>
      <c r="AE30" s="12">
        <f t="shared" si="19"/>
        <v>1870.9677419354839</v>
      </c>
      <c r="AF30" s="13" t="str">
        <f>S30</f>
        <v>계</v>
      </c>
      <c r="AG30" s="13" t="str">
        <f>Q30&amp;"/"&amp;R30</f>
        <v>3/2</v>
      </c>
      <c r="AI30" s="32" t="str">
        <f t="shared" si="1"/>
        <v>무궁화건영</v>
      </c>
      <c r="AJ30" s="21">
        <f t="shared" si="0"/>
        <v>31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>X</v>
      </c>
      <c r="AQ30" s="13" t="str">
        <f>IF(I30="","",IF(I30&lt;=$AQ$1,"O","X"))</f>
        <v>X</v>
      </c>
      <c r="AR30" s="13" t="str">
        <f>IF(O30="","",IF(O30&lt;=$AR$1,"O","X"))</f>
        <v>X</v>
      </c>
      <c r="AS30" s="13" t="str">
        <f>IF(M30="","",IF(M30&lt;=$AS$1,"O","X"))</f>
        <v>X</v>
      </c>
      <c r="AT30" s="13" t="s">
        <v>32</v>
      </c>
      <c r="AU30" s="13" t="str">
        <f>IF(OR(F30="",AJ30=""),"",IF(AND((F30&lt;=85),(AJ30&gt;=15)),"O","X"))</f>
        <v>O</v>
      </c>
      <c r="AV30" s="13" t="str">
        <f>IF(C30="","",IF(C30&gt;=$AV$1,"O","X"))</f>
        <v>O</v>
      </c>
      <c r="AW30" s="13" t="str">
        <f>IF(AP30="","",IF(AND(AP30="O",AQ30="O",AS30="O",AU30="O",AV30="O"),"후보","X"))</f>
        <v>X</v>
      </c>
    </row>
    <row r="31" spans="1:49" x14ac:dyDescent="0.3">
      <c r="A31" s="5"/>
      <c r="B31" s="13"/>
      <c r="C31" s="9"/>
      <c r="D31" s="5"/>
      <c r="E31" s="18"/>
      <c r="F31" s="23"/>
      <c r="G31" s="5"/>
      <c r="H31" s="5"/>
      <c r="I31" s="5"/>
      <c r="J31" s="5"/>
      <c r="K31" s="5"/>
      <c r="L31" s="5"/>
      <c r="M31" s="5"/>
      <c r="N31" s="5"/>
      <c r="O31" s="12"/>
      <c r="P31" s="12"/>
      <c r="Q31" s="21"/>
      <c r="R31" s="21"/>
      <c r="S31" s="5"/>
      <c r="T31" s="59"/>
      <c r="U31" s="5"/>
      <c r="V31" s="5"/>
      <c r="X31" s="90" t="str">
        <f>$A$4&amp;" "&amp;A32&amp;"("&amp;B32&amp;","&amp;C32&amp;"^)"</f>
        <v>호계동 무궁화코오롱('92.09,458^)</v>
      </c>
      <c r="Y31" s="91"/>
      <c r="Z31" s="91"/>
      <c r="AA31" s="91"/>
      <c r="AB31" s="91"/>
      <c r="AC31" s="91"/>
      <c r="AD31" s="91"/>
      <c r="AE31" s="91"/>
      <c r="AF31" s="91"/>
      <c r="AG31" s="92"/>
      <c r="AI31" s="32" t="str">
        <f t="shared" si="1"/>
        <v/>
      </c>
      <c r="AJ31" s="33" t="str">
        <f t="shared" si="0"/>
        <v/>
      </c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</row>
    <row r="32" spans="1:49" x14ac:dyDescent="0.3">
      <c r="A32" s="5" t="s">
        <v>1756</v>
      </c>
      <c r="B32" s="14" t="s">
        <v>1649</v>
      </c>
      <c r="C32" s="25">
        <v>458</v>
      </c>
      <c r="D32" s="23">
        <v>82.8</v>
      </c>
      <c r="E32" s="21">
        <v>25</v>
      </c>
      <c r="F32" s="23">
        <v>59.3</v>
      </c>
      <c r="G32" s="24">
        <v>18</v>
      </c>
      <c r="H32" s="25">
        <v>78</v>
      </c>
      <c r="I32" s="29">
        <v>50000</v>
      </c>
      <c r="J32" s="29"/>
      <c r="K32" s="29">
        <v>31000</v>
      </c>
      <c r="L32" s="29"/>
      <c r="M32" s="6">
        <f>I32-K32</f>
        <v>19000</v>
      </c>
      <c r="N32" s="7">
        <f>IF(ISERROR(K32/I32),"",K32/I32)</f>
        <v>0.62</v>
      </c>
      <c r="O32" s="12">
        <f>I32/E32</f>
        <v>2000</v>
      </c>
      <c r="P32" s="12">
        <f>K32/E32</f>
        <v>1240</v>
      </c>
      <c r="Q32" s="13">
        <v>3</v>
      </c>
      <c r="R32" s="13">
        <v>1</v>
      </c>
      <c r="S32" s="13" t="s">
        <v>1356</v>
      </c>
      <c r="T32" s="8">
        <v>82</v>
      </c>
      <c r="U32" s="5"/>
      <c r="V32" s="5" t="s">
        <v>1757</v>
      </c>
      <c r="X32" s="23">
        <f t="shared" ref="X32:Y34" si="20">D32</f>
        <v>82.8</v>
      </c>
      <c r="Y32" s="21">
        <f t="shared" si="20"/>
        <v>25</v>
      </c>
      <c r="Z32" s="28">
        <f t="shared" ref="Z32:AA34" si="21">H32</f>
        <v>78</v>
      </c>
      <c r="AA32" s="6">
        <f t="shared" si="21"/>
        <v>50000</v>
      </c>
      <c r="AB32" s="6">
        <f>K32</f>
        <v>31000</v>
      </c>
      <c r="AC32" s="6">
        <f t="shared" ref="AC32:AE34" si="22">M32</f>
        <v>19000</v>
      </c>
      <c r="AD32" s="7">
        <f t="shared" si="22"/>
        <v>0.62</v>
      </c>
      <c r="AE32" s="12">
        <f t="shared" si="22"/>
        <v>2000</v>
      </c>
      <c r="AF32" s="13" t="str">
        <f>S32</f>
        <v>복</v>
      </c>
      <c r="AG32" s="13" t="str">
        <f>Q32&amp;"/"&amp;R32</f>
        <v>3/1</v>
      </c>
      <c r="AI32" s="32" t="str">
        <f t="shared" si="1"/>
        <v>무궁화코오롱</v>
      </c>
      <c r="AJ32" s="21">
        <f t="shared" si="0"/>
        <v>25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>X</v>
      </c>
      <c r="AQ32" s="13" t="str">
        <f>IF(I32="","",IF(I32&lt;=$AQ$1,"O","X"))</f>
        <v>X</v>
      </c>
      <c r="AR32" s="13" t="str">
        <f>IF(O32="","",IF(O32&lt;=$AR$1,"O","X"))</f>
        <v>X</v>
      </c>
      <c r="AS32" s="13" t="str">
        <f>IF(M32="","",IF(M32&lt;=$AS$1,"O","X"))</f>
        <v>X</v>
      </c>
      <c r="AT32" s="13" t="s">
        <v>32</v>
      </c>
      <c r="AU32" s="13" t="str">
        <f>IF(OR(F32="",AJ32=""),"",IF(AND((F32&lt;=85),(AJ32&gt;=15)),"O","X"))</f>
        <v>O</v>
      </c>
      <c r="AV32" s="13" t="str">
        <f>IF(C32="","",IF(C32&gt;=$AV$1,"O","X"))</f>
        <v>O</v>
      </c>
      <c r="AW32" s="13" t="str">
        <f>IF(AP32="","",IF(AND(AP32="O",AQ32="O",AS32="O",AU32="O",AV32="O"),"후보","X"))</f>
        <v>X</v>
      </c>
    </row>
    <row r="33" spans="1:49" x14ac:dyDescent="0.3">
      <c r="A33" s="5" t="s">
        <v>1756</v>
      </c>
      <c r="B33" s="14" t="s">
        <v>1649</v>
      </c>
      <c r="C33" s="25">
        <v>458</v>
      </c>
      <c r="D33" s="23">
        <v>93.5</v>
      </c>
      <c r="E33" s="21">
        <v>28</v>
      </c>
      <c r="F33" s="23">
        <v>76.599999999999994</v>
      </c>
      <c r="G33" s="24">
        <v>23</v>
      </c>
      <c r="H33" s="25">
        <v>84</v>
      </c>
      <c r="I33" s="29">
        <v>58000</v>
      </c>
      <c r="J33" s="29"/>
      <c r="K33" s="29">
        <v>38000</v>
      </c>
      <c r="L33" s="29"/>
      <c r="M33" s="6">
        <f>I33-K33</f>
        <v>20000</v>
      </c>
      <c r="N33" s="7">
        <f>IF(ISERROR(K33/I33),"",K33/I33)</f>
        <v>0.65517241379310343</v>
      </c>
      <c r="O33" s="12">
        <f>I33/E33</f>
        <v>2071.4285714285716</v>
      </c>
      <c r="P33" s="12">
        <f>K33/E33</f>
        <v>1357.1428571428571</v>
      </c>
      <c r="Q33" s="13">
        <v>3</v>
      </c>
      <c r="R33" s="13">
        <v>2</v>
      </c>
      <c r="S33" s="13" t="s">
        <v>51</v>
      </c>
      <c r="T33" s="8">
        <v>93</v>
      </c>
      <c r="U33" s="5"/>
      <c r="V33" s="5" t="s">
        <v>1758</v>
      </c>
      <c r="X33" s="23">
        <f t="shared" si="20"/>
        <v>93.5</v>
      </c>
      <c r="Y33" s="21">
        <f t="shared" si="20"/>
        <v>28</v>
      </c>
      <c r="Z33" s="28">
        <f t="shared" si="21"/>
        <v>84</v>
      </c>
      <c r="AA33" s="6">
        <f t="shared" si="21"/>
        <v>58000</v>
      </c>
      <c r="AB33" s="6">
        <f>K33</f>
        <v>38000</v>
      </c>
      <c r="AC33" s="6">
        <f t="shared" si="22"/>
        <v>20000</v>
      </c>
      <c r="AD33" s="7">
        <f t="shared" si="22"/>
        <v>0.65517241379310343</v>
      </c>
      <c r="AE33" s="12">
        <f t="shared" si="22"/>
        <v>2071.4285714285716</v>
      </c>
      <c r="AF33" s="13" t="str">
        <f>S33</f>
        <v>계</v>
      </c>
      <c r="AG33" s="13" t="str">
        <f>Q33&amp;"/"&amp;R33</f>
        <v>3/2</v>
      </c>
      <c r="AI33" s="32" t="str">
        <f t="shared" si="1"/>
        <v>무궁화코오롱</v>
      </c>
      <c r="AJ33" s="21">
        <f t="shared" si="0"/>
        <v>28</v>
      </c>
      <c r="AK33" s="13" t="str">
        <f>IF(AJ33="","",$AK$2)</f>
        <v>A-</v>
      </c>
      <c r="AL33" s="13"/>
      <c r="AM33" s="13"/>
      <c r="AN33" s="13"/>
      <c r="AO33" s="13" t="str">
        <f>IF(AJ33="","",$AO$2)</f>
        <v>C</v>
      </c>
      <c r="AP33" s="13" t="str">
        <f>IF(N33="","",IF(N33&gt;=$AP$1/100,"O","X"))</f>
        <v>X</v>
      </c>
      <c r="AQ33" s="13" t="str">
        <f>IF(I33="","",IF(I33&lt;=$AQ$1,"O","X"))</f>
        <v>X</v>
      </c>
      <c r="AR33" s="13" t="str">
        <f>IF(O33="","",IF(O33&lt;=$AR$1,"O","X"))</f>
        <v>X</v>
      </c>
      <c r="AS33" s="13" t="str">
        <f>IF(M33="","",IF(M33&lt;=$AS$1,"O","X"))</f>
        <v>X</v>
      </c>
      <c r="AT33" s="13" t="s">
        <v>32</v>
      </c>
      <c r="AU33" s="13" t="str">
        <f>IF(OR(F33="",AJ33=""),"",IF(AND((F33&lt;=85),(AJ33&gt;=15)),"O","X"))</f>
        <v>O</v>
      </c>
      <c r="AV33" s="13" t="str">
        <f>IF(C33="","",IF(C33&gt;=$AV$1,"O","X"))</f>
        <v>O</v>
      </c>
      <c r="AW33" s="13" t="str">
        <f>IF(AP33="","",IF(AND(AP33="O",AQ33="O",AS33="O",AU33="O",AV33="O"),"후보","X"))</f>
        <v>X</v>
      </c>
    </row>
    <row r="34" spans="1:49" x14ac:dyDescent="0.3">
      <c r="A34" s="5" t="s">
        <v>1756</v>
      </c>
      <c r="B34" s="14" t="s">
        <v>1649</v>
      </c>
      <c r="C34" s="25">
        <v>458</v>
      </c>
      <c r="D34" s="23">
        <v>110</v>
      </c>
      <c r="E34" s="21">
        <v>33</v>
      </c>
      <c r="F34" s="23">
        <v>85</v>
      </c>
      <c r="G34" s="24">
        <v>26</v>
      </c>
      <c r="H34" s="25">
        <v>296</v>
      </c>
      <c r="I34" s="29">
        <v>60000</v>
      </c>
      <c r="J34" s="29"/>
      <c r="K34" s="29">
        <v>43000</v>
      </c>
      <c r="L34" s="29"/>
      <c r="M34" s="6">
        <f>I34-K34</f>
        <v>17000</v>
      </c>
      <c r="N34" s="7">
        <f>IF(ISERROR(K34/I34),"",K34/I34)</f>
        <v>0.71666666666666667</v>
      </c>
      <c r="O34" s="12">
        <f>I34/E34</f>
        <v>1818.1818181818182</v>
      </c>
      <c r="P34" s="12">
        <f>K34/E34</f>
        <v>1303.030303030303</v>
      </c>
      <c r="Q34" s="13">
        <v>3</v>
      </c>
      <c r="R34" s="13">
        <v>2</v>
      </c>
      <c r="S34" s="13" t="s">
        <v>51</v>
      </c>
      <c r="T34" s="8">
        <v>109</v>
      </c>
      <c r="U34" s="5"/>
      <c r="V34" s="5" t="s">
        <v>1759</v>
      </c>
      <c r="X34" s="23">
        <f t="shared" si="20"/>
        <v>110</v>
      </c>
      <c r="Y34" s="21">
        <f t="shared" si="20"/>
        <v>33</v>
      </c>
      <c r="Z34" s="28">
        <f t="shared" si="21"/>
        <v>296</v>
      </c>
      <c r="AA34" s="6">
        <f t="shared" si="21"/>
        <v>60000</v>
      </c>
      <c r="AB34" s="6">
        <f>K34</f>
        <v>43000</v>
      </c>
      <c r="AC34" s="6">
        <f t="shared" si="22"/>
        <v>17000</v>
      </c>
      <c r="AD34" s="7">
        <f t="shared" si="22"/>
        <v>0.71666666666666667</v>
      </c>
      <c r="AE34" s="12">
        <f t="shared" si="22"/>
        <v>1818.1818181818182</v>
      </c>
      <c r="AF34" s="13" t="str">
        <f>S34</f>
        <v>계</v>
      </c>
      <c r="AG34" s="13" t="str">
        <f>Q34&amp;"/"&amp;R34</f>
        <v>3/2</v>
      </c>
      <c r="AI34" s="32" t="str">
        <f t="shared" si="1"/>
        <v>무궁화코오롱</v>
      </c>
      <c r="AJ34" s="21">
        <f t="shared" si="0"/>
        <v>33</v>
      </c>
      <c r="AK34" s="13" t="str">
        <f>IF(AJ34="","",$AK$2)</f>
        <v>A-</v>
      </c>
      <c r="AL34" s="13"/>
      <c r="AM34" s="13"/>
      <c r="AN34" s="13"/>
      <c r="AO34" s="13" t="str">
        <f>IF(AJ34="","",$AO$2)</f>
        <v>C</v>
      </c>
      <c r="AP34" s="13" t="str">
        <f>IF(N34="","",IF(N34&gt;=$AP$1/100,"O","X"))</f>
        <v>X</v>
      </c>
      <c r="AQ34" s="13" t="str">
        <f>IF(I34="","",IF(I34&lt;=$AQ$1,"O","X"))</f>
        <v>X</v>
      </c>
      <c r="AR34" s="13" t="str">
        <f>IF(O34="","",IF(O34&lt;=$AR$1,"O","X"))</f>
        <v>X</v>
      </c>
      <c r="AS34" s="13" t="str">
        <f>IF(M34="","",IF(M34&lt;=$AS$1,"O","X"))</f>
        <v>X</v>
      </c>
      <c r="AT34" s="13" t="s">
        <v>32</v>
      </c>
      <c r="AU34" s="13" t="str">
        <f>IF(OR(F34="",AJ34=""),"",IF(AND((F34&lt;=85),(AJ34&gt;=15)),"O","X"))</f>
        <v>O</v>
      </c>
      <c r="AV34" s="13" t="str">
        <f>IF(C34="","",IF(C34&gt;=$AV$1,"O","X"))</f>
        <v>O</v>
      </c>
      <c r="AW34" s="13" t="str">
        <f>IF(AP34="","",IF(AND(AP34="O",AQ34="O",AS34="O",AU34="O",AV34="O"),"후보","X"))</f>
        <v>X</v>
      </c>
    </row>
    <row r="35" spans="1:49" x14ac:dyDescent="0.3">
      <c r="A35" s="5"/>
      <c r="B35" s="13"/>
      <c r="C35" s="9"/>
      <c r="D35" s="5"/>
      <c r="E35" s="18"/>
      <c r="F35" s="23"/>
      <c r="G35" s="5"/>
      <c r="H35" s="5"/>
      <c r="I35" s="5"/>
      <c r="J35" s="5"/>
      <c r="K35" s="5"/>
      <c r="L35" s="5"/>
      <c r="M35" s="5"/>
      <c r="N35" s="5"/>
      <c r="O35" s="12"/>
      <c r="P35" s="12"/>
      <c r="Q35" s="21"/>
      <c r="R35" s="21"/>
      <c r="S35" s="5"/>
      <c r="T35" s="59"/>
      <c r="U35" s="5"/>
      <c r="V35" s="5"/>
      <c r="X35" s="90" t="str">
        <f>$A$4&amp;" "&amp;A36&amp;"("&amp;B36&amp;","&amp;C36&amp;"^)"</f>
        <v>호계동 호계아크로리버(주상복합)('07.03,210^)</v>
      </c>
      <c r="Y35" s="91"/>
      <c r="Z35" s="91"/>
      <c r="AA35" s="91"/>
      <c r="AB35" s="91"/>
      <c r="AC35" s="91"/>
      <c r="AD35" s="91"/>
      <c r="AE35" s="91"/>
      <c r="AF35" s="91"/>
      <c r="AG35" s="92"/>
      <c r="AI35" s="32" t="str">
        <f t="shared" si="1"/>
        <v/>
      </c>
      <c r="AJ35" s="33" t="str">
        <f t="shared" si="0"/>
        <v/>
      </c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x14ac:dyDescent="0.3">
      <c r="A36" s="5" t="s">
        <v>1760</v>
      </c>
      <c r="B36" s="14" t="s">
        <v>1761</v>
      </c>
      <c r="C36" s="25">
        <v>210</v>
      </c>
      <c r="D36" s="23">
        <v>115.3</v>
      </c>
      <c r="E36" s="21">
        <v>35</v>
      </c>
      <c r="F36" s="23">
        <v>84.9</v>
      </c>
      <c r="G36" s="24">
        <v>26</v>
      </c>
      <c r="H36" s="25">
        <v>91</v>
      </c>
      <c r="I36" s="29">
        <v>45000</v>
      </c>
      <c r="J36" s="29"/>
      <c r="K36" s="29">
        <v>35000</v>
      </c>
      <c r="L36" s="29"/>
      <c r="M36" s="6">
        <f>I36-K36</f>
        <v>10000</v>
      </c>
      <c r="N36" s="7">
        <f>IF(ISERROR(K36/I36),"",K36/I36)</f>
        <v>0.77777777777777779</v>
      </c>
      <c r="O36" s="12">
        <f>I36/E36</f>
        <v>1285.7142857142858</v>
      </c>
      <c r="P36" s="12">
        <f>K36/E36</f>
        <v>1000</v>
      </c>
      <c r="Q36" s="13">
        <v>3</v>
      </c>
      <c r="R36" s="13">
        <v>2</v>
      </c>
      <c r="S36" s="13" t="s">
        <v>51</v>
      </c>
      <c r="T36" s="8">
        <v>115</v>
      </c>
      <c r="U36" s="5"/>
      <c r="V36" s="5" t="s">
        <v>1762</v>
      </c>
      <c r="X36" s="23">
        <f t="shared" ref="X36:Y39" si="23">D36</f>
        <v>115.3</v>
      </c>
      <c r="Y36" s="21">
        <f t="shared" si="23"/>
        <v>35</v>
      </c>
      <c r="Z36" s="28">
        <f t="shared" ref="Z36:AA39" si="24">H36</f>
        <v>91</v>
      </c>
      <c r="AA36" s="6">
        <f t="shared" si="24"/>
        <v>45000</v>
      </c>
      <c r="AB36" s="6">
        <f>K36</f>
        <v>35000</v>
      </c>
      <c r="AC36" s="6">
        <f t="shared" ref="AC36:AE39" si="25">M36</f>
        <v>10000</v>
      </c>
      <c r="AD36" s="7">
        <f t="shared" si="25"/>
        <v>0.77777777777777779</v>
      </c>
      <c r="AE36" s="12">
        <f t="shared" si="25"/>
        <v>1285.7142857142858</v>
      </c>
      <c r="AF36" s="13" t="str">
        <f>S36</f>
        <v>계</v>
      </c>
      <c r="AG36" s="13" t="str">
        <f>Q36&amp;"/"&amp;R36</f>
        <v>3/2</v>
      </c>
      <c r="AI36" s="32" t="str">
        <f t="shared" si="1"/>
        <v>호계아크로리버(주상복합)</v>
      </c>
      <c r="AJ36" s="21">
        <f t="shared" si="0"/>
        <v>35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>X</v>
      </c>
      <c r="AQ36" s="13" t="str">
        <f>IF(I36="","",IF(I36&lt;=$AQ$1,"O","X"))</f>
        <v>O</v>
      </c>
      <c r="AR36" s="13" t="str">
        <f>IF(O36="","",IF(O36&lt;=$AR$1,"O","X"))</f>
        <v>X</v>
      </c>
      <c r="AS36" s="13" t="str">
        <f>IF(M36="","",IF(M36&lt;=$AS$1,"O","X"))</f>
        <v>X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X</v>
      </c>
      <c r="AW36" s="13" t="str">
        <f>IF(AP36="","",IF(AND(AP36="O",AQ36="O",AS36="O",AU36="O",AV36="O"),"후보","X"))</f>
        <v>X</v>
      </c>
    </row>
    <row r="37" spans="1:49" x14ac:dyDescent="0.3">
      <c r="A37" s="5" t="s">
        <v>1760</v>
      </c>
      <c r="B37" s="14" t="s">
        <v>1761</v>
      </c>
      <c r="C37" s="25">
        <v>210</v>
      </c>
      <c r="D37" s="23">
        <v>140.69999999999999</v>
      </c>
      <c r="E37" s="21">
        <v>43</v>
      </c>
      <c r="F37" s="23">
        <v>104.3</v>
      </c>
      <c r="G37" s="24">
        <v>32</v>
      </c>
      <c r="H37" s="25">
        <v>18</v>
      </c>
      <c r="I37" s="29">
        <v>46000</v>
      </c>
      <c r="J37" s="29"/>
      <c r="K37" s="29">
        <v>36000</v>
      </c>
      <c r="L37" s="29"/>
      <c r="M37" s="6">
        <f>I37-K37</f>
        <v>10000</v>
      </c>
      <c r="N37" s="7">
        <f>IF(ISERROR(K37/I37),"",K37/I37)</f>
        <v>0.78260869565217395</v>
      </c>
      <c r="O37" s="12">
        <f>I37/E37</f>
        <v>1069.7674418604652</v>
      </c>
      <c r="P37" s="12">
        <f>K37/E37</f>
        <v>837.20930232558135</v>
      </c>
      <c r="Q37" s="13">
        <v>3</v>
      </c>
      <c r="R37" s="13">
        <v>2</v>
      </c>
      <c r="S37" s="13" t="s">
        <v>51</v>
      </c>
      <c r="T37" s="8">
        <v>140</v>
      </c>
      <c r="U37" s="5"/>
      <c r="V37" s="5" t="s">
        <v>1763</v>
      </c>
      <c r="X37" s="23">
        <f t="shared" si="23"/>
        <v>140.69999999999999</v>
      </c>
      <c r="Y37" s="21">
        <f t="shared" si="23"/>
        <v>43</v>
      </c>
      <c r="Z37" s="28">
        <f t="shared" si="24"/>
        <v>18</v>
      </c>
      <c r="AA37" s="6">
        <f t="shared" si="24"/>
        <v>46000</v>
      </c>
      <c r="AB37" s="6">
        <f>K37</f>
        <v>36000</v>
      </c>
      <c r="AC37" s="6">
        <f t="shared" si="25"/>
        <v>10000</v>
      </c>
      <c r="AD37" s="7">
        <f t="shared" si="25"/>
        <v>0.78260869565217395</v>
      </c>
      <c r="AE37" s="12">
        <f t="shared" si="25"/>
        <v>1069.7674418604652</v>
      </c>
      <c r="AF37" s="13" t="str">
        <f>S37</f>
        <v>계</v>
      </c>
      <c r="AG37" s="13" t="str">
        <f>Q37&amp;"/"&amp;R37</f>
        <v>3/2</v>
      </c>
      <c r="AI37" s="32" t="str">
        <f t="shared" si="1"/>
        <v>호계아크로리버(주상복합)</v>
      </c>
      <c r="AJ37" s="21">
        <f t="shared" si="0"/>
        <v>43</v>
      </c>
      <c r="AK37" s="13" t="str">
        <f>IF(AJ37="","",$AK$2)</f>
        <v>A-</v>
      </c>
      <c r="AL37" s="13"/>
      <c r="AM37" s="13"/>
      <c r="AN37" s="13"/>
      <c r="AO37" s="13" t="str">
        <f>IF(AJ37="","",$AO$2)</f>
        <v>C</v>
      </c>
      <c r="AP37" s="13" t="str">
        <f>IF(N37="","",IF(N37&gt;=$AP$1/100,"O","X"))</f>
        <v>X</v>
      </c>
      <c r="AQ37" s="13" t="str">
        <f>IF(I37="","",IF(I37&lt;=$AQ$1,"O","X"))</f>
        <v>X</v>
      </c>
      <c r="AR37" s="13" t="str">
        <f>IF(O37="","",IF(O37&lt;=$AR$1,"O","X"))</f>
        <v>X</v>
      </c>
      <c r="AS37" s="13" t="str">
        <f>IF(M37="","",IF(M37&lt;=$AS$1,"O","X"))</f>
        <v>X</v>
      </c>
      <c r="AT37" s="13" t="s">
        <v>32</v>
      </c>
      <c r="AU37" s="13" t="str">
        <f>IF(OR(F37="",AJ37=""),"",IF(AND((F37&lt;=85),(AJ37&gt;=15)),"O","X"))</f>
        <v>X</v>
      </c>
      <c r="AV37" s="13" t="str">
        <f>IF(C37="","",IF(C37&gt;=$AV$1,"O","X"))</f>
        <v>X</v>
      </c>
      <c r="AW37" s="13" t="str">
        <f>IF(AP37="","",IF(AND(AP37="O",AQ37="O",AS37="O",AU37="O",AV37="O"),"후보","X"))</f>
        <v>X</v>
      </c>
    </row>
    <row r="38" spans="1:49" x14ac:dyDescent="0.3">
      <c r="A38" s="5" t="s">
        <v>1760</v>
      </c>
      <c r="B38" s="14" t="s">
        <v>1761</v>
      </c>
      <c r="C38" s="25">
        <v>210</v>
      </c>
      <c r="D38" s="23">
        <v>163.80000000000001</v>
      </c>
      <c r="E38" s="21">
        <v>50</v>
      </c>
      <c r="F38" s="23">
        <v>122.4</v>
      </c>
      <c r="G38" s="24">
        <v>37</v>
      </c>
      <c r="H38" s="25">
        <v>82</v>
      </c>
      <c r="I38" s="29">
        <v>52000</v>
      </c>
      <c r="J38" s="29"/>
      <c r="K38" s="29">
        <v>43500</v>
      </c>
      <c r="L38" s="29"/>
      <c r="M38" s="6">
        <f>I38-K38</f>
        <v>8500</v>
      </c>
      <c r="N38" s="7">
        <f>IF(ISERROR(K38/I38),"",K38/I38)</f>
        <v>0.83653846153846156</v>
      </c>
      <c r="O38" s="12">
        <f>I38/E38</f>
        <v>1040</v>
      </c>
      <c r="P38" s="12">
        <f>K38/E38</f>
        <v>870</v>
      </c>
      <c r="Q38" s="13">
        <v>4</v>
      </c>
      <c r="R38" s="13">
        <v>2</v>
      </c>
      <c r="S38" s="13" t="s">
        <v>51</v>
      </c>
      <c r="T38" s="8">
        <v>163</v>
      </c>
      <c r="U38" s="5"/>
      <c r="V38" s="5" t="s">
        <v>1764</v>
      </c>
      <c r="X38" s="23">
        <f t="shared" si="23"/>
        <v>163.80000000000001</v>
      </c>
      <c r="Y38" s="21">
        <f t="shared" si="23"/>
        <v>50</v>
      </c>
      <c r="Z38" s="28">
        <f t="shared" si="24"/>
        <v>82</v>
      </c>
      <c r="AA38" s="6">
        <f t="shared" si="24"/>
        <v>52000</v>
      </c>
      <c r="AB38" s="6">
        <f>K38</f>
        <v>43500</v>
      </c>
      <c r="AC38" s="6">
        <f t="shared" si="25"/>
        <v>8500</v>
      </c>
      <c r="AD38" s="7">
        <f t="shared" si="25"/>
        <v>0.83653846153846156</v>
      </c>
      <c r="AE38" s="12">
        <f t="shared" si="25"/>
        <v>1040</v>
      </c>
      <c r="AF38" s="13" t="str">
        <f>S38</f>
        <v>계</v>
      </c>
      <c r="AG38" s="13" t="str">
        <f>Q38&amp;"/"&amp;R38</f>
        <v>4/2</v>
      </c>
      <c r="AI38" s="32" t="str">
        <f t="shared" si="1"/>
        <v>호계아크로리버(주상복합)</v>
      </c>
      <c r="AJ38" s="21">
        <f t="shared" si="0"/>
        <v>50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>O</v>
      </c>
      <c r="AQ38" s="13" t="str">
        <f>IF(I38="","",IF(I38&lt;=$AQ$1,"O","X"))</f>
        <v>X</v>
      </c>
      <c r="AR38" s="13" t="str">
        <f>IF(O38="","",IF(O38&lt;=$AR$1,"O","X"))</f>
        <v>X</v>
      </c>
      <c r="AS38" s="13" t="str">
        <f>IF(M38="","",IF(M38&lt;=$AS$1,"O","X"))</f>
        <v>X</v>
      </c>
      <c r="AT38" s="13" t="s">
        <v>32</v>
      </c>
      <c r="AU38" s="13" t="str">
        <f>IF(OR(F38="",AJ38=""),"",IF(AND((F38&lt;=85),(AJ38&gt;=15)),"O","X"))</f>
        <v>X</v>
      </c>
      <c r="AV38" s="13" t="str">
        <f>IF(C38="","",IF(C38&gt;=$AV$1,"O","X"))</f>
        <v>X</v>
      </c>
      <c r="AW38" s="13" t="str">
        <f>IF(AP38="","",IF(AND(AP38="O",AQ38="O",AS38="O",AU38="O",AV38="O"),"후보","X"))</f>
        <v>X</v>
      </c>
    </row>
    <row r="39" spans="1:49" x14ac:dyDescent="0.3">
      <c r="A39" s="5" t="s">
        <v>1760</v>
      </c>
      <c r="B39" s="14" t="s">
        <v>1761</v>
      </c>
      <c r="C39" s="25">
        <v>210</v>
      </c>
      <c r="D39" s="23">
        <v>181.2</v>
      </c>
      <c r="E39" s="21">
        <v>55</v>
      </c>
      <c r="F39" s="23">
        <v>134.4</v>
      </c>
      <c r="G39" s="24">
        <v>41</v>
      </c>
      <c r="H39" s="25">
        <v>19</v>
      </c>
      <c r="I39" s="29">
        <v>54000</v>
      </c>
      <c r="J39" s="29"/>
      <c r="K39" s="29">
        <v>41500</v>
      </c>
      <c r="L39" s="29"/>
      <c r="M39" s="6">
        <f>I39-K39</f>
        <v>12500</v>
      </c>
      <c r="N39" s="7">
        <f>IF(ISERROR(K39/I39),"",K39/I39)</f>
        <v>0.76851851851851849</v>
      </c>
      <c r="O39" s="12">
        <f>I39/E39</f>
        <v>981.81818181818187</v>
      </c>
      <c r="P39" s="12">
        <f>K39/E39</f>
        <v>754.5454545454545</v>
      </c>
      <c r="Q39" s="13">
        <v>4</v>
      </c>
      <c r="R39" s="13">
        <v>2</v>
      </c>
      <c r="S39" s="13" t="s">
        <v>51</v>
      </c>
      <c r="T39" s="8">
        <v>181</v>
      </c>
      <c r="U39" s="5"/>
      <c r="V39" s="5" t="s">
        <v>1765</v>
      </c>
      <c r="X39" s="23">
        <f t="shared" si="23"/>
        <v>181.2</v>
      </c>
      <c r="Y39" s="21">
        <f t="shared" si="23"/>
        <v>55</v>
      </c>
      <c r="Z39" s="28">
        <f t="shared" si="24"/>
        <v>19</v>
      </c>
      <c r="AA39" s="6">
        <f t="shared" si="24"/>
        <v>54000</v>
      </c>
      <c r="AB39" s="6">
        <f>K39</f>
        <v>41500</v>
      </c>
      <c r="AC39" s="6">
        <f t="shared" si="25"/>
        <v>12500</v>
      </c>
      <c r="AD39" s="7">
        <f t="shared" si="25"/>
        <v>0.76851851851851849</v>
      </c>
      <c r="AE39" s="12">
        <f t="shared" si="25"/>
        <v>981.81818181818187</v>
      </c>
      <c r="AF39" s="13" t="str">
        <f>S39</f>
        <v>계</v>
      </c>
      <c r="AG39" s="13" t="str">
        <f>Q39&amp;"/"&amp;R39</f>
        <v>4/2</v>
      </c>
      <c r="AI39" s="32" t="str">
        <f t="shared" si="1"/>
        <v>호계아크로리버(주상복합)</v>
      </c>
      <c r="AJ39" s="21">
        <f t="shared" si="0"/>
        <v>55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>X</v>
      </c>
      <c r="AQ39" s="13" t="str">
        <f>IF(I39="","",IF(I39&lt;=$AQ$1,"O","X"))</f>
        <v>X</v>
      </c>
      <c r="AR39" s="13" t="str">
        <f>IF(O39="","",IF(O39&lt;=$AR$1,"O","X"))</f>
        <v>O</v>
      </c>
      <c r="AS39" s="13" t="str">
        <f>IF(M39="","",IF(M39&lt;=$AS$1,"O","X"))</f>
        <v>X</v>
      </c>
      <c r="AT39" s="13" t="s">
        <v>32</v>
      </c>
      <c r="AU39" s="13" t="str">
        <f>IF(OR(F39="",AJ39=""),"",IF(AND((F39&lt;=85),(AJ39&gt;=15)),"O","X"))</f>
        <v>X</v>
      </c>
      <c r="AV39" s="13" t="str">
        <f>IF(C39="","",IF(C39&gt;=$AV$1,"O","X"))</f>
        <v>X</v>
      </c>
      <c r="AW39" s="13" t="str">
        <f>IF(AP39="","",IF(AND(AP39="O",AQ39="O",AS39="O",AU39="O",AV39="O"),"후보","X"))</f>
        <v>X</v>
      </c>
    </row>
    <row r="40" spans="1:49" x14ac:dyDescent="0.3">
      <c r="A40" s="5"/>
      <c r="B40" s="13"/>
      <c r="C40" s="9"/>
      <c r="D40" s="5"/>
      <c r="E40" s="18"/>
      <c r="F40" s="23"/>
      <c r="G40" s="5"/>
      <c r="H40" s="5"/>
      <c r="I40" s="5"/>
      <c r="J40" s="5"/>
      <c r="K40" s="5"/>
      <c r="L40" s="5"/>
      <c r="M40" s="5"/>
      <c r="N40" s="5"/>
      <c r="O40" s="12"/>
      <c r="P40" s="12"/>
      <c r="Q40" s="21"/>
      <c r="R40" s="21"/>
      <c r="S40" s="5"/>
      <c r="T40" s="59"/>
      <c r="U40" s="5"/>
      <c r="V40" s="5"/>
      <c r="X40" s="90" t="str">
        <f>$A$4&amp;" "&amp;A41&amp;"("&amp;B41&amp;","&amp;C41&amp;"^)"</f>
        <v>호계동 평촌어바인퍼스트('21.01,3850^)</v>
      </c>
      <c r="Y40" s="91"/>
      <c r="Z40" s="91"/>
      <c r="AA40" s="91"/>
      <c r="AB40" s="91"/>
      <c r="AC40" s="91"/>
      <c r="AD40" s="91"/>
      <c r="AE40" s="91"/>
      <c r="AF40" s="91"/>
      <c r="AG40" s="92"/>
      <c r="AI40" s="32" t="str">
        <f t="shared" si="1"/>
        <v/>
      </c>
      <c r="AJ40" s="33" t="str">
        <f t="shared" si="0"/>
        <v/>
      </c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x14ac:dyDescent="0.3">
      <c r="A41" s="5" t="s">
        <v>1766</v>
      </c>
      <c r="B41" s="14" t="s">
        <v>1767</v>
      </c>
      <c r="C41" s="25">
        <v>3850</v>
      </c>
      <c r="D41" s="23">
        <v>57.6</v>
      </c>
      <c r="E41" s="21">
        <v>17</v>
      </c>
      <c r="F41" s="23">
        <v>39.299999999999997</v>
      </c>
      <c r="G41" s="24">
        <v>12</v>
      </c>
      <c r="H41" s="25">
        <v>463</v>
      </c>
      <c r="I41" s="29">
        <v>36500</v>
      </c>
      <c r="J41" s="29"/>
      <c r="K41" s="29">
        <v>26500</v>
      </c>
      <c r="L41" s="29"/>
      <c r="M41" s="6">
        <f t="shared" ref="M41:M49" si="26">I41-K41</f>
        <v>10000</v>
      </c>
      <c r="N41" s="7">
        <f t="shared" ref="N41:N49" si="27">IF(ISERROR(K41/I41),"",K41/I41)</f>
        <v>0.72602739726027399</v>
      </c>
      <c r="O41" s="12">
        <f t="shared" ref="O41:O49" si="28">I41/E41</f>
        <v>2147.0588235294117</v>
      </c>
      <c r="P41" s="12">
        <f t="shared" ref="P41:P49" si="29">K41/E41</f>
        <v>1558.8235294117646</v>
      </c>
      <c r="Q41" s="13">
        <v>2</v>
      </c>
      <c r="R41" s="13">
        <v>1</v>
      </c>
      <c r="S41" s="13" t="s">
        <v>51</v>
      </c>
      <c r="T41" s="8">
        <v>57</v>
      </c>
      <c r="U41" s="5"/>
      <c r="V41" s="5" t="s">
        <v>1768</v>
      </c>
      <c r="X41" s="23">
        <f t="shared" ref="X41:X49" si="30">D41</f>
        <v>57.6</v>
      </c>
      <c r="Y41" s="21">
        <f t="shared" ref="Y41:Y49" si="31">E41</f>
        <v>17</v>
      </c>
      <c r="Z41" s="28">
        <f t="shared" ref="Z41:Z49" si="32">H41</f>
        <v>463</v>
      </c>
      <c r="AA41" s="6">
        <f t="shared" ref="AA41:AA49" si="33">I41</f>
        <v>36500</v>
      </c>
      <c r="AB41" s="6">
        <f t="shared" ref="AB41:AB49" si="34">K41</f>
        <v>26500</v>
      </c>
      <c r="AC41" s="6">
        <f t="shared" ref="AC41:AC49" si="35">M41</f>
        <v>10000</v>
      </c>
      <c r="AD41" s="7">
        <f t="shared" ref="AD41:AD49" si="36">N41</f>
        <v>0.72602739726027399</v>
      </c>
      <c r="AE41" s="12">
        <f t="shared" ref="AE41:AE49" si="37">O41</f>
        <v>2147.0588235294117</v>
      </c>
      <c r="AF41" s="13" t="str">
        <f t="shared" ref="AF41:AF49" si="38">S41</f>
        <v>계</v>
      </c>
      <c r="AG41" s="13" t="str">
        <f t="shared" ref="AG41:AG49" si="39">Q41&amp;"/"&amp;R41</f>
        <v>2/1</v>
      </c>
      <c r="AI41" s="32" t="str">
        <f t="shared" si="1"/>
        <v>평촌어바인퍼스트</v>
      </c>
      <c r="AJ41" s="21">
        <f t="shared" si="0"/>
        <v>17</v>
      </c>
      <c r="AK41" s="13" t="str">
        <f t="shared" ref="AK41:AK49" si="40">IF(AJ41="","",$AK$2)</f>
        <v>A-</v>
      </c>
      <c r="AL41" s="13"/>
      <c r="AM41" s="13"/>
      <c r="AN41" s="13"/>
      <c r="AO41" s="13" t="str">
        <f t="shared" ref="AO41:AO49" si="41">IF(AJ41="","",$AO$2)</f>
        <v>C</v>
      </c>
      <c r="AP41" s="13" t="str">
        <f t="shared" ref="AP41:AP49" si="42">IF(N41="","",IF(N41&gt;=$AP$1/100,"O","X"))</f>
        <v>X</v>
      </c>
      <c r="AQ41" s="13" t="str">
        <f t="shared" ref="AQ41:AQ49" si="43">IF(I41="","",IF(I41&lt;=$AQ$1,"O","X"))</f>
        <v>O</v>
      </c>
      <c r="AR41" s="13" t="str">
        <f t="shared" ref="AR41:AR49" si="44">IF(O41="","",IF(O41&lt;=$AR$1,"O","X"))</f>
        <v>X</v>
      </c>
      <c r="AS41" s="13" t="str">
        <f t="shared" ref="AS41:AS49" si="45">IF(M41="","",IF(M41&lt;=$AS$1,"O","X"))</f>
        <v>X</v>
      </c>
      <c r="AT41" s="13" t="s">
        <v>32</v>
      </c>
      <c r="AU41" s="13" t="str">
        <f t="shared" ref="AU41:AU49" si="46">IF(OR(F41="",AJ41=""),"",IF(AND((F41&lt;=85),(AJ41&gt;=15)),"O","X"))</f>
        <v>O</v>
      </c>
      <c r="AV41" s="13" t="str">
        <f t="shared" ref="AV41:AV49" si="47">IF(C41="","",IF(C41&gt;=$AV$1,"O","X"))</f>
        <v>O</v>
      </c>
      <c r="AW41" s="13" t="str">
        <f t="shared" ref="AW41:AW49" si="48">IF(AP41="","",IF(AND(AP41="O",AQ41="O",AS41="O",AU41="O",AV41="O"),"후보","X"))</f>
        <v>X</v>
      </c>
    </row>
    <row r="42" spans="1:49" x14ac:dyDescent="0.3">
      <c r="A42" s="5" t="s">
        <v>1766</v>
      </c>
      <c r="B42" s="14" t="s">
        <v>1767</v>
      </c>
      <c r="C42" s="25">
        <v>3850</v>
      </c>
      <c r="D42" s="23">
        <v>67.7</v>
      </c>
      <c r="E42" s="21">
        <v>20</v>
      </c>
      <c r="F42" s="23">
        <v>46.9</v>
      </c>
      <c r="G42" s="24">
        <v>14</v>
      </c>
      <c r="H42" s="25">
        <v>80</v>
      </c>
      <c r="I42" s="29">
        <v>49500</v>
      </c>
      <c r="J42" s="29"/>
      <c r="K42" s="29">
        <v>34500</v>
      </c>
      <c r="L42" s="29"/>
      <c r="M42" s="6">
        <f t="shared" si="26"/>
        <v>15000</v>
      </c>
      <c r="N42" s="7">
        <f t="shared" si="27"/>
        <v>0.69696969696969702</v>
      </c>
      <c r="O42" s="12">
        <f t="shared" si="28"/>
        <v>2475</v>
      </c>
      <c r="P42" s="12">
        <f t="shared" si="29"/>
        <v>1725</v>
      </c>
      <c r="Q42" s="13">
        <v>2</v>
      </c>
      <c r="R42" s="13">
        <v>1</v>
      </c>
      <c r="S42" s="13" t="s">
        <v>51</v>
      </c>
      <c r="T42" s="8" t="s">
        <v>955</v>
      </c>
      <c r="U42" s="5"/>
      <c r="V42" s="5" t="s">
        <v>1769</v>
      </c>
      <c r="X42" s="23">
        <f t="shared" si="30"/>
        <v>67.7</v>
      </c>
      <c r="Y42" s="21">
        <f t="shared" si="31"/>
        <v>20</v>
      </c>
      <c r="Z42" s="28">
        <f t="shared" si="32"/>
        <v>80</v>
      </c>
      <c r="AA42" s="6">
        <f t="shared" si="33"/>
        <v>49500</v>
      </c>
      <c r="AB42" s="6">
        <f t="shared" si="34"/>
        <v>34500</v>
      </c>
      <c r="AC42" s="6">
        <f t="shared" si="35"/>
        <v>15000</v>
      </c>
      <c r="AD42" s="7">
        <f t="shared" si="36"/>
        <v>0.69696969696969702</v>
      </c>
      <c r="AE42" s="12">
        <f t="shared" si="37"/>
        <v>2475</v>
      </c>
      <c r="AF42" s="13" t="str">
        <f t="shared" si="38"/>
        <v>계</v>
      </c>
      <c r="AG42" s="13" t="str">
        <f t="shared" si="39"/>
        <v>2/1</v>
      </c>
      <c r="AI42" s="32" t="str">
        <f t="shared" si="1"/>
        <v>평촌어바인퍼스트</v>
      </c>
      <c r="AJ42" s="21">
        <f t="shared" si="0"/>
        <v>20</v>
      </c>
      <c r="AK42" s="13" t="str">
        <f t="shared" si="40"/>
        <v>A-</v>
      </c>
      <c r="AL42" s="13"/>
      <c r="AM42" s="13"/>
      <c r="AN42" s="13"/>
      <c r="AO42" s="13" t="str">
        <f t="shared" si="41"/>
        <v>C</v>
      </c>
      <c r="AP42" s="13" t="str">
        <f t="shared" si="42"/>
        <v>X</v>
      </c>
      <c r="AQ42" s="13" t="str">
        <f t="shared" si="43"/>
        <v>X</v>
      </c>
      <c r="AR42" s="13" t="str">
        <f t="shared" si="44"/>
        <v>X</v>
      </c>
      <c r="AS42" s="13" t="str">
        <f t="shared" si="45"/>
        <v>X</v>
      </c>
      <c r="AT42" s="13" t="s">
        <v>32</v>
      </c>
      <c r="AU42" s="13" t="str">
        <f t="shared" si="46"/>
        <v>O</v>
      </c>
      <c r="AV42" s="13" t="str">
        <f t="shared" si="47"/>
        <v>O</v>
      </c>
      <c r="AW42" s="13" t="str">
        <f t="shared" si="48"/>
        <v>X</v>
      </c>
    </row>
    <row r="43" spans="1:49" x14ac:dyDescent="0.3">
      <c r="A43" s="5" t="s">
        <v>1766</v>
      </c>
      <c r="B43" s="14" t="s">
        <v>1767</v>
      </c>
      <c r="C43" s="25">
        <v>3850</v>
      </c>
      <c r="D43" s="23">
        <v>68</v>
      </c>
      <c r="E43" s="21">
        <v>21</v>
      </c>
      <c r="F43" s="23">
        <v>46.9</v>
      </c>
      <c r="G43" s="24">
        <v>14</v>
      </c>
      <c r="H43" s="25">
        <v>38</v>
      </c>
      <c r="I43" s="29">
        <v>49500</v>
      </c>
      <c r="J43" s="29"/>
      <c r="K43" s="29">
        <v>34500</v>
      </c>
      <c r="L43" s="29"/>
      <c r="M43" s="6">
        <f t="shared" si="26"/>
        <v>15000</v>
      </c>
      <c r="N43" s="7">
        <f t="shared" si="27"/>
        <v>0.69696969696969702</v>
      </c>
      <c r="O43" s="12">
        <f t="shared" si="28"/>
        <v>2357.1428571428573</v>
      </c>
      <c r="P43" s="12">
        <f t="shared" si="29"/>
        <v>1642.8571428571429</v>
      </c>
      <c r="Q43" s="13">
        <v>2</v>
      </c>
      <c r="R43" s="13">
        <v>1</v>
      </c>
      <c r="S43" s="13" t="s">
        <v>51</v>
      </c>
      <c r="T43" s="8" t="s">
        <v>956</v>
      </c>
      <c r="U43" s="5"/>
      <c r="V43" s="5" t="s">
        <v>1769</v>
      </c>
      <c r="X43" s="23">
        <f t="shared" si="30"/>
        <v>68</v>
      </c>
      <c r="Y43" s="21">
        <f t="shared" si="31"/>
        <v>21</v>
      </c>
      <c r="Z43" s="28">
        <f t="shared" si="32"/>
        <v>38</v>
      </c>
      <c r="AA43" s="6">
        <f t="shared" si="33"/>
        <v>49500</v>
      </c>
      <c r="AB43" s="6">
        <f t="shared" si="34"/>
        <v>34500</v>
      </c>
      <c r="AC43" s="6">
        <f t="shared" si="35"/>
        <v>15000</v>
      </c>
      <c r="AD43" s="7">
        <f t="shared" si="36"/>
        <v>0.69696969696969702</v>
      </c>
      <c r="AE43" s="12">
        <f t="shared" si="37"/>
        <v>2357.1428571428573</v>
      </c>
      <c r="AF43" s="13" t="str">
        <f t="shared" si="38"/>
        <v>계</v>
      </c>
      <c r="AG43" s="13" t="str">
        <f t="shared" si="39"/>
        <v>2/1</v>
      </c>
      <c r="AI43" s="32" t="str">
        <f t="shared" si="1"/>
        <v>평촌어바인퍼스트</v>
      </c>
      <c r="AJ43" s="21">
        <f t="shared" si="0"/>
        <v>21</v>
      </c>
      <c r="AK43" s="13" t="str">
        <f t="shared" si="40"/>
        <v>A-</v>
      </c>
      <c r="AL43" s="13"/>
      <c r="AM43" s="13"/>
      <c r="AN43" s="13"/>
      <c r="AO43" s="13" t="str">
        <f t="shared" si="41"/>
        <v>C</v>
      </c>
      <c r="AP43" s="13" t="str">
        <f t="shared" si="42"/>
        <v>X</v>
      </c>
      <c r="AQ43" s="13" t="str">
        <f t="shared" si="43"/>
        <v>X</v>
      </c>
      <c r="AR43" s="13" t="str">
        <f t="shared" si="44"/>
        <v>X</v>
      </c>
      <c r="AS43" s="13" t="str">
        <f t="shared" si="45"/>
        <v>X</v>
      </c>
      <c r="AT43" s="13" t="s">
        <v>32</v>
      </c>
      <c r="AU43" s="13" t="str">
        <f t="shared" si="46"/>
        <v>O</v>
      </c>
      <c r="AV43" s="13" t="str">
        <f t="shared" si="47"/>
        <v>O</v>
      </c>
      <c r="AW43" s="13" t="str">
        <f t="shared" si="48"/>
        <v>X</v>
      </c>
    </row>
    <row r="44" spans="1:49" x14ac:dyDescent="0.3">
      <c r="A44" s="5" t="s">
        <v>1766</v>
      </c>
      <c r="B44" s="14" t="s">
        <v>1767</v>
      </c>
      <c r="C44" s="25">
        <v>3850</v>
      </c>
      <c r="D44" s="23">
        <v>68.400000000000006</v>
      </c>
      <c r="E44" s="21">
        <v>21</v>
      </c>
      <c r="F44" s="23">
        <v>46.9</v>
      </c>
      <c r="G44" s="24">
        <v>14</v>
      </c>
      <c r="H44" s="25">
        <v>40</v>
      </c>
      <c r="I44" s="29">
        <v>49500</v>
      </c>
      <c r="J44" s="29"/>
      <c r="K44" s="29">
        <v>34500</v>
      </c>
      <c r="L44" s="29"/>
      <c r="M44" s="6">
        <f t="shared" si="26"/>
        <v>15000</v>
      </c>
      <c r="N44" s="7">
        <f t="shared" si="27"/>
        <v>0.69696969696969702</v>
      </c>
      <c r="O44" s="12">
        <f t="shared" si="28"/>
        <v>2357.1428571428573</v>
      </c>
      <c r="P44" s="12">
        <f t="shared" si="29"/>
        <v>1642.8571428571429</v>
      </c>
      <c r="Q44" s="13">
        <v>2</v>
      </c>
      <c r="R44" s="13">
        <v>1</v>
      </c>
      <c r="S44" s="13" t="s">
        <v>51</v>
      </c>
      <c r="T44" s="8" t="s">
        <v>249</v>
      </c>
      <c r="U44" s="5"/>
      <c r="V44" s="5" t="s">
        <v>1769</v>
      </c>
      <c r="X44" s="23">
        <f t="shared" si="30"/>
        <v>68.400000000000006</v>
      </c>
      <c r="Y44" s="21">
        <f t="shared" si="31"/>
        <v>21</v>
      </c>
      <c r="Z44" s="28">
        <f t="shared" si="32"/>
        <v>40</v>
      </c>
      <c r="AA44" s="6">
        <f t="shared" si="33"/>
        <v>49500</v>
      </c>
      <c r="AB44" s="6">
        <f t="shared" si="34"/>
        <v>34500</v>
      </c>
      <c r="AC44" s="6">
        <f t="shared" si="35"/>
        <v>15000</v>
      </c>
      <c r="AD44" s="7">
        <f t="shared" si="36"/>
        <v>0.69696969696969702</v>
      </c>
      <c r="AE44" s="12">
        <f t="shared" si="37"/>
        <v>2357.1428571428573</v>
      </c>
      <c r="AF44" s="13" t="str">
        <f t="shared" si="38"/>
        <v>계</v>
      </c>
      <c r="AG44" s="13" t="str">
        <f t="shared" si="39"/>
        <v>2/1</v>
      </c>
      <c r="AI44" s="32" t="str">
        <f t="shared" si="1"/>
        <v>평촌어바인퍼스트</v>
      </c>
      <c r="AJ44" s="21">
        <f t="shared" si="0"/>
        <v>21</v>
      </c>
      <c r="AK44" s="13" t="str">
        <f t="shared" si="40"/>
        <v>A-</v>
      </c>
      <c r="AL44" s="13"/>
      <c r="AM44" s="13"/>
      <c r="AN44" s="13"/>
      <c r="AO44" s="13" t="str">
        <f t="shared" si="41"/>
        <v>C</v>
      </c>
      <c r="AP44" s="13" t="str">
        <f t="shared" si="42"/>
        <v>X</v>
      </c>
      <c r="AQ44" s="13" t="str">
        <f t="shared" si="43"/>
        <v>X</v>
      </c>
      <c r="AR44" s="13" t="str">
        <f t="shared" si="44"/>
        <v>X</v>
      </c>
      <c r="AS44" s="13" t="str">
        <f t="shared" si="45"/>
        <v>X</v>
      </c>
      <c r="AT44" s="13" t="s">
        <v>32</v>
      </c>
      <c r="AU44" s="13" t="str">
        <f t="shared" si="46"/>
        <v>O</v>
      </c>
      <c r="AV44" s="13" t="str">
        <f t="shared" si="47"/>
        <v>O</v>
      </c>
      <c r="AW44" s="13" t="str">
        <f t="shared" si="48"/>
        <v>X</v>
      </c>
    </row>
    <row r="45" spans="1:49" x14ac:dyDescent="0.3">
      <c r="A45" s="5" t="s">
        <v>1766</v>
      </c>
      <c r="B45" s="14" t="s">
        <v>1767</v>
      </c>
      <c r="C45" s="25">
        <v>3850</v>
      </c>
      <c r="D45" s="23">
        <v>85.4</v>
      </c>
      <c r="E45" s="21">
        <v>26</v>
      </c>
      <c r="F45" s="23">
        <v>59.9</v>
      </c>
      <c r="G45" s="24">
        <v>18</v>
      </c>
      <c r="H45" s="25">
        <v>1397</v>
      </c>
      <c r="I45" s="29">
        <v>58500</v>
      </c>
      <c r="J45" s="29"/>
      <c r="K45" s="29">
        <v>45000</v>
      </c>
      <c r="L45" s="29"/>
      <c r="M45" s="6">
        <f t="shared" si="26"/>
        <v>13500</v>
      </c>
      <c r="N45" s="7">
        <f t="shared" si="27"/>
        <v>0.76923076923076927</v>
      </c>
      <c r="O45" s="12">
        <f t="shared" si="28"/>
        <v>2250</v>
      </c>
      <c r="P45" s="12">
        <f t="shared" si="29"/>
        <v>1730.7692307692307</v>
      </c>
      <c r="Q45" s="13">
        <v>3</v>
      </c>
      <c r="R45" s="13">
        <v>2</v>
      </c>
      <c r="S45" s="13" t="s">
        <v>51</v>
      </c>
      <c r="T45" s="8" t="s">
        <v>957</v>
      </c>
      <c r="U45" s="5"/>
      <c r="V45" s="5" t="s">
        <v>1770</v>
      </c>
      <c r="X45" s="23">
        <f t="shared" si="30"/>
        <v>85.4</v>
      </c>
      <c r="Y45" s="21">
        <f t="shared" si="31"/>
        <v>26</v>
      </c>
      <c r="Z45" s="28">
        <f t="shared" si="32"/>
        <v>1397</v>
      </c>
      <c r="AA45" s="6">
        <f t="shared" si="33"/>
        <v>58500</v>
      </c>
      <c r="AB45" s="6">
        <f t="shared" si="34"/>
        <v>45000</v>
      </c>
      <c r="AC45" s="6">
        <f t="shared" si="35"/>
        <v>13500</v>
      </c>
      <c r="AD45" s="7">
        <f t="shared" si="36"/>
        <v>0.76923076923076927</v>
      </c>
      <c r="AE45" s="12">
        <f t="shared" si="37"/>
        <v>2250</v>
      </c>
      <c r="AF45" s="13" t="str">
        <f t="shared" si="38"/>
        <v>계</v>
      </c>
      <c r="AG45" s="13" t="str">
        <f t="shared" si="39"/>
        <v>3/2</v>
      </c>
      <c r="AI45" s="32" t="str">
        <f t="shared" si="1"/>
        <v>평촌어바인퍼스트</v>
      </c>
      <c r="AJ45" s="21">
        <f t="shared" si="0"/>
        <v>26</v>
      </c>
      <c r="AK45" s="13" t="str">
        <f t="shared" si="40"/>
        <v>A-</v>
      </c>
      <c r="AL45" s="13"/>
      <c r="AM45" s="13"/>
      <c r="AN45" s="13"/>
      <c r="AO45" s="13" t="str">
        <f t="shared" si="41"/>
        <v>C</v>
      </c>
      <c r="AP45" s="13" t="str">
        <f t="shared" si="42"/>
        <v>X</v>
      </c>
      <c r="AQ45" s="13" t="str">
        <f t="shared" si="43"/>
        <v>X</v>
      </c>
      <c r="AR45" s="13" t="str">
        <f t="shared" si="44"/>
        <v>X</v>
      </c>
      <c r="AS45" s="13" t="str">
        <f t="shared" si="45"/>
        <v>X</v>
      </c>
      <c r="AT45" s="13" t="s">
        <v>32</v>
      </c>
      <c r="AU45" s="13" t="str">
        <f t="shared" si="46"/>
        <v>O</v>
      </c>
      <c r="AV45" s="13" t="str">
        <f t="shared" si="47"/>
        <v>O</v>
      </c>
      <c r="AW45" s="13" t="str">
        <f t="shared" si="48"/>
        <v>X</v>
      </c>
    </row>
    <row r="46" spans="1:49" x14ac:dyDescent="0.3">
      <c r="A46" s="5" t="s">
        <v>1766</v>
      </c>
      <c r="B46" s="14" t="s">
        <v>1767</v>
      </c>
      <c r="C46" s="25">
        <v>3850</v>
      </c>
      <c r="D46" s="23">
        <v>85.9</v>
      </c>
      <c r="E46" s="21">
        <v>26</v>
      </c>
      <c r="F46" s="23">
        <v>59.5</v>
      </c>
      <c r="G46" s="24">
        <v>18</v>
      </c>
      <c r="H46" s="25">
        <v>471</v>
      </c>
      <c r="I46" s="29">
        <v>58500</v>
      </c>
      <c r="J46" s="29"/>
      <c r="K46" s="29">
        <v>45000</v>
      </c>
      <c r="L46" s="29"/>
      <c r="M46" s="6">
        <f t="shared" si="26"/>
        <v>13500</v>
      </c>
      <c r="N46" s="7">
        <f t="shared" si="27"/>
        <v>0.76923076923076927</v>
      </c>
      <c r="O46" s="12">
        <f t="shared" si="28"/>
        <v>2250</v>
      </c>
      <c r="P46" s="12">
        <f t="shared" si="29"/>
        <v>1730.7692307692307</v>
      </c>
      <c r="Q46" s="13">
        <v>3</v>
      </c>
      <c r="R46" s="13">
        <v>2</v>
      </c>
      <c r="S46" s="13" t="s">
        <v>51</v>
      </c>
      <c r="T46" s="8" t="s">
        <v>628</v>
      </c>
      <c r="U46" s="5"/>
      <c r="V46" s="5" t="s">
        <v>1771</v>
      </c>
      <c r="X46" s="23">
        <f t="shared" si="30"/>
        <v>85.9</v>
      </c>
      <c r="Y46" s="21">
        <f t="shared" si="31"/>
        <v>26</v>
      </c>
      <c r="Z46" s="28">
        <f t="shared" si="32"/>
        <v>471</v>
      </c>
      <c r="AA46" s="6">
        <f t="shared" si="33"/>
        <v>58500</v>
      </c>
      <c r="AB46" s="6">
        <f t="shared" si="34"/>
        <v>45000</v>
      </c>
      <c r="AC46" s="6">
        <f t="shared" si="35"/>
        <v>13500</v>
      </c>
      <c r="AD46" s="7">
        <f t="shared" si="36"/>
        <v>0.76923076923076927</v>
      </c>
      <c r="AE46" s="12">
        <f t="shared" si="37"/>
        <v>2250</v>
      </c>
      <c r="AF46" s="13" t="str">
        <f t="shared" si="38"/>
        <v>계</v>
      </c>
      <c r="AG46" s="13" t="str">
        <f t="shared" si="39"/>
        <v>3/2</v>
      </c>
      <c r="AI46" s="32" t="str">
        <f t="shared" si="1"/>
        <v>평촌어바인퍼스트</v>
      </c>
      <c r="AJ46" s="21">
        <f t="shared" si="0"/>
        <v>26</v>
      </c>
      <c r="AK46" s="13" t="str">
        <f t="shared" si="40"/>
        <v>A-</v>
      </c>
      <c r="AL46" s="13"/>
      <c r="AM46" s="13"/>
      <c r="AN46" s="13"/>
      <c r="AO46" s="13" t="str">
        <f t="shared" si="41"/>
        <v>C</v>
      </c>
      <c r="AP46" s="13" t="str">
        <f t="shared" si="42"/>
        <v>X</v>
      </c>
      <c r="AQ46" s="13" t="str">
        <f t="shared" si="43"/>
        <v>X</v>
      </c>
      <c r="AR46" s="13" t="str">
        <f t="shared" si="44"/>
        <v>X</v>
      </c>
      <c r="AS46" s="13" t="str">
        <f t="shared" si="45"/>
        <v>X</v>
      </c>
      <c r="AT46" s="13" t="s">
        <v>32</v>
      </c>
      <c r="AU46" s="13" t="str">
        <f t="shared" si="46"/>
        <v>O</v>
      </c>
      <c r="AV46" s="13" t="str">
        <f t="shared" si="47"/>
        <v>O</v>
      </c>
      <c r="AW46" s="13" t="str">
        <f t="shared" si="48"/>
        <v>X</v>
      </c>
    </row>
    <row r="47" spans="1:49" x14ac:dyDescent="0.3">
      <c r="A47" s="5" t="s">
        <v>1766</v>
      </c>
      <c r="B47" s="14" t="s">
        <v>1767</v>
      </c>
      <c r="C47" s="25">
        <v>3850</v>
      </c>
      <c r="D47" s="23">
        <v>101.3</v>
      </c>
      <c r="E47" s="21">
        <v>31</v>
      </c>
      <c r="F47" s="23">
        <v>74.7</v>
      </c>
      <c r="G47" s="24">
        <v>23</v>
      </c>
      <c r="H47" s="25">
        <v>111</v>
      </c>
      <c r="I47" s="29">
        <v>79000</v>
      </c>
      <c r="J47" s="29"/>
      <c r="K47" s="29">
        <v>54000</v>
      </c>
      <c r="L47" s="29"/>
      <c r="M47" s="6">
        <f t="shared" si="26"/>
        <v>25000</v>
      </c>
      <c r="N47" s="7">
        <f t="shared" si="27"/>
        <v>0.68354430379746833</v>
      </c>
      <c r="O47" s="12">
        <f t="shared" si="28"/>
        <v>2548.3870967741937</v>
      </c>
      <c r="P47" s="12">
        <f t="shared" si="29"/>
        <v>1741.9354838709678</v>
      </c>
      <c r="Q47" s="13">
        <v>3</v>
      </c>
      <c r="R47" s="13">
        <v>2</v>
      </c>
      <c r="S47" s="13" t="s">
        <v>51</v>
      </c>
      <c r="T47" s="8">
        <v>101</v>
      </c>
      <c r="U47" s="5"/>
      <c r="V47" s="5" t="s">
        <v>1772</v>
      </c>
      <c r="X47" s="23">
        <f t="shared" si="30"/>
        <v>101.3</v>
      </c>
      <c r="Y47" s="21">
        <f t="shared" si="31"/>
        <v>31</v>
      </c>
      <c r="Z47" s="28">
        <f t="shared" si="32"/>
        <v>111</v>
      </c>
      <c r="AA47" s="6">
        <f t="shared" si="33"/>
        <v>79000</v>
      </c>
      <c r="AB47" s="6">
        <f t="shared" si="34"/>
        <v>54000</v>
      </c>
      <c r="AC47" s="6">
        <f t="shared" si="35"/>
        <v>25000</v>
      </c>
      <c r="AD47" s="7">
        <f t="shared" si="36"/>
        <v>0.68354430379746833</v>
      </c>
      <c r="AE47" s="12">
        <f t="shared" si="37"/>
        <v>2548.3870967741937</v>
      </c>
      <c r="AF47" s="13" t="str">
        <f t="shared" si="38"/>
        <v>계</v>
      </c>
      <c r="AG47" s="13" t="str">
        <f t="shared" si="39"/>
        <v>3/2</v>
      </c>
      <c r="AI47" s="32" t="str">
        <f t="shared" si="1"/>
        <v>평촌어바인퍼스트</v>
      </c>
      <c r="AJ47" s="21">
        <f t="shared" si="0"/>
        <v>31</v>
      </c>
      <c r="AK47" s="13" t="str">
        <f t="shared" si="40"/>
        <v>A-</v>
      </c>
      <c r="AL47" s="13"/>
      <c r="AM47" s="13"/>
      <c r="AN47" s="13"/>
      <c r="AO47" s="13" t="str">
        <f t="shared" si="41"/>
        <v>C</v>
      </c>
      <c r="AP47" s="13" t="str">
        <f t="shared" si="42"/>
        <v>X</v>
      </c>
      <c r="AQ47" s="13" t="str">
        <f t="shared" si="43"/>
        <v>X</v>
      </c>
      <c r="AR47" s="13" t="str">
        <f t="shared" si="44"/>
        <v>X</v>
      </c>
      <c r="AS47" s="13" t="str">
        <f t="shared" si="45"/>
        <v>X</v>
      </c>
      <c r="AT47" s="13" t="s">
        <v>32</v>
      </c>
      <c r="AU47" s="13" t="str">
        <f t="shared" si="46"/>
        <v>O</v>
      </c>
      <c r="AV47" s="13" t="str">
        <f t="shared" si="47"/>
        <v>O</v>
      </c>
      <c r="AW47" s="13" t="str">
        <f t="shared" si="48"/>
        <v>X</v>
      </c>
    </row>
    <row r="48" spans="1:49" x14ac:dyDescent="0.3">
      <c r="A48" s="5" t="s">
        <v>1766</v>
      </c>
      <c r="B48" s="14" t="s">
        <v>1767</v>
      </c>
      <c r="C48" s="25">
        <v>3850</v>
      </c>
      <c r="D48" s="23">
        <v>114.3</v>
      </c>
      <c r="E48" s="21">
        <v>35</v>
      </c>
      <c r="F48" s="23">
        <v>84.6</v>
      </c>
      <c r="G48" s="24">
        <v>26</v>
      </c>
      <c r="H48" s="25">
        <v>926</v>
      </c>
      <c r="I48" s="29">
        <v>84000</v>
      </c>
      <c r="J48" s="29"/>
      <c r="K48" s="29">
        <v>58000</v>
      </c>
      <c r="L48" s="29"/>
      <c r="M48" s="6">
        <f t="shared" si="26"/>
        <v>26000</v>
      </c>
      <c r="N48" s="7">
        <f t="shared" si="27"/>
        <v>0.69047619047619047</v>
      </c>
      <c r="O48" s="12">
        <f t="shared" si="28"/>
        <v>2400</v>
      </c>
      <c r="P48" s="12">
        <f t="shared" si="29"/>
        <v>1657.1428571428571</v>
      </c>
      <c r="Q48" s="13">
        <v>3</v>
      </c>
      <c r="R48" s="13">
        <v>2</v>
      </c>
      <c r="S48" s="13" t="s">
        <v>51</v>
      </c>
      <c r="T48" s="8" t="s">
        <v>714</v>
      </c>
      <c r="U48" s="5"/>
      <c r="V48" s="5" t="s">
        <v>1773</v>
      </c>
      <c r="X48" s="23">
        <f t="shared" si="30"/>
        <v>114.3</v>
      </c>
      <c r="Y48" s="21">
        <f t="shared" si="31"/>
        <v>35</v>
      </c>
      <c r="Z48" s="28">
        <f t="shared" si="32"/>
        <v>926</v>
      </c>
      <c r="AA48" s="6">
        <f t="shared" si="33"/>
        <v>84000</v>
      </c>
      <c r="AB48" s="6">
        <f t="shared" si="34"/>
        <v>58000</v>
      </c>
      <c r="AC48" s="6">
        <f t="shared" si="35"/>
        <v>26000</v>
      </c>
      <c r="AD48" s="7">
        <f t="shared" si="36"/>
        <v>0.69047619047619047</v>
      </c>
      <c r="AE48" s="12">
        <f t="shared" si="37"/>
        <v>2400</v>
      </c>
      <c r="AF48" s="13" t="str">
        <f t="shared" si="38"/>
        <v>계</v>
      </c>
      <c r="AG48" s="13" t="str">
        <f t="shared" si="39"/>
        <v>3/2</v>
      </c>
      <c r="AI48" s="32" t="str">
        <f t="shared" si="1"/>
        <v>평촌어바인퍼스트</v>
      </c>
      <c r="AJ48" s="21">
        <f t="shared" si="0"/>
        <v>35</v>
      </c>
      <c r="AK48" s="13" t="str">
        <f t="shared" si="40"/>
        <v>A-</v>
      </c>
      <c r="AL48" s="13"/>
      <c r="AM48" s="13"/>
      <c r="AN48" s="13"/>
      <c r="AO48" s="13" t="str">
        <f t="shared" si="41"/>
        <v>C</v>
      </c>
      <c r="AP48" s="13" t="str">
        <f t="shared" si="42"/>
        <v>X</v>
      </c>
      <c r="AQ48" s="13" t="str">
        <f t="shared" si="43"/>
        <v>X</v>
      </c>
      <c r="AR48" s="13" t="str">
        <f t="shared" si="44"/>
        <v>X</v>
      </c>
      <c r="AS48" s="13" t="str">
        <f t="shared" si="45"/>
        <v>X</v>
      </c>
      <c r="AT48" s="13" t="s">
        <v>32</v>
      </c>
      <c r="AU48" s="13" t="str">
        <f t="shared" si="46"/>
        <v>O</v>
      </c>
      <c r="AV48" s="13" t="str">
        <f t="shared" si="47"/>
        <v>O</v>
      </c>
      <c r="AW48" s="13" t="str">
        <f t="shared" si="48"/>
        <v>X</v>
      </c>
    </row>
    <row r="49" spans="1:49" x14ac:dyDescent="0.3">
      <c r="A49" s="5" t="s">
        <v>1766</v>
      </c>
      <c r="B49" s="14" t="s">
        <v>1767</v>
      </c>
      <c r="C49" s="25">
        <v>3850</v>
      </c>
      <c r="D49" s="23">
        <v>115.1</v>
      </c>
      <c r="E49" s="21">
        <v>35</v>
      </c>
      <c r="F49" s="23">
        <v>84.1</v>
      </c>
      <c r="G49" s="24">
        <v>25</v>
      </c>
      <c r="H49" s="25">
        <v>131</v>
      </c>
      <c r="I49" s="29">
        <v>84000</v>
      </c>
      <c r="J49" s="29"/>
      <c r="K49" s="29">
        <v>58000</v>
      </c>
      <c r="L49" s="29"/>
      <c r="M49" s="6">
        <f t="shared" si="26"/>
        <v>26000</v>
      </c>
      <c r="N49" s="7">
        <f t="shared" si="27"/>
        <v>0.69047619047619047</v>
      </c>
      <c r="O49" s="12">
        <f t="shared" si="28"/>
        <v>2400</v>
      </c>
      <c r="P49" s="12">
        <f t="shared" si="29"/>
        <v>1657.1428571428571</v>
      </c>
      <c r="Q49" s="13">
        <v>3</v>
      </c>
      <c r="R49" s="13">
        <v>2</v>
      </c>
      <c r="S49" s="13" t="s">
        <v>51</v>
      </c>
      <c r="T49" s="8" t="s">
        <v>549</v>
      </c>
      <c r="U49" s="5"/>
      <c r="V49" s="5" t="s">
        <v>1774</v>
      </c>
      <c r="X49" s="23">
        <f t="shared" si="30"/>
        <v>115.1</v>
      </c>
      <c r="Y49" s="21">
        <f t="shared" si="31"/>
        <v>35</v>
      </c>
      <c r="Z49" s="28">
        <f t="shared" si="32"/>
        <v>131</v>
      </c>
      <c r="AA49" s="6">
        <f t="shared" si="33"/>
        <v>84000</v>
      </c>
      <c r="AB49" s="6">
        <f t="shared" si="34"/>
        <v>58000</v>
      </c>
      <c r="AC49" s="6">
        <f t="shared" si="35"/>
        <v>26000</v>
      </c>
      <c r="AD49" s="7">
        <f t="shared" si="36"/>
        <v>0.69047619047619047</v>
      </c>
      <c r="AE49" s="12">
        <f t="shared" si="37"/>
        <v>2400</v>
      </c>
      <c r="AF49" s="13" t="str">
        <f t="shared" si="38"/>
        <v>계</v>
      </c>
      <c r="AG49" s="13" t="str">
        <f t="shared" si="39"/>
        <v>3/2</v>
      </c>
      <c r="AI49" s="32" t="str">
        <f t="shared" si="1"/>
        <v>평촌어바인퍼스트</v>
      </c>
      <c r="AJ49" s="21">
        <f t="shared" si="0"/>
        <v>35</v>
      </c>
      <c r="AK49" s="13" t="str">
        <f t="shared" si="40"/>
        <v>A-</v>
      </c>
      <c r="AL49" s="13"/>
      <c r="AM49" s="13"/>
      <c r="AN49" s="13"/>
      <c r="AO49" s="13" t="str">
        <f t="shared" si="41"/>
        <v>C</v>
      </c>
      <c r="AP49" s="13" t="str">
        <f t="shared" si="42"/>
        <v>X</v>
      </c>
      <c r="AQ49" s="13" t="str">
        <f t="shared" si="43"/>
        <v>X</v>
      </c>
      <c r="AR49" s="13" t="str">
        <f t="shared" si="44"/>
        <v>X</v>
      </c>
      <c r="AS49" s="13" t="str">
        <f t="shared" si="45"/>
        <v>X</v>
      </c>
      <c r="AT49" s="13" t="s">
        <v>32</v>
      </c>
      <c r="AU49" s="13" t="str">
        <f t="shared" si="46"/>
        <v>O</v>
      </c>
      <c r="AV49" s="13" t="str">
        <f t="shared" si="47"/>
        <v>O</v>
      </c>
      <c r="AW49" s="13" t="str">
        <f t="shared" si="48"/>
        <v>X</v>
      </c>
    </row>
    <row r="50" spans="1:49" x14ac:dyDescent="0.3">
      <c r="A50" s="5"/>
      <c r="B50" s="13"/>
      <c r="C50" s="9"/>
      <c r="D50" s="5"/>
      <c r="E50" s="18"/>
      <c r="F50" s="23"/>
      <c r="G50" s="5"/>
      <c r="H50" s="5"/>
      <c r="I50" s="5"/>
      <c r="J50" s="5"/>
      <c r="K50" s="5"/>
      <c r="L50" s="5"/>
      <c r="M50" s="5"/>
      <c r="N50" s="5"/>
      <c r="O50" s="12"/>
      <c r="P50" s="12"/>
      <c r="Q50" s="21"/>
      <c r="R50" s="21"/>
      <c r="S50" s="5"/>
      <c r="T50" s="59"/>
      <c r="U50" s="5"/>
      <c r="V50" s="5"/>
      <c r="X50" s="90" t="str">
        <f>$A$4&amp;" "&amp;A51&amp;"("&amp;B51&amp;","&amp;C51&amp;"^)"</f>
        <v>호계동 호계현대홈타운2차('03.11,1977^)</v>
      </c>
      <c r="Y50" s="91"/>
      <c r="Z50" s="91"/>
      <c r="AA50" s="91"/>
      <c r="AB50" s="91"/>
      <c r="AC50" s="91"/>
      <c r="AD50" s="91"/>
      <c r="AE50" s="91"/>
      <c r="AF50" s="91"/>
      <c r="AG50" s="92"/>
      <c r="AI50" s="32" t="str">
        <f t="shared" si="1"/>
        <v/>
      </c>
      <c r="AJ50" s="33" t="str">
        <f t="shared" si="0"/>
        <v/>
      </c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</row>
    <row r="51" spans="1:49" x14ac:dyDescent="0.3">
      <c r="A51" s="5" t="s">
        <v>1775</v>
      </c>
      <c r="B51" s="14" t="s">
        <v>1776</v>
      </c>
      <c r="C51" s="25">
        <v>1977</v>
      </c>
      <c r="D51" s="23">
        <v>82.2</v>
      </c>
      <c r="E51" s="21">
        <v>25</v>
      </c>
      <c r="F51" s="23">
        <v>60</v>
      </c>
      <c r="G51" s="24">
        <v>18</v>
      </c>
      <c r="H51" s="25">
        <v>264</v>
      </c>
      <c r="I51" s="29">
        <v>44000</v>
      </c>
      <c r="J51" s="29"/>
      <c r="K51" s="29">
        <v>33000</v>
      </c>
      <c r="L51" s="29"/>
      <c r="M51" s="6">
        <f t="shared" ref="M51:M56" si="49">I51-K51</f>
        <v>11000</v>
      </c>
      <c r="N51" s="7">
        <f t="shared" ref="N51:N56" si="50">IF(ISERROR(K51/I51),"",K51/I51)</f>
        <v>0.75</v>
      </c>
      <c r="O51" s="12">
        <f t="shared" ref="O51:O56" si="51">I51/E51</f>
        <v>1760</v>
      </c>
      <c r="P51" s="12">
        <f t="shared" ref="P51:P56" si="52">K51/E51</f>
        <v>1320</v>
      </c>
      <c r="Q51" s="13">
        <v>3</v>
      </c>
      <c r="R51" s="13">
        <v>2</v>
      </c>
      <c r="S51" s="13" t="s">
        <v>51</v>
      </c>
      <c r="T51" s="8">
        <v>82</v>
      </c>
      <c r="U51" s="5"/>
      <c r="V51" s="5" t="s">
        <v>1777</v>
      </c>
      <c r="X51" s="23">
        <f t="shared" ref="X51:Y56" si="53">D51</f>
        <v>82.2</v>
      </c>
      <c r="Y51" s="21">
        <f t="shared" si="53"/>
        <v>25</v>
      </c>
      <c r="Z51" s="28">
        <f t="shared" ref="Z51:AA56" si="54">H51</f>
        <v>264</v>
      </c>
      <c r="AA51" s="6">
        <f t="shared" si="54"/>
        <v>44000</v>
      </c>
      <c r="AB51" s="6">
        <f t="shared" ref="AB51:AB56" si="55">K51</f>
        <v>33000</v>
      </c>
      <c r="AC51" s="6">
        <f t="shared" ref="AC51:AE56" si="56">M51</f>
        <v>11000</v>
      </c>
      <c r="AD51" s="7">
        <f t="shared" si="56"/>
        <v>0.75</v>
      </c>
      <c r="AE51" s="12">
        <f t="shared" si="56"/>
        <v>1760</v>
      </c>
      <c r="AF51" s="13" t="str">
        <f t="shared" ref="AF51:AF56" si="57">S51</f>
        <v>계</v>
      </c>
      <c r="AG51" s="13" t="str">
        <f t="shared" ref="AG51:AG56" si="58">Q51&amp;"/"&amp;R51</f>
        <v>3/2</v>
      </c>
      <c r="AI51" s="32" t="str">
        <f t="shared" si="1"/>
        <v>호계현대홈타운2차</v>
      </c>
      <c r="AJ51" s="21">
        <f t="shared" si="0"/>
        <v>25</v>
      </c>
      <c r="AK51" s="13" t="str">
        <f t="shared" ref="AK51:AK56" si="59">IF(AJ51="","",$AK$2)</f>
        <v>A-</v>
      </c>
      <c r="AL51" s="13"/>
      <c r="AM51" s="13"/>
      <c r="AN51" s="13"/>
      <c r="AO51" s="13" t="str">
        <f t="shared" ref="AO51:AO56" si="60">IF(AJ51="","",$AO$2)</f>
        <v>C</v>
      </c>
      <c r="AP51" s="13" t="str">
        <f t="shared" ref="AP51:AP56" si="61">IF(N51="","",IF(N51&gt;=$AP$1/100,"O","X"))</f>
        <v>X</v>
      </c>
      <c r="AQ51" s="13" t="str">
        <f t="shared" ref="AQ51:AQ56" si="62">IF(I51="","",IF(I51&lt;=$AQ$1,"O","X"))</f>
        <v>O</v>
      </c>
      <c r="AR51" s="13" t="str">
        <f t="shared" ref="AR51:AR56" si="63">IF(O51="","",IF(O51&lt;=$AR$1,"O","X"))</f>
        <v>X</v>
      </c>
      <c r="AS51" s="13" t="str">
        <f t="shared" ref="AS51:AS56" si="64">IF(M51="","",IF(M51&lt;=$AS$1,"O","X"))</f>
        <v>X</v>
      </c>
      <c r="AT51" s="13" t="s">
        <v>32</v>
      </c>
      <c r="AU51" s="13" t="str">
        <f t="shared" ref="AU51:AU56" si="65">IF(OR(F51="",AJ51=""),"",IF(AND((F51&lt;=85),(AJ51&gt;=15)),"O","X"))</f>
        <v>O</v>
      </c>
      <c r="AV51" s="13" t="str">
        <f t="shared" ref="AV51:AV56" si="66">IF(C51="","",IF(C51&gt;=$AV$1,"O","X"))</f>
        <v>O</v>
      </c>
      <c r="AW51" s="13" t="str">
        <f t="shared" ref="AW51:AW56" si="67">IF(AP51="","",IF(AND(AP51="O",AQ51="O",AS51="O",AU51="O",AV51="O"),"후보","X"))</f>
        <v>X</v>
      </c>
    </row>
    <row r="52" spans="1:49" x14ac:dyDescent="0.3">
      <c r="A52" s="5" t="s">
        <v>1775</v>
      </c>
      <c r="B52" s="14" t="s">
        <v>1776</v>
      </c>
      <c r="C52" s="25">
        <v>1977</v>
      </c>
      <c r="D52" s="23">
        <v>107.5</v>
      </c>
      <c r="E52" s="21">
        <v>33</v>
      </c>
      <c r="F52" s="23">
        <v>84.9</v>
      </c>
      <c r="G52" s="24">
        <v>26</v>
      </c>
      <c r="H52" s="25">
        <v>296</v>
      </c>
      <c r="I52" s="29">
        <v>56500</v>
      </c>
      <c r="J52" s="29"/>
      <c r="K52" s="29">
        <v>38000</v>
      </c>
      <c r="L52" s="29"/>
      <c r="M52" s="6">
        <f t="shared" si="49"/>
        <v>18500</v>
      </c>
      <c r="N52" s="7">
        <f t="shared" si="50"/>
        <v>0.67256637168141598</v>
      </c>
      <c r="O52" s="12">
        <f t="shared" si="51"/>
        <v>1712.121212121212</v>
      </c>
      <c r="P52" s="12">
        <f t="shared" si="52"/>
        <v>1151.5151515151515</v>
      </c>
      <c r="Q52" s="13">
        <v>3</v>
      </c>
      <c r="R52" s="13">
        <v>2</v>
      </c>
      <c r="S52" s="13" t="s">
        <v>51</v>
      </c>
      <c r="T52" s="8">
        <v>107</v>
      </c>
      <c r="U52" s="5"/>
      <c r="V52" s="5" t="s">
        <v>1778</v>
      </c>
      <c r="X52" s="23">
        <f t="shared" si="53"/>
        <v>107.5</v>
      </c>
      <c r="Y52" s="21">
        <f t="shared" si="53"/>
        <v>33</v>
      </c>
      <c r="Z52" s="28">
        <f t="shared" si="54"/>
        <v>296</v>
      </c>
      <c r="AA52" s="6">
        <f t="shared" si="54"/>
        <v>56500</v>
      </c>
      <c r="AB52" s="6">
        <f t="shared" si="55"/>
        <v>38000</v>
      </c>
      <c r="AC52" s="6">
        <f t="shared" si="56"/>
        <v>18500</v>
      </c>
      <c r="AD52" s="7">
        <f t="shared" si="56"/>
        <v>0.67256637168141598</v>
      </c>
      <c r="AE52" s="12">
        <f t="shared" si="56"/>
        <v>1712.121212121212</v>
      </c>
      <c r="AF52" s="13" t="str">
        <f t="shared" si="57"/>
        <v>계</v>
      </c>
      <c r="AG52" s="13" t="str">
        <f t="shared" si="58"/>
        <v>3/2</v>
      </c>
      <c r="AI52" s="32" t="str">
        <f t="shared" si="1"/>
        <v>호계현대홈타운2차</v>
      </c>
      <c r="AJ52" s="21">
        <f t="shared" si="0"/>
        <v>33</v>
      </c>
      <c r="AK52" s="13" t="str">
        <f t="shared" si="59"/>
        <v>A-</v>
      </c>
      <c r="AL52" s="13"/>
      <c r="AM52" s="13"/>
      <c r="AN52" s="13"/>
      <c r="AO52" s="13" t="str">
        <f t="shared" si="60"/>
        <v>C</v>
      </c>
      <c r="AP52" s="13" t="str">
        <f t="shared" si="61"/>
        <v>X</v>
      </c>
      <c r="AQ52" s="13" t="str">
        <f t="shared" si="62"/>
        <v>X</v>
      </c>
      <c r="AR52" s="13" t="str">
        <f t="shared" si="63"/>
        <v>X</v>
      </c>
      <c r="AS52" s="13" t="str">
        <f t="shared" si="64"/>
        <v>X</v>
      </c>
      <c r="AT52" s="13" t="s">
        <v>32</v>
      </c>
      <c r="AU52" s="13" t="str">
        <f t="shared" si="65"/>
        <v>O</v>
      </c>
      <c r="AV52" s="13" t="str">
        <f t="shared" si="66"/>
        <v>O</v>
      </c>
      <c r="AW52" s="13" t="str">
        <f t="shared" si="67"/>
        <v>X</v>
      </c>
    </row>
    <row r="53" spans="1:49" x14ac:dyDescent="0.3">
      <c r="A53" s="5" t="s">
        <v>1775</v>
      </c>
      <c r="B53" s="14" t="s">
        <v>1776</v>
      </c>
      <c r="C53" s="25">
        <v>1977</v>
      </c>
      <c r="D53" s="23">
        <v>111.6</v>
      </c>
      <c r="E53" s="21">
        <v>34</v>
      </c>
      <c r="F53" s="23">
        <v>85</v>
      </c>
      <c r="G53" s="24">
        <v>26</v>
      </c>
      <c r="H53" s="25">
        <v>898</v>
      </c>
      <c r="I53" s="29">
        <v>57000</v>
      </c>
      <c r="J53" s="29"/>
      <c r="K53" s="29">
        <v>39000</v>
      </c>
      <c r="L53" s="29"/>
      <c r="M53" s="6">
        <f t="shared" si="49"/>
        <v>18000</v>
      </c>
      <c r="N53" s="7">
        <f t="shared" si="50"/>
        <v>0.68421052631578949</v>
      </c>
      <c r="O53" s="12">
        <f t="shared" si="51"/>
        <v>1676.4705882352941</v>
      </c>
      <c r="P53" s="12">
        <f t="shared" si="52"/>
        <v>1147.0588235294117</v>
      </c>
      <c r="Q53" s="13">
        <v>3</v>
      </c>
      <c r="R53" s="13">
        <v>2</v>
      </c>
      <c r="S53" s="13" t="s">
        <v>51</v>
      </c>
      <c r="T53" s="8">
        <v>111</v>
      </c>
      <c r="U53" s="5"/>
      <c r="V53" s="5" t="s">
        <v>1779</v>
      </c>
      <c r="X53" s="23">
        <f t="shared" si="53"/>
        <v>111.6</v>
      </c>
      <c r="Y53" s="21">
        <f t="shared" si="53"/>
        <v>34</v>
      </c>
      <c r="Z53" s="28">
        <f t="shared" si="54"/>
        <v>898</v>
      </c>
      <c r="AA53" s="6">
        <f t="shared" si="54"/>
        <v>57000</v>
      </c>
      <c r="AB53" s="6">
        <f t="shared" si="55"/>
        <v>39000</v>
      </c>
      <c r="AC53" s="6">
        <f t="shared" si="56"/>
        <v>18000</v>
      </c>
      <c r="AD53" s="7">
        <f t="shared" si="56"/>
        <v>0.68421052631578949</v>
      </c>
      <c r="AE53" s="12">
        <f t="shared" si="56"/>
        <v>1676.4705882352941</v>
      </c>
      <c r="AF53" s="13" t="str">
        <f t="shared" si="57"/>
        <v>계</v>
      </c>
      <c r="AG53" s="13" t="str">
        <f t="shared" si="58"/>
        <v>3/2</v>
      </c>
      <c r="AI53" s="32" t="str">
        <f t="shared" si="1"/>
        <v>호계현대홈타운2차</v>
      </c>
      <c r="AJ53" s="21">
        <f t="shared" si="0"/>
        <v>34</v>
      </c>
      <c r="AK53" s="13" t="str">
        <f t="shared" si="59"/>
        <v>A-</v>
      </c>
      <c r="AL53" s="13"/>
      <c r="AM53" s="13"/>
      <c r="AN53" s="13"/>
      <c r="AO53" s="13" t="str">
        <f t="shared" si="60"/>
        <v>C</v>
      </c>
      <c r="AP53" s="13" t="str">
        <f t="shared" si="61"/>
        <v>X</v>
      </c>
      <c r="AQ53" s="13" t="str">
        <f t="shared" si="62"/>
        <v>X</v>
      </c>
      <c r="AR53" s="13" t="str">
        <f t="shared" si="63"/>
        <v>X</v>
      </c>
      <c r="AS53" s="13" t="str">
        <f t="shared" si="64"/>
        <v>X</v>
      </c>
      <c r="AT53" s="13" t="s">
        <v>32</v>
      </c>
      <c r="AU53" s="13" t="str">
        <f t="shared" si="65"/>
        <v>O</v>
      </c>
      <c r="AV53" s="13" t="str">
        <f t="shared" si="66"/>
        <v>O</v>
      </c>
      <c r="AW53" s="13" t="str">
        <f t="shared" si="67"/>
        <v>X</v>
      </c>
    </row>
    <row r="54" spans="1:49" x14ac:dyDescent="0.3">
      <c r="A54" s="5" t="s">
        <v>1775</v>
      </c>
      <c r="B54" s="14" t="s">
        <v>1776</v>
      </c>
      <c r="C54" s="25">
        <v>1977</v>
      </c>
      <c r="D54" s="23">
        <v>126.8</v>
      </c>
      <c r="E54" s="21">
        <v>38</v>
      </c>
      <c r="F54" s="23">
        <v>98.8</v>
      </c>
      <c r="G54" s="24">
        <v>30</v>
      </c>
      <c r="H54" s="25">
        <v>108</v>
      </c>
      <c r="I54" s="29">
        <v>68000</v>
      </c>
      <c r="J54" s="29"/>
      <c r="K54" s="29">
        <v>43000</v>
      </c>
      <c r="L54" s="29"/>
      <c r="M54" s="6">
        <f t="shared" si="49"/>
        <v>25000</v>
      </c>
      <c r="N54" s="7">
        <f t="shared" si="50"/>
        <v>0.63235294117647056</v>
      </c>
      <c r="O54" s="12">
        <f t="shared" si="51"/>
        <v>1789.4736842105262</v>
      </c>
      <c r="P54" s="12">
        <f t="shared" si="52"/>
        <v>1131.578947368421</v>
      </c>
      <c r="Q54" s="13">
        <v>4</v>
      </c>
      <c r="R54" s="13">
        <v>2</v>
      </c>
      <c r="S54" s="13" t="s">
        <v>51</v>
      </c>
      <c r="T54" s="8">
        <v>126</v>
      </c>
      <c r="U54" s="5"/>
      <c r="V54" s="5" t="s">
        <v>1780</v>
      </c>
      <c r="X54" s="23">
        <f t="shared" si="53"/>
        <v>126.8</v>
      </c>
      <c r="Y54" s="21">
        <f t="shared" si="53"/>
        <v>38</v>
      </c>
      <c r="Z54" s="28">
        <f t="shared" si="54"/>
        <v>108</v>
      </c>
      <c r="AA54" s="6">
        <f t="shared" si="54"/>
        <v>68000</v>
      </c>
      <c r="AB54" s="6">
        <f t="shared" si="55"/>
        <v>43000</v>
      </c>
      <c r="AC54" s="6">
        <f t="shared" si="56"/>
        <v>25000</v>
      </c>
      <c r="AD54" s="7">
        <f t="shared" si="56"/>
        <v>0.63235294117647056</v>
      </c>
      <c r="AE54" s="12">
        <f t="shared" si="56"/>
        <v>1789.4736842105262</v>
      </c>
      <c r="AF54" s="13" t="str">
        <f t="shared" si="57"/>
        <v>계</v>
      </c>
      <c r="AG54" s="13" t="str">
        <f t="shared" si="58"/>
        <v>4/2</v>
      </c>
      <c r="AI54" s="32" t="str">
        <f t="shared" si="1"/>
        <v>호계현대홈타운2차</v>
      </c>
      <c r="AJ54" s="21">
        <f t="shared" si="0"/>
        <v>38</v>
      </c>
      <c r="AK54" s="13" t="str">
        <f t="shared" si="59"/>
        <v>A-</v>
      </c>
      <c r="AL54" s="13"/>
      <c r="AM54" s="13"/>
      <c r="AN54" s="13"/>
      <c r="AO54" s="13" t="str">
        <f t="shared" si="60"/>
        <v>C</v>
      </c>
      <c r="AP54" s="13" t="str">
        <f t="shared" si="61"/>
        <v>X</v>
      </c>
      <c r="AQ54" s="13" t="str">
        <f t="shared" si="62"/>
        <v>X</v>
      </c>
      <c r="AR54" s="13" t="str">
        <f t="shared" si="63"/>
        <v>X</v>
      </c>
      <c r="AS54" s="13" t="str">
        <f t="shared" si="64"/>
        <v>X</v>
      </c>
      <c r="AT54" s="13" t="s">
        <v>32</v>
      </c>
      <c r="AU54" s="13" t="str">
        <f t="shared" si="65"/>
        <v>X</v>
      </c>
      <c r="AV54" s="13" t="str">
        <f t="shared" si="66"/>
        <v>O</v>
      </c>
      <c r="AW54" s="13" t="str">
        <f t="shared" si="67"/>
        <v>X</v>
      </c>
    </row>
    <row r="55" spans="1:49" x14ac:dyDescent="0.3">
      <c r="A55" s="5" t="s">
        <v>1775</v>
      </c>
      <c r="B55" s="14" t="s">
        <v>1776</v>
      </c>
      <c r="C55" s="25">
        <v>1977</v>
      </c>
      <c r="D55" s="23">
        <v>144.80000000000001</v>
      </c>
      <c r="E55" s="21">
        <v>44</v>
      </c>
      <c r="F55" s="23">
        <v>115.1</v>
      </c>
      <c r="G55" s="24">
        <v>35</v>
      </c>
      <c r="H55" s="25">
        <v>303</v>
      </c>
      <c r="I55" s="29">
        <v>77000</v>
      </c>
      <c r="J55" s="29"/>
      <c r="K55" s="29">
        <v>49000</v>
      </c>
      <c r="L55" s="29"/>
      <c r="M55" s="6">
        <f t="shared" si="49"/>
        <v>28000</v>
      </c>
      <c r="N55" s="7">
        <f t="shared" si="50"/>
        <v>0.63636363636363635</v>
      </c>
      <c r="O55" s="12">
        <f t="shared" si="51"/>
        <v>1750</v>
      </c>
      <c r="P55" s="12">
        <f t="shared" si="52"/>
        <v>1113.6363636363637</v>
      </c>
      <c r="Q55" s="13">
        <v>4</v>
      </c>
      <c r="R55" s="13">
        <v>2</v>
      </c>
      <c r="S55" s="13" t="s">
        <v>51</v>
      </c>
      <c r="T55" s="8">
        <v>144</v>
      </c>
      <c r="U55" s="5"/>
      <c r="V55" s="5" t="s">
        <v>1781</v>
      </c>
      <c r="X55" s="23">
        <f t="shared" si="53"/>
        <v>144.80000000000001</v>
      </c>
      <c r="Y55" s="21">
        <f t="shared" si="53"/>
        <v>44</v>
      </c>
      <c r="Z55" s="28">
        <f t="shared" si="54"/>
        <v>303</v>
      </c>
      <c r="AA55" s="6">
        <f t="shared" si="54"/>
        <v>77000</v>
      </c>
      <c r="AB55" s="6">
        <f t="shared" si="55"/>
        <v>49000</v>
      </c>
      <c r="AC55" s="6">
        <f t="shared" si="56"/>
        <v>28000</v>
      </c>
      <c r="AD55" s="7">
        <f t="shared" si="56"/>
        <v>0.63636363636363635</v>
      </c>
      <c r="AE55" s="12">
        <f t="shared" si="56"/>
        <v>1750</v>
      </c>
      <c r="AF55" s="13" t="str">
        <f t="shared" si="57"/>
        <v>계</v>
      </c>
      <c r="AG55" s="13" t="str">
        <f t="shared" si="58"/>
        <v>4/2</v>
      </c>
      <c r="AI55" s="32" t="str">
        <f t="shared" si="1"/>
        <v>호계현대홈타운2차</v>
      </c>
      <c r="AJ55" s="21">
        <f t="shared" si="0"/>
        <v>44</v>
      </c>
      <c r="AK55" s="13" t="str">
        <f t="shared" si="59"/>
        <v>A-</v>
      </c>
      <c r="AL55" s="13"/>
      <c r="AM55" s="13"/>
      <c r="AN55" s="13"/>
      <c r="AO55" s="13" t="str">
        <f t="shared" si="60"/>
        <v>C</v>
      </c>
      <c r="AP55" s="13" t="str">
        <f t="shared" si="61"/>
        <v>X</v>
      </c>
      <c r="AQ55" s="13" t="str">
        <f t="shared" si="62"/>
        <v>X</v>
      </c>
      <c r="AR55" s="13" t="str">
        <f t="shared" si="63"/>
        <v>X</v>
      </c>
      <c r="AS55" s="13" t="str">
        <f t="shared" si="64"/>
        <v>X</v>
      </c>
      <c r="AT55" s="13" t="s">
        <v>32</v>
      </c>
      <c r="AU55" s="13" t="str">
        <f t="shared" si="65"/>
        <v>X</v>
      </c>
      <c r="AV55" s="13" t="str">
        <f t="shared" si="66"/>
        <v>O</v>
      </c>
      <c r="AW55" s="13" t="str">
        <f t="shared" si="67"/>
        <v>X</v>
      </c>
    </row>
    <row r="56" spans="1:49" x14ac:dyDescent="0.3">
      <c r="A56" s="5" t="s">
        <v>1775</v>
      </c>
      <c r="B56" s="14" t="s">
        <v>1776</v>
      </c>
      <c r="C56" s="25">
        <v>1977</v>
      </c>
      <c r="D56" s="23">
        <v>172.2</v>
      </c>
      <c r="E56" s="21">
        <v>52</v>
      </c>
      <c r="F56" s="23">
        <v>142.69999999999999</v>
      </c>
      <c r="G56" s="24">
        <v>43</v>
      </c>
      <c r="H56" s="25">
        <v>108</v>
      </c>
      <c r="I56" s="29">
        <v>88000</v>
      </c>
      <c r="J56" s="29"/>
      <c r="K56" s="29">
        <v>55000</v>
      </c>
      <c r="L56" s="29"/>
      <c r="M56" s="6">
        <f t="shared" si="49"/>
        <v>33000</v>
      </c>
      <c r="N56" s="7">
        <f t="shared" si="50"/>
        <v>0.625</v>
      </c>
      <c r="O56" s="12">
        <f t="shared" si="51"/>
        <v>1692.3076923076924</v>
      </c>
      <c r="P56" s="12">
        <f t="shared" si="52"/>
        <v>1057.6923076923076</v>
      </c>
      <c r="Q56" s="13">
        <v>4</v>
      </c>
      <c r="R56" s="13">
        <v>2</v>
      </c>
      <c r="S56" s="13" t="s">
        <v>51</v>
      </c>
      <c r="T56" s="8">
        <v>172</v>
      </c>
      <c r="U56" s="5"/>
      <c r="V56" s="5" t="s">
        <v>1782</v>
      </c>
      <c r="X56" s="23">
        <f t="shared" si="53"/>
        <v>172.2</v>
      </c>
      <c r="Y56" s="21">
        <f t="shared" si="53"/>
        <v>52</v>
      </c>
      <c r="Z56" s="28">
        <f t="shared" si="54"/>
        <v>108</v>
      </c>
      <c r="AA56" s="6">
        <f t="shared" si="54"/>
        <v>88000</v>
      </c>
      <c r="AB56" s="6">
        <f t="shared" si="55"/>
        <v>55000</v>
      </c>
      <c r="AC56" s="6">
        <f t="shared" si="56"/>
        <v>33000</v>
      </c>
      <c r="AD56" s="7">
        <f t="shared" si="56"/>
        <v>0.625</v>
      </c>
      <c r="AE56" s="12">
        <f t="shared" si="56"/>
        <v>1692.3076923076924</v>
      </c>
      <c r="AF56" s="13" t="str">
        <f t="shared" si="57"/>
        <v>계</v>
      </c>
      <c r="AG56" s="13" t="str">
        <f t="shared" si="58"/>
        <v>4/2</v>
      </c>
      <c r="AI56" s="32" t="str">
        <f t="shared" si="1"/>
        <v>호계현대홈타운2차</v>
      </c>
      <c r="AJ56" s="21">
        <f t="shared" si="0"/>
        <v>52</v>
      </c>
      <c r="AK56" s="13" t="str">
        <f t="shared" si="59"/>
        <v>A-</v>
      </c>
      <c r="AL56" s="13"/>
      <c r="AM56" s="13"/>
      <c r="AN56" s="13"/>
      <c r="AO56" s="13" t="str">
        <f t="shared" si="60"/>
        <v>C</v>
      </c>
      <c r="AP56" s="13" t="str">
        <f t="shared" si="61"/>
        <v>X</v>
      </c>
      <c r="AQ56" s="13" t="str">
        <f t="shared" si="62"/>
        <v>X</v>
      </c>
      <c r="AR56" s="13" t="str">
        <f t="shared" si="63"/>
        <v>X</v>
      </c>
      <c r="AS56" s="13" t="str">
        <f t="shared" si="64"/>
        <v>X</v>
      </c>
      <c r="AT56" s="13" t="s">
        <v>32</v>
      </c>
      <c r="AU56" s="13" t="str">
        <f t="shared" si="65"/>
        <v>X</v>
      </c>
      <c r="AV56" s="13" t="str">
        <f t="shared" si="66"/>
        <v>O</v>
      </c>
      <c r="AW56" s="13" t="str">
        <f t="shared" si="67"/>
        <v>X</v>
      </c>
    </row>
    <row r="57" spans="1:49" x14ac:dyDescent="0.3">
      <c r="A57" s="5"/>
      <c r="B57" s="13"/>
      <c r="C57" s="9"/>
      <c r="D57" s="5"/>
      <c r="E57" s="18"/>
      <c r="F57" s="23"/>
      <c r="G57" s="5"/>
      <c r="H57" s="5"/>
      <c r="I57" s="5"/>
      <c r="J57" s="5"/>
      <c r="K57" s="5"/>
      <c r="L57" s="5"/>
      <c r="M57" s="5"/>
      <c r="N57" s="5"/>
      <c r="O57" s="12"/>
      <c r="P57" s="12"/>
      <c r="Q57" s="21"/>
      <c r="R57" s="21"/>
      <c r="S57" s="5"/>
      <c r="T57" s="59"/>
      <c r="U57" s="5"/>
      <c r="V57" s="5"/>
      <c r="X57" s="90" t="str">
        <f>$A$4&amp;" "&amp;A58&amp;"("&amp;B58&amp;","&amp;C58&amp;"^)"</f>
        <v>호계동 평촌더샵아이파크('19.03,1174^)</v>
      </c>
      <c r="Y57" s="91"/>
      <c r="Z57" s="91"/>
      <c r="AA57" s="91"/>
      <c r="AB57" s="91"/>
      <c r="AC57" s="91"/>
      <c r="AD57" s="91"/>
      <c r="AE57" s="91"/>
      <c r="AF57" s="91"/>
      <c r="AG57" s="92"/>
      <c r="AI57" s="32" t="str">
        <f t="shared" si="1"/>
        <v/>
      </c>
      <c r="AJ57" s="33" t="str">
        <f t="shared" si="0"/>
        <v/>
      </c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</row>
    <row r="58" spans="1:49" x14ac:dyDescent="0.3">
      <c r="A58" s="5" t="s">
        <v>1783</v>
      </c>
      <c r="B58" s="14" t="s">
        <v>1784</v>
      </c>
      <c r="C58" s="25">
        <v>1174</v>
      </c>
      <c r="D58" s="23">
        <v>82.2</v>
      </c>
      <c r="E58" s="21">
        <v>25</v>
      </c>
      <c r="F58" s="23">
        <v>59.9</v>
      </c>
      <c r="G58" s="24">
        <v>18</v>
      </c>
      <c r="H58" s="25">
        <v>310</v>
      </c>
      <c r="I58" s="29">
        <v>67500</v>
      </c>
      <c r="J58" s="29"/>
      <c r="K58" s="29">
        <v>44000</v>
      </c>
      <c r="L58" s="29"/>
      <c r="M58" s="6">
        <f t="shared" ref="M58:M63" si="68">I58-K58</f>
        <v>23500</v>
      </c>
      <c r="N58" s="7">
        <f t="shared" ref="N58:N63" si="69">IF(ISERROR(K58/I58),"",K58/I58)</f>
        <v>0.6518518518518519</v>
      </c>
      <c r="O58" s="12">
        <f t="shared" ref="O58:O63" si="70">I58/E58</f>
        <v>2700</v>
      </c>
      <c r="P58" s="12">
        <f t="shared" ref="P58:P63" si="71">K58/E58</f>
        <v>1760</v>
      </c>
      <c r="Q58" s="13">
        <v>3</v>
      </c>
      <c r="R58" s="13">
        <v>2</v>
      </c>
      <c r="S58" s="13" t="s">
        <v>51</v>
      </c>
      <c r="T58" s="8" t="s">
        <v>519</v>
      </c>
      <c r="U58" s="5"/>
      <c r="V58" s="5" t="s">
        <v>1785</v>
      </c>
      <c r="X58" s="23">
        <f t="shared" ref="X58:Y63" si="72">D58</f>
        <v>82.2</v>
      </c>
      <c r="Y58" s="21">
        <f t="shared" si="72"/>
        <v>25</v>
      </c>
      <c r="Z58" s="28">
        <f t="shared" ref="Z58:AA63" si="73">H58</f>
        <v>310</v>
      </c>
      <c r="AA58" s="6">
        <f t="shared" si="73"/>
        <v>67500</v>
      </c>
      <c r="AB58" s="6">
        <f t="shared" ref="AB58:AB63" si="74">K58</f>
        <v>44000</v>
      </c>
      <c r="AC58" s="6">
        <f t="shared" ref="AC58:AE63" si="75">M58</f>
        <v>23500</v>
      </c>
      <c r="AD58" s="7">
        <f t="shared" si="75"/>
        <v>0.6518518518518519</v>
      </c>
      <c r="AE58" s="12">
        <f t="shared" si="75"/>
        <v>2700</v>
      </c>
      <c r="AF58" s="13" t="str">
        <f t="shared" ref="AF58:AF63" si="76">S58</f>
        <v>계</v>
      </c>
      <c r="AG58" s="13" t="str">
        <f t="shared" ref="AG58:AG63" si="77">Q58&amp;"/"&amp;R58</f>
        <v>3/2</v>
      </c>
      <c r="AI58" s="32" t="str">
        <f t="shared" si="1"/>
        <v>평촌더샵아이파크</v>
      </c>
      <c r="AJ58" s="21">
        <f t="shared" si="0"/>
        <v>25</v>
      </c>
      <c r="AK58" s="13" t="str">
        <f t="shared" ref="AK58:AK63" si="78">IF(AJ58="","",$AK$2)</f>
        <v>A-</v>
      </c>
      <c r="AL58" s="13"/>
      <c r="AM58" s="13"/>
      <c r="AN58" s="13"/>
      <c r="AO58" s="13" t="str">
        <f t="shared" ref="AO58:AO63" si="79">IF(AJ58="","",$AO$2)</f>
        <v>C</v>
      </c>
      <c r="AP58" s="13" t="str">
        <f t="shared" ref="AP58:AP63" si="80">IF(N58="","",IF(N58&gt;=$AP$1/100,"O","X"))</f>
        <v>X</v>
      </c>
      <c r="AQ58" s="13" t="str">
        <f t="shared" ref="AQ58:AQ63" si="81">IF(I58="","",IF(I58&lt;=$AQ$1,"O","X"))</f>
        <v>X</v>
      </c>
      <c r="AR58" s="13" t="str">
        <f t="shared" ref="AR58:AR63" si="82">IF(O58="","",IF(O58&lt;=$AR$1,"O","X"))</f>
        <v>X</v>
      </c>
      <c r="AS58" s="13" t="str">
        <f t="shared" ref="AS58:AS63" si="83">IF(M58="","",IF(M58&lt;=$AS$1,"O","X"))</f>
        <v>X</v>
      </c>
      <c r="AT58" s="13" t="s">
        <v>32</v>
      </c>
      <c r="AU58" s="13" t="str">
        <f t="shared" ref="AU58:AU63" si="84">IF(OR(F58="",AJ58=""),"",IF(AND((F58&lt;=85),(AJ58&gt;=15)),"O","X"))</f>
        <v>O</v>
      </c>
      <c r="AV58" s="13" t="str">
        <f t="shared" ref="AV58:AV63" si="85">IF(C58="","",IF(C58&gt;=$AV$1,"O","X"))</f>
        <v>O</v>
      </c>
      <c r="AW58" s="13" t="str">
        <f t="shared" ref="AW58:AW63" si="86">IF(AP58="","",IF(AND(AP58="O",AQ58="O",AS58="O",AU58="O",AV58="O"),"후보","X"))</f>
        <v>X</v>
      </c>
    </row>
    <row r="59" spans="1:49" x14ac:dyDescent="0.3">
      <c r="A59" s="5" t="s">
        <v>1783</v>
      </c>
      <c r="B59" s="14" t="s">
        <v>1784</v>
      </c>
      <c r="C59" s="25">
        <v>1174</v>
      </c>
      <c r="D59" s="23">
        <v>82.5</v>
      </c>
      <c r="E59" s="21">
        <v>25</v>
      </c>
      <c r="F59" s="23">
        <v>59.8</v>
      </c>
      <c r="G59" s="24">
        <v>18</v>
      </c>
      <c r="H59" s="25">
        <v>107</v>
      </c>
      <c r="I59" s="29">
        <v>65000</v>
      </c>
      <c r="J59" s="29"/>
      <c r="K59" s="29">
        <v>40000</v>
      </c>
      <c r="L59" s="29"/>
      <c r="M59" s="6">
        <f t="shared" si="68"/>
        <v>25000</v>
      </c>
      <c r="N59" s="7">
        <f t="shared" si="69"/>
        <v>0.61538461538461542</v>
      </c>
      <c r="O59" s="12">
        <f t="shared" si="70"/>
        <v>2600</v>
      </c>
      <c r="P59" s="12">
        <f t="shared" si="71"/>
        <v>1600</v>
      </c>
      <c r="Q59" s="13">
        <v>3</v>
      </c>
      <c r="R59" s="13">
        <v>2</v>
      </c>
      <c r="S59" s="13" t="s">
        <v>51</v>
      </c>
      <c r="T59" s="8" t="s">
        <v>804</v>
      </c>
      <c r="U59" s="5"/>
      <c r="V59" s="5" t="s">
        <v>1786</v>
      </c>
      <c r="X59" s="23">
        <f t="shared" si="72"/>
        <v>82.5</v>
      </c>
      <c r="Y59" s="21">
        <f t="shared" si="72"/>
        <v>25</v>
      </c>
      <c r="Z59" s="28">
        <f t="shared" si="73"/>
        <v>107</v>
      </c>
      <c r="AA59" s="6">
        <f t="shared" si="73"/>
        <v>65000</v>
      </c>
      <c r="AB59" s="6">
        <f t="shared" si="74"/>
        <v>40000</v>
      </c>
      <c r="AC59" s="6">
        <f t="shared" si="75"/>
        <v>25000</v>
      </c>
      <c r="AD59" s="7">
        <f t="shared" si="75"/>
        <v>0.61538461538461542</v>
      </c>
      <c r="AE59" s="12">
        <f t="shared" si="75"/>
        <v>2600</v>
      </c>
      <c r="AF59" s="13" t="str">
        <f t="shared" si="76"/>
        <v>계</v>
      </c>
      <c r="AG59" s="13" t="str">
        <f t="shared" si="77"/>
        <v>3/2</v>
      </c>
      <c r="AI59" s="32" t="str">
        <f t="shared" si="1"/>
        <v>평촌더샵아이파크</v>
      </c>
      <c r="AJ59" s="21">
        <f t="shared" si="0"/>
        <v>25</v>
      </c>
      <c r="AK59" s="13" t="str">
        <f t="shared" si="78"/>
        <v>A-</v>
      </c>
      <c r="AL59" s="13"/>
      <c r="AM59" s="13"/>
      <c r="AN59" s="13"/>
      <c r="AO59" s="13" t="str">
        <f t="shared" si="79"/>
        <v>C</v>
      </c>
      <c r="AP59" s="13" t="str">
        <f t="shared" si="80"/>
        <v>X</v>
      </c>
      <c r="AQ59" s="13" t="str">
        <f t="shared" si="81"/>
        <v>X</v>
      </c>
      <c r="AR59" s="13" t="str">
        <f t="shared" si="82"/>
        <v>X</v>
      </c>
      <c r="AS59" s="13" t="str">
        <f t="shared" si="83"/>
        <v>X</v>
      </c>
      <c r="AT59" s="13" t="s">
        <v>32</v>
      </c>
      <c r="AU59" s="13" t="str">
        <f t="shared" si="84"/>
        <v>O</v>
      </c>
      <c r="AV59" s="13" t="str">
        <f t="shared" si="85"/>
        <v>O</v>
      </c>
      <c r="AW59" s="13" t="str">
        <f t="shared" si="86"/>
        <v>X</v>
      </c>
    </row>
    <row r="60" spans="1:49" x14ac:dyDescent="0.3">
      <c r="A60" s="5" t="s">
        <v>1783</v>
      </c>
      <c r="B60" s="14" t="s">
        <v>1784</v>
      </c>
      <c r="C60" s="25">
        <v>1174</v>
      </c>
      <c r="D60" s="23">
        <v>100.6</v>
      </c>
      <c r="E60" s="21">
        <v>30</v>
      </c>
      <c r="F60" s="23">
        <v>74.900000000000006</v>
      </c>
      <c r="G60" s="24">
        <v>23</v>
      </c>
      <c r="H60" s="25">
        <v>205</v>
      </c>
      <c r="I60" s="29">
        <v>80500</v>
      </c>
      <c r="J60" s="29"/>
      <c r="K60" s="29">
        <v>49000</v>
      </c>
      <c r="L60" s="29"/>
      <c r="M60" s="6">
        <f t="shared" si="68"/>
        <v>31500</v>
      </c>
      <c r="N60" s="7">
        <f t="shared" si="69"/>
        <v>0.60869565217391308</v>
      </c>
      <c r="O60" s="12">
        <f t="shared" si="70"/>
        <v>2683.3333333333335</v>
      </c>
      <c r="P60" s="12">
        <f t="shared" si="71"/>
        <v>1633.3333333333333</v>
      </c>
      <c r="Q60" s="13">
        <v>3</v>
      </c>
      <c r="R60" s="13">
        <v>2</v>
      </c>
      <c r="S60" s="13" t="s">
        <v>51</v>
      </c>
      <c r="T60" s="8">
        <v>100</v>
      </c>
      <c r="U60" s="5"/>
      <c r="V60" s="5" t="s">
        <v>1787</v>
      </c>
      <c r="X60" s="23">
        <f t="shared" si="72"/>
        <v>100.6</v>
      </c>
      <c r="Y60" s="21">
        <f t="shared" si="72"/>
        <v>30</v>
      </c>
      <c r="Z60" s="28">
        <f t="shared" si="73"/>
        <v>205</v>
      </c>
      <c r="AA60" s="6">
        <f t="shared" si="73"/>
        <v>80500</v>
      </c>
      <c r="AB60" s="6">
        <f t="shared" si="74"/>
        <v>49000</v>
      </c>
      <c r="AC60" s="6">
        <f t="shared" si="75"/>
        <v>31500</v>
      </c>
      <c r="AD60" s="7">
        <f t="shared" si="75"/>
        <v>0.60869565217391308</v>
      </c>
      <c r="AE60" s="12">
        <f t="shared" si="75"/>
        <v>2683.3333333333335</v>
      </c>
      <c r="AF60" s="13" t="str">
        <f t="shared" si="76"/>
        <v>계</v>
      </c>
      <c r="AG60" s="13" t="str">
        <f t="shared" si="77"/>
        <v>3/2</v>
      </c>
      <c r="AI60" s="32" t="str">
        <f t="shared" si="1"/>
        <v>평촌더샵아이파크</v>
      </c>
      <c r="AJ60" s="21">
        <f t="shared" si="0"/>
        <v>30</v>
      </c>
      <c r="AK60" s="13" t="str">
        <f t="shared" si="78"/>
        <v>A-</v>
      </c>
      <c r="AL60" s="13"/>
      <c r="AM60" s="13"/>
      <c r="AN60" s="13"/>
      <c r="AO60" s="13" t="str">
        <f t="shared" si="79"/>
        <v>C</v>
      </c>
      <c r="AP60" s="13" t="str">
        <f t="shared" si="80"/>
        <v>X</v>
      </c>
      <c r="AQ60" s="13" t="str">
        <f t="shared" si="81"/>
        <v>X</v>
      </c>
      <c r="AR60" s="13" t="str">
        <f t="shared" si="82"/>
        <v>X</v>
      </c>
      <c r="AS60" s="13" t="str">
        <f t="shared" si="83"/>
        <v>X</v>
      </c>
      <c r="AT60" s="13" t="s">
        <v>32</v>
      </c>
      <c r="AU60" s="13" t="str">
        <f t="shared" si="84"/>
        <v>O</v>
      </c>
      <c r="AV60" s="13" t="str">
        <f t="shared" si="85"/>
        <v>O</v>
      </c>
      <c r="AW60" s="13" t="str">
        <f t="shared" si="86"/>
        <v>X</v>
      </c>
    </row>
    <row r="61" spans="1:49" x14ac:dyDescent="0.3">
      <c r="A61" s="5" t="s">
        <v>1783</v>
      </c>
      <c r="B61" s="14" t="s">
        <v>1784</v>
      </c>
      <c r="C61" s="25">
        <v>1174</v>
      </c>
      <c r="D61" s="23">
        <v>112.8</v>
      </c>
      <c r="E61" s="21">
        <v>34</v>
      </c>
      <c r="F61" s="23">
        <v>85</v>
      </c>
      <c r="G61" s="24">
        <v>26</v>
      </c>
      <c r="H61" s="25">
        <v>396</v>
      </c>
      <c r="I61" s="29">
        <v>90000</v>
      </c>
      <c r="J61" s="29"/>
      <c r="K61" s="29">
        <v>55000</v>
      </c>
      <c r="L61" s="29"/>
      <c r="M61" s="6">
        <f t="shared" si="68"/>
        <v>35000</v>
      </c>
      <c r="N61" s="7">
        <f t="shared" si="69"/>
        <v>0.61111111111111116</v>
      </c>
      <c r="O61" s="12">
        <f t="shared" si="70"/>
        <v>2647.0588235294117</v>
      </c>
      <c r="P61" s="12">
        <f t="shared" si="71"/>
        <v>1617.6470588235295</v>
      </c>
      <c r="Q61" s="13">
        <v>3</v>
      </c>
      <c r="R61" s="13">
        <v>2</v>
      </c>
      <c r="S61" s="13" t="s">
        <v>51</v>
      </c>
      <c r="T61" s="8" t="s">
        <v>261</v>
      </c>
      <c r="U61" s="5"/>
      <c r="V61" s="5" t="s">
        <v>1788</v>
      </c>
      <c r="X61" s="23">
        <f t="shared" si="72"/>
        <v>112.8</v>
      </c>
      <c r="Y61" s="21">
        <f t="shared" si="72"/>
        <v>34</v>
      </c>
      <c r="Z61" s="28">
        <f t="shared" si="73"/>
        <v>396</v>
      </c>
      <c r="AA61" s="6">
        <f t="shared" si="73"/>
        <v>90000</v>
      </c>
      <c r="AB61" s="6">
        <f t="shared" si="74"/>
        <v>55000</v>
      </c>
      <c r="AC61" s="6">
        <f t="shared" si="75"/>
        <v>35000</v>
      </c>
      <c r="AD61" s="7">
        <f t="shared" si="75"/>
        <v>0.61111111111111116</v>
      </c>
      <c r="AE61" s="12">
        <f t="shared" si="75"/>
        <v>2647.0588235294117</v>
      </c>
      <c r="AF61" s="13" t="str">
        <f t="shared" si="76"/>
        <v>계</v>
      </c>
      <c r="AG61" s="13" t="str">
        <f t="shared" si="77"/>
        <v>3/2</v>
      </c>
      <c r="AI61" s="32" t="str">
        <f t="shared" si="1"/>
        <v>평촌더샵아이파크</v>
      </c>
      <c r="AJ61" s="21">
        <f t="shared" si="0"/>
        <v>34</v>
      </c>
      <c r="AK61" s="13" t="str">
        <f t="shared" si="78"/>
        <v>A-</v>
      </c>
      <c r="AL61" s="13"/>
      <c r="AM61" s="13"/>
      <c r="AN61" s="13"/>
      <c r="AO61" s="13" t="str">
        <f t="shared" si="79"/>
        <v>C</v>
      </c>
      <c r="AP61" s="13" t="str">
        <f t="shared" si="80"/>
        <v>X</v>
      </c>
      <c r="AQ61" s="13" t="str">
        <f t="shared" si="81"/>
        <v>X</v>
      </c>
      <c r="AR61" s="13" t="str">
        <f t="shared" si="82"/>
        <v>X</v>
      </c>
      <c r="AS61" s="13" t="str">
        <f t="shared" si="83"/>
        <v>X</v>
      </c>
      <c r="AT61" s="13" t="s">
        <v>32</v>
      </c>
      <c r="AU61" s="13" t="str">
        <f t="shared" si="84"/>
        <v>O</v>
      </c>
      <c r="AV61" s="13" t="str">
        <f t="shared" si="85"/>
        <v>O</v>
      </c>
      <c r="AW61" s="13" t="str">
        <f t="shared" si="86"/>
        <v>X</v>
      </c>
    </row>
    <row r="62" spans="1:49" x14ac:dyDescent="0.3">
      <c r="A62" s="5" t="s">
        <v>1783</v>
      </c>
      <c r="B62" s="14" t="s">
        <v>1784</v>
      </c>
      <c r="C62" s="25">
        <v>1174</v>
      </c>
      <c r="D62" s="23">
        <v>112.7</v>
      </c>
      <c r="E62" s="21">
        <v>34</v>
      </c>
      <c r="F62" s="23">
        <v>84.9</v>
      </c>
      <c r="G62" s="24">
        <v>26</v>
      </c>
      <c r="H62" s="25">
        <v>87</v>
      </c>
      <c r="I62" s="29">
        <v>90000</v>
      </c>
      <c r="J62" s="29"/>
      <c r="K62" s="29">
        <v>55000</v>
      </c>
      <c r="L62" s="29"/>
      <c r="M62" s="6">
        <f t="shared" si="68"/>
        <v>35000</v>
      </c>
      <c r="N62" s="7">
        <f t="shared" si="69"/>
        <v>0.61111111111111116</v>
      </c>
      <c r="O62" s="12">
        <f t="shared" si="70"/>
        <v>2647.0588235294117</v>
      </c>
      <c r="P62" s="12">
        <f t="shared" si="71"/>
        <v>1617.6470588235295</v>
      </c>
      <c r="Q62" s="13">
        <v>3</v>
      </c>
      <c r="R62" s="13">
        <v>2</v>
      </c>
      <c r="S62" s="13" t="s">
        <v>51</v>
      </c>
      <c r="T62" s="8" t="s">
        <v>580</v>
      </c>
      <c r="U62" s="5"/>
      <c r="V62" s="5" t="s">
        <v>1788</v>
      </c>
      <c r="X62" s="23">
        <f t="shared" si="72"/>
        <v>112.7</v>
      </c>
      <c r="Y62" s="21">
        <f t="shared" si="72"/>
        <v>34</v>
      </c>
      <c r="Z62" s="28">
        <f t="shared" si="73"/>
        <v>87</v>
      </c>
      <c r="AA62" s="6">
        <f t="shared" si="73"/>
        <v>90000</v>
      </c>
      <c r="AB62" s="6">
        <f t="shared" si="74"/>
        <v>55000</v>
      </c>
      <c r="AC62" s="6">
        <f t="shared" si="75"/>
        <v>35000</v>
      </c>
      <c r="AD62" s="7">
        <f t="shared" si="75"/>
        <v>0.61111111111111116</v>
      </c>
      <c r="AE62" s="12">
        <f t="shared" si="75"/>
        <v>2647.0588235294117</v>
      </c>
      <c r="AF62" s="13" t="str">
        <f t="shared" si="76"/>
        <v>계</v>
      </c>
      <c r="AG62" s="13" t="str">
        <f t="shared" si="77"/>
        <v>3/2</v>
      </c>
      <c r="AI62" s="32" t="str">
        <f t="shared" si="1"/>
        <v>평촌더샵아이파크</v>
      </c>
      <c r="AJ62" s="21">
        <f t="shared" si="0"/>
        <v>34</v>
      </c>
      <c r="AK62" s="13" t="str">
        <f t="shared" si="78"/>
        <v>A-</v>
      </c>
      <c r="AL62" s="13"/>
      <c r="AM62" s="13"/>
      <c r="AN62" s="13"/>
      <c r="AO62" s="13" t="str">
        <f t="shared" si="79"/>
        <v>C</v>
      </c>
      <c r="AP62" s="13" t="str">
        <f t="shared" si="80"/>
        <v>X</v>
      </c>
      <c r="AQ62" s="13" t="str">
        <f t="shared" si="81"/>
        <v>X</v>
      </c>
      <c r="AR62" s="13" t="str">
        <f t="shared" si="82"/>
        <v>X</v>
      </c>
      <c r="AS62" s="13" t="str">
        <f t="shared" si="83"/>
        <v>X</v>
      </c>
      <c r="AT62" s="13" t="s">
        <v>32</v>
      </c>
      <c r="AU62" s="13" t="str">
        <f t="shared" si="84"/>
        <v>O</v>
      </c>
      <c r="AV62" s="13" t="str">
        <f t="shared" si="85"/>
        <v>O</v>
      </c>
      <c r="AW62" s="13" t="str">
        <f t="shared" si="86"/>
        <v>X</v>
      </c>
    </row>
    <row r="63" spans="1:49" x14ac:dyDescent="0.3">
      <c r="A63" s="5" t="s">
        <v>1783</v>
      </c>
      <c r="B63" s="14" t="s">
        <v>1784</v>
      </c>
      <c r="C63" s="25">
        <v>1174</v>
      </c>
      <c r="D63" s="23">
        <v>142.80000000000001</v>
      </c>
      <c r="E63" s="21">
        <v>43</v>
      </c>
      <c r="F63" s="23">
        <v>114.9</v>
      </c>
      <c r="G63" s="24">
        <v>35</v>
      </c>
      <c r="H63" s="25">
        <v>33</v>
      </c>
      <c r="I63" s="29">
        <v>125000</v>
      </c>
      <c r="J63" s="29"/>
      <c r="K63" s="29">
        <v>79000</v>
      </c>
      <c r="L63" s="29"/>
      <c r="M63" s="6">
        <f t="shared" si="68"/>
        <v>46000</v>
      </c>
      <c r="N63" s="7">
        <f t="shared" si="69"/>
        <v>0.63200000000000001</v>
      </c>
      <c r="O63" s="12">
        <f t="shared" si="70"/>
        <v>2906.9767441860463</v>
      </c>
      <c r="P63" s="12">
        <f t="shared" si="71"/>
        <v>1837.2093023255813</v>
      </c>
      <c r="Q63" s="13">
        <v>4</v>
      </c>
      <c r="R63" s="13">
        <v>2</v>
      </c>
      <c r="S63" s="13" t="s">
        <v>51</v>
      </c>
      <c r="T63" s="8">
        <v>142</v>
      </c>
      <c r="U63" s="5"/>
      <c r="V63" s="5" t="s">
        <v>1789</v>
      </c>
      <c r="X63" s="23">
        <f t="shared" si="72"/>
        <v>142.80000000000001</v>
      </c>
      <c r="Y63" s="21">
        <f t="shared" si="72"/>
        <v>43</v>
      </c>
      <c r="Z63" s="28">
        <f t="shared" si="73"/>
        <v>33</v>
      </c>
      <c r="AA63" s="6">
        <f t="shared" si="73"/>
        <v>125000</v>
      </c>
      <c r="AB63" s="6">
        <f t="shared" si="74"/>
        <v>79000</v>
      </c>
      <c r="AC63" s="6">
        <f t="shared" si="75"/>
        <v>46000</v>
      </c>
      <c r="AD63" s="7">
        <f t="shared" si="75"/>
        <v>0.63200000000000001</v>
      </c>
      <c r="AE63" s="12">
        <f t="shared" si="75"/>
        <v>2906.9767441860463</v>
      </c>
      <c r="AF63" s="13" t="str">
        <f t="shared" si="76"/>
        <v>계</v>
      </c>
      <c r="AG63" s="13" t="str">
        <f t="shared" si="77"/>
        <v>4/2</v>
      </c>
      <c r="AI63" s="32" t="str">
        <f t="shared" si="1"/>
        <v>평촌더샵아이파크</v>
      </c>
      <c r="AJ63" s="21">
        <f t="shared" si="0"/>
        <v>43</v>
      </c>
      <c r="AK63" s="13" t="str">
        <f t="shared" si="78"/>
        <v>A-</v>
      </c>
      <c r="AL63" s="13"/>
      <c r="AM63" s="13"/>
      <c r="AN63" s="13"/>
      <c r="AO63" s="13" t="str">
        <f t="shared" si="79"/>
        <v>C</v>
      </c>
      <c r="AP63" s="13" t="str">
        <f t="shared" si="80"/>
        <v>X</v>
      </c>
      <c r="AQ63" s="13" t="str">
        <f t="shared" si="81"/>
        <v>X</v>
      </c>
      <c r="AR63" s="13" t="str">
        <f t="shared" si="82"/>
        <v>X</v>
      </c>
      <c r="AS63" s="13" t="str">
        <f t="shared" si="83"/>
        <v>X</v>
      </c>
      <c r="AT63" s="13" t="s">
        <v>32</v>
      </c>
      <c r="AU63" s="13" t="str">
        <f t="shared" si="84"/>
        <v>X</v>
      </c>
      <c r="AV63" s="13" t="str">
        <f t="shared" si="85"/>
        <v>O</v>
      </c>
      <c r="AW63" s="13" t="str">
        <f t="shared" si="86"/>
        <v>X</v>
      </c>
    </row>
    <row r="64" spans="1:49" x14ac:dyDescent="0.3">
      <c r="A64" s="5"/>
      <c r="B64" s="13"/>
      <c r="C64" s="9"/>
      <c r="D64" s="5"/>
      <c r="E64" s="18"/>
      <c r="F64" s="23"/>
      <c r="G64" s="5"/>
      <c r="H64" s="5"/>
      <c r="I64" s="5"/>
      <c r="J64" s="5"/>
      <c r="K64" s="5"/>
      <c r="L64" s="5"/>
      <c r="M64" s="5"/>
      <c r="N64" s="5"/>
      <c r="O64" s="12"/>
      <c r="P64" s="12"/>
      <c r="Q64" s="21"/>
      <c r="R64" s="21"/>
      <c r="S64" s="5"/>
      <c r="T64" s="59"/>
      <c r="U64" s="5"/>
      <c r="V64" s="5"/>
      <c r="X64" s="90" t="str">
        <f>$A$4&amp;" "&amp;A65&amp;"("&amp;B65&amp;","&amp;C65&amp;"^)"</f>
        <v>호계동 평촌두산위브더프라임('25.06,456^)</v>
      </c>
      <c r="Y64" s="91"/>
      <c r="Z64" s="91"/>
      <c r="AA64" s="91"/>
      <c r="AB64" s="91"/>
      <c r="AC64" s="91"/>
      <c r="AD64" s="91"/>
      <c r="AE64" s="91"/>
      <c r="AF64" s="91"/>
      <c r="AG64" s="92"/>
      <c r="AI64" s="32" t="str">
        <f t="shared" si="1"/>
        <v/>
      </c>
      <c r="AJ64" s="33" t="str">
        <f t="shared" si="0"/>
        <v/>
      </c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</row>
    <row r="65" spans="1:49" x14ac:dyDescent="0.3">
      <c r="A65" s="5" t="s">
        <v>1790</v>
      </c>
      <c r="B65" s="14" t="s">
        <v>1791</v>
      </c>
      <c r="C65" s="25">
        <v>456</v>
      </c>
      <c r="D65" s="23">
        <v>71.7</v>
      </c>
      <c r="E65" s="21">
        <v>22</v>
      </c>
      <c r="F65" s="23">
        <v>50</v>
      </c>
      <c r="G65" s="24">
        <v>15</v>
      </c>
      <c r="H65" s="25">
        <v>88</v>
      </c>
      <c r="I65" s="29"/>
      <c r="J65" s="29"/>
      <c r="K65" s="29"/>
      <c r="L65" s="29"/>
      <c r="M65" s="6">
        <f>I65-K65</f>
        <v>0</v>
      </c>
      <c r="N65" s="7" t="str">
        <f>IF(ISERROR(K65/I65),"",K65/I65)</f>
        <v/>
      </c>
      <c r="O65" s="12">
        <f>I65/E65</f>
        <v>0</v>
      </c>
      <c r="P65" s="12">
        <f>K65/E65</f>
        <v>0</v>
      </c>
      <c r="Q65" s="13">
        <v>2</v>
      </c>
      <c r="R65" s="13">
        <v>2</v>
      </c>
      <c r="S65" s="13" t="s">
        <v>51</v>
      </c>
      <c r="T65" s="8">
        <v>71</v>
      </c>
      <c r="U65" s="5"/>
      <c r="V65" s="5" t="s">
        <v>1792</v>
      </c>
      <c r="X65" s="23">
        <f t="shared" ref="X65:Y67" si="87">D65</f>
        <v>71.7</v>
      </c>
      <c r="Y65" s="21">
        <f t="shared" si="87"/>
        <v>22</v>
      </c>
      <c r="Z65" s="28">
        <f t="shared" ref="Z65:AA67" si="88">H65</f>
        <v>88</v>
      </c>
      <c r="AA65" s="6">
        <f t="shared" si="88"/>
        <v>0</v>
      </c>
      <c r="AB65" s="6">
        <f>K65</f>
        <v>0</v>
      </c>
      <c r="AC65" s="6">
        <f t="shared" ref="AC65:AE67" si="89">M65</f>
        <v>0</v>
      </c>
      <c r="AD65" s="7" t="str">
        <f t="shared" si="89"/>
        <v/>
      </c>
      <c r="AE65" s="12">
        <f t="shared" si="89"/>
        <v>0</v>
      </c>
      <c r="AF65" s="13" t="str">
        <f>S65</f>
        <v>계</v>
      </c>
      <c r="AG65" s="13" t="str">
        <f>Q65&amp;"/"&amp;R65</f>
        <v>2/2</v>
      </c>
      <c r="AI65" s="32" t="str">
        <f t="shared" si="1"/>
        <v>평촌두산위브더프라임</v>
      </c>
      <c r="AJ65" s="21">
        <f t="shared" si="0"/>
        <v>22</v>
      </c>
      <c r="AK65" s="13" t="str">
        <f>IF(AJ65="","",$AK$2)</f>
        <v>A-</v>
      </c>
      <c r="AL65" s="13"/>
      <c r="AM65" s="13"/>
      <c r="AN65" s="13"/>
      <c r="AO65" s="13" t="str">
        <f>IF(AJ65="","",$AO$2)</f>
        <v>C</v>
      </c>
      <c r="AP65" s="13" t="str">
        <f>IF(N65="","",IF(N65&gt;=$AP$1/100,"O","X"))</f>
        <v/>
      </c>
      <c r="AQ65" s="13" t="str">
        <f>IF(I65="","",IF(I65&lt;=$AQ$1,"O","X"))</f>
        <v/>
      </c>
      <c r="AR65" s="13" t="str">
        <f>IF(O65="","",IF(O65&lt;=$AR$1,"O","X"))</f>
        <v>O</v>
      </c>
      <c r="AS65" s="13" t="str">
        <f>IF(M65="","",IF(M65&lt;=$AS$1,"O","X"))</f>
        <v>O</v>
      </c>
      <c r="AT65" s="13" t="s">
        <v>32</v>
      </c>
      <c r="AU65" s="13" t="str">
        <f>IF(OR(F65="",AJ65=""),"",IF(AND((F65&lt;=85),(AJ65&gt;=15)),"O","X"))</f>
        <v>O</v>
      </c>
      <c r="AV65" s="13" t="str">
        <f>IF(C65="","",IF(C65&gt;=$AV$1,"O","X"))</f>
        <v>O</v>
      </c>
      <c r="AW65" s="13" t="str">
        <f>IF(AP65="","",IF(AND(AP65="O",AQ65="O",AS65="O",AU65="O",AV65="O"),"후보","X"))</f>
        <v/>
      </c>
    </row>
    <row r="66" spans="1:49" x14ac:dyDescent="0.3">
      <c r="A66" s="5" t="s">
        <v>1790</v>
      </c>
      <c r="B66" s="14" t="s">
        <v>1791</v>
      </c>
      <c r="C66" s="25">
        <v>456</v>
      </c>
      <c r="D66" s="23">
        <v>82.7</v>
      </c>
      <c r="E66" s="21">
        <v>25</v>
      </c>
      <c r="F66" s="23">
        <v>60</v>
      </c>
      <c r="G66" s="24">
        <v>18</v>
      </c>
      <c r="H66" s="25">
        <v>287</v>
      </c>
      <c r="I66" s="29">
        <v>60000</v>
      </c>
      <c r="J66" s="29"/>
      <c r="K66" s="29"/>
      <c r="L66" s="29"/>
      <c r="M66" s="6">
        <f>I66-K66</f>
        <v>60000</v>
      </c>
      <c r="N66" s="7">
        <f>IF(ISERROR(K66/I66),"",K66/I66)</f>
        <v>0</v>
      </c>
      <c r="O66" s="12">
        <f>I66/E66</f>
        <v>2400</v>
      </c>
      <c r="P66" s="12">
        <f>K66/E66</f>
        <v>0</v>
      </c>
      <c r="Q66" s="13">
        <v>3</v>
      </c>
      <c r="R66" s="13">
        <v>2</v>
      </c>
      <c r="S66" s="13" t="s">
        <v>51</v>
      </c>
      <c r="T66" s="8">
        <v>82</v>
      </c>
      <c r="U66" s="5"/>
      <c r="V66" s="5" t="s">
        <v>1793</v>
      </c>
      <c r="X66" s="23">
        <f t="shared" si="87"/>
        <v>82.7</v>
      </c>
      <c r="Y66" s="21">
        <f t="shared" si="87"/>
        <v>25</v>
      </c>
      <c r="Z66" s="28">
        <f t="shared" si="88"/>
        <v>287</v>
      </c>
      <c r="AA66" s="6">
        <f t="shared" si="88"/>
        <v>60000</v>
      </c>
      <c r="AB66" s="6">
        <f>K66</f>
        <v>0</v>
      </c>
      <c r="AC66" s="6">
        <f t="shared" si="89"/>
        <v>60000</v>
      </c>
      <c r="AD66" s="7">
        <f t="shared" si="89"/>
        <v>0</v>
      </c>
      <c r="AE66" s="12">
        <f t="shared" si="89"/>
        <v>2400</v>
      </c>
      <c r="AF66" s="13" t="str">
        <f>S66</f>
        <v>계</v>
      </c>
      <c r="AG66" s="13" t="str">
        <f>Q66&amp;"/"&amp;R66</f>
        <v>3/2</v>
      </c>
      <c r="AI66" s="32" t="str">
        <f t="shared" si="1"/>
        <v>평촌두산위브더프라임</v>
      </c>
      <c r="AJ66" s="21">
        <f t="shared" si="0"/>
        <v>25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>X</v>
      </c>
      <c r="AQ66" s="13" t="str">
        <f>IF(I66="","",IF(I66&lt;=$AQ$1,"O","X"))</f>
        <v>X</v>
      </c>
      <c r="AR66" s="13" t="str">
        <f>IF(O66="","",IF(O66&lt;=$AR$1,"O","X"))</f>
        <v>X</v>
      </c>
      <c r="AS66" s="13" t="str">
        <f>IF(M66="","",IF(M66&lt;=$AS$1,"O","X"))</f>
        <v>X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>X</v>
      </c>
    </row>
    <row r="67" spans="1:49" x14ac:dyDescent="0.3">
      <c r="A67" s="5" t="s">
        <v>1790</v>
      </c>
      <c r="B67" s="14" t="s">
        <v>1791</v>
      </c>
      <c r="C67" s="25">
        <v>456</v>
      </c>
      <c r="D67" s="23">
        <v>109.2</v>
      </c>
      <c r="E67" s="21">
        <v>33</v>
      </c>
      <c r="F67" s="23">
        <v>84.9</v>
      </c>
      <c r="G67" s="24">
        <v>26</v>
      </c>
      <c r="H67" s="25">
        <v>62</v>
      </c>
      <c r="I67" s="29"/>
      <c r="J67" s="29"/>
      <c r="K67" s="29"/>
      <c r="L67" s="29"/>
      <c r="M67" s="6">
        <f>I67-K67</f>
        <v>0</v>
      </c>
      <c r="N67" s="7" t="str">
        <f>IF(ISERROR(K67/I67),"",K67/I67)</f>
        <v/>
      </c>
      <c r="O67" s="12">
        <f>I67/E67</f>
        <v>0</v>
      </c>
      <c r="P67" s="12">
        <f>K67/E67</f>
        <v>0</v>
      </c>
      <c r="Q67" s="13">
        <v>4</v>
      </c>
      <c r="R67" s="13">
        <v>2</v>
      </c>
      <c r="S67" s="13" t="s">
        <v>51</v>
      </c>
      <c r="T67" s="8">
        <v>109</v>
      </c>
      <c r="U67" s="5"/>
      <c r="V67" s="5" t="s">
        <v>1794</v>
      </c>
      <c r="X67" s="23">
        <f t="shared" si="87"/>
        <v>109.2</v>
      </c>
      <c r="Y67" s="21">
        <f t="shared" si="87"/>
        <v>33</v>
      </c>
      <c r="Z67" s="28">
        <f t="shared" si="88"/>
        <v>62</v>
      </c>
      <c r="AA67" s="6">
        <f t="shared" si="88"/>
        <v>0</v>
      </c>
      <c r="AB67" s="6">
        <f>K67</f>
        <v>0</v>
      </c>
      <c r="AC67" s="6">
        <f t="shared" si="89"/>
        <v>0</v>
      </c>
      <c r="AD67" s="7" t="str">
        <f t="shared" si="89"/>
        <v/>
      </c>
      <c r="AE67" s="12">
        <f t="shared" si="89"/>
        <v>0</v>
      </c>
      <c r="AF67" s="13" t="str">
        <f>S67</f>
        <v>계</v>
      </c>
      <c r="AG67" s="13" t="str">
        <f>Q67&amp;"/"&amp;R67</f>
        <v>4/2</v>
      </c>
      <c r="AI67" s="32" t="str">
        <f t="shared" si="1"/>
        <v>평촌두산위브더프라임</v>
      </c>
      <c r="AJ67" s="21">
        <f t="shared" ref="AJ67:AJ130" si="90">IF(E67="","",E67)</f>
        <v>33</v>
      </c>
      <c r="AK67" s="13" t="str">
        <f>IF(AJ67="","",$AK$2)</f>
        <v>A-</v>
      </c>
      <c r="AL67" s="13"/>
      <c r="AM67" s="13"/>
      <c r="AN67" s="13"/>
      <c r="AO67" s="13" t="str">
        <f>IF(AJ67="","",$AO$2)</f>
        <v>C</v>
      </c>
      <c r="AP67" s="13" t="str">
        <f>IF(N67="","",IF(N67&gt;=$AP$1/100,"O","X"))</f>
        <v/>
      </c>
      <c r="AQ67" s="13" t="str">
        <f>IF(I67="","",IF(I67&lt;=$AQ$1,"O","X"))</f>
        <v/>
      </c>
      <c r="AR67" s="13" t="str">
        <f>IF(O67="","",IF(O67&lt;=$AR$1,"O","X"))</f>
        <v>O</v>
      </c>
      <c r="AS67" s="13" t="str">
        <f>IF(M67="","",IF(M67&lt;=$AS$1,"O","X"))</f>
        <v>O</v>
      </c>
      <c r="AT67" s="13" t="s">
        <v>32</v>
      </c>
      <c r="AU67" s="13" t="str">
        <f>IF(OR(F67="",AJ67=""),"",IF(AND((F67&lt;=85),(AJ67&gt;=15)),"O","X"))</f>
        <v>O</v>
      </c>
      <c r="AV67" s="13" t="str">
        <f>IF(C67="","",IF(C67&gt;=$AV$1,"O","X"))</f>
        <v>O</v>
      </c>
      <c r="AW67" s="13" t="str">
        <f>IF(AP67="","",IF(AND(AP67="O",AQ67="O",AS67="O",AU67="O",AV67="O"),"후보","X"))</f>
        <v/>
      </c>
    </row>
    <row r="68" spans="1:49" x14ac:dyDescent="0.3">
      <c r="A68" s="5"/>
      <c r="B68" s="13"/>
      <c r="C68" s="9"/>
      <c r="D68" s="5"/>
      <c r="E68" s="18"/>
      <c r="F68" s="23"/>
      <c r="G68" s="5"/>
      <c r="H68" s="5"/>
      <c r="I68" s="5"/>
      <c r="J68" s="5"/>
      <c r="K68" s="5"/>
      <c r="L68" s="5"/>
      <c r="M68" s="5"/>
      <c r="N68" s="5"/>
      <c r="O68" s="12"/>
      <c r="P68" s="12"/>
      <c r="Q68" s="21"/>
      <c r="R68" s="21"/>
      <c r="S68" s="5"/>
      <c r="T68" s="59"/>
      <c r="U68" s="5"/>
      <c r="V68" s="5"/>
      <c r="X68" s="90" t="str">
        <f>$A$4&amp;" "&amp;A69&amp;"("&amp;B69&amp;","&amp;C69&amp;"^)"</f>
        <v>호계동 목련1단지('92.11,480^)</v>
      </c>
      <c r="Y68" s="91"/>
      <c r="Z68" s="91"/>
      <c r="AA68" s="91"/>
      <c r="AB68" s="91"/>
      <c r="AC68" s="91"/>
      <c r="AD68" s="91"/>
      <c r="AE68" s="91"/>
      <c r="AF68" s="91"/>
      <c r="AG68" s="92"/>
      <c r="AI68" s="32" t="str">
        <f t="shared" si="1"/>
        <v/>
      </c>
      <c r="AJ68" s="33" t="str">
        <f t="shared" si="90"/>
        <v/>
      </c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</row>
    <row r="69" spans="1:49" x14ac:dyDescent="0.3">
      <c r="A69" s="5" t="s">
        <v>1795</v>
      </c>
      <c r="B69" s="14" t="s">
        <v>1366</v>
      </c>
      <c r="C69" s="25">
        <v>480</v>
      </c>
      <c r="D69" s="23">
        <v>117.3</v>
      </c>
      <c r="E69" s="21">
        <v>35</v>
      </c>
      <c r="F69" s="23">
        <v>98.9</v>
      </c>
      <c r="G69" s="24">
        <v>30</v>
      </c>
      <c r="H69" s="25">
        <v>124</v>
      </c>
      <c r="I69" s="29">
        <v>117000</v>
      </c>
      <c r="J69" s="29"/>
      <c r="K69" s="29">
        <v>64000</v>
      </c>
      <c r="L69" s="29"/>
      <c r="M69" s="6">
        <f t="shared" ref="M69:M74" si="91">I69-K69</f>
        <v>53000</v>
      </c>
      <c r="N69" s="7">
        <f t="shared" ref="N69:N74" si="92">IF(ISERROR(K69/I69),"",K69/I69)</f>
        <v>0.54700854700854706</v>
      </c>
      <c r="O69" s="12">
        <f t="shared" ref="O69:O74" si="93">I69/E69</f>
        <v>3342.8571428571427</v>
      </c>
      <c r="P69" s="12">
        <f t="shared" ref="P69:P74" si="94">K69/E69</f>
        <v>1828.5714285714287</v>
      </c>
      <c r="Q69" s="13">
        <v>3</v>
      </c>
      <c r="R69" s="13">
        <v>2</v>
      </c>
      <c r="S69" s="13" t="s">
        <v>51</v>
      </c>
      <c r="T69" s="8">
        <v>117</v>
      </c>
      <c r="U69" s="5"/>
      <c r="V69" s="5" t="s">
        <v>1796</v>
      </c>
      <c r="X69" s="23">
        <f t="shared" ref="X69:Y74" si="95">D69</f>
        <v>117.3</v>
      </c>
      <c r="Y69" s="21">
        <f t="shared" si="95"/>
        <v>35</v>
      </c>
      <c r="Z69" s="28">
        <f t="shared" ref="Z69:AA74" si="96">H69</f>
        <v>124</v>
      </c>
      <c r="AA69" s="6">
        <f t="shared" si="96"/>
        <v>117000</v>
      </c>
      <c r="AB69" s="6">
        <f t="shared" ref="AB69:AB74" si="97">K69</f>
        <v>64000</v>
      </c>
      <c r="AC69" s="6">
        <f t="shared" ref="AC69:AE74" si="98">M69</f>
        <v>53000</v>
      </c>
      <c r="AD69" s="7">
        <f t="shared" si="98"/>
        <v>0.54700854700854706</v>
      </c>
      <c r="AE69" s="12">
        <f t="shared" si="98"/>
        <v>3342.8571428571427</v>
      </c>
      <c r="AF69" s="13" t="str">
        <f t="shared" ref="AF69:AF74" si="99">S69</f>
        <v>계</v>
      </c>
      <c r="AG69" s="13" t="str">
        <f t="shared" ref="AG69:AG74" si="100">Q69&amp;"/"&amp;R69</f>
        <v>3/2</v>
      </c>
      <c r="AI69" s="32" t="str">
        <f t="shared" ref="AI69:AI132" si="101">IF(A69="","",A69)</f>
        <v>목련1단지</v>
      </c>
      <c r="AJ69" s="21">
        <f t="shared" si="90"/>
        <v>35</v>
      </c>
      <c r="AK69" s="13" t="str">
        <f t="shared" ref="AK69:AK74" si="102">IF(AJ69="","",$AK$2)</f>
        <v>A-</v>
      </c>
      <c r="AL69" s="13"/>
      <c r="AM69" s="13"/>
      <c r="AN69" s="13"/>
      <c r="AO69" s="13" t="str">
        <f t="shared" ref="AO69:AO74" si="103">IF(AJ69="","",$AO$2)</f>
        <v>C</v>
      </c>
      <c r="AP69" s="13" t="str">
        <f t="shared" ref="AP69:AP74" si="104">IF(N69="","",IF(N69&gt;=$AP$1/100,"O","X"))</f>
        <v>X</v>
      </c>
      <c r="AQ69" s="13" t="str">
        <f t="shared" ref="AQ69:AQ74" si="105">IF(I69="","",IF(I69&lt;=$AQ$1,"O","X"))</f>
        <v>X</v>
      </c>
      <c r="AR69" s="13" t="str">
        <f t="shared" ref="AR69:AR74" si="106">IF(O69="","",IF(O69&lt;=$AR$1,"O","X"))</f>
        <v>X</v>
      </c>
      <c r="AS69" s="13" t="str">
        <f t="shared" ref="AS69:AS74" si="107">IF(M69="","",IF(M69&lt;=$AS$1,"O","X"))</f>
        <v>X</v>
      </c>
      <c r="AT69" s="13" t="s">
        <v>32</v>
      </c>
      <c r="AU69" s="13" t="str">
        <f t="shared" ref="AU69:AU74" si="108">IF(OR(F69="",AJ69=""),"",IF(AND((F69&lt;=85),(AJ69&gt;=15)),"O","X"))</f>
        <v>X</v>
      </c>
      <c r="AV69" s="13" t="str">
        <f t="shared" ref="AV69:AV74" si="109">IF(C69="","",IF(C69&gt;=$AV$1,"O","X"))</f>
        <v>O</v>
      </c>
      <c r="AW69" s="13" t="str">
        <f t="shared" ref="AW69:AW74" si="110">IF(AP69="","",IF(AND(AP69="O",AQ69="O",AS69="O",AU69="O",AV69="O"),"후보","X"))</f>
        <v>X</v>
      </c>
    </row>
    <row r="70" spans="1:49" x14ac:dyDescent="0.3">
      <c r="A70" s="5" t="s">
        <v>1795</v>
      </c>
      <c r="B70" s="14" t="s">
        <v>1366</v>
      </c>
      <c r="C70" s="25">
        <v>480</v>
      </c>
      <c r="D70" s="23">
        <v>141.9</v>
      </c>
      <c r="E70" s="21">
        <v>43</v>
      </c>
      <c r="F70" s="23">
        <v>122.4</v>
      </c>
      <c r="G70" s="24">
        <v>37</v>
      </c>
      <c r="H70" s="25">
        <v>182</v>
      </c>
      <c r="I70" s="29">
        <v>128000</v>
      </c>
      <c r="J70" s="29"/>
      <c r="K70" s="29">
        <v>70000</v>
      </c>
      <c r="L70" s="29"/>
      <c r="M70" s="6">
        <f t="shared" si="91"/>
        <v>58000</v>
      </c>
      <c r="N70" s="7">
        <f t="shared" si="92"/>
        <v>0.546875</v>
      </c>
      <c r="O70" s="12">
        <f t="shared" si="93"/>
        <v>2976.7441860465115</v>
      </c>
      <c r="P70" s="12">
        <f t="shared" si="94"/>
        <v>1627.9069767441861</v>
      </c>
      <c r="Q70" s="13">
        <v>4</v>
      </c>
      <c r="R70" s="13">
        <v>2</v>
      </c>
      <c r="S70" s="13" t="s">
        <v>51</v>
      </c>
      <c r="T70" s="8">
        <v>141</v>
      </c>
      <c r="U70" s="5"/>
      <c r="V70" s="5" t="s">
        <v>1797</v>
      </c>
      <c r="X70" s="23">
        <f t="shared" si="95"/>
        <v>141.9</v>
      </c>
      <c r="Y70" s="21">
        <f t="shared" si="95"/>
        <v>43</v>
      </c>
      <c r="Z70" s="28">
        <f t="shared" si="96"/>
        <v>182</v>
      </c>
      <c r="AA70" s="6">
        <f t="shared" si="96"/>
        <v>128000</v>
      </c>
      <c r="AB70" s="6">
        <f t="shared" si="97"/>
        <v>70000</v>
      </c>
      <c r="AC70" s="6">
        <f t="shared" si="98"/>
        <v>58000</v>
      </c>
      <c r="AD70" s="7">
        <f t="shared" si="98"/>
        <v>0.546875</v>
      </c>
      <c r="AE70" s="12">
        <f t="shared" si="98"/>
        <v>2976.7441860465115</v>
      </c>
      <c r="AF70" s="13" t="str">
        <f t="shared" si="99"/>
        <v>계</v>
      </c>
      <c r="AG70" s="13" t="str">
        <f t="shared" si="100"/>
        <v>4/2</v>
      </c>
      <c r="AI70" s="32" t="str">
        <f t="shared" si="101"/>
        <v>목련1단지</v>
      </c>
      <c r="AJ70" s="21">
        <f t="shared" si="90"/>
        <v>43</v>
      </c>
      <c r="AK70" s="13" t="str">
        <f t="shared" si="102"/>
        <v>A-</v>
      </c>
      <c r="AL70" s="13"/>
      <c r="AM70" s="13"/>
      <c r="AN70" s="13"/>
      <c r="AO70" s="13" t="str">
        <f t="shared" si="103"/>
        <v>C</v>
      </c>
      <c r="AP70" s="13" t="str">
        <f t="shared" si="104"/>
        <v>X</v>
      </c>
      <c r="AQ70" s="13" t="str">
        <f t="shared" si="105"/>
        <v>X</v>
      </c>
      <c r="AR70" s="13" t="str">
        <f t="shared" si="106"/>
        <v>X</v>
      </c>
      <c r="AS70" s="13" t="str">
        <f t="shared" si="107"/>
        <v>X</v>
      </c>
      <c r="AT70" s="13" t="s">
        <v>32</v>
      </c>
      <c r="AU70" s="13" t="str">
        <f t="shared" si="108"/>
        <v>X</v>
      </c>
      <c r="AV70" s="13" t="str">
        <f t="shared" si="109"/>
        <v>O</v>
      </c>
      <c r="AW70" s="13" t="str">
        <f t="shared" si="110"/>
        <v>X</v>
      </c>
    </row>
    <row r="71" spans="1:49" x14ac:dyDescent="0.3">
      <c r="A71" s="5" t="s">
        <v>1795</v>
      </c>
      <c r="B71" s="14" t="s">
        <v>1366</v>
      </c>
      <c r="C71" s="25">
        <v>480</v>
      </c>
      <c r="D71" s="23">
        <v>156.6</v>
      </c>
      <c r="E71" s="21">
        <v>47</v>
      </c>
      <c r="F71" s="23">
        <v>134.6</v>
      </c>
      <c r="G71" s="24">
        <v>41</v>
      </c>
      <c r="H71" s="25">
        <v>100</v>
      </c>
      <c r="I71" s="29">
        <v>138000</v>
      </c>
      <c r="J71" s="29"/>
      <c r="K71" s="29">
        <v>78000</v>
      </c>
      <c r="L71" s="29"/>
      <c r="M71" s="6">
        <f t="shared" si="91"/>
        <v>60000</v>
      </c>
      <c r="N71" s="7">
        <f t="shared" si="92"/>
        <v>0.56521739130434778</v>
      </c>
      <c r="O71" s="12">
        <f t="shared" si="93"/>
        <v>2936.1702127659573</v>
      </c>
      <c r="P71" s="12">
        <f t="shared" si="94"/>
        <v>1659.5744680851064</v>
      </c>
      <c r="Q71" s="13">
        <v>4</v>
      </c>
      <c r="R71" s="13">
        <v>2</v>
      </c>
      <c r="S71" s="13" t="s">
        <v>51</v>
      </c>
      <c r="T71" s="8">
        <v>156</v>
      </c>
      <c r="U71" s="5"/>
      <c r="V71" s="5" t="s">
        <v>1798</v>
      </c>
      <c r="X71" s="23">
        <f t="shared" si="95"/>
        <v>156.6</v>
      </c>
      <c r="Y71" s="21">
        <f t="shared" si="95"/>
        <v>47</v>
      </c>
      <c r="Z71" s="28">
        <f t="shared" si="96"/>
        <v>100</v>
      </c>
      <c r="AA71" s="6">
        <f t="shared" si="96"/>
        <v>138000</v>
      </c>
      <c r="AB71" s="6">
        <f t="shared" si="97"/>
        <v>78000</v>
      </c>
      <c r="AC71" s="6">
        <f t="shared" si="98"/>
        <v>60000</v>
      </c>
      <c r="AD71" s="7">
        <f t="shared" si="98"/>
        <v>0.56521739130434778</v>
      </c>
      <c r="AE71" s="12">
        <f t="shared" si="98"/>
        <v>2936.1702127659573</v>
      </c>
      <c r="AF71" s="13" t="str">
        <f t="shared" si="99"/>
        <v>계</v>
      </c>
      <c r="AG71" s="13" t="str">
        <f t="shared" si="100"/>
        <v>4/2</v>
      </c>
      <c r="AI71" s="32" t="str">
        <f t="shared" si="101"/>
        <v>목련1단지</v>
      </c>
      <c r="AJ71" s="21">
        <f t="shared" si="90"/>
        <v>47</v>
      </c>
      <c r="AK71" s="13" t="str">
        <f t="shared" si="102"/>
        <v>A-</v>
      </c>
      <c r="AL71" s="13"/>
      <c r="AM71" s="13"/>
      <c r="AN71" s="13"/>
      <c r="AO71" s="13" t="str">
        <f t="shared" si="103"/>
        <v>C</v>
      </c>
      <c r="AP71" s="13" t="str">
        <f t="shared" si="104"/>
        <v>X</v>
      </c>
      <c r="AQ71" s="13" t="str">
        <f t="shared" si="105"/>
        <v>X</v>
      </c>
      <c r="AR71" s="13" t="str">
        <f t="shared" si="106"/>
        <v>X</v>
      </c>
      <c r="AS71" s="13" t="str">
        <f t="shared" si="107"/>
        <v>X</v>
      </c>
      <c r="AT71" s="13" t="s">
        <v>32</v>
      </c>
      <c r="AU71" s="13" t="str">
        <f t="shared" si="108"/>
        <v>X</v>
      </c>
      <c r="AV71" s="13" t="str">
        <f t="shared" si="109"/>
        <v>O</v>
      </c>
      <c r="AW71" s="13" t="str">
        <f t="shared" si="110"/>
        <v>X</v>
      </c>
    </row>
    <row r="72" spans="1:49" x14ac:dyDescent="0.3">
      <c r="A72" s="5" t="s">
        <v>1795</v>
      </c>
      <c r="B72" s="14" t="s">
        <v>1366</v>
      </c>
      <c r="C72" s="25">
        <v>480</v>
      </c>
      <c r="D72" s="23">
        <v>174</v>
      </c>
      <c r="E72" s="21">
        <v>53</v>
      </c>
      <c r="F72" s="23">
        <v>152</v>
      </c>
      <c r="G72" s="24">
        <v>46</v>
      </c>
      <c r="H72" s="25">
        <v>10</v>
      </c>
      <c r="I72" s="29"/>
      <c r="J72" s="29"/>
      <c r="K72" s="29"/>
      <c r="L72" s="29"/>
      <c r="M72" s="6">
        <f t="shared" si="91"/>
        <v>0</v>
      </c>
      <c r="N72" s="7" t="str">
        <f t="shared" si="92"/>
        <v/>
      </c>
      <c r="O72" s="12">
        <f t="shared" si="93"/>
        <v>0</v>
      </c>
      <c r="P72" s="12">
        <f t="shared" si="94"/>
        <v>0</v>
      </c>
      <c r="Q72" s="13">
        <v>5</v>
      </c>
      <c r="R72" s="13">
        <v>2</v>
      </c>
      <c r="S72" s="13" t="s">
        <v>51</v>
      </c>
      <c r="T72" s="8" t="s">
        <v>207</v>
      </c>
      <c r="U72" s="5" t="s">
        <v>1963</v>
      </c>
      <c r="V72" s="5" t="s">
        <v>1799</v>
      </c>
      <c r="X72" s="23">
        <f t="shared" si="95"/>
        <v>174</v>
      </c>
      <c r="Y72" s="21">
        <f t="shared" si="95"/>
        <v>53</v>
      </c>
      <c r="Z72" s="28">
        <f t="shared" si="96"/>
        <v>10</v>
      </c>
      <c r="AA72" s="6">
        <f t="shared" si="96"/>
        <v>0</v>
      </c>
      <c r="AB72" s="6">
        <f t="shared" si="97"/>
        <v>0</v>
      </c>
      <c r="AC72" s="6">
        <f t="shared" si="98"/>
        <v>0</v>
      </c>
      <c r="AD72" s="7" t="str">
        <f t="shared" si="98"/>
        <v/>
      </c>
      <c r="AE72" s="12">
        <f t="shared" si="98"/>
        <v>0</v>
      </c>
      <c r="AF72" s="13" t="str">
        <f t="shared" si="99"/>
        <v>계</v>
      </c>
      <c r="AG72" s="13" t="str">
        <f t="shared" si="100"/>
        <v>5/2</v>
      </c>
      <c r="AI72" s="32" t="str">
        <f t="shared" si="101"/>
        <v>목련1단지</v>
      </c>
      <c r="AJ72" s="21">
        <f t="shared" si="90"/>
        <v>53</v>
      </c>
      <c r="AK72" s="13" t="str">
        <f t="shared" si="102"/>
        <v>A-</v>
      </c>
      <c r="AL72" s="13"/>
      <c r="AM72" s="13"/>
      <c r="AN72" s="13"/>
      <c r="AO72" s="13" t="str">
        <f t="shared" si="103"/>
        <v>C</v>
      </c>
      <c r="AP72" s="13" t="str">
        <f t="shared" si="104"/>
        <v/>
      </c>
      <c r="AQ72" s="13" t="str">
        <f t="shared" si="105"/>
        <v/>
      </c>
      <c r="AR72" s="13" t="str">
        <f t="shared" si="106"/>
        <v>O</v>
      </c>
      <c r="AS72" s="13" t="str">
        <f t="shared" si="107"/>
        <v>O</v>
      </c>
      <c r="AT72" s="13" t="s">
        <v>32</v>
      </c>
      <c r="AU72" s="13" t="str">
        <f t="shared" si="108"/>
        <v>X</v>
      </c>
      <c r="AV72" s="13" t="str">
        <f t="shared" si="109"/>
        <v>O</v>
      </c>
      <c r="AW72" s="13" t="str">
        <f t="shared" si="110"/>
        <v/>
      </c>
    </row>
    <row r="73" spans="1:49" x14ac:dyDescent="0.3">
      <c r="A73" s="5" t="s">
        <v>1795</v>
      </c>
      <c r="B73" s="14" t="s">
        <v>1366</v>
      </c>
      <c r="C73" s="25">
        <v>480</v>
      </c>
      <c r="D73" s="23">
        <v>176.2</v>
      </c>
      <c r="E73" s="21">
        <v>53</v>
      </c>
      <c r="F73" s="23">
        <v>153</v>
      </c>
      <c r="G73" s="24">
        <v>46</v>
      </c>
      <c r="H73" s="25">
        <v>50</v>
      </c>
      <c r="I73" s="29">
        <v>143000</v>
      </c>
      <c r="J73" s="29"/>
      <c r="K73" s="29">
        <v>81000</v>
      </c>
      <c r="L73" s="29"/>
      <c r="M73" s="6">
        <f t="shared" si="91"/>
        <v>62000</v>
      </c>
      <c r="N73" s="7">
        <f t="shared" si="92"/>
        <v>0.56643356643356646</v>
      </c>
      <c r="O73" s="12">
        <f t="shared" si="93"/>
        <v>2698.1132075471696</v>
      </c>
      <c r="P73" s="12">
        <f t="shared" si="94"/>
        <v>1528.3018867924529</v>
      </c>
      <c r="Q73" s="13">
        <v>4</v>
      </c>
      <c r="R73" s="13">
        <v>2</v>
      </c>
      <c r="S73" s="13" t="s">
        <v>51</v>
      </c>
      <c r="T73" s="8" t="s">
        <v>1005</v>
      </c>
      <c r="U73" s="5"/>
      <c r="V73" s="5" t="s">
        <v>1800</v>
      </c>
      <c r="X73" s="23">
        <f t="shared" si="95"/>
        <v>176.2</v>
      </c>
      <c r="Y73" s="21">
        <f t="shared" si="95"/>
        <v>53</v>
      </c>
      <c r="Z73" s="28">
        <f t="shared" si="96"/>
        <v>50</v>
      </c>
      <c r="AA73" s="6">
        <f t="shared" si="96"/>
        <v>143000</v>
      </c>
      <c r="AB73" s="6">
        <f t="shared" si="97"/>
        <v>81000</v>
      </c>
      <c r="AC73" s="6">
        <f t="shared" si="98"/>
        <v>62000</v>
      </c>
      <c r="AD73" s="7">
        <f t="shared" si="98"/>
        <v>0.56643356643356646</v>
      </c>
      <c r="AE73" s="12">
        <f t="shared" si="98"/>
        <v>2698.1132075471696</v>
      </c>
      <c r="AF73" s="13" t="str">
        <f t="shared" si="99"/>
        <v>계</v>
      </c>
      <c r="AG73" s="13" t="str">
        <f t="shared" si="100"/>
        <v>4/2</v>
      </c>
      <c r="AI73" s="32" t="str">
        <f t="shared" si="101"/>
        <v>목련1단지</v>
      </c>
      <c r="AJ73" s="21">
        <f t="shared" si="90"/>
        <v>53</v>
      </c>
      <c r="AK73" s="13" t="str">
        <f t="shared" si="102"/>
        <v>A-</v>
      </c>
      <c r="AL73" s="13"/>
      <c r="AM73" s="13"/>
      <c r="AN73" s="13"/>
      <c r="AO73" s="13" t="str">
        <f t="shared" si="103"/>
        <v>C</v>
      </c>
      <c r="AP73" s="13" t="str">
        <f t="shared" si="104"/>
        <v>X</v>
      </c>
      <c r="AQ73" s="13" t="str">
        <f t="shared" si="105"/>
        <v>X</v>
      </c>
      <c r="AR73" s="13" t="str">
        <f t="shared" si="106"/>
        <v>X</v>
      </c>
      <c r="AS73" s="13" t="str">
        <f t="shared" si="107"/>
        <v>X</v>
      </c>
      <c r="AT73" s="13" t="s">
        <v>32</v>
      </c>
      <c r="AU73" s="13" t="str">
        <f t="shared" si="108"/>
        <v>X</v>
      </c>
      <c r="AV73" s="13" t="str">
        <f t="shared" si="109"/>
        <v>O</v>
      </c>
      <c r="AW73" s="13" t="str">
        <f t="shared" si="110"/>
        <v>X</v>
      </c>
    </row>
    <row r="74" spans="1:49" x14ac:dyDescent="0.3">
      <c r="A74" s="5" t="s">
        <v>1795</v>
      </c>
      <c r="B74" s="14" t="s">
        <v>1366</v>
      </c>
      <c r="C74" s="25">
        <v>480</v>
      </c>
      <c r="D74" s="23">
        <v>194.8</v>
      </c>
      <c r="E74" s="21">
        <v>59</v>
      </c>
      <c r="F74" s="23">
        <v>172.1</v>
      </c>
      <c r="G74" s="24">
        <v>52</v>
      </c>
      <c r="H74" s="25">
        <v>14</v>
      </c>
      <c r="I74" s="29">
        <v>149000</v>
      </c>
      <c r="J74" s="29"/>
      <c r="K74" s="29">
        <v>89000</v>
      </c>
      <c r="L74" s="29"/>
      <c r="M74" s="6">
        <f t="shared" si="91"/>
        <v>60000</v>
      </c>
      <c r="N74" s="7">
        <f t="shared" si="92"/>
        <v>0.59731543624161076</v>
      </c>
      <c r="O74" s="12">
        <f t="shared" si="93"/>
        <v>2525.4237288135591</v>
      </c>
      <c r="P74" s="12">
        <f t="shared" si="94"/>
        <v>1508.4745762711864</v>
      </c>
      <c r="Q74" s="13">
        <v>3</v>
      </c>
      <c r="R74" s="13">
        <v>2</v>
      </c>
      <c r="S74" s="13" t="s">
        <v>51</v>
      </c>
      <c r="T74" s="8">
        <v>194</v>
      </c>
      <c r="U74" s="5"/>
      <c r="V74" s="5" t="s">
        <v>1801</v>
      </c>
      <c r="X74" s="23">
        <f t="shared" si="95"/>
        <v>194.8</v>
      </c>
      <c r="Y74" s="21">
        <f t="shared" si="95"/>
        <v>59</v>
      </c>
      <c r="Z74" s="28">
        <f t="shared" si="96"/>
        <v>14</v>
      </c>
      <c r="AA74" s="6">
        <f t="shared" si="96"/>
        <v>149000</v>
      </c>
      <c r="AB74" s="6">
        <f t="shared" si="97"/>
        <v>89000</v>
      </c>
      <c r="AC74" s="6">
        <f t="shared" si="98"/>
        <v>60000</v>
      </c>
      <c r="AD74" s="7">
        <f t="shared" si="98"/>
        <v>0.59731543624161076</v>
      </c>
      <c r="AE74" s="12">
        <f t="shared" si="98"/>
        <v>2525.4237288135591</v>
      </c>
      <c r="AF74" s="13" t="str">
        <f t="shared" si="99"/>
        <v>계</v>
      </c>
      <c r="AG74" s="13" t="str">
        <f t="shared" si="100"/>
        <v>3/2</v>
      </c>
      <c r="AI74" s="32" t="str">
        <f t="shared" si="101"/>
        <v>목련1단지</v>
      </c>
      <c r="AJ74" s="21">
        <f t="shared" si="90"/>
        <v>59</v>
      </c>
      <c r="AK74" s="13" t="str">
        <f t="shared" si="102"/>
        <v>A-</v>
      </c>
      <c r="AL74" s="13"/>
      <c r="AM74" s="13"/>
      <c r="AN74" s="13"/>
      <c r="AO74" s="13" t="str">
        <f t="shared" si="103"/>
        <v>C</v>
      </c>
      <c r="AP74" s="13" t="str">
        <f t="shared" si="104"/>
        <v>X</v>
      </c>
      <c r="AQ74" s="13" t="str">
        <f t="shared" si="105"/>
        <v>X</v>
      </c>
      <c r="AR74" s="13" t="str">
        <f t="shared" si="106"/>
        <v>X</v>
      </c>
      <c r="AS74" s="13" t="str">
        <f t="shared" si="107"/>
        <v>X</v>
      </c>
      <c r="AT74" s="13" t="s">
        <v>32</v>
      </c>
      <c r="AU74" s="13" t="str">
        <f t="shared" si="108"/>
        <v>X</v>
      </c>
      <c r="AV74" s="13" t="str">
        <f t="shared" si="109"/>
        <v>O</v>
      </c>
      <c r="AW74" s="13" t="str">
        <f t="shared" si="110"/>
        <v>X</v>
      </c>
    </row>
    <row r="75" spans="1:49" x14ac:dyDescent="0.3">
      <c r="A75" s="5"/>
      <c r="B75" s="13"/>
      <c r="C75" s="9"/>
      <c r="D75" s="5"/>
      <c r="E75" s="18"/>
      <c r="F75" s="23"/>
      <c r="G75" s="5"/>
      <c r="H75" s="5"/>
      <c r="I75" s="5"/>
      <c r="J75" s="5"/>
      <c r="K75" s="5"/>
      <c r="L75" s="5"/>
      <c r="M75" s="5"/>
      <c r="N75" s="5"/>
      <c r="O75" s="12"/>
      <c r="P75" s="12"/>
      <c r="Q75" s="21"/>
      <c r="R75" s="21"/>
      <c r="S75" s="5"/>
      <c r="T75" s="59"/>
      <c r="U75" s="5"/>
      <c r="V75" s="5"/>
      <c r="X75" s="90" t="str">
        <f>$A$4&amp;" "&amp;A76&amp;"("&amp;B76&amp;","&amp;C76&amp;"^)"</f>
        <v>호계동 삼익(주상복합)('96.1,261^)</v>
      </c>
      <c r="Y75" s="91"/>
      <c r="Z75" s="91"/>
      <c r="AA75" s="91"/>
      <c r="AB75" s="91"/>
      <c r="AC75" s="91"/>
      <c r="AD75" s="91"/>
      <c r="AE75" s="91"/>
      <c r="AF75" s="91"/>
      <c r="AG75" s="92"/>
      <c r="AI75" s="32" t="str">
        <f t="shared" si="101"/>
        <v/>
      </c>
      <c r="AJ75" s="33" t="str">
        <f t="shared" si="90"/>
        <v/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</row>
    <row r="76" spans="1:49" x14ac:dyDescent="0.3">
      <c r="A76" s="5" t="s">
        <v>1802</v>
      </c>
      <c r="B76" s="14" t="s">
        <v>1803</v>
      </c>
      <c r="C76" s="25">
        <v>261</v>
      </c>
      <c r="D76" s="23">
        <v>81.5</v>
      </c>
      <c r="E76" s="21">
        <v>25</v>
      </c>
      <c r="F76" s="23">
        <v>59.9</v>
      </c>
      <c r="G76" s="24">
        <v>18</v>
      </c>
      <c r="H76" s="25">
        <v>110</v>
      </c>
      <c r="I76" s="29">
        <v>26100</v>
      </c>
      <c r="J76" s="29"/>
      <c r="K76" s="29">
        <v>25000</v>
      </c>
      <c r="L76" s="29"/>
      <c r="M76" s="6">
        <f>I76-K76</f>
        <v>1100</v>
      </c>
      <c r="N76" s="7">
        <f>IF(ISERROR(K76/I76),"",K76/I76)</f>
        <v>0.95785440613026818</v>
      </c>
      <c r="O76" s="12">
        <f>I76/E76</f>
        <v>1044</v>
      </c>
      <c r="P76" s="12">
        <f>K76/E76</f>
        <v>1000</v>
      </c>
      <c r="Q76" s="13">
        <v>2</v>
      </c>
      <c r="R76" s="13">
        <v>1</v>
      </c>
      <c r="S76" s="13" t="s">
        <v>51</v>
      </c>
      <c r="T76" s="8">
        <v>81</v>
      </c>
      <c r="U76" s="5"/>
      <c r="V76" s="5" t="s">
        <v>1804</v>
      </c>
      <c r="X76" s="23">
        <f t="shared" ref="X76:Y79" si="111">D76</f>
        <v>81.5</v>
      </c>
      <c r="Y76" s="21">
        <f t="shared" si="111"/>
        <v>25</v>
      </c>
      <c r="Z76" s="28">
        <f t="shared" ref="Z76:AA79" si="112">H76</f>
        <v>110</v>
      </c>
      <c r="AA76" s="6">
        <f t="shared" si="112"/>
        <v>26100</v>
      </c>
      <c r="AB76" s="6">
        <f>K76</f>
        <v>25000</v>
      </c>
      <c r="AC76" s="6">
        <f t="shared" ref="AC76:AE79" si="113">M76</f>
        <v>1100</v>
      </c>
      <c r="AD76" s="7">
        <f t="shared" si="113"/>
        <v>0.95785440613026818</v>
      </c>
      <c r="AE76" s="12">
        <f t="shared" si="113"/>
        <v>1044</v>
      </c>
      <c r="AF76" s="13" t="str">
        <f>S76</f>
        <v>계</v>
      </c>
      <c r="AG76" s="13" t="str">
        <f>Q76&amp;"/"&amp;R76</f>
        <v>2/1</v>
      </c>
      <c r="AI76" s="32" t="str">
        <f t="shared" si="101"/>
        <v>삼익(주상복합)</v>
      </c>
      <c r="AJ76" s="21">
        <f t="shared" si="90"/>
        <v>25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>O</v>
      </c>
      <c r="AQ76" s="13" t="str">
        <f>IF(I76="","",IF(I76&lt;=$AQ$1,"O","X"))</f>
        <v>O</v>
      </c>
      <c r="AR76" s="13" t="str">
        <f>IF(O76="","",IF(O76&lt;=$AR$1,"O","X"))</f>
        <v>X</v>
      </c>
      <c r="AS76" s="13" t="str">
        <f>IF(M76="","",IF(M76&lt;=$AS$1,"O","X"))</f>
        <v>O</v>
      </c>
      <c r="AT76" s="13" t="s">
        <v>32</v>
      </c>
      <c r="AU76" s="13" t="str">
        <f>IF(OR(F76="",AJ76=""),"",IF(AND((F76&lt;=85),(AJ76&gt;=15)),"O","X"))</f>
        <v>O</v>
      </c>
      <c r="AV76" s="13" t="str">
        <f>IF(C76="","",IF(C76&gt;=$AV$1,"O","X"))</f>
        <v>X</v>
      </c>
      <c r="AW76" s="13" t="str">
        <f>IF(AP76="","",IF(AND(AP76="O",AQ76="O",AS76="O",AU76="O",AV76="O"),"후보","X"))</f>
        <v>X</v>
      </c>
    </row>
    <row r="77" spans="1:49" x14ac:dyDescent="0.3">
      <c r="A77" s="5" t="s">
        <v>1802</v>
      </c>
      <c r="B77" s="14" t="s">
        <v>1803</v>
      </c>
      <c r="C77" s="25">
        <v>261</v>
      </c>
      <c r="D77" s="23">
        <v>97.4</v>
      </c>
      <c r="E77" s="21">
        <v>29</v>
      </c>
      <c r="F77" s="23">
        <v>71.5</v>
      </c>
      <c r="G77" s="24">
        <v>22</v>
      </c>
      <c r="H77" s="25">
        <v>71</v>
      </c>
      <c r="I77" s="29">
        <v>38000</v>
      </c>
      <c r="J77" s="29"/>
      <c r="K77" s="29">
        <v>32000</v>
      </c>
      <c r="L77" s="29"/>
      <c r="M77" s="6">
        <f>I77-K77</f>
        <v>6000</v>
      </c>
      <c r="N77" s="7">
        <f>IF(ISERROR(K77/I77),"",K77/I77)</f>
        <v>0.84210526315789469</v>
      </c>
      <c r="O77" s="12">
        <f>I77/E77</f>
        <v>1310.344827586207</v>
      </c>
      <c r="P77" s="12">
        <f>K77/E77</f>
        <v>1103.4482758620691</v>
      </c>
      <c r="Q77" s="13">
        <v>3</v>
      </c>
      <c r="R77" s="13">
        <v>1</v>
      </c>
      <c r="S77" s="13" t="s">
        <v>51</v>
      </c>
      <c r="T77" s="8" t="s">
        <v>474</v>
      </c>
      <c r="U77" s="5"/>
      <c r="V77" s="5" t="s">
        <v>1805</v>
      </c>
      <c r="X77" s="23">
        <f t="shared" si="111"/>
        <v>97.4</v>
      </c>
      <c r="Y77" s="21">
        <f t="shared" si="111"/>
        <v>29</v>
      </c>
      <c r="Z77" s="28">
        <f t="shared" si="112"/>
        <v>71</v>
      </c>
      <c r="AA77" s="6">
        <f t="shared" si="112"/>
        <v>38000</v>
      </c>
      <c r="AB77" s="6">
        <f>K77</f>
        <v>32000</v>
      </c>
      <c r="AC77" s="6">
        <f t="shared" si="113"/>
        <v>6000</v>
      </c>
      <c r="AD77" s="7">
        <f t="shared" si="113"/>
        <v>0.84210526315789469</v>
      </c>
      <c r="AE77" s="12">
        <f t="shared" si="113"/>
        <v>1310.344827586207</v>
      </c>
      <c r="AF77" s="13" t="str">
        <f>S77</f>
        <v>계</v>
      </c>
      <c r="AG77" s="13" t="str">
        <f>Q77&amp;"/"&amp;R77</f>
        <v>3/1</v>
      </c>
      <c r="AI77" s="32" t="str">
        <f t="shared" si="101"/>
        <v>삼익(주상복합)</v>
      </c>
      <c r="AJ77" s="21">
        <f t="shared" si="90"/>
        <v>29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>O</v>
      </c>
      <c r="AQ77" s="13" t="str">
        <f>IF(I77="","",IF(I77&lt;=$AQ$1,"O","X"))</f>
        <v>O</v>
      </c>
      <c r="AR77" s="13" t="str">
        <f>IF(O77="","",IF(O77&lt;=$AR$1,"O","X"))</f>
        <v>X</v>
      </c>
      <c r="AS77" s="13" t="str">
        <f>IF(M77="","",IF(M77&lt;=$AS$1,"O","X"))</f>
        <v>O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X</v>
      </c>
      <c r="AW77" s="13" t="str">
        <f>IF(AP77="","",IF(AND(AP77="O",AQ77="O",AS77="O",AU77="O",AV77="O"),"후보","X"))</f>
        <v>X</v>
      </c>
    </row>
    <row r="78" spans="1:49" x14ac:dyDescent="0.3">
      <c r="A78" s="5" t="s">
        <v>1802</v>
      </c>
      <c r="B78" s="14" t="s">
        <v>1803</v>
      </c>
      <c r="C78" s="25">
        <v>261</v>
      </c>
      <c r="D78" s="23">
        <v>97.7</v>
      </c>
      <c r="E78" s="21">
        <v>30</v>
      </c>
      <c r="F78" s="23">
        <v>71.7</v>
      </c>
      <c r="G78" s="24">
        <v>22</v>
      </c>
      <c r="H78" s="25">
        <v>20</v>
      </c>
      <c r="I78" s="29">
        <v>38000</v>
      </c>
      <c r="J78" s="29"/>
      <c r="K78" s="29">
        <v>32000</v>
      </c>
      <c r="L78" s="29"/>
      <c r="M78" s="6">
        <f>I78-K78</f>
        <v>6000</v>
      </c>
      <c r="N78" s="7">
        <f>IF(ISERROR(K78/I78),"",K78/I78)</f>
        <v>0.84210526315789469</v>
      </c>
      <c r="O78" s="12">
        <f>I78/E78</f>
        <v>1266.6666666666667</v>
      </c>
      <c r="P78" s="12">
        <f>K78/E78</f>
        <v>1066.6666666666667</v>
      </c>
      <c r="Q78" s="13">
        <v>3</v>
      </c>
      <c r="R78" s="13">
        <v>1</v>
      </c>
      <c r="S78" s="13" t="s">
        <v>51</v>
      </c>
      <c r="T78" s="8" t="s">
        <v>110</v>
      </c>
      <c r="U78" s="5"/>
      <c r="V78" s="5" t="s">
        <v>1806</v>
      </c>
      <c r="X78" s="23">
        <f t="shared" si="111"/>
        <v>97.7</v>
      </c>
      <c r="Y78" s="21">
        <f t="shared" si="111"/>
        <v>30</v>
      </c>
      <c r="Z78" s="28">
        <f t="shared" si="112"/>
        <v>20</v>
      </c>
      <c r="AA78" s="6">
        <f t="shared" si="112"/>
        <v>38000</v>
      </c>
      <c r="AB78" s="6">
        <f>K78</f>
        <v>32000</v>
      </c>
      <c r="AC78" s="6">
        <f t="shared" si="113"/>
        <v>6000</v>
      </c>
      <c r="AD78" s="7">
        <f t="shared" si="113"/>
        <v>0.84210526315789469</v>
      </c>
      <c r="AE78" s="12">
        <f t="shared" si="113"/>
        <v>1266.6666666666667</v>
      </c>
      <c r="AF78" s="13" t="str">
        <f>S78</f>
        <v>계</v>
      </c>
      <c r="AG78" s="13" t="str">
        <f>Q78&amp;"/"&amp;R78</f>
        <v>3/1</v>
      </c>
      <c r="AI78" s="32" t="str">
        <f t="shared" si="101"/>
        <v>삼익(주상복합)</v>
      </c>
      <c r="AJ78" s="21">
        <f t="shared" si="90"/>
        <v>30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>O</v>
      </c>
      <c r="AQ78" s="13" t="str">
        <f>IF(I78="","",IF(I78&lt;=$AQ$1,"O","X"))</f>
        <v>O</v>
      </c>
      <c r="AR78" s="13" t="str">
        <f>IF(O78="","",IF(O78&lt;=$AR$1,"O","X"))</f>
        <v>X</v>
      </c>
      <c r="AS78" s="13" t="str">
        <f>IF(M78="","",IF(M78&lt;=$AS$1,"O","X"))</f>
        <v>O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X</v>
      </c>
      <c r="AW78" s="13" t="str">
        <f>IF(AP78="","",IF(AND(AP78="O",AQ78="O",AS78="O",AU78="O",AV78="O"),"후보","X"))</f>
        <v>X</v>
      </c>
    </row>
    <row r="79" spans="1:49" x14ac:dyDescent="0.3">
      <c r="A79" s="5" t="s">
        <v>1802</v>
      </c>
      <c r="B79" s="14" t="s">
        <v>1803</v>
      </c>
      <c r="C79" s="25">
        <v>261</v>
      </c>
      <c r="D79" s="23">
        <v>115.7</v>
      </c>
      <c r="E79" s="21">
        <v>35</v>
      </c>
      <c r="F79" s="23">
        <v>85</v>
      </c>
      <c r="G79" s="24">
        <v>26</v>
      </c>
      <c r="H79" s="25">
        <v>60</v>
      </c>
      <c r="I79" s="29">
        <v>46000</v>
      </c>
      <c r="J79" s="29"/>
      <c r="K79" s="29">
        <v>39000</v>
      </c>
      <c r="L79" s="29"/>
      <c r="M79" s="6">
        <f>I79-K79</f>
        <v>7000</v>
      </c>
      <c r="N79" s="7">
        <f>IF(ISERROR(K79/I79),"",K79/I79)</f>
        <v>0.84782608695652173</v>
      </c>
      <c r="O79" s="12">
        <f>I79/E79</f>
        <v>1314.2857142857142</v>
      </c>
      <c r="P79" s="12">
        <f>K79/E79</f>
        <v>1114.2857142857142</v>
      </c>
      <c r="Q79" s="13">
        <v>3</v>
      </c>
      <c r="R79" s="13">
        <v>2</v>
      </c>
      <c r="S79" s="13" t="s">
        <v>51</v>
      </c>
      <c r="T79" s="8">
        <v>115</v>
      </c>
      <c r="U79" s="5"/>
      <c r="V79" s="5" t="s">
        <v>1807</v>
      </c>
      <c r="X79" s="23">
        <f t="shared" si="111"/>
        <v>115.7</v>
      </c>
      <c r="Y79" s="21">
        <f t="shared" si="111"/>
        <v>35</v>
      </c>
      <c r="Z79" s="28">
        <f t="shared" si="112"/>
        <v>60</v>
      </c>
      <c r="AA79" s="6">
        <f t="shared" si="112"/>
        <v>46000</v>
      </c>
      <c r="AB79" s="6">
        <f>K79</f>
        <v>39000</v>
      </c>
      <c r="AC79" s="6">
        <f t="shared" si="113"/>
        <v>7000</v>
      </c>
      <c r="AD79" s="7">
        <f t="shared" si="113"/>
        <v>0.84782608695652173</v>
      </c>
      <c r="AE79" s="12">
        <f t="shared" si="113"/>
        <v>1314.2857142857142</v>
      </c>
      <c r="AF79" s="13" t="str">
        <f>S79</f>
        <v>계</v>
      </c>
      <c r="AG79" s="13" t="str">
        <f>Q79&amp;"/"&amp;R79</f>
        <v>3/2</v>
      </c>
      <c r="AI79" s="32" t="str">
        <f t="shared" si="101"/>
        <v>삼익(주상복합)</v>
      </c>
      <c r="AJ79" s="21">
        <f t="shared" si="90"/>
        <v>35</v>
      </c>
      <c r="AK79" s="13" t="str">
        <f>IF(AJ79="","",$AK$2)</f>
        <v>A-</v>
      </c>
      <c r="AL79" s="13"/>
      <c r="AM79" s="13"/>
      <c r="AN79" s="13"/>
      <c r="AO79" s="13" t="str">
        <f>IF(AJ79="","",$AO$2)</f>
        <v>C</v>
      </c>
      <c r="AP79" s="13" t="str">
        <f>IF(N79="","",IF(N79&gt;=$AP$1/100,"O","X"))</f>
        <v>O</v>
      </c>
      <c r="AQ79" s="13" t="str">
        <f>IF(I79="","",IF(I79&lt;=$AQ$1,"O","X"))</f>
        <v>X</v>
      </c>
      <c r="AR79" s="13" t="str">
        <f>IF(O79="","",IF(O79&lt;=$AR$1,"O","X"))</f>
        <v>X</v>
      </c>
      <c r="AS79" s="13" t="str">
        <f>IF(M79="","",IF(M79&lt;=$AS$1,"O","X"))</f>
        <v>X</v>
      </c>
      <c r="AT79" s="13" t="s">
        <v>32</v>
      </c>
      <c r="AU79" s="13" t="str">
        <f>IF(OR(F79="",AJ79=""),"",IF(AND((F79&lt;=85),(AJ79&gt;=15)),"O","X"))</f>
        <v>O</v>
      </c>
      <c r="AV79" s="13" t="str">
        <f>IF(C79="","",IF(C79&gt;=$AV$1,"O","X"))</f>
        <v>X</v>
      </c>
      <c r="AW79" s="13" t="str">
        <f>IF(AP79="","",IF(AND(AP79="O",AQ79="O",AS79="O",AU79="O",AV79="O"),"후보","X"))</f>
        <v>X</v>
      </c>
    </row>
    <row r="80" spans="1:49" x14ac:dyDescent="0.3">
      <c r="A80" s="5"/>
      <c r="B80" s="13"/>
      <c r="C80" s="9"/>
      <c r="D80" s="5"/>
      <c r="E80" s="18"/>
      <c r="F80" s="23"/>
      <c r="G80" s="5"/>
      <c r="H80" s="5"/>
      <c r="I80" s="5"/>
      <c r="J80" s="5"/>
      <c r="K80" s="5"/>
      <c r="L80" s="5"/>
      <c r="M80" s="5"/>
      <c r="N80" s="5"/>
      <c r="O80" s="12"/>
      <c r="P80" s="12"/>
      <c r="Q80" s="21"/>
      <c r="R80" s="21"/>
      <c r="S80" s="5"/>
      <c r="T80" s="59"/>
      <c r="U80" s="5"/>
      <c r="V80" s="5"/>
      <c r="X80" s="90" t="str">
        <f>$A$4&amp;" "&amp;A81&amp;"("&amp;B81&amp;","&amp;C81&amp;"^)"</f>
        <v>호계동 호계신성미소지움('04.12,361^)</v>
      </c>
      <c r="Y80" s="91"/>
      <c r="Z80" s="91"/>
      <c r="AA80" s="91"/>
      <c r="AB80" s="91"/>
      <c r="AC80" s="91"/>
      <c r="AD80" s="91"/>
      <c r="AE80" s="91"/>
      <c r="AF80" s="91"/>
      <c r="AG80" s="92"/>
      <c r="AI80" s="32" t="str">
        <f t="shared" si="101"/>
        <v/>
      </c>
      <c r="AJ80" s="33" t="str">
        <f t="shared" si="90"/>
        <v/>
      </c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</row>
    <row r="81" spans="1:49" x14ac:dyDescent="0.3">
      <c r="A81" s="5" t="s">
        <v>1808</v>
      </c>
      <c r="B81" s="14" t="s">
        <v>1809</v>
      </c>
      <c r="C81" s="25">
        <v>361</v>
      </c>
      <c r="D81" s="23">
        <v>80.3</v>
      </c>
      <c r="E81" s="21">
        <v>24</v>
      </c>
      <c r="F81" s="23">
        <v>59.8</v>
      </c>
      <c r="G81" s="24">
        <v>18</v>
      </c>
      <c r="H81" s="25">
        <v>100</v>
      </c>
      <c r="I81" s="29">
        <v>46000</v>
      </c>
      <c r="J81" s="29"/>
      <c r="K81" s="29">
        <v>32000</v>
      </c>
      <c r="L81" s="29"/>
      <c r="M81" s="6">
        <f t="shared" ref="M81:M86" si="114">I81-K81</f>
        <v>14000</v>
      </c>
      <c r="N81" s="7">
        <f t="shared" ref="N81:N86" si="115">IF(ISERROR(K81/I81),"",K81/I81)</f>
        <v>0.69565217391304346</v>
      </c>
      <c r="O81" s="12">
        <f t="shared" ref="O81:O86" si="116">I81/E81</f>
        <v>1916.6666666666667</v>
      </c>
      <c r="P81" s="12">
        <f t="shared" ref="P81:P86" si="117">K81/E81</f>
        <v>1333.3333333333333</v>
      </c>
      <c r="Q81" s="13">
        <v>3</v>
      </c>
      <c r="R81" s="13">
        <v>1</v>
      </c>
      <c r="S81" s="13" t="s">
        <v>51</v>
      </c>
      <c r="T81" s="8">
        <v>80</v>
      </c>
      <c r="U81" s="5"/>
      <c r="V81" s="5" t="s">
        <v>1810</v>
      </c>
      <c r="X81" s="23">
        <f t="shared" ref="X81:Y86" si="118">D81</f>
        <v>80.3</v>
      </c>
      <c r="Y81" s="21">
        <f t="shared" si="118"/>
        <v>24</v>
      </c>
      <c r="Z81" s="28">
        <f t="shared" ref="Z81:AA86" si="119">H81</f>
        <v>100</v>
      </c>
      <c r="AA81" s="6">
        <f t="shared" si="119"/>
        <v>46000</v>
      </c>
      <c r="AB81" s="6">
        <f t="shared" ref="AB81:AB86" si="120">K81</f>
        <v>32000</v>
      </c>
      <c r="AC81" s="6">
        <f t="shared" ref="AC81:AE86" si="121">M81</f>
        <v>14000</v>
      </c>
      <c r="AD81" s="7">
        <f t="shared" si="121"/>
        <v>0.69565217391304346</v>
      </c>
      <c r="AE81" s="12">
        <f t="shared" si="121"/>
        <v>1916.6666666666667</v>
      </c>
      <c r="AF81" s="13" t="str">
        <f t="shared" ref="AF81:AF86" si="122">S81</f>
        <v>계</v>
      </c>
      <c r="AG81" s="13" t="str">
        <f t="shared" ref="AG81:AG86" si="123">Q81&amp;"/"&amp;R81</f>
        <v>3/1</v>
      </c>
      <c r="AI81" s="32" t="str">
        <f t="shared" si="101"/>
        <v>호계신성미소지움</v>
      </c>
      <c r="AJ81" s="21">
        <f t="shared" si="90"/>
        <v>24</v>
      </c>
      <c r="AK81" s="13" t="str">
        <f t="shared" ref="AK81:AK86" si="124">IF(AJ81="","",$AK$2)</f>
        <v>A-</v>
      </c>
      <c r="AL81" s="13"/>
      <c r="AM81" s="13"/>
      <c r="AN81" s="13"/>
      <c r="AO81" s="13" t="str">
        <f t="shared" ref="AO81:AO86" si="125">IF(AJ81="","",$AO$2)</f>
        <v>C</v>
      </c>
      <c r="AP81" s="13" t="str">
        <f t="shared" ref="AP81:AP86" si="126">IF(N81="","",IF(N81&gt;=$AP$1/100,"O","X"))</f>
        <v>X</v>
      </c>
      <c r="AQ81" s="13" t="str">
        <f t="shared" ref="AQ81:AQ86" si="127">IF(I81="","",IF(I81&lt;=$AQ$1,"O","X"))</f>
        <v>X</v>
      </c>
      <c r="AR81" s="13" t="str">
        <f t="shared" ref="AR81:AR86" si="128">IF(O81="","",IF(O81&lt;=$AR$1,"O","X"))</f>
        <v>X</v>
      </c>
      <c r="AS81" s="13" t="str">
        <f t="shared" ref="AS81:AS86" si="129">IF(M81="","",IF(M81&lt;=$AS$1,"O","X"))</f>
        <v>X</v>
      </c>
      <c r="AT81" s="13" t="s">
        <v>32</v>
      </c>
      <c r="AU81" s="13" t="str">
        <f t="shared" ref="AU81:AU86" si="130">IF(OR(F81="",AJ81=""),"",IF(AND((F81&lt;=85),(AJ81&gt;=15)),"O","X"))</f>
        <v>O</v>
      </c>
      <c r="AV81" s="13" t="str">
        <f t="shared" ref="AV81:AV86" si="131">IF(C81="","",IF(C81&gt;=$AV$1,"O","X"))</f>
        <v>O</v>
      </c>
      <c r="AW81" s="13" t="str">
        <f t="shared" ref="AW81:AW86" si="132">IF(AP81="","",IF(AND(AP81="O",AQ81="O",AS81="O",AU81="O",AV81="O"),"후보","X"))</f>
        <v>X</v>
      </c>
    </row>
    <row r="82" spans="1:49" x14ac:dyDescent="0.3">
      <c r="A82" s="5" t="s">
        <v>1808</v>
      </c>
      <c r="B82" s="14" t="s">
        <v>1809</v>
      </c>
      <c r="C82" s="25">
        <v>361</v>
      </c>
      <c r="D82" s="23">
        <v>95.2</v>
      </c>
      <c r="E82" s="21">
        <v>29</v>
      </c>
      <c r="F82" s="23">
        <v>75</v>
      </c>
      <c r="G82" s="24">
        <v>23</v>
      </c>
      <c r="H82" s="25">
        <v>42</v>
      </c>
      <c r="I82" s="29">
        <v>49000</v>
      </c>
      <c r="J82" s="29"/>
      <c r="K82" s="29">
        <v>38000</v>
      </c>
      <c r="L82" s="29"/>
      <c r="M82" s="6">
        <f t="shared" si="114"/>
        <v>11000</v>
      </c>
      <c r="N82" s="7">
        <f t="shared" si="115"/>
        <v>0.77551020408163263</v>
      </c>
      <c r="O82" s="12">
        <f t="shared" si="116"/>
        <v>1689.655172413793</v>
      </c>
      <c r="P82" s="12">
        <f t="shared" si="117"/>
        <v>1310.344827586207</v>
      </c>
      <c r="Q82" s="13">
        <v>3</v>
      </c>
      <c r="R82" s="13">
        <v>2</v>
      </c>
      <c r="S82" s="13" t="s">
        <v>51</v>
      </c>
      <c r="T82" s="8">
        <v>95</v>
      </c>
      <c r="U82" s="5"/>
      <c r="V82" s="5" t="s">
        <v>1811</v>
      </c>
      <c r="X82" s="23">
        <f t="shared" si="118"/>
        <v>95.2</v>
      </c>
      <c r="Y82" s="21">
        <f t="shared" si="118"/>
        <v>29</v>
      </c>
      <c r="Z82" s="28">
        <f t="shared" si="119"/>
        <v>42</v>
      </c>
      <c r="AA82" s="6">
        <f t="shared" si="119"/>
        <v>49000</v>
      </c>
      <c r="AB82" s="6">
        <f t="shared" si="120"/>
        <v>38000</v>
      </c>
      <c r="AC82" s="6">
        <f t="shared" si="121"/>
        <v>11000</v>
      </c>
      <c r="AD82" s="7">
        <f t="shared" si="121"/>
        <v>0.77551020408163263</v>
      </c>
      <c r="AE82" s="12">
        <f t="shared" si="121"/>
        <v>1689.655172413793</v>
      </c>
      <c r="AF82" s="13" t="str">
        <f t="shared" si="122"/>
        <v>계</v>
      </c>
      <c r="AG82" s="13" t="str">
        <f t="shared" si="123"/>
        <v>3/2</v>
      </c>
      <c r="AI82" s="32" t="str">
        <f t="shared" si="101"/>
        <v>호계신성미소지움</v>
      </c>
      <c r="AJ82" s="21">
        <f t="shared" si="90"/>
        <v>29</v>
      </c>
      <c r="AK82" s="13" t="str">
        <f t="shared" si="124"/>
        <v>A-</v>
      </c>
      <c r="AL82" s="13"/>
      <c r="AM82" s="13"/>
      <c r="AN82" s="13"/>
      <c r="AO82" s="13" t="str">
        <f t="shared" si="125"/>
        <v>C</v>
      </c>
      <c r="AP82" s="13" t="str">
        <f t="shared" si="126"/>
        <v>X</v>
      </c>
      <c r="AQ82" s="13" t="str">
        <f t="shared" si="127"/>
        <v>X</v>
      </c>
      <c r="AR82" s="13" t="str">
        <f t="shared" si="128"/>
        <v>X</v>
      </c>
      <c r="AS82" s="13" t="str">
        <f t="shared" si="129"/>
        <v>X</v>
      </c>
      <c r="AT82" s="13" t="s">
        <v>32</v>
      </c>
      <c r="AU82" s="13" t="str">
        <f t="shared" si="130"/>
        <v>O</v>
      </c>
      <c r="AV82" s="13" t="str">
        <f t="shared" si="131"/>
        <v>O</v>
      </c>
      <c r="AW82" s="13" t="str">
        <f t="shared" si="132"/>
        <v>X</v>
      </c>
    </row>
    <row r="83" spans="1:49" x14ac:dyDescent="0.3">
      <c r="A83" s="5" t="s">
        <v>1808</v>
      </c>
      <c r="B83" s="14" t="s">
        <v>1809</v>
      </c>
      <c r="C83" s="25">
        <v>361</v>
      </c>
      <c r="D83" s="23">
        <v>106.3</v>
      </c>
      <c r="E83" s="21">
        <v>32</v>
      </c>
      <c r="F83" s="23">
        <v>84.9</v>
      </c>
      <c r="G83" s="24">
        <v>26</v>
      </c>
      <c r="H83" s="25">
        <v>142</v>
      </c>
      <c r="I83" s="29">
        <v>50000</v>
      </c>
      <c r="J83" s="29"/>
      <c r="K83" s="29">
        <v>42500</v>
      </c>
      <c r="L83" s="29"/>
      <c r="M83" s="6">
        <f t="shared" si="114"/>
        <v>7500</v>
      </c>
      <c r="N83" s="7">
        <f t="shared" si="115"/>
        <v>0.85</v>
      </c>
      <c r="O83" s="12">
        <f t="shared" si="116"/>
        <v>1562.5</v>
      </c>
      <c r="P83" s="12">
        <f t="shared" si="117"/>
        <v>1328.125</v>
      </c>
      <c r="Q83" s="13">
        <v>3</v>
      </c>
      <c r="R83" s="13">
        <v>2</v>
      </c>
      <c r="S83" s="13" t="s">
        <v>51</v>
      </c>
      <c r="T83" s="8" t="s">
        <v>1014</v>
      </c>
      <c r="U83" s="5"/>
      <c r="V83" s="5" t="s">
        <v>1812</v>
      </c>
      <c r="X83" s="23">
        <f t="shared" si="118"/>
        <v>106.3</v>
      </c>
      <c r="Y83" s="21">
        <f t="shared" si="118"/>
        <v>32</v>
      </c>
      <c r="Z83" s="28">
        <f t="shared" si="119"/>
        <v>142</v>
      </c>
      <c r="AA83" s="6">
        <f t="shared" si="119"/>
        <v>50000</v>
      </c>
      <c r="AB83" s="6">
        <f t="shared" si="120"/>
        <v>42500</v>
      </c>
      <c r="AC83" s="6">
        <f t="shared" si="121"/>
        <v>7500</v>
      </c>
      <c r="AD83" s="7">
        <f t="shared" si="121"/>
        <v>0.85</v>
      </c>
      <c r="AE83" s="12">
        <f t="shared" si="121"/>
        <v>1562.5</v>
      </c>
      <c r="AF83" s="13" t="str">
        <f t="shared" si="122"/>
        <v>계</v>
      </c>
      <c r="AG83" s="13" t="str">
        <f t="shared" si="123"/>
        <v>3/2</v>
      </c>
      <c r="AI83" s="32" t="str">
        <f t="shared" si="101"/>
        <v>호계신성미소지움</v>
      </c>
      <c r="AJ83" s="21">
        <f t="shared" si="90"/>
        <v>32</v>
      </c>
      <c r="AK83" s="13" t="str">
        <f t="shared" si="124"/>
        <v>A-</v>
      </c>
      <c r="AL83" s="13"/>
      <c r="AM83" s="13"/>
      <c r="AN83" s="13"/>
      <c r="AO83" s="13" t="str">
        <f t="shared" si="125"/>
        <v>C</v>
      </c>
      <c r="AP83" s="13" t="str">
        <f t="shared" si="126"/>
        <v>O</v>
      </c>
      <c r="AQ83" s="13" t="str">
        <f t="shared" si="127"/>
        <v>X</v>
      </c>
      <c r="AR83" s="13" t="str">
        <f t="shared" si="128"/>
        <v>X</v>
      </c>
      <c r="AS83" s="13" t="str">
        <f t="shared" si="129"/>
        <v>X</v>
      </c>
      <c r="AT83" s="13" t="s">
        <v>32</v>
      </c>
      <c r="AU83" s="13" t="str">
        <f t="shared" si="130"/>
        <v>O</v>
      </c>
      <c r="AV83" s="13" t="str">
        <f t="shared" si="131"/>
        <v>O</v>
      </c>
      <c r="AW83" s="13" t="str">
        <f t="shared" si="132"/>
        <v>X</v>
      </c>
    </row>
    <row r="84" spans="1:49" x14ac:dyDescent="0.3">
      <c r="A84" s="5" t="s">
        <v>1808</v>
      </c>
      <c r="B84" s="14" t="s">
        <v>1809</v>
      </c>
      <c r="C84" s="25">
        <v>361</v>
      </c>
      <c r="D84" s="23">
        <v>106.7</v>
      </c>
      <c r="E84" s="21">
        <v>32</v>
      </c>
      <c r="F84" s="23">
        <v>85</v>
      </c>
      <c r="G84" s="24">
        <v>26</v>
      </c>
      <c r="H84" s="25">
        <v>43</v>
      </c>
      <c r="I84" s="29">
        <v>50000</v>
      </c>
      <c r="J84" s="29"/>
      <c r="K84" s="29">
        <v>42500</v>
      </c>
      <c r="L84" s="29"/>
      <c r="M84" s="6">
        <f t="shared" si="114"/>
        <v>7500</v>
      </c>
      <c r="N84" s="7">
        <f t="shared" si="115"/>
        <v>0.85</v>
      </c>
      <c r="O84" s="12">
        <f t="shared" si="116"/>
        <v>1562.5</v>
      </c>
      <c r="P84" s="12">
        <f t="shared" si="117"/>
        <v>1328.125</v>
      </c>
      <c r="Q84" s="13">
        <v>3</v>
      </c>
      <c r="R84" s="13">
        <v>2</v>
      </c>
      <c r="S84" s="13" t="s">
        <v>51</v>
      </c>
      <c r="T84" s="8" t="s">
        <v>291</v>
      </c>
      <c r="U84" s="5"/>
      <c r="V84" s="5" t="s">
        <v>1813</v>
      </c>
      <c r="X84" s="23">
        <f t="shared" si="118"/>
        <v>106.7</v>
      </c>
      <c r="Y84" s="21">
        <f t="shared" si="118"/>
        <v>32</v>
      </c>
      <c r="Z84" s="28">
        <f t="shared" si="119"/>
        <v>43</v>
      </c>
      <c r="AA84" s="6">
        <f t="shared" si="119"/>
        <v>50000</v>
      </c>
      <c r="AB84" s="6">
        <f t="shared" si="120"/>
        <v>42500</v>
      </c>
      <c r="AC84" s="6">
        <f t="shared" si="121"/>
        <v>7500</v>
      </c>
      <c r="AD84" s="7">
        <f t="shared" si="121"/>
        <v>0.85</v>
      </c>
      <c r="AE84" s="12">
        <f t="shared" si="121"/>
        <v>1562.5</v>
      </c>
      <c r="AF84" s="13" t="str">
        <f t="shared" si="122"/>
        <v>계</v>
      </c>
      <c r="AG84" s="13" t="str">
        <f t="shared" si="123"/>
        <v>3/2</v>
      </c>
      <c r="AI84" s="32" t="str">
        <f t="shared" si="101"/>
        <v>호계신성미소지움</v>
      </c>
      <c r="AJ84" s="21">
        <f t="shared" si="90"/>
        <v>32</v>
      </c>
      <c r="AK84" s="13" t="str">
        <f t="shared" si="124"/>
        <v>A-</v>
      </c>
      <c r="AL84" s="13"/>
      <c r="AM84" s="13"/>
      <c r="AN84" s="13"/>
      <c r="AO84" s="13" t="str">
        <f t="shared" si="125"/>
        <v>C</v>
      </c>
      <c r="AP84" s="13" t="str">
        <f t="shared" si="126"/>
        <v>O</v>
      </c>
      <c r="AQ84" s="13" t="str">
        <f t="shared" si="127"/>
        <v>X</v>
      </c>
      <c r="AR84" s="13" t="str">
        <f t="shared" si="128"/>
        <v>X</v>
      </c>
      <c r="AS84" s="13" t="str">
        <f t="shared" si="129"/>
        <v>X</v>
      </c>
      <c r="AT84" s="13" t="s">
        <v>32</v>
      </c>
      <c r="AU84" s="13" t="str">
        <f t="shared" si="130"/>
        <v>O</v>
      </c>
      <c r="AV84" s="13" t="str">
        <f t="shared" si="131"/>
        <v>O</v>
      </c>
      <c r="AW84" s="13" t="str">
        <f t="shared" si="132"/>
        <v>X</v>
      </c>
    </row>
    <row r="85" spans="1:49" x14ac:dyDescent="0.3">
      <c r="A85" s="5" t="s">
        <v>1808</v>
      </c>
      <c r="B85" s="14" t="s">
        <v>1809</v>
      </c>
      <c r="C85" s="25">
        <v>361</v>
      </c>
      <c r="D85" s="23">
        <v>106.7</v>
      </c>
      <c r="E85" s="21">
        <v>32</v>
      </c>
      <c r="F85" s="23">
        <v>84.3</v>
      </c>
      <c r="G85" s="24">
        <v>25</v>
      </c>
      <c r="H85" s="25">
        <v>20</v>
      </c>
      <c r="I85" s="29">
        <v>50000</v>
      </c>
      <c r="J85" s="29"/>
      <c r="K85" s="29">
        <v>42500</v>
      </c>
      <c r="L85" s="29"/>
      <c r="M85" s="6">
        <f t="shared" si="114"/>
        <v>7500</v>
      </c>
      <c r="N85" s="7">
        <f t="shared" si="115"/>
        <v>0.85</v>
      </c>
      <c r="O85" s="12">
        <f t="shared" si="116"/>
        <v>1562.5</v>
      </c>
      <c r="P85" s="12">
        <f t="shared" si="117"/>
        <v>1328.125</v>
      </c>
      <c r="Q85" s="13">
        <v>3</v>
      </c>
      <c r="R85" s="13">
        <v>2</v>
      </c>
      <c r="S85" s="13" t="s">
        <v>51</v>
      </c>
      <c r="T85" s="8" t="s">
        <v>488</v>
      </c>
      <c r="U85" s="5"/>
      <c r="V85" s="5" t="s">
        <v>1813</v>
      </c>
      <c r="X85" s="23">
        <f t="shared" si="118"/>
        <v>106.7</v>
      </c>
      <c r="Y85" s="21">
        <f t="shared" si="118"/>
        <v>32</v>
      </c>
      <c r="Z85" s="28">
        <f t="shared" si="119"/>
        <v>20</v>
      </c>
      <c r="AA85" s="6">
        <f t="shared" si="119"/>
        <v>50000</v>
      </c>
      <c r="AB85" s="6">
        <f t="shared" si="120"/>
        <v>42500</v>
      </c>
      <c r="AC85" s="6">
        <f t="shared" si="121"/>
        <v>7500</v>
      </c>
      <c r="AD85" s="7">
        <f t="shared" si="121"/>
        <v>0.85</v>
      </c>
      <c r="AE85" s="12">
        <f t="shared" si="121"/>
        <v>1562.5</v>
      </c>
      <c r="AF85" s="13" t="str">
        <f t="shared" si="122"/>
        <v>계</v>
      </c>
      <c r="AG85" s="13" t="str">
        <f t="shared" si="123"/>
        <v>3/2</v>
      </c>
      <c r="AI85" s="32" t="str">
        <f t="shared" si="101"/>
        <v>호계신성미소지움</v>
      </c>
      <c r="AJ85" s="21">
        <f t="shared" si="90"/>
        <v>32</v>
      </c>
      <c r="AK85" s="13" t="str">
        <f t="shared" si="124"/>
        <v>A-</v>
      </c>
      <c r="AL85" s="13"/>
      <c r="AM85" s="13"/>
      <c r="AN85" s="13"/>
      <c r="AO85" s="13" t="str">
        <f t="shared" si="125"/>
        <v>C</v>
      </c>
      <c r="AP85" s="13" t="str">
        <f t="shared" si="126"/>
        <v>O</v>
      </c>
      <c r="AQ85" s="13" t="str">
        <f t="shared" si="127"/>
        <v>X</v>
      </c>
      <c r="AR85" s="13" t="str">
        <f t="shared" si="128"/>
        <v>X</v>
      </c>
      <c r="AS85" s="13" t="str">
        <f t="shared" si="129"/>
        <v>X</v>
      </c>
      <c r="AT85" s="13" t="s">
        <v>32</v>
      </c>
      <c r="AU85" s="13" t="str">
        <f t="shared" si="130"/>
        <v>O</v>
      </c>
      <c r="AV85" s="13" t="str">
        <f t="shared" si="131"/>
        <v>O</v>
      </c>
      <c r="AW85" s="13" t="str">
        <f t="shared" si="132"/>
        <v>X</v>
      </c>
    </row>
    <row r="86" spans="1:49" x14ac:dyDescent="0.3">
      <c r="A86" s="5" t="s">
        <v>1808</v>
      </c>
      <c r="B86" s="14" t="s">
        <v>1809</v>
      </c>
      <c r="C86" s="25">
        <v>361</v>
      </c>
      <c r="D86" s="23">
        <v>128.1</v>
      </c>
      <c r="E86" s="21">
        <v>39</v>
      </c>
      <c r="F86" s="23">
        <v>103.4</v>
      </c>
      <c r="G86" s="24">
        <v>31</v>
      </c>
      <c r="H86" s="25">
        <v>14</v>
      </c>
      <c r="I86" s="29">
        <v>62000</v>
      </c>
      <c r="J86" s="29"/>
      <c r="K86" s="29">
        <v>44000</v>
      </c>
      <c r="L86" s="29"/>
      <c r="M86" s="6">
        <f t="shared" si="114"/>
        <v>18000</v>
      </c>
      <c r="N86" s="7">
        <f t="shared" si="115"/>
        <v>0.70967741935483875</v>
      </c>
      <c r="O86" s="12">
        <f t="shared" si="116"/>
        <v>1589.7435897435898</v>
      </c>
      <c r="P86" s="12">
        <f t="shared" si="117"/>
        <v>1128.2051282051282</v>
      </c>
      <c r="Q86" s="13">
        <v>3</v>
      </c>
      <c r="R86" s="13">
        <v>2</v>
      </c>
      <c r="S86" s="13" t="s">
        <v>51</v>
      </c>
      <c r="T86" s="8">
        <v>128</v>
      </c>
      <c r="U86" s="5"/>
      <c r="V86" s="5" t="s">
        <v>1814</v>
      </c>
      <c r="X86" s="23">
        <f t="shared" si="118"/>
        <v>128.1</v>
      </c>
      <c r="Y86" s="21">
        <f t="shared" si="118"/>
        <v>39</v>
      </c>
      <c r="Z86" s="28">
        <f t="shared" si="119"/>
        <v>14</v>
      </c>
      <c r="AA86" s="6">
        <f t="shared" si="119"/>
        <v>62000</v>
      </c>
      <c r="AB86" s="6">
        <f t="shared" si="120"/>
        <v>44000</v>
      </c>
      <c r="AC86" s="6">
        <f t="shared" si="121"/>
        <v>18000</v>
      </c>
      <c r="AD86" s="7">
        <f t="shared" si="121"/>
        <v>0.70967741935483875</v>
      </c>
      <c r="AE86" s="12">
        <f t="shared" si="121"/>
        <v>1589.7435897435898</v>
      </c>
      <c r="AF86" s="13" t="str">
        <f t="shared" si="122"/>
        <v>계</v>
      </c>
      <c r="AG86" s="13" t="str">
        <f t="shared" si="123"/>
        <v>3/2</v>
      </c>
      <c r="AI86" s="32" t="str">
        <f t="shared" si="101"/>
        <v>호계신성미소지움</v>
      </c>
      <c r="AJ86" s="21">
        <f t="shared" si="90"/>
        <v>39</v>
      </c>
      <c r="AK86" s="13" t="str">
        <f t="shared" si="124"/>
        <v>A-</v>
      </c>
      <c r="AL86" s="13"/>
      <c r="AM86" s="13"/>
      <c r="AN86" s="13"/>
      <c r="AO86" s="13" t="str">
        <f t="shared" si="125"/>
        <v>C</v>
      </c>
      <c r="AP86" s="13" t="str">
        <f t="shared" si="126"/>
        <v>X</v>
      </c>
      <c r="AQ86" s="13" t="str">
        <f t="shared" si="127"/>
        <v>X</v>
      </c>
      <c r="AR86" s="13" t="str">
        <f t="shared" si="128"/>
        <v>X</v>
      </c>
      <c r="AS86" s="13" t="str">
        <f t="shared" si="129"/>
        <v>X</v>
      </c>
      <c r="AT86" s="13" t="s">
        <v>32</v>
      </c>
      <c r="AU86" s="13" t="str">
        <f t="shared" si="130"/>
        <v>X</v>
      </c>
      <c r="AV86" s="13" t="str">
        <f t="shared" si="131"/>
        <v>O</v>
      </c>
      <c r="AW86" s="13" t="str">
        <f t="shared" si="132"/>
        <v>X</v>
      </c>
    </row>
    <row r="87" spans="1:49" x14ac:dyDescent="0.3">
      <c r="A87" s="5"/>
      <c r="B87" s="13"/>
      <c r="C87" s="9"/>
      <c r="D87" s="5"/>
      <c r="E87" s="18"/>
      <c r="F87" s="23"/>
      <c r="G87" s="5"/>
      <c r="H87" s="5"/>
      <c r="I87" s="5"/>
      <c r="J87" s="5"/>
      <c r="K87" s="5"/>
      <c r="L87" s="5"/>
      <c r="M87" s="5"/>
      <c r="N87" s="5"/>
      <c r="O87" s="12"/>
      <c r="P87" s="12"/>
      <c r="Q87" s="21"/>
      <c r="R87" s="21"/>
      <c r="S87" s="5"/>
      <c r="T87" s="59"/>
      <c r="U87" s="5"/>
      <c r="V87" s="5"/>
      <c r="X87" s="90" t="str">
        <f>$A$4&amp;" "&amp;A88&amp;"("&amp;B88&amp;","&amp;C88&amp;"^)"</f>
        <v>호계동 금정역호계푸르지오('15.08,410^)</v>
      </c>
      <c r="Y87" s="91"/>
      <c r="Z87" s="91"/>
      <c r="AA87" s="91"/>
      <c r="AB87" s="91"/>
      <c r="AC87" s="91"/>
      <c r="AD87" s="91"/>
      <c r="AE87" s="91"/>
      <c r="AF87" s="91"/>
      <c r="AG87" s="92"/>
      <c r="AI87" s="32" t="str">
        <f t="shared" si="101"/>
        <v/>
      </c>
      <c r="AJ87" s="33" t="str">
        <f t="shared" si="90"/>
        <v/>
      </c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</row>
    <row r="88" spans="1:49" x14ac:dyDescent="0.3">
      <c r="A88" s="5" t="s">
        <v>1815</v>
      </c>
      <c r="B88" s="14" t="s">
        <v>1816</v>
      </c>
      <c r="C88" s="25">
        <v>410</v>
      </c>
      <c r="D88" s="23">
        <v>80.900000000000006</v>
      </c>
      <c r="E88" s="21">
        <v>24</v>
      </c>
      <c r="F88" s="23">
        <v>59.9</v>
      </c>
      <c r="G88" s="24">
        <v>18</v>
      </c>
      <c r="H88" s="25">
        <v>179</v>
      </c>
      <c r="I88" s="29">
        <v>53000</v>
      </c>
      <c r="J88" s="29"/>
      <c r="K88" s="29">
        <v>40000</v>
      </c>
      <c r="L88" s="29"/>
      <c r="M88" s="6">
        <f t="shared" ref="M88:M97" si="133">I88-K88</f>
        <v>13000</v>
      </c>
      <c r="N88" s="7">
        <f t="shared" ref="N88:N97" si="134">IF(ISERROR(K88/I88),"",K88/I88)</f>
        <v>0.75471698113207553</v>
      </c>
      <c r="O88" s="12">
        <f t="shared" ref="O88:O97" si="135">I88/E88</f>
        <v>2208.3333333333335</v>
      </c>
      <c r="P88" s="12">
        <f t="shared" ref="P88:P97" si="136">K88/E88</f>
        <v>1666.6666666666667</v>
      </c>
      <c r="Q88" s="13">
        <v>3</v>
      </c>
      <c r="R88" s="13">
        <v>2</v>
      </c>
      <c r="S88" s="13" t="s">
        <v>51</v>
      </c>
      <c r="T88" s="8" t="s">
        <v>1044</v>
      </c>
      <c r="U88" s="5"/>
      <c r="V88" s="5" t="s">
        <v>1817</v>
      </c>
      <c r="X88" s="23">
        <f t="shared" ref="X88:X97" si="137">D88</f>
        <v>80.900000000000006</v>
      </c>
      <c r="Y88" s="21">
        <f t="shared" ref="Y88:Y97" si="138">E88</f>
        <v>24</v>
      </c>
      <c r="Z88" s="28">
        <f t="shared" ref="Z88:Z97" si="139">H88</f>
        <v>179</v>
      </c>
      <c r="AA88" s="6">
        <f t="shared" ref="AA88:AA97" si="140">I88</f>
        <v>53000</v>
      </c>
      <c r="AB88" s="6">
        <f t="shared" ref="AB88:AB97" si="141">K88</f>
        <v>40000</v>
      </c>
      <c r="AC88" s="6">
        <f t="shared" ref="AC88:AC97" si="142">M88</f>
        <v>13000</v>
      </c>
      <c r="AD88" s="7">
        <f t="shared" ref="AD88:AD97" si="143">N88</f>
        <v>0.75471698113207553</v>
      </c>
      <c r="AE88" s="12">
        <f t="shared" ref="AE88:AE97" si="144">O88</f>
        <v>2208.3333333333335</v>
      </c>
      <c r="AF88" s="13" t="str">
        <f t="shared" ref="AF88:AF97" si="145">S88</f>
        <v>계</v>
      </c>
      <c r="AG88" s="13" t="str">
        <f t="shared" ref="AG88:AG97" si="146">Q88&amp;"/"&amp;R88</f>
        <v>3/2</v>
      </c>
      <c r="AI88" s="32" t="str">
        <f t="shared" si="101"/>
        <v>금정역호계푸르지오</v>
      </c>
      <c r="AJ88" s="21">
        <f t="shared" si="90"/>
        <v>24</v>
      </c>
      <c r="AK88" s="13" t="str">
        <f t="shared" ref="AK88:AK97" si="147">IF(AJ88="","",$AK$2)</f>
        <v>A-</v>
      </c>
      <c r="AL88" s="13"/>
      <c r="AM88" s="13"/>
      <c r="AN88" s="13"/>
      <c r="AO88" s="13" t="str">
        <f t="shared" ref="AO88:AO97" si="148">IF(AJ88="","",$AO$2)</f>
        <v>C</v>
      </c>
      <c r="AP88" s="13" t="str">
        <f t="shared" ref="AP88:AP97" si="149">IF(N88="","",IF(N88&gt;=$AP$1/100,"O","X"))</f>
        <v>X</v>
      </c>
      <c r="AQ88" s="13" t="str">
        <f t="shared" ref="AQ88:AQ97" si="150">IF(I88="","",IF(I88&lt;=$AQ$1,"O","X"))</f>
        <v>X</v>
      </c>
      <c r="AR88" s="13" t="str">
        <f t="shared" ref="AR88:AR97" si="151">IF(O88="","",IF(O88&lt;=$AR$1,"O","X"))</f>
        <v>X</v>
      </c>
      <c r="AS88" s="13" t="str">
        <f t="shared" ref="AS88:AS97" si="152">IF(M88="","",IF(M88&lt;=$AS$1,"O","X"))</f>
        <v>X</v>
      </c>
      <c r="AT88" s="13" t="s">
        <v>32</v>
      </c>
      <c r="AU88" s="13" t="str">
        <f t="shared" ref="AU88:AU97" si="153">IF(OR(F88="",AJ88=""),"",IF(AND((F88&lt;=85),(AJ88&gt;=15)),"O","X"))</f>
        <v>O</v>
      </c>
      <c r="AV88" s="13" t="str">
        <f t="shared" ref="AV88:AV97" si="154">IF(C88="","",IF(C88&gt;=$AV$1,"O","X"))</f>
        <v>O</v>
      </c>
      <c r="AW88" s="13" t="str">
        <f t="shared" ref="AW88:AW97" si="155">IF(AP88="","",IF(AND(AP88="O",AQ88="O",AS88="O",AU88="O",AV88="O"),"후보","X"))</f>
        <v>X</v>
      </c>
    </row>
    <row r="89" spans="1:49" x14ac:dyDescent="0.3">
      <c r="A89" s="5" t="s">
        <v>1815</v>
      </c>
      <c r="B89" s="14" t="s">
        <v>1816</v>
      </c>
      <c r="C89" s="25">
        <v>410</v>
      </c>
      <c r="D89" s="23">
        <v>81</v>
      </c>
      <c r="E89" s="21">
        <v>24</v>
      </c>
      <c r="F89" s="23">
        <v>60</v>
      </c>
      <c r="G89" s="24">
        <v>18</v>
      </c>
      <c r="H89" s="25">
        <v>18</v>
      </c>
      <c r="I89" s="29">
        <v>53000</v>
      </c>
      <c r="J89" s="29"/>
      <c r="K89" s="29">
        <v>40000</v>
      </c>
      <c r="L89" s="29"/>
      <c r="M89" s="6">
        <f t="shared" si="133"/>
        <v>13000</v>
      </c>
      <c r="N89" s="7">
        <f t="shared" si="134"/>
        <v>0.75471698113207553</v>
      </c>
      <c r="O89" s="12">
        <f t="shared" si="135"/>
        <v>2208.3333333333335</v>
      </c>
      <c r="P89" s="12">
        <f t="shared" si="136"/>
        <v>1666.6666666666667</v>
      </c>
      <c r="Q89" s="13">
        <v>3</v>
      </c>
      <c r="R89" s="13">
        <v>2</v>
      </c>
      <c r="S89" s="13" t="s">
        <v>51</v>
      </c>
      <c r="T89" s="8" t="s">
        <v>1048</v>
      </c>
      <c r="U89" s="5"/>
      <c r="V89" s="5" t="s">
        <v>1817</v>
      </c>
      <c r="X89" s="23">
        <f t="shared" si="137"/>
        <v>81</v>
      </c>
      <c r="Y89" s="21">
        <f t="shared" si="138"/>
        <v>24</v>
      </c>
      <c r="Z89" s="28">
        <f t="shared" si="139"/>
        <v>18</v>
      </c>
      <c r="AA89" s="6">
        <f t="shared" si="140"/>
        <v>53000</v>
      </c>
      <c r="AB89" s="6">
        <f t="shared" si="141"/>
        <v>40000</v>
      </c>
      <c r="AC89" s="6">
        <f t="shared" si="142"/>
        <v>13000</v>
      </c>
      <c r="AD89" s="7">
        <f t="shared" si="143"/>
        <v>0.75471698113207553</v>
      </c>
      <c r="AE89" s="12">
        <f t="shared" si="144"/>
        <v>2208.3333333333335</v>
      </c>
      <c r="AF89" s="13" t="str">
        <f t="shared" si="145"/>
        <v>계</v>
      </c>
      <c r="AG89" s="13" t="str">
        <f t="shared" si="146"/>
        <v>3/2</v>
      </c>
      <c r="AI89" s="32" t="str">
        <f t="shared" si="101"/>
        <v>금정역호계푸르지오</v>
      </c>
      <c r="AJ89" s="21">
        <f t="shared" si="90"/>
        <v>24</v>
      </c>
      <c r="AK89" s="13" t="str">
        <f t="shared" si="147"/>
        <v>A-</v>
      </c>
      <c r="AL89" s="13"/>
      <c r="AM89" s="13"/>
      <c r="AN89" s="13"/>
      <c r="AO89" s="13" t="str">
        <f t="shared" si="148"/>
        <v>C</v>
      </c>
      <c r="AP89" s="13" t="str">
        <f t="shared" si="149"/>
        <v>X</v>
      </c>
      <c r="AQ89" s="13" t="str">
        <f t="shared" si="150"/>
        <v>X</v>
      </c>
      <c r="AR89" s="13" t="str">
        <f t="shared" si="151"/>
        <v>X</v>
      </c>
      <c r="AS89" s="13" t="str">
        <f t="shared" si="152"/>
        <v>X</v>
      </c>
      <c r="AT89" s="13" t="s">
        <v>32</v>
      </c>
      <c r="AU89" s="13" t="str">
        <f t="shared" si="153"/>
        <v>O</v>
      </c>
      <c r="AV89" s="13" t="str">
        <f t="shared" si="154"/>
        <v>O</v>
      </c>
      <c r="AW89" s="13" t="str">
        <f t="shared" si="155"/>
        <v>X</v>
      </c>
    </row>
    <row r="90" spans="1:49" x14ac:dyDescent="0.3">
      <c r="A90" s="5" t="s">
        <v>1815</v>
      </c>
      <c r="B90" s="14" t="s">
        <v>1816</v>
      </c>
      <c r="C90" s="25">
        <v>410</v>
      </c>
      <c r="D90" s="23">
        <v>81.2</v>
      </c>
      <c r="E90" s="21">
        <v>25</v>
      </c>
      <c r="F90" s="23">
        <v>60</v>
      </c>
      <c r="G90" s="24">
        <v>18</v>
      </c>
      <c r="H90" s="25">
        <v>18</v>
      </c>
      <c r="I90" s="29">
        <v>53000</v>
      </c>
      <c r="J90" s="29"/>
      <c r="K90" s="29">
        <v>40000</v>
      </c>
      <c r="L90" s="29"/>
      <c r="M90" s="6">
        <f t="shared" si="133"/>
        <v>13000</v>
      </c>
      <c r="N90" s="7">
        <f t="shared" si="134"/>
        <v>0.75471698113207553</v>
      </c>
      <c r="O90" s="12">
        <f t="shared" si="135"/>
        <v>2120</v>
      </c>
      <c r="P90" s="12">
        <f t="shared" si="136"/>
        <v>1600</v>
      </c>
      <c r="Q90" s="13">
        <v>3</v>
      </c>
      <c r="R90" s="13">
        <v>2</v>
      </c>
      <c r="S90" s="13" t="s">
        <v>51</v>
      </c>
      <c r="T90" s="8" t="s">
        <v>464</v>
      </c>
      <c r="U90" s="5"/>
      <c r="V90" s="5" t="s">
        <v>1817</v>
      </c>
      <c r="X90" s="23">
        <f t="shared" si="137"/>
        <v>81.2</v>
      </c>
      <c r="Y90" s="21">
        <f t="shared" si="138"/>
        <v>25</v>
      </c>
      <c r="Z90" s="28">
        <f t="shared" si="139"/>
        <v>18</v>
      </c>
      <c r="AA90" s="6">
        <f t="shared" si="140"/>
        <v>53000</v>
      </c>
      <c r="AB90" s="6">
        <f t="shared" si="141"/>
        <v>40000</v>
      </c>
      <c r="AC90" s="6">
        <f t="shared" si="142"/>
        <v>13000</v>
      </c>
      <c r="AD90" s="7">
        <f t="shared" si="143"/>
        <v>0.75471698113207553</v>
      </c>
      <c r="AE90" s="12">
        <f t="shared" si="144"/>
        <v>2120</v>
      </c>
      <c r="AF90" s="13" t="str">
        <f t="shared" si="145"/>
        <v>계</v>
      </c>
      <c r="AG90" s="13" t="str">
        <f t="shared" si="146"/>
        <v>3/2</v>
      </c>
      <c r="AI90" s="32" t="str">
        <f t="shared" si="101"/>
        <v>금정역호계푸르지오</v>
      </c>
      <c r="AJ90" s="21">
        <f t="shared" si="90"/>
        <v>25</v>
      </c>
      <c r="AK90" s="13" t="str">
        <f t="shared" si="147"/>
        <v>A-</v>
      </c>
      <c r="AL90" s="13"/>
      <c r="AM90" s="13"/>
      <c r="AN90" s="13"/>
      <c r="AO90" s="13" t="str">
        <f t="shared" si="148"/>
        <v>C</v>
      </c>
      <c r="AP90" s="13" t="str">
        <f t="shared" si="149"/>
        <v>X</v>
      </c>
      <c r="AQ90" s="13" t="str">
        <f t="shared" si="150"/>
        <v>X</v>
      </c>
      <c r="AR90" s="13" t="str">
        <f t="shared" si="151"/>
        <v>X</v>
      </c>
      <c r="AS90" s="13" t="str">
        <f t="shared" si="152"/>
        <v>X</v>
      </c>
      <c r="AT90" s="13" t="s">
        <v>32</v>
      </c>
      <c r="AU90" s="13" t="str">
        <f t="shared" si="153"/>
        <v>O</v>
      </c>
      <c r="AV90" s="13" t="str">
        <f t="shared" si="154"/>
        <v>O</v>
      </c>
      <c r="AW90" s="13" t="str">
        <f t="shared" si="155"/>
        <v>X</v>
      </c>
    </row>
    <row r="91" spans="1:49" x14ac:dyDescent="0.3">
      <c r="A91" s="5" t="s">
        <v>1815</v>
      </c>
      <c r="B91" s="14" t="s">
        <v>1816</v>
      </c>
      <c r="C91" s="25">
        <v>410</v>
      </c>
      <c r="D91" s="23">
        <v>81.400000000000006</v>
      </c>
      <c r="E91" s="21">
        <v>25</v>
      </c>
      <c r="F91" s="23">
        <v>59.9</v>
      </c>
      <c r="G91" s="24">
        <v>18</v>
      </c>
      <c r="H91" s="25">
        <v>10</v>
      </c>
      <c r="I91" s="29">
        <v>53000</v>
      </c>
      <c r="J91" s="29"/>
      <c r="K91" s="29">
        <v>40000</v>
      </c>
      <c r="L91" s="29"/>
      <c r="M91" s="6">
        <f t="shared" si="133"/>
        <v>13000</v>
      </c>
      <c r="N91" s="7">
        <f t="shared" si="134"/>
        <v>0.75471698113207553</v>
      </c>
      <c r="O91" s="12">
        <f t="shared" si="135"/>
        <v>2120</v>
      </c>
      <c r="P91" s="12">
        <f t="shared" si="136"/>
        <v>1600</v>
      </c>
      <c r="Q91" s="13">
        <v>3</v>
      </c>
      <c r="R91" s="13">
        <v>2</v>
      </c>
      <c r="S91" s="13" t="s">
        <v>51</v>
      </c>
      <c r="T91" s="8" t="s">
        <v>260</v>
      </c>
      <c r="U91" s="5"/>
      <c r="V91" s="5" t="s">
        <v>1817</v>
      </c>
      <c r="X91" s="23">
        <f t="shared" si="137"/>
        <v>81.400000000000006</v>
      </c>
      <c r="Y91" s="21">
        <f t="shared" si="138"/>
        <v>25</v>
      </c>
      <c r="Z91" s="28">
        <f t="shared" si="139"/>
        <v>10</v>
      </c>
      <c r="AA91" s="6">
        <f t="shared" si="140"/>
        <v>53000</v>
      </c>
      <c r="AB91" s="6">
        <f t="shared" si="141"/>
        <v>40000</v>
      </c>
      <c r="AC91" s="6">
        <f t="shared" si="142"/>
        <v>13000</v>
      </c>
      <c r="AD91" s="7">
        <f t="shared" si="143"/>
        <v>0.75471698113207553</v>
      </c>
      <c r="AE91" s="12">
        <f t="shared" si="144"/>
        <v>2120</v>
      </c>
      <c r="AF91" s="13" t="str">
        <f t="shared" si="145"/>
        <v>계</v>
      </c>
      <c r="AG91" s="13" t="str">
        <f t="shared" si="146"/>
        <v>3/2</v>
      </c>
      <c r="AI91" s="32" t="str">
        <f t="shared" si="101"/>
        <v>금정역호계푸르지오</v>
      </c>
      <c r="AJ91" s="21">
        <f t="shared" si="90"/>
        <v>25</v>
      </c>
      <c r="AK91" s="13" t="str">
        <f t="shared" si="147"/>
        <v>A-</v>
      </c>
      <c r="AL91" s="13"/>
      <c r="AM91" s="13"/>
      <c r="AN91" s="13"/>
      <c r="AO91" s="13" t="str">
        <f t="shared" si="148"/>
        <v>C</v>
      </c>
      <c r="AP91" s="13" t="str">
        <f t="shared" si="149"/>
        <v>X</v>
      </c>
      <c r="AQ91" s="13" t="str">
        <f t="shared" si="150"/>
        <v>X</v>
      </c>
      <c r="AR91" s="13" t="str">
        <f t="shared" si="151"/>
        <v>X</v>
      </c>
      <c r="AS91" s="13" t="str">
        <f t="shared" si="152"/>
        <v>X</v>
      </c>
      <c r="AT91" s="13" t="s">
        <v>32</v>
      </c>
      <c r="AU91" s="13" t="str">
        <f t="shared" si="153"/>
        <v>O</v>
      </c>
      <c r="AV91" s="13" t="str">
        <f t="shared" si="154"/>
        <v>O</v>
      </c>
      <c r="AW91" s="13" t="str">
        <f t="shared" si="155"/>
        <v>X</v>
      </c>
    </row>
    <row r="92" spans="1:49" x14ac:dyDescent="0.3">
      <c r="A92" s="5" t="s">
        <v>1815</v>
      </c>
      <c r="B92" s="14" t="s">
        <v>1816</v>
      </c>
      <c r="C92" s="25">
        <v>410</v>
      </c>
      <c r="D92" s="23">
        <v>98.7</v>
      </c>
      <c r="E92" s="21">
        <v>30</v>
      </c>
      <c r="F92" s="23">
        <v>75</v>
      </c>
      <c r="G92" s="24">
        <v>23</v>
      </c>
      <c r="H92" s="25">
        <v>30</v>
      </c>
      <c r="I92" s="29">
        <v>63000</v>
      </c>
      <c r="J92" s="29"/>
      <c r="K92" s="29">
        <v>46000</v>
      </c>
      <c r="L92" s="29"/>
      <c r="M92" s="6">
        <f t="shared" si="133"/>
        <v>17000</v>
      </c>
      <c r="N92" s="7">
        <f t="shared" si="134"/>
        <v>0.73015873015873012</v>
      </c>
      <c r="O92" s="12">
        <f t="shared" si="135"/>
        <v>2100</v>
      </c>
      <c r="P92" s="12">
        <f t="shared" si="136"/>
        <v>1533.3333333333333</v>
      </c>
      <c r="Q92" s="13">
        <v>3</v>
      </c>
      <c r="R92" s="13">
        <v>2</v>
      </c>
      <c r="S92" s="13" t="s">
        <v>51</v>
      </c>
      <c r="T92" s="8" t="s">
        <v>114</v>
      </c>
      <c r="U92" s="5"/>
      <c r="V92" s="5" t="s">
        <v>1818</v>
      </c>
      <c r="X92" s="23">
        <f t="shared" si="137"/>
        <v>98.7</v>
      </c>
      <c r="Y92" s="21">
        <f t="shared" si="138"/>
        <v>30</v>
      </c>
      <c r="Z92" s="28">
        <f t="shared" si="139"/>
        <v>30</v>
      </c>
      <c r="AA92" s="6">
        <f t="shared" si="140"/>
        <v>63000</v>
      </c>
      <c r="AB92" s="6">
        <f t="shared" si="141"/>
        <v>46000</v>
      </c>
      <c r="AC92" s="6">
        <f t="shared" si="142"/>
        <v>17000</v>
      </c>
      <c r="AD92" s="7">
        <f t="shared" si="143"/>
        <v>0.73015873015873012</v>
      </c>
      <c r="AE92" s="12">
        <f t="shared" si="144"/>
        <v>2100</v>
      </c>
      <c r="AF92" s="13" t="str">
        <f t="shared" si="145"/>
        <v>계</v>
      </c>
      <c r="AG92" s="13" t="str">
        <f t="shared" si="146"/>
        <v>3/2</v>
      </c>
      <c r="AI92" s="32" t="str">
        <f t="shared" si="101"/>
        <v>금정역호계푸르지오</v>
      </c>
      <c r="AJ92" s="21">
        <f t="shared" si="90"/>
        <v>30</v>
      </c>
      <c r="AK92" s="13" t="str">
        <f t="shared" si="147"/>
        <v>A-</v>
      </c>
      <c r="AL92" s="13"/>
      <c r="AM92" s="13"/>
      <c r="AN92" s="13"/>
      <c r="AO92" s="13" t="str">
        <f t="shared" si="148"/>
        <v>C</v>
      </c>
      <c r="AP92" s="13" t="str">
        <f t="shared" si="149"/>
        <v>X</v>
      </c>
      <c r="AQ92" s="13" t="str">
        <f t="shared" si="150"/>
        <v>X</v>
      </c>
      <c r="AR92" s="13" t="str">
        <f t="shared" si="151"/>
        <v>X</v>
      </c>
      <c r="AS92" s="13" t="str">
        <f t="shared" si="152"/>
        <v>X</v>
      </c>
      <c r="AT92" s="13" t="s">
        <v>32</v>
      </c>
      <c r="AU92" s="13" t="str">
        <f t="shared" si="153"/>
        <v>O</v>
      </c>
      <c r="AV92" s="13" t="str">
        <f t="shared" si="154"/>
        <v>O</v>
      </c>
      <c r="AW92" s="13" t="str">
        <f t="shared" si="155"/>
        <v>X</v>
      </c>
    </row>
    <row r="93" spans="1:49" x14ac:dyDescent="0.3">
      <c r="A93" s="5" t="s">
        <v>1815</v>
      </c>
      <c r="B93" s="14" t="s">
        <v>1816</v>
      </c>
      <c r="C93" s="25">
        <v>410</v>
      </c>
      <c r="D93" s="23">
        <v>99.4</v>
      </c>
      <c r="E93" s="21">
        <v>30</v>
      </c>
      <c r="F93" s="23">
        <v>74.900000000000006</v>
      </c>
      <c r="G93" s="24">
        <v>23</v>
      </c>
      <c r="H93" s="25">
        <v>24</v>
      </c>
      <c r="I93" s="29">
        <v>63000</v>
      </c>
      <c r="J93" s="29"/>
      <c r="K93" s="29">
        <v>46000</v>
      </c>
      <c r="L93" s="29"/>
      <c r="M93" s="6">
        <f t="shared" si="133"/>
        <v>17000</v>
      </c>
      <c r="N93" s="7">
        <f t="shared" si="134"/>
        <v>0.73015873015873012</v>
      </c>
      <c r="O93" s="12">
        <f t="shared" si="135"/>
        <v>2100</v>
      </c>
      <c r="P93" s="12">
        <f t="shared" si="136"/>
        <v>1533.3333333333333</v>
      </c>
      <c r="Q93" s="13">
        <v>3</v>
      </c>
      <c r="R93" s="13">
        <v>2</v>
      </c>
      <c r="S93" s="13" t="s">
        <v>51</v>
      </c>
      <c r="T93" s="8" t="s">
        <v>577</v>
      </c>
      <c r="U93" s="5"/>
      <c r="V93" s="5" t="s">
        <v>1818</v>
      </c>
      <c r="X93" s="23">
        <f t="shared" si="137"/>
        <v>99.4</v>
      </c>
      <c r="Y93" s="21">
        <f t="shared" si="138"/>
        <v>30</v>
      </c>
      <c r="Z93" s="28">
        <f t="shared" si="139"/>
        <v>24</v>
      </c>
      <c r="AA93" s="6">
        <f t="shared" si="140"/>
        <v>63000</v>
      </c>
      <c r="AB93" s="6">
        <f t="shared" si="141"/>
        <v>46000</v>
      </c>
      <c r="AC93" s="6">
        <f t="shared" si="142"/>
        <v>17000</v>
      </c>
      <c r="AD93" s="7">
        <f t="shared" si="143"/>
        <v>0.73015873015873012</v>
      </c>
      <c r="AE93" s="12">
        <f t="shared" si="144"/>
        <v>2100</v>
      </c>
      <c r="AF93" s="13" t="str">
        <f t="shared" si="145"/>
        <v>계</v>
      </c>
      <c r="AG93" s="13" t="str">
        <f t="shared" si="146"/>
        <v>3/2</v>
      </c>
      <c r="AI93" s="32" t="str">
        <f t="shared" si="101"/>
        <v>금정역호계푸르지오</v>
      </c>
      <c r="AJ93" s="21">
        <f t="shared" si="90"/>
        <v>30</v>
      </c>
      <c r="AK93" s="13" t="str">
        <f t="shared" si="147"/>
        <v>A-</v>
      </c>
      <c r="AL93" s="13"/>
      <c r="AM93" s="13"/>
      <c r="AN93" s="13"/>
      <c r="AO93" s="13" t="str">
        <f t="shared" si="148"/>
        <v>C</v>
      </c>
      <c r="AP93" s="13" t="str">
        <f t="shared" si="149"/>
        <v>X</v>
      </c>
      <c r="AQ93" s="13" t="str">
        <f t="shared" si="150"/>
        <v>X</v>
      </c>
      <c r="AR93" s="13" t="str">
        <f t="shared" si="151"/>
        <v>X</v>
      </c>
      <c r="AS93" s="13" t="str">
        <f t="shared" si="152"/>
        <v>X</v>
      </c>
      <c r="AT93" s="13" t="s">
        <v>32</v>
      </c>
      <c r="AU93" s="13" t="str">
        <f t="shared" si="153"/>
        <v>O</v>
      </c>
      <c r="AV93" s="13" t="str">
        <f t="shared" si="154"/>
        <v>O</v>
      </c>
      <c r="AW93" s="13" t="str">
        <f t="shared" si="155"/>
        <v>X</v>
      </c>
    </row>
    <row r="94" spans="1:49" x14ac:dyDescent="0.3">
      <c r="A94" s="5" t="s">
        <v>1815</v>
      </c>
      <c r="B94" s="14" t="s">
        <v>1816</v>
      </c>
      <c r="C94" s="25">
        <v>410</v>
      </c>
      <c r="D94" s="23">
        <v>99.7</v>
      </c>
      <c r="E94" s="21">
        <v>30</v>
      </c>
      <c r="F94" s="23">
        <v>74.099999999999994</v>
      </c>
      <c r="G94" s="24">
        <v>22</v>
      </c>
      <c r="H94" s="25">
        <v>22</v>
      </c>
      <c r="I94" s="29">
        <v>63000</v>
      </c>
      <c r="J94" s="29"/>
      <c r="K94" s="29">
        <v>46000</v>
      </c>
      <c r="L94" s="29"/>
      <c r="M94" s="6">
        <f t="shared" si="133"/>
        <v>17000</v>
      </c>
      <c r="N94" s="7">
        <f t="shared" si="134"/>
        <v>0.73015873015873012</v>
      </c>
      <c r="O94" s="12">
        <f t="shared" si="135"/>
        <v>2100</v>
      </c>
      <c r="P94" s="12">
        <f t="shared" si="136"/>
        <v>1533.3333333333333</v>
      </c>
      <c r="Q94" s="13">
        <v>3</v>
      </c>
      <c r="R94" s="13">
        <v>2</v>
      </c>
      <c r="S94" s="13" t="s">
        <v>51</v>
      </c>
      <c r="T94" s="8" t="s">
        <v>578</v>
      </c>
      <c r="U94" s="5"/>
      <c r="V94" s="5" t="s">
        <v>1819</v>
      </c>
      <c r="X94" s="23">
        <f t="shared" si="137"/>
        <v>99.7</v>
      </c>
      <c r="Y94" s="21">
        <f t="shared" si="138"/>
        <v>30</v>
      </c>
      <c r="Z94" s="28">
        <f t="shared" si="139"/>
        <v>22</v>
      </c>
      <c r="AA94" s="6">
        <f t="shared" si="140"/>
        <v>63000</v>
      </c>
      <c r="AB94" s="6">
        <f t="shared" si="141"/>
        <v>46000</v>
      </c>
      <c r="AC94" s="6">
        <f t="shared" si="142"/>
        <v>17000</v>
      </c>
      <c r="AD94" s="7">
        <f t="shared" si="143"/>
        <v>0.73015873015873012</v>
      </c>
      <c r="AE94" s="12">
        <f t="shared" si="144"/>
        <v>2100</v>
      </c>
      <c r="AF94" s="13" t="str">
        <f t="shared" si="145"/>
        <v>계</v>
      </c>
      <c r="AG94" s="13" t="str">
        <f t="shared" si="146"/>
        <v>3/2</v>
      </c>
      <c r="AI94" s="32" t="str">
        <f t="shared" si="101"/>
        <v>금정역호계푸르지오</v>
      </c>
      <c r="AJ94" s="21">
        <f t="shared" si="90"/>
        <v>30</v>
      </c>
      <c r="AK94" s="13" t="str">
        <f t="shared" si="147"/>
        <v>A-</v>
      </c>
      <c r="AL94" s="13"/>
      <c r="AM94" s="13"/>
      <c r="AN94" s="13"/>
      <c r="AO94" s="13" t="str">
        <f t="shared" si="148"/>
        <v>C</v>
      </c>
      <c r="AP94" s="13" t="str">
        <f t="shared" si="149"/>
        <v>X</v>
      </c>
      <c r="AQ94" s="13" t="str">
        <f t="shared" si="150"/>
        <v>X</v>
      </c>
      <c r="AR94" s="13" t="str">
        <f t="shared" si="151"/>
        <v>X</v>
      </c>
      <c r="AS94" s="13" t="str">
        <f t="shared" si="152"/>
        <v>X</v>
      </c>
      <c r="AT94" s="13" t="s">
        <v>32</v>
      </c>
      <c r="AU94" s="13" t="str">
        <f t="shared" si="153"/>
        <v>O</v>
      </c>
      <c r="AV94" s="13" t="str">
        <f t="shared" si="154"/>
        <v>O</v>
      </c>
      <c r="AW94" s="13" t="str">
        <f t="shared" si="155"/>
        <v>X</v>
      </c>
    </row>
    <row r="95" spans="1:49" x14ac:dyDescent="0.3">
      <c r="A95" s="5" t="s">
        <v>1815</v>
      </c>
      <c r="B95" s="14" t="s">
        <v>1816</v>
      </c>
      <c r="C95" s="25">
        <v>410</v>
      </c>
      <c r="D95" s="23">
        <v>102</v>
      </c>
      <c r="E95" s="21">
        <v>31</v>
      </c>
      <c r="F95" s="23">
        <v>79.900000000000006</v>
      </c>
      <c r="G95" s="24">
        <v>24</v>
      </c>
      <c r="H95" s="25">
        <v>2</v>
      </c>
      <c r="I95" s="29">
        <v>67500</v>
      </c>
      <c r="J95" s="29"/>
      <c r="K95" s="29">
        <v>44500</v>
      </c>
      <c r="L95" s="29"/>
      <c r="M95" s="6">
        <f t="shared" si="133"/>
        <v>23000</v>
      </c>
      <c r="N95" s="7">
        <f t="shared" si="134"/>
        <v>0.65925925925925921</v>
      </c>
      <c r="O95" s="12">
        <f t="shared" si="135"/>
        <v>2177.4193548387098</v>
      </c>
      <c r="P95" s="12">
        <f t="shared" si="136"/>
        <v>1435.483870967742</v>
      </c>
      <c r="Q95" s="13">
        <v>3</v>
      </c>
      <c r="R95" s="13">
        <v>2</v>
      </c>
      <c r="S95" s="13" t="s">
        <v>51</v>
      </c>
      <c r="T95" s="8">
        <v>101</v>
      </c>
      <c r="U95" s="5"/>
      <c r="V95" s="5" t="s">
        <v>1820</v>
      </c>
      <c r="X95" s="23">
        <f t="shared" si="137"/>
        <v>102</v>
      </c>
      <c r="Y95" s="21">
        <f t="shared" si="138"/>
        <v>31</v>
      </c>
      <c r="Z95" s="28">
        <f t="shared" si="139"/>
        <v>2</v>
      </c>
      <c r="AA95" s="6">
        <f t="shared" si="140"/>
        <v>67500</v>
      </c>
      <c r="AB95" s="6">
        <f t="shared" si="141"/>
        <v>44500</v>
      </c>
      <c r="AC95" s="6">
        <f t="shared" si="142"/>
        <v>23000</v>
      </c>
      <c r="AD95" s="7">
        <f t="shared" si="143"/>
        <v>0.65925925925925921</v>
      </c>
      <c r="AE95" s="12">
        <f t="shared" si="144"/>
        <v>2177.4193548387098</v>
      </c>
      <c r="AF95" s="13" t="str">
        <f t="shared" si="145"/>
        <v>계</v>
      </c>
      <c r="AG95" s="13" t="str">
        <f t="shared" si="146"/>
        <v>3/2</v>
      </c>
      <c r="AI95" s="32" t="str">
        <f t="shared" si="101"/>
        <v>금정역호계푸르지오</v>
      </c>
      <c r="AJ95" s="21">
        <f t="shared" si="90"/>
        <v>31</v>
      </c>
      <c r="AK95" s="13" t="str">
        <f t="shared" si="147"/>
        <v>A-</v>
      </c>
      <c r="AL95" s="13"/>
      <c r="AM95" s="13"/>
      <c r="AN95" s="13"/>
      <c r="AO95" s="13" t="str">
        <f t="shared" si="148"/>
        <v>C</v>
      </c>
      <c r="AP95" s="13" t="str">
        <f t="shared" si="149"/>
        <v>X</v>
      </c>
      <c r="AQ95" s="13" t="str">
        <f t="shared" si="150"/>
        <v>X</v>
      </c>
      <c r="AR95" s="13" t="str">
        <f t="shared" si="151"/>
        <v>X</v>
      </c>
      <c r="AS95" s="13" t="str">
        <f t="shared" si="152"/>
        <v>X</v>
      </c>
      <c r="AT95" s="13" t="s">
        <v>32</v>
      </c>
      <c r="AU95" s="13" t="str">
        <f t="shared" si="153"/>
        <v>O</v>
      </c>
      <c r="AV95" s="13" t="str">
        <f t="shared" si="154"/>
        <v>O</v>
      </c>
      <c r="AW95" s="13" t="str">
        <f t="shared" si="155"/>
        <v>X</v>
      </c>
    </row>
    <row r="96" spans="1:49" x14ac:dyDescent="0.3">
      <c r="A96" s="5" t="s">
        <v>1815</v>
      </c>
      <c r="B96" s="14" t="s">
        <v>1816</v>
      </c>
      <c r="C96" s="25">
        <v>410</v>
      </c>
      <c r="D96" s="23">
        <v>108.3</v>
      </c>
      <c r="E96" s="21">
        <v>33</v>
      </c>
      <c r="F96" s="23">
        <v>84.9</v>
      </c>
      <c r="G96" s="24">
        <v>26</v>
      </c>
      <c r="H96" s="25">
        <v>105</v>
      </c>
      <c r="I96" s="29">
        <v>78000</v>
      </c>
      <c r="J96" s="29"/>
      <c r="K96" s="29">
        <v>53000</v>
      </c>
      <c r="L96" s="29"/>
      <c r="M96" s="6">
        <f t="shared" si="133"/>
        <v>25000</v>
      </c>
      <c r="N96" s="7">
        <f t="shared" si="134"/>
        <v>0.67948717948717952</v>
      </c>
      <c r="O96" s="12">
        <f t="shared" si="135"/>
        <v>2363.6363636363635</v>
      </c>
      <c r="P96" s="12">
        <f t="shared" si="136"/>
        <v>1606.060606060606</v>
      </c>
      <c r="Q96" s="13">
        <v>3</v>
      </c>
      <c r="R96" s="13">
        <v>2</v>
      </c>
      <c r="S96" s="13" t="s">
        <v>51</v>
      </c>
      <c r="T96" s="8">
        <v>108</v>
      </c>
      <c r="U96" s="5"/>
      <c r="V96" s="5" t="s">
        <v>1821</v>
      </c>
      <c r="X96" s="23">
        <f t="shared" si="137"/>
        <v>108.3</v>
      </c>
      <c r="Y96" s="21">
        <f t="shared" si="138"/>
        <v>33</v>
      </c>
      <c r="Z96" s="28">
        <f t="shared" si="139"/>
        <v>105</v>
      </c>
      <c r="AA96" s="6">
        <f t="shared" si="140"/>
        <v>78000</v>
      </c>
      <c r="AB96" s="6">
        <f t="shared" si="141"/>
        <v>53000</v>
      </c>
      <c r="AC96" s="6">
        <f t="shared" si="142"/>
        <v>25000</v>
      </c>
      <c r="AD96" s="7">
        <f t="shared" si="143"/>
        <v>0.67948717948717952</v>
      </c>
      <c r="AE96" s="12">
        <f t="shared" si="144"/>
        <v>2363.6363636363635</v>
      </c>
      <c r="AF96" s="13" t="str">
        <f t="shared" si="145"/>
        <v>계</v>
      </c>
      <c r="AG96" s="13" t="str">
        <f t="shared" si="146"/>
        <v>3/2</v>
      </c>
      <c r="AI96" s="32" t="str">
        <f t="shared" si="101"/>
        <v>금정역호계푸르지오</v>
      </c>
      <c r="AJ96" s="21">
        <f t="shared" si="90"/>
        <v>33</v>
      </c>
      <c r="AK96" s="13" t="str">
        <f t="shared" si="147"/>
        <v>A-</v>
      </c>
      <c r="AL96" s="13"/>
      <c r="AM96" s="13"/>
      <c r="AN96" s="13"/>
      <c r="AO96" s="13" t="str">
        <f t="shared" si="148"/>
        <v>C</v>
      </c>
      <c r="AP96" s="13" t="str">
        <f t="shared" si="149"/>
        <v>X</v>
      </c>
      <c r="AQ96" s="13" t="str">
        <f t="shared" si="150"/>
        <v>X</v>
      </c>
      <c r="AR96" s="13" t="str">
        <f t="shared" si="151"/>
        <v>X</v>
      </c>
      <c r="AS96" s="13" t="str">
        <f t="shared" si="152"/>
        <v>X</v>
      </c>
      <c r="AT96" s="13" t="s">
        <v>32</v>
      </c>
      <c r="AU96" s="13" t="str">
        <f t="shared" si="153"/>
        <v>O</v>
      </c>
      <c r="AV96" s="13" t="str">
        <f t="shared" si="154"/>
        <v>O</v>
      </c>
      <c r="AW96" s="13" t="str">
        <f t="shared" si="155"/>
        <v>X</v>
      </c>
    </row>
    <row r="97" spans="1:49" x14ac:dyDescent="0.3">
      <c r="A97" s="5" t="s">
        <v>1815</v>
      </c>
      <c r="B97" s="14" t="s">
        <v>1816</v>
      </c>
      <c r="C97" s="25">
        <v>410</v>
      </c>
      <c r="D97" s="23">
        <v>114.6</v>
      </c>
      <c r="E97" s="21">
        <v>35</v>
      </c>
      <c r="F97" s="23">
        <v>84.9</v>
      </c>
      <c r="G97" s="24">
        <v>26</v>
      </c>
      <c r="H97" s="25">
        <v>2</v>
      </c>
      <c r="I97" s="29">
        <v>79000</v>
      </c>
      <c r="J97" s="29"/>
      <c r="K97" s="29">
        <v>48500</v>
      </c>
      <c r="L97" s="29"/>
      <c r="M97" s="6">
        <f t="shared" si="133"/>
        <v>30500</v>
      </c>
      <c r="N97" s="7">
        <f t="shared" si="134"/>
        <v>0.61392405063291144</v>
      </c>
      <c r="O97" s="12">
        <f t="shared" si="135"/>
        <v>2257.1428571428573</v>
      </c>
      <c r="P97" s="12">
        <f t="shared" si="136"/>
        <v>1385.7142857142858</v>
      </c>
      <c r="Q97" s="13">
        <v>3</v>
      </c>
      <c r="R97" s="13">
        <v>2</v>
      </c>
      <c r="S97" s="13" t="s">
        <v>51</v>
      </c>
      <c r="T97" s="8">
        <v>114</v>
      </c>
      <c r="U97" s="5"/>
      <c r="V97" s="5" t="s">
        <v>1822</v>
      </c>
      <c r="X97" s="23">
        <f t="shared" si="137"/>
        <v>114.6</v>
      </c>
      <c r="Y97" s="21">
        <f t="shared" si="138"/>
        <v>35</v>
      </c>
      <c r="Z97" s="28">
        <f t="shared" si="139"/>
        <v>2</v>
      </c>
      <c r="AA97" s="6">
        <f t="shared" si="140"/>
        <v>79000</v>
      </c>
      <c r="AB97" s="6">
        <f t="shared" si="141"/>
        <v>48500</v>
      </c>
      <c r="AC97" s="6">
        <f t="shared" si="142"/>
        <v>30500</v>
      </c>
      <c r="AD97" s="7">
        <f t="shared" si="143"/>
        <v>0.61392405063291144</v>
      </c>
      <c r="AE97" s="12">
        <f t="shared" si="144"/>
        <v>2257.1428571428573</v>
      </c>
      <c r="AF97" s="13" t="str">
        <f t="shared" si="145"/>
        <v>계</v>
      </c>
      <c r="AG97" s="13" t="str">
        <f t="shared" si="146"/>
        <v>3/2</v>
      </c>
      <c r="AI97" s="32" t="str">
        <f t="shared" si="101"/>
        <v>금정역호계푸르지오</v>
      </c>
      <c r="AJ97" s="21">
        <f t="shared" si="90"/>
        <v>35</v>
      </c>
      <c r="AK97" s="13" t="str">
        <f t="shared" si="147"/>
        <v>A-</v>
      </c>
      <c r="AL97" s="13"/>
      <c r="AM97" s="13"/>
      <c r="AN97" s="13"/>
      <c r="AO97" s="13" t="str">
        <f t="shared" si="148"/>
        <v>C</v>
      </c>
      <c r="AP97" s="13" t="str">
        <f t="shared" si="149"/>
        <v>X</v>
      </c>
      <c r="AQ97" s="13" t="str">
        <f t="shared" si="150"/>
        <v>X</v>
      </c>
      <c r="AR97" s="13" t="str">
        <f t="shared" si="151"/>
        <v>X</v>
      </c>
      <c r="AS97" s="13" t="str">
        <f t="shared" si="152"/>
        <v>X</v>
      </c>
      <c r="AT97" s="13" t="s">
        <v>32</v>
      </c>
      <c r="AU97" s="13" t="str">
        <f t="shared" si="153"/>
        <v>O</v>
      </c>
      <c r="AV97" s="13" t="str">
        <f t="shared" si="154"/>
        <v>O</v>
      </c>
      <c r="AW97" s="13" t="str">
        <f t="shared" si="155"/>
        <v>X</v>
      </c>
    </row>
    <row r="98" spans="1:49" x14ac:dyDescent="0.3">
      <c r="A98" s="5"/>
      <c r="B98" s="13"/>
      <c r="C98" s="9"/>
      <c r="D98" s="5"/>
      <c r="E98" s="18"/>
      <c r="F98" s="23"/>
      <c r="G98" s="5"/>
      <c r="H98" s="5"/>
      <c r="I98" s="5"/>
      <c r="J98" s="5"/>
      <c r="K98" s="5"/>
      <c r="L98" s="5"/>
      <c r="M98" s="5"/>
      <c r="N98" s="5"/>
      <c r="O98" s="12"/>
      <c r="P98" s="12"/>
      <c r="Q98" s="21"/>
      <c r="R98" s="21"/>
      <c r="S98" s="5"/>
      <c r="T98" s="59"/>
      <c r="U98" s="5"/>
      <c r="V98" s="5"/>
      <c r="X98" s="90" t="str">
        <f>$A$4&amp;" "&amp;A99&amp;"("&amp;B99&amp;","&amp;C99&amp;"^)"</f>
        <v>호계동 목련2단지('92.03,994^)</v>
      </c>
      <c r="Y98" s="91"/>
      <c r="Z98" s="91"/>
      <c r="AA98" s="91"/>
      <c r="AB98" s="91"/>
      <c r="AC98" s="91"/>
      <c r="AD98" s="91"/>
      <c r="AE98" s="91"/>
      <c r="AF98" s="91"/>
      <c r="AG98" s="92"/>
      <c r="AI98" s="32" t="str">
        <f t="shared" si="101"/>
        <v/>
      </c>
      <c r="AJ98" s="33" t="str">
        <f t="shared" si="90"/>
        <v/>
      </c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</row>
    <row r="99" spans="1:49" x14ac:dyDescent="0.3">
      <c r="A99" s="5" t="s">
        <v>1823</v>
      </c>
      <c r="B99" s="14" t="s">
        <v>1824</v>
      </c>
      <c r="C99" s="25">
        <v>994</v>
      </c>
      <c r="D99" s="23">
        <v>46.3</v>
      </c>
      <c r="E99" s="21">
        <v>14</v>
      </c>
      <c r="F99" s="23">
        <v>34.4</v>
      </c>
      <c r="G99" s="24">
        <v>10</v>
      </c>
      <c r="H99" s="25">
        <v>384</v>
      </c>
      <c r="I99" s="29">
        <v>32500</v>
      </c>
      <c r="J99" s="29"/>
      <c r="K99" s="29">
        <v>19000</v>
      </c>
      <c r="L99" s="29"/>
      <c r="M99" s="6">
        <f>I99-K99</f>
        <v>13500</v>
      </c>
      <c r="N99" s="7">
        <f>IF(ISERROR(K99/I99),"",K99/I99)</f>
        <v>0.58461538461538465</v>
      </c>
      <c r="O99" s="12">
        <f>I99/E99</f>
        <v>2321.4285714285716</v>
      </c>
      <c r="P99" s="12">
        <f>K99/E99</f>
        <v>1357.1428571428571</v>
      </c>
      <c r="Q99" s="13">
        <v>2</v>
      </c>
      <c r="R99" s="13">
        <v>1</v>
      </c>
      <c r="S99" s="13" t="s">
        <v>1356</v>
      </c>
      <c r="T99" s="8">
        <v>46</v>
      </c>
      <c r="U99" s="5"/>
      <c r="V99" s="5" t="s">
        <v>1825</v>
      </c>
      <c r="X99" s="23">
        <f>D99</f>
        <v>46.3</v>
      </c>
      <c r="Y99" s="21">
        <f>E99</f>
        <v>14</v>
      </c>
      <c r="Z99" s="28">
        <f>H99</f>
        <v>384</v>
      </c>
      <c r="AA99" s="6">
        <f>I99</f>
        <v>32500</v>
      </c>
      <c r="AB99" s="6">
        <f>K99</f>
        <v>19000</v>
      </c>
      <c r="AC99" s="6">
        <f t="shared" ref="AC99:AE100" si="156">M99</f>
        <v>13500</v>
      </c>
      <c r="AD99" s="7">
        <f t="shared" si="156"/>
        <v>0.58461538461538465</v>
      </c>
      <c r="AE99" s="12">
        <f t="shared" si="156"/>
        <v>2321.4285714285716</v>
      </c>
      <c r="AF99" s="13" t="str">
        <f>S99</f>
        <v>복</v>
      </c>
      <c r="AG99" s="13" t="str">
        <f>Q99&amp;"/"&amp;R99</f>
        <v>2/1</v>
      </c>
      <c r="AI99" s="32" t="str">
        <f t="shared" si="101"/>
        <v>목련2단지</v>
      </c>
      <c r="AJ99" s="21">
        <f t="shared" si="90"/>
        <v>14</v>
      </c>
      <c r="AK99" s="13" t="str">
        <f>IF(AJ99="","",$AK$2)</f>
        <v>A-</v>
      </c>
      <c r="AL99" s="13"/>
      <c r="AM99" s="13"/>
      <c r="AN99" s="13"/>
      <c r="AO99" s="13" t="str">
        <f>IF(AJ99="","",$AO$2)</f>
        <v>C</v>
      </c>
      <c r="AP99" s="13" t="str">
        <f>IF(N99="","",IF(N99&gt;=$AP$1/100,"O","X"))</f>
        <v>X</v>
      </c>
      <c r="AQ99" s="13" t="str">
        <f>IF(I99="","",IF(I99&lt;=$AQ$1,"O","X"))</f>
        <v>O</v>
      </c>
      <c r="AR99" s="13" t="str">
        <f>IF(O99="","",IF(O99&lt;=$AR$1,"O","X"))</f>
        <v>X</v>
      </c>
      <c r="AS99" s="13" t="str">
        <f>IF(M99="","",IF(M99&lt;=$AS$1,"O","X"))</f>
        <v>X</v>
      </c>
      <c r="AT99" s="13" t="s">
        <v>32</v>
      </c>
      <c r="AU99" s="13" t="str">
        <f>IF(OR(F99="",AJ99=""),"",IF(AND((F99&lt;=85),(AJ99&gt;=15)),"O","X"))</f>
        <v>X</v>
      </c>
      <c r="AV99" s="13" t="str">
        <f>IF(C99="","",IF(C99&gt;=$AV$1,"O","X"))</f>
        <v>O</v>
      </c>
      <c r="AW99" s="13" t="str">
        <f>IF(AP99="","",IF(AND(AP99="O",AQ99="O",AS99="O",AU99="O",AV99="O"),"후보","X"))</f>
        <v>X</v>
      </c>
    </row>
    <row r="100" spans="1:49" x14ac:dyDescent="0.3">
      <c r="A100" s="5" t="s">
        <v>1823</v>
      </c>
      <c r="B100" s="14" t="s">
        <v>1824</v>
      </c>
      <c r="C100" s="25">
        <v>994</v>
      </c>
      <c r="D100" s="23">
        <v>77.099999999999994</v>
      </c>
      <c r="E100" s="21">
        <v>23</v>
      </c>
      <c r="F100" s="23">
        <v>58.3</v>
      </c>
      <c r="G100" s="24">
        <v>18</v>
      </c>
      <c r="H100" s="25">
        <v>610</v>
      </c>
      <c r="I100" s="29">
        <v>58000</v>
      </c>
      <c r="J100" s="29"/>
      <c r="K100" s="29">
        <v>31000</v>
      </c>
      <c r="L100" s="29"/>
      <c r="M100" s="6">
        <f>I100-K100</f>
        <v>27000</v>
      </c>
      <c r="N100" s="7">
        <f>IF(ISERROR(K100/I100),"",K100/I100)</f>
        <v>0.53448275862068961</v>
      </c>
      <c r="O100" s="12">
        <f>I100/E100</f>
        <v>2521.7391304347825</v>
      </c>
      <c r="P100" s="12">
        <f>K100/E100</f>
        <v>1347.8260869565217</v>
      </c>
      <c r="Q100" s="13">
        <v>2</v>
      </c>
      <c r="R100" s="13">
        <v>1</v>
      </c>
      <c r="S100" s="13" t="s">
        <v>1356</v>
      </c>
      <c r="T100" s="8">
        <v>77</v>
      </c>
      <c r="U100" s="5"/>
      <c r="V100" s="5" t="s">
        <v>1826</v>
      </c>
      <c r="X100" s="23">
        <f>D100</f>
        <v>77.099999999999994</v>
      </c>
      <c r="Y100" s="21">
        <f>E100</f>
        <v>23</v>
      </c>
      <c r="Z100" s="28">
        <f>H100</f>
        <v>610</v>
      </c>
      <c r="AA100" s="6">
        <f>I100</f>
        <v>58000</v>
      </c>
      <c r="AB100" s="6">
        <f>K100</f>
        <v>31000</v>
      </c>
      <c r="AC100" s="6">
        <f t="shared" si="156"/>
        <v>27000</v>
      </c>
      <c r="AD100" s="7">
        <f t="shared" si="156"/>
        <v>0.53448275862068961</v>
      </c>
      <c r="AE100" s="12">
        <f t="shared" si="156"/>
        <v>2521.7391304347825</v>
      </c>
      <c r="AF100" s="13" t="str">
        <f>S100</f>
        <v>복</v>
      </c>
      <c r="AG100" s="13" t="str">
        <f>Q100&amp;"/"&amp;R100</f>
        <v>2/1</v>
      </c>
      <c r="AI100" s="32" t="str">
        <f t="shared" si="101"/>
        <v>목련2단지</v>
      </c>
      <c r="AJ100" s="21">
        <f t="shared" si="90"/>
        <v>23</v>
      </c>
      <c r="AK100" s="13" t="str">
        <f>IF(AJ100="","",$AK$2)</f>
        <v>A-</v>
      </c>
      <c r="AL100" s="13"/>
      <c r="AM100" s="13"/>
      <c r="AN100" s="13"/>
      <c r="AO100" s="13" t="str">
        <f>IF(AJ100="","",$AO$2)</f>
        <v>C</v>
      </c>
      <c r="AP100" s="13" t="str">
        <f>IF(N100="","",IF(N100&gt;=$AP$1/100,"O","X"))</f>
        <v>X</v>
      </c>
      <c r="AQ100" s="13" t="str">
        <f>IF(I100="","",IF(I100&lt;=$AQ$1,"O","X"))</f>
        <v>X</v>
      </c>
      <c r="AR100" s="13" t="str">
        <f>IF(O100="","",IF(O100&lt;=$AR$1,"O","X"))</f>
        <v>X</v>
      </c>
      <c r="AS100" s="13" t="str">
        <f>IF(M100="","",IF(M100&lt;=$AS$1,"O","X"))</f>
        <v>X</v>
      </c>
      <c r="AT100" s="13" t="s">
        <v>32</v>
      </c>
      <c r="AU100" s="13" t="str">
        <f>IF(OR(F100="",AJ100=""),"",IF(AND((F100&lt;=85),(AJ100&gt;=15)),"O","X"))</f>
        <v>O</v>
      </c>
      <c r="AV100" s="13" t="str">
        <f>IF(C100="","",IF(C100&gt;=$AV$1,"O","X"))</f>
        <v>O</v>
      </c>
      <c r="AW100" s="13" t="str">
        <f>IF(AP100="","",IF(AND(AP100="O",AQ100="O",AS100="O",AU100="O",AV100="O"),"후보","X"))</f>
        <v>X</v>
      </c>
    </row>
    <row r="101" spans="1:49" x14ac:dyDescent="0.3">
      <c r="A101" s="5"/>
      <c r="B101" s="13"/>
      <c r="C101" s="9"/>
      <c r="D101" s="5"/>
      <c r="E101" s="18"/>
      <c r="F101" s="23"/>
      <c r="G101" s="5"/>
      <c r="H101" s="5"/>
      <c r="I101" s="5"/>
      <c r="J101" s="5"/>
      <c r="K101" s="5"/>
      <c r="L101" s="5"/>
      <c r="M101" s="5"/>
      <c r="N101" s="5"/>
      <c r="O101" s="12"/>
      <c r="P101" s="12"/>
      <c r="Q101" s="21"/>
      <c r="R101" s="21"/>
      <c r="S101" s="5"/>
      <c r="T101" s="59"/>
      <c r="U101" s="5"/>
      <c r="V101" s="5"/>
      <c r="X101" s="90" t="str">
        <f>$A$4&amp;" "&amp;A102&amp;"("&amp;B102&amp;","&amp;C102&amp;"^)"</f>
        <v>호계동 무궁화금호('92.08,438^)</v>
      </c>
      <c r="Y101" s="91"/>
      <c r="Z101" s="91"/>
      <c r="AA101" s="91"/>
      <c r="AB101" s="91"/>
      <c r="AC101" s="91"/>
      <c r="AD101" s="91"/>
      <c r="AE101" s="91"/>
      <c r="AF101" s="91"/>
      <c r="AG101" s="92"/>
      <c r="AI101" s="32" t="str">
        <f t="shared" si="101"/>
        <v/>
      </c>
      <c r="AJ101" s="33" t="str">
        <f t="shared" si="90"/>
        <v/>
      </c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</row>
    <row r="102" spans="1:49" x14ac:dyDescent="0.3">
      <c r="A102" s="5" t="s">
        <v>1827</v>
      </c>
      <c r="B102" s="14" t="s">
        <v>1704</v>
      </c>
      <c r="C102" s="25">
        <v>438</v>
      </c>
      <c r="D102" s="23">
        <v>74</v>
      </c>
      <c r="E102" s="21">
        <v>22</v>
      </c>
      <c r="F102" s="23">
        <v>59.8</v>
      </c>
      <c r="G102" s="24">
        <v>18</v>
      </c>
      <c r="H102" s="25">
        <v>90</v>
      </c>
      <c r="I102" s="29">
        <v>58000</v>
      </c>
      <c r="J102" s="29"/>
      <c r="K102" s="29">
        <v>39000</v>
      </c>
      <c r="L102" s="29"/>
      <c r="M102" s="6">
        <f>I102-K102</f>
        <v>19000</v>
      </c>
      <c r="N102" s="7">
        <f>IF(ISERROR(K102/I102),"",K102/I102)</f>
        <v>0.67241379310344829</v>
      </c>
      <c r="O102" s="12">
        <f>I102/E102</f>
        <v>2636.3636363636365</v>
      </c>
      <c r="P102" s="12">
        <f>K102/E102</f>
        <v>1772.7272727272727</v>
      </c>
      <c r="Q102" s="13">
        <v>3</v>
      </c>
      <c r="R102" s="13">
        <v>1</v>
      </c>
      <c r="S102" s="13" t="s">
        <v>51</v>
      </c>
      <c r="T102" s="8">
        <v>74</v>
      </c>
      <c r="U102" s="5"/>
      <c r="V102" s="5" t="s">
        <v>1828</v>
      </c>
      <c r="X102" s="23">
        <f t="shared" ref="X102:Y104" si="157">D102</f>
        <v>74</v>
      </c>
      <c r="Y102" s="21">
        <f t="shared" si="157"/>
        <v>22</v>
      </c>
      <c r="Z102" s="28">
        <f t="shared" ref="Z102:AA104" si="158">H102</f>
        <v>90</v>
      </c>
      <c r="AA102" s="6">
        <f t="shared" si="158"/>
        <v>58000</v>
      </c>
      <c r="AB102" s="6">
        <f>K102</f>
        <v>39000</v>
      </c>
      <c r="AC102" s="6">
        <f t="shared" ref="AC102:AE104" si="159">M102</f>
        <v>19000</v>
      </c>
      <c r="AD102" s="7">
        <f t="shared" si="159"/>
        <v>0.67241379310344829</v>
      </c>
      <c r="AE102" s="12">
        <f t="shared" si="159"/>
        <v>2636.3636363636365</v>
      </c>
      <c r="AF102" s="13" t="str">
        <f>S102</f>
        <v>계</v>
      </c>
      <c r="AG102" s="13" t="str">
        <f>Q102&amp;"/"&amp;R102</f>
        <v>3/1</v>
      </c>
      <c r="AI102" s="32" t="str">
        <f t="shared" si="101"/>
        <v>무궁화금호</v>
      </c>
      <c r="AJ102" s="21">
        <f t="shared" si="90"/>
        <v>22</v>
      </c>
      <c r="AK102" s="13" t="str">
        <f>IF(AJ102="","",$AK$2)</f>
        <v>A-</v>
      </c>
      <c r="AL102" s="13"/>
      <c r="AM102" s="13"/>
      <c r="AN102" s="13"/>
      <c r="AO102" s="13" t="str">
        <f>IF(AJ102="","",$AO$2)</f>
        <v>C</v>
      </c>
      <c r="AP102" s="13" t="str">
        <f>IF(N102="","",IF(N102&gt;=$AP$1/100,"O","X"))</f>
        <v>X</v>
      </c>
      <c r="AQ102" s="13" t="str">
        <f>IF(I102="","",IF(I102&lt;=$AQ$1,"O","X"))</f>
        <v>X</v>
      </c>
      <c r="AR102" s="13" t="str">
        <f>IF(O102="","",IF(O102&lt;=$AR$1,"O","X"))</f>
        <v>X</v>
      </c>
      <c r="AS102" s="13" t="str">
        <f>IF(M102="","",IF(M102&lt;=$AS$1,"O","X"))</f>
        <v>X</v>
      </c>
      <c r="AT102" s="13" t="s">
        <v>32</v>
      </c>
      <c r="AU102" s="13" t="str">
        <f>IF(OR(F102="",AJ102=""),"",IF(AND((F102&lt;=85),(AJ102&gt;=15)),"O","X"))</f>
        <v>O</v>
      </c>
      <c r="AV102" s="13" t="str">
        <f>IF(C102="","",IF(C102&gt;=$AV$1,"O","X"))</f>
        <v>O</v>
      </c>
      <c r="AW102" s="13" t="str">
        <f>IF(AP102="","",IF(AND(AP102="O",AQ102="O",AS102="O",AU102="O",AV102="O"),"후보","X"))</f>
        <v>X</v>
      </c>
    </row>
    <row r="103" spans="1:49" x14ac:dyDescent="0.3">
      <c r="A103" s="5" t="s">
        <v>1827</v>
      </c>
      <c r="B103" s="14" t="s">
        <v>1704</v>
      </c>
      <c r="C103" s="25">
        <v>438</v>
      </c>
      <c r="D103" s="23">
        <v>88.9</v>
      </c>
      <c r="E103" s="21">
        <v>27</v>
      </c>
      <c r="F103" s="23">
        <v>72.900000000000006</v>
      </c>
      <c r="G103" s="24">
        <v>22</v>
      </c>
      <c r="H103" s="25">
        <v>60</v>
      </c>
      <c r="I103" s="29">
        <v>67000</v>
      </c>
      <c r="J103" s="29"/>
      <c r="K103" s="29">
        <v>45000</v>
      </c>
      <c r="L103" s="29"/>
      <c r="M103" s="6">
        <f>I103-K103</f>
        <v>22000</v>
      </c>
      <c r="N103" s="7">
        <f>IF(ISERROR(K103/I103),"",K103/I103)</f>
        <v>0.67164179104477617</v>
      </c>
      <c r="O103" s="12">
        <f>I103/E103</f>
        <v>2481.4814814814813</v>
      </c>
      <c r="P103" s="12">
        <f>K103/E103</f>
        <v>1666.6666666666667</v>
      </c>
      <c r="Q103" s="13">
        <v>3</v>
      </c>
      <c r="R103" s="13">
        <v>2</v>
      </c>
      <c r="S103" s="13" t="s">
        <v>51</v>
      </c>
      <c r="T103" s="8">
        <v>88</v>
      </c>
      <c r="U103" s="5"/>
      <c r="V103" s="5" t="s">
        <v>1829</v>
      </c>
      <c r="X103" s="23">
        <f t="shared" si="157"/>
        <v>88.9</v>
      </c>
      <c r="Y103" s="21">
        <f t="shared" si="157"/>
        <v>27</v>
      </c>
      <c r="Z103" s="28">
        <f t="shared" si="158"/>
        <v>60</v>
      </c>
      <c r="AA103" s="6">
        <f t="shared" si="158"/>
        <v>67000</v>
      </c>
      <c r="AB103" s="6">
        <f>K103</f>
        <v>45000</v>
      </c>
      <c r="AC103" s="6">
        <f t="shared" si="159"/>
        <v>22000</v>
      </c>
      <c r="AD103" s="7">
        <f t="shared" si="159"/>
        <v>0.67164179104477617</v>
      </c>
      <c r="AE103" s="12">
        <f t="shared" si="159"/>
        <v>2481.4814814814813</v>
      </c>
      <c r="AF103" s="13" t="str">
        <f>S103</f>
        <v>계</v>
      </c>
      <c r="AG103" s="13" t="str">
        <f>Q103&amp;"/"&amp;R103</f>
        <v>3/2</v>
      </c>
      <c r="AI103" s="32" t="str">
        <f t="shared" si="101"/>
        <v>무궁화금호</v>
      </c>
      <c r="AJ103" s="21">
        <f t="shared" si="90"/>
        <v>27</v>
      </c>
      <c r="AK103" s="13" t="str">
        <f>IF(AJ103="","",$AK$2)</f>
        <v>A-</v>
      </c>
      <c r="AL103" s="13"/>
      <c r="AM103" s="13"/>
      <c r="AN103" s="13"/>
      <c r="AO103" s="13" t="str">
        <f>IF(AJ103="","",$AO$2)</f>
        <v>C</v>
      </c>
      <c r="AP103" s="13" t="str">
        <f>IF(N103="","",IF(N103&gt;=$AP$1/100,"O","X"))</f>
        <v>X</v>
      </c>
      <c r="AQ103" s="13" t="str">
        <f>IF(I103="","",IF(I103&lt;=$AQ$1,"O","X"))</f>
        <v>X</v>
      </c>
      <c r="AR103" s="13" t="str">
        <f>IF(O103="","",IF(O103&lt;=$AR$1,"O","X"))</f>
        <v>X</v>
      </c>
      <c r="AS103" s="13" t="str">
        <f>IF(M103="","",IF(M103&lt;=$AS$1,"O","X"))</f>
        <v>X</v>
      </c>
      <c r="AT103" s="13" t="s">
        <v>32</v>
      </c>
      <c r="AU103" s="13" t="str">
        <f>IF(OR(F103="",AJ103=""),"",IF(AND((F103&lt;=85),(AJ103&gt;=15)),"O","X"))</f>
        <v>O</v>
      </c>
      <c r="AV103" s="13" t="str">
        <f>IF(C103="","",IF(C103&gt;=$AV$1,"O","X"))</f>
        <v>O</v>
      </c>
      <c r="AW103" s="13" t="str">
        <f>IF(AP103="","",IF(AND(AP103="O",AQ103="O",AS103="O",AU103="O",AV103="O"),"후보","X"))</f>
        <v>X</v>
      </c>
    </row>
    <row r="104" spans="1:49" x14ac:dyDescent="0.3">
      <c r="A104" s="5" t="s">
        <v>1827</v>
      </c>
      <c r="B104" s="14" t="s">
        <v>1704</v>
      </c>
      <c r="C104" s="25">
        <v>438</v>
      </c>
      <c r="D104" s="23">
        <v>103.1</v>
      </c>
      <c r="E104" s="21">
        <v>31</v>
      </c>
      <c r="F104" s="23">
        <v>84.9</v>
      </c>
      <c r="G104" s="24">
        <v>26</v>
      </c>
      <c r="H104" s="25">
        <v>288</v>
      </c>
      <c r="I104" s="29">
        <v>78000</v>
      </c>
      <c r="J104" s="29"/>
      <c r="K104" s="29">
        <v>50000</v>
      </c>
      <c r="L104" s="29"/>
      <c r="M104" s="6">
        <f>I104-K104</f>
        <v>28000</v>
      </c>
      <c r="N104" s="7">
        <f>IF(ISERROR(K104/I104),"",K104/I104)</f>
        <v>0.64102564102564108</v>
      </c>
      <c r="O104" s="12">
        <f>I104/E104</f>
        <v>2516.1290322580644</v>
      </c>
      <c r="P104" s="12">
        <f>K104/E104</f>
        <v>1612.9032258064517</v>
      </c>
      <c r="Q104" s="13">
        <v>3</v>
      </c>
      <c r="R104" s="13">
        <v>2</v>
      </c>
      <c r="S104" s="13" t="s">
        <v>51</v>
      </c>
      <c r="T104" s="8">
        <v>103</v>
      </c>
      <c r="U104" s="5"/>
      <c r="V104" s="5" t="s">
        <v>1830</v>
      </c>
      <c r="X104" s="23">
        <f t="shared" si="157"/>
        <v>103.1</v>
      </c>
      <c r="Y104" s="21">
        <f t="shared" si="157"/>
        <v>31</v>
      </c>
      <c r="Z104" s="28">
        <f t="shared" si="158"/>
        <v>288</v>
      </c>
      <c r="AA104" s="6">
        <f t="shared" si="158"/>
        <v>78000</v>
      </c>
      <c r="AB104" s="6">
        <f>K104</f>
        <v>50000</v>
      </c>
      <c r="AC104" s="6">
        <f t="shared" si="159"/>
        <v>28000</v>
      </c>
      <c r="AD104" s="7">
        <f t="shared" si="159"/>
        <v>0.64102564102564108</v>
      </c>
      <c r="AE104" s="12">
        <f t="shared" si="159"/>
        <v>2516.1290322580644</v>
      </c>
      <c r="AF104" s="13" t="str">
        <f>S104</f>
        <v>계</v>
      </c>
      <c r="AG104" s="13" t="str">
        <f>Q104&amp;"/"&amp;R104</f>
        <v>3/2</v>
      </c>
      <c r="AI104" s="32" t="str">
        <f t="shared" si="101"/>
        <v>무궁화금호</v>
      </c>
      <c r="AJ104" s="21">
        <f t="shared" si="90"/>
        <v>31</v>
      </c>
      <c r="AK104" s="13" t="str">
        <f>IF(AJ104="","",$AK$2)</f>
        <v>A-</v>
      </c>
      <c r="AL104" s="13"/>
      <c r="AM104" s="13"/>
      <c r="AN104" s="13"/>
      <c r="AO104" s="13" t="str">
        <f>IF(AJ104="","",$AO$2)</f>
        <v>C</v>
      </c>
      <c r="AP104" s="13" t="str">
        <f>IF(N104="","",IF(N104&gt;=$AP$1/100,"O","X"))</f>
        <v>X</v>
      </c>
      <c r="AQ104" s="13" t="str">
        <f>IF(I104="","",IF(I104&lt;=$AQ$1,"O","X"))</f>
        <v>X</v>
      </c>
      <c r="AR104" s="13" t="str">
        <f>IF(O104="","",IF(O104&lt;=$AR$1,"O","X"))</f>
        <v>X</v>
      </c>
      <c r="AS104" s="13" t="str">
        <f>IF(M104="","",IF(M104&lt;=$AS$1,"O","X"))</f>
        <v>X</v>
      </c>
      <c r="AT104" s="13" t="s">
        <v>32</v>
      </c>
      <c r="AU104" s="13" t="str">
        <f>IF(OR(F104="",AJ104=""),"",IF(AND((F104&lt;=85),(AJ104&gt;=15)),"O","X"))</f>
        <v>O</v>
      </c>
      <c r="AV104" s="13" t="str">
        <f>IF(C104="","",IF(C104&gt;=$AV$1,"O","X"))</f>
        <v>O</v>
      </c>
      <c r="AW104" s="13" t="str">
        <f>IF(AP104="","",IF(AND(AP104="O",AQ104="O",AS104="O",AU104="O",AV104="O"),"후보","X"))</f>
        <v>X</v>
      </c>
    </row>
    <row r="105" spans="1:49" x14ac:dyDescent="0.3">
      <c r="A105" s="5"/>
      <c r="B105" s="13"/>
      <c r="C105" s="9"/>
      <c r="D105" s="5"/>
      <c r="E105" s="18"/>
      <c r="F105" s="23"/>
      <c r="G105" s="5"/>
      <c r="H105" s="5"/>
      <c r="I105" s="5"/>
      <c r="J105" s="5"/>
      <c r="K105" s="5"/>
      <c r="L105" s="5"/>
      <c r="M105" s="5"/>
      <c r="N105" s="5"/>
      <c r="O105" s="12"/>
      <c r="P105" s="12"/>
      <c r="Q105" s="21"/>
      <c r="R105" s="21"/>
      <c r="S105" s="5"/>
      <c r="T105" s="59"/>
      <c r="U105" s="5"/>
      <c r="V105" s="5"/>
      <c r="X105" s="90" t="str">
        <f>$A$4&amp;" "&amp;A106&amp;"("&amp;B106&amp;","&amp;C106&amp;"^)"</f>
        <v>호계동 평촌어바인퍼스트더샵('24.1,304^)</v>
      </c>
      <c r="Y105" s="91"/>
      <c r="Z105" s="91"/>
      <c r="AA105" s="91"/>
      <c r="AB105" s="91"/>
      <c r="AC105" s="91"/>
      <c r="AD105" s="91"/>
      <c r="AE105" s="91"/>
      <c r="AF105" s="91"/>
      <c r="AG105" s="92"/>
      <c r="AI105" s="32" t="str">
        <f t="shared" si="101"/>
        <v/>
      </c>
      <c r="AJ105" s="33" t="str">
        <f t="shared" si="90"/>
        <v/>
      </c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</row>
    <row r="106" spans="1:49" x14ac:dyDescent="0.3">
      <c r="A106" s="5" t="s">
        <v>1831</v>
      </c>
      <c r="B106" s="14" t="s">
        <v>1832</v>
      </c>
      <c r="C106" s="25">
        <v>304</v>
      </c>
      <c r="D106" s="23">
        <v>84.8</v>
      </c>
      <c r="E106" s="21">
        <v>26</v>
      </c>
      <c r="F106" s="23">
        <v>59.9</v>
      </c>
      <c r="G106" s="24">
        <v>18</v>
      </c>
      <c r="H106" s="25">
        <v>16</v>
      </c>
      <c r="I106" s="29"/>
      <c r="J106" s="29"/>
      <c r="K106" s="29"/>
      <c r="L106" s="29"/>
      <c r="M106" s="6">
        <f>I106-K106</f>
        <v>0</v>
      </c>
      <c r="N106" s="7" t="str">
        <f>IF(ISERROR(K106/I106),"",K106/I106)</f>
        <v/>
      </c>
      <c r="O106" s="12">
        <f>I106/E106</f>
        <v>0</v>
      </c>
      <c r="P106" s="12">
        <f>K106/E106</f>
        <v>0</v>
      </c>
      <c r="Q106" s="13">
        <v>3</v>
      </c>
      <c r="R106" s="13">
        <v>2</v>
      </c>
      <c r="S106" s="13" t="s">
        <v>51</v>
      </c>
      <c r="T106" s="8" t="s">
        <v>1066</v>
      </c>
      <c r="U106" s="5" t="s">
        <v>1964</v>
      </c>
      <c r="V106" s="5" t="s">
        <v>1833</v>
      </c>
      <c r="X106" s="23">
        <f>D106</f>
        <v>84.8</v>
      </c>
      <c r="Y106" s="21">
        <f>E106</f>
        <v>26</v>
      </c>
      <c r="Z106" s="28">
        <f>H106</f>
        <v>16</v>
      </c>
      <c r="AA106" s="6">
        <f>I106</f>
        <v>0</v>
      </c>
      <c r="AB106" s="6">
        <f>K106</f>
        <v>0</v>
      </c>
      <c r="AC106" s="6">
        <f t="shared" ref="AC106:AE107" si="160">M106</f>
        <v>0</v>
      </c>
      <c r="AD106" s="7" t="str">
        <f t="shared" si="160"/>
        <v/>
      </c>
      <c r="AE106" s="12">
        <f t="shared" si="160"/>
        <v>0</v>
      </c>
      <c r="AF106" s="13" t="str">
        <f>S106</f>
        <v>계</v>
      </c>
      <c r="AG106" s="13" t="str">
        <f>Q106&amp;"/"&amp;R106</f>
        <v>3/2</v>
      </c>
      <c r="AI106" s="32" t="str">
        <f t="shared" si="101"/>
        <v>평촌어바인퍼스트더샵</v>
      </c>
      <c r="AJ106" s="21">
        <f t="shared" si="90"/>
        <v>26</v>
      </c>
      <c r="AK106" s="13" t="str">
        <f>IF(AJ106="","",$AK$2)</f>
        <v>A-</v>
      </c>
      <c r="AL106" s="13"/>
      <c r="AM106" s="13"/>
      <c r="AN106" s="13"/>
      <c r="AO106" s="13" t="str">
        <f>IF(AJ106="","",$AO$2)</f>
        <v>C</v>
      </c>
      <c r="AP106" s="13" t="str">
        <f>IF(N106="","",IF(N106&gt;=$AP$1/100,"O","X"))</f>
        <v/>
      </c>
      <c r="AQ106" s="13" t="str">
        <f>IF(I106="","",IF(I106&lt;=$AQ$1,"O","X"))</f>
        <v/>
      </c>
      <c r="AR106" s="13" t="str">
        <f>IF(O106="","",IF(O106&lt;=$AR$1,"O","X"))</f>
        <v>O</v>
      </c>
      <c r="AS106" s="13" t="str">
        <f>IF(M106="","",IF(M106&lt;=$AS$1,"O","X"))</f>
        <v>O</v>
      </c>
      <c r="AT106" s="13" t="s">
        <v>32</v>
      </c>
      <c r="AU106" s="13" t="str">
        <f>IF(OR(F106="",AJ106=""),"",IF(AND((F106&lt;=85),(AJ106&gt;=15)),"O","X"))</f>
        <v>O</v>
      </c>
      <c r="AV106" s="13" t="str">
        <f>IF(C106="","",IF(C106&gt;=$AV$1,"O","X"))</f>
        <v>O</v>
      </c>
      <c r="AW106" s="13" t="str">
        <f>IF(AP106="","",IF(AND(AP106="O",AQ106="O",AS106="O",AU106="O",AV106="O"),"후보","X"))</f>
        <v/>
      </c>
    </row>
    <row r="107" spans="1:49" x14ac:dyDescent="0.3">
      <c r="A107" s="5" t="s">
        <v>1831</v>
      </c>
      <c r="B107" s="14" t="s">
        <v>1832</v>
      </c>
      <c r="C107" s="25">
        <v>304</v>
      </c>
      <c r="D107" s="23">
        <v>136.80000000000001</v>
      </c>
      <c r="E107" s="21">
        <v>41</v>
      </c>
      <c r="F107" s="23">
        <v>103.7</v>
      </c>
      <c r="G107" s="24">
        <v>31</v>
      </c>
      <c r="H107" s="25">
        <v>148</v>
      </c>
      <c r="I107" s="29"/>
      <c r="J107" s="29"/>
      <c r="K107" s="29"/>
      <c r="L107" s="29"/>
      <c r="M107" s="6">
        <f>I107-K107</f>
        <v>0</v>
      </c>
      <c r="N107" s="7" t="str">
        <f>IF(ISERROR(K107/I107),"",K107/I107)</f>
        <v/>
      </c>
      <c r="O107" s="12">
        <f>I107/E107</f>
        <v>0</v>
      </c>
      <c r="P107" s="12">
        <f>K107/E107</f>
        <v>0</v>
      </c>
      <c r="Q107" s="13">
        <v>3</v>
      </c>
      <c r="R107" s="13">
        <v>2</v>
      </c>
      <c r="S107" s="13" t="s">
        <v>51</v>
      </c>
      <c r="T107" s="8">
        <v>136</v>
      </c>
      <c r="U107" s="5" t="s">
        <v>1964</v>
      </c>
      <c r="V107" s="5" t="s">
        <v>1834</v>
      </c>
      <c r="X107" s="23">
        <f>D107</f>
        <v>136.80000000000001</v>
      </c>
      <c r="Y107" s="21">
        <f>E107</f>
        <v>41</v>
      </c>
      <c r="Z107" s="28">
        <f>H107</f>
        <v>148</v>
      </c>
      <c r="AA107" s="6">
        <f>I107</f>
        <v>0</v>
      </c>
      <c r="AB107" s="6">
        <f>K107</f>
        <v>0</v>
      </c>
      <c r="AC107" s="6">
        <f t="shared" si="160"/>
        <v>0</v>
      </c>
      <c r="AD107" s="7" t="str">
        <f t="shared" si="160"/>
        <v/>
      </c>
      <c r="AE107" s="12">
        <f t="shared" si="160"/>
        <v>0</v>
      </c>
      <c r="AF107" s="13" t="str">
        <f>S107</f>
        <v>계</v>
      </c>
      <c r="AG107" s="13" t="str">
        <f>Q107&amp;"/"&amp;R107</f>
        <v>3/2</v>
      </c>
      <c r="AI107" s="32" t="str">
        <f t="shared" si="101"/>
        <v>평촌어바인퍼스트더샵</v>
      </c>
      <c r="AJ107" s="21">
        <f t="shared" si="90"/>
        <v>41</v>
      </c>
      <c r="AK107" s="13" t="str">
        <f>IF(AJ107="","",$AK$2)</f>
        <v>A-</v>
      </c>
      <c r="AL107" s="13"/>
      <c r="AM107" s="13"/>
      <c r="AN107" s="13"/>
      <c r="AO107" s="13" t="str">
        <f>IF(AJ107="","",$AO$2)</f>
        <v>C</v>
      </c>
      <c r="AP107" s="13" t="str">
        <f>IF(N107="","",IF(N107&gt;=$AP$1/100,"O","X"))</f>
        <v/>
      </c>
      <c r="AQ107" s="13" t="str">
        <f>IF(I107="","",IF(I107&lt;=$AQ$1,"O","X"))</f>
        <v/>
      </c>
      <c r="AR107" s="13" t="str">
        <f>IF(O107="","",IF(O107&lt;=$AR$1,"O","X"))</f>
        <v>O</v>
      </c>
      <c r="AS107" s="13" t="str">
        <f>IF(M107="","",IF(M107&lt;=$AS$1,"O","X"))</f>
        <v>O</v>
      </c>
      <c r="AT107" s="13" t="s">
        <v>32</v>
      </c>
      <c r="AU107" s="13" t="str">
        <f>IF(OR(F107="",AJ107=""),"",IF(AND((F107&lt;=85),(AJ107&gt;=15)),"O","X"))</f>
        <v>X</v>
      </c>
      <c r="AV107" s="13" t="str">
        <f>IF(C107="","",IF(C107&gt;=$AV$1,"O","X"))</f>
        <v>O</v>
      </c>
      <c r="AW107" s="13" t="str">
        <f>IF(AP107="","",IF(AND(AP107="O",AQ107="O",AS107="O",AU107="O",AV107="O"),"후보","X"))</f>
        <v/>
      </c>
    </row>
    <row r="108" spans="1:49" x14ac:dyDescent="0.3">
      <c r="A108" s="5"/>
      <c r="B108" s="13"/>
      <c r="C108" s="9"/>
      <c r="D108" s="5"/>
      <c r="E108" s="18"/>
      <c r="F108" s="23"/>
      <c r="G108" s="5"/>
      <c r="H108" s="5"/>
      <c r="I108" s="5"/>
      <c r="J108" s="5"/>
      <c r="K108" s="5"/>
      <c r="L108" s="5"/>
      <c r="M108" s="5"/>
      <c r="N108" s="5"/>
      <c r="O108" s="12"/>
      <c r="P108" s="12"/>
      <c r="Q108" s="21"/>
      <c r="R108" s="21"/>
      <c r="S108" s="5"/>
      <c r="T108" s="59"/>
      <c r="U108" s="5"/>
      <c r="V108" s="5"/>
      <c r="X108" s="90" t="str">
        <f>$A$4&amp;" "&amp;A109&amp;"("&amp;B109&amp;","&amp;C109&amp;"^)"</f>
        <v>호계동 평촌두산위브리버뷰('22.05,855^)</v>
      </c>
      <c r="Y108" s="91"/>
      <c r="Z108" s="91"/>
      <c r="AA108" s="91"/>
      <c r="AB108" s="91"/>
      <c r="AC108" s="91"/>
      <c r="AD108" s="91"/>
      <c r="AE108" s="91"/>
      <c r="AF108" s="91"/>
      <c r="AG108" s="92"/>
      <c r="AI108" s="32" t="str">
        <f t="shared" si="101"/>
        <v/>
      </c>
      <c r="AJ108" s="33" t="str">
        <f t="shared" si="90"/>
        <v/>
      </c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</row>
    <row r="109" spans="1:49" x14ac:dyDescent="0.3">
      <c r="A109" s="5" t="s">
        <v>1835</v>
      </c>
      <c r="B109" s="14" t="s">
        <v>1836</v>
      </c>
      <c r="C109" s="25">
        <v>855</v>
      </c>
      <c r="D109" s="23">
        <v>57.1</v>
      </c>
      <c r="E109" s="21">
        <v>17</v>
      </c>
      <c r="F109" s="23">
        <v>36.9</v>
      </c>
      <c r="G109" s="24">
        <v>11</v>
      </c>
      <c r="H109" s="25">
        <v>40</v>
      </c>
      <c r="I109" s="29">
        <v>41000</v>
      </c>
      <c r="J109" s="29"/>
      <c r="K109" s="29">
        <v>29000</v>
      </c>
      <c r="L109" s="29"/>
      <c r="M109" s="6">
        <f t="shared" ref="M109:M133" si="161">I109-K109</f>
        <v>12000</v>
      </c>
      <c r="N109" s="7">
        <f t="shared" ref="N109:N133" si="162">IF(ISERROR(K109/I109),"",K109/I109)</f>
        <v>0.70731707317073167</v>
      </c>
      <c r="O109" s="12">
        <f t="shared" ref="O109:O133" si="163">I109/E109</f>
        <v>2411.7647058823532</v>
      </c>
      <c r="P109" s="12">
        <f t="shared" ref="P109:P133" si="164">K109/E109</f>
        <v>1705.8823529411766</v>
      </c>
      <c r="Q109" s="13">
        <v>2</v>
      </c>
      <c r="R109" s="13">
        <v>1</v>
      </c>
      <c r="S109" s="13" t="s">
        <v>51</v>
      </c>
      <c r="T109" s="8" t="s">
        <v>682</v>
      </c>
      <c r="U109" s="5"/>
      <c r="V109" s="5" t="s">
        <v>1837</v>
      </c>
      <c r="X109" s="23">
        <f t="shared" ref="X109:X133" si="165">D109</f>
        <v>57.1</v>
      </c>
      <c r="Y109" s="21">
        <f t="shared" ref="Y109:Y133" si="166">E109</f>
        <v>17</v>
      </c>
      <c r="Z109" s="28">
        <f t="shared" ref="Z109:Z133" si="167">H109</f>
        <v>40</v>
      </c>
      <c r="AA109" s="6">
        <f t="shared" ref="AA109:AA133" si="168">I109</f>
        <v>41000</v>
      </c>
      <c r="AB109" s="6">
        <f t="shared" ref="AB109:AB133" si="169">K109</f>
        <v>29000</v>
      </c>
      <c r="AC109" s="6">
        <f t="shared" ref="AC109:AC133" si="170">M109</f>
        <v>12000</v>
      </c>
      <c r="AD109" s="7">
        <f t="shared" ref="AD109:AD133" si="171">N109</f>
        <v>0.70731707317073167</v>
      </c>
      <c r="AE109" s="12">
        <f t="shared" ref="AE109:AE133" si="172">O109</f>
        <v>2411.7647058823532</v>
      </c>
      <c r="AF109" s="13" t="str">
        <f t="shared" ref="AF109:AF133" si="173">S109</f>
        <v>계</v>
      </c>
      <c r="AG109" s="13" t="str">
        <f t="shared" ref="AG109:AG133" si="174">Q109&amp;"/"&amp;R109</f>
        <v>2/1</v>
      </c>
      <c r="AI109" s="32" t="str">
        <f t="shared" si="101"/>
        <v>평촌두산위브리버뷰</v>
      </c>
      <c r="AJ109" s="21">
        <f t="shared" si="90"/>
        <v>17</v>
      </c>
      <c r="AK109" s="13" t="str">
        <f t="shared" ref="AK109:AK133" si="175">IF(AJ109="","",$AK$2)</f>
        <v>A-</v>
      </c>
      <c r="AL109" s="13"/>
      <c r="AM109" s="13"/>
      <c r="AN109" s="13"/>
      <c r="AO109" s="13" t="str">
        <f t="shared" ref="AO109:AO133" si="176">IF(AJ109="","",$AO$2)</f>
        <v>C</v>
      </c>
      <c r="AP109" s="13" t="str">
        <f t="shared" ref="AP109:AP133" si="177">IF(N109="","",IF(N109&gt;=$AP$1/100,"O","X"))</f>
        <v>X</v>
      </c>
      <c r="AQ109" s="13" t="str">
        <f t="shared" ref="AQ109:AQ133" si="178">IF(I109="","",IF(I109&lt;=$AQ$1,"O","X"))</f>
        <v>O</v>
      </c>
      <c r="AR109" s="13" t="str">
        <f t="shared" ref="AR109:AR133" si="179">IF(O109="","",IF(O109&lt;=$AR$1,"O","X"))</f>
        <v>X</v>
      </c>
      <c r="AS109" s="13" t="str">
        <f t="shared" ref="AS109:AS133" si="180">IF(M109="","",IF(M109&lt;=$AS$1,"O","X"))</f>
        <v>X</v>
      </c>
      <c r="AT109" s="13" t="s">
        <v>32</v>
      </c>
      <c r="AU109" s="13" t="str">
        <f t="shared" ref="AU109:AU133" si="181">IF(OR(F109="",AJ109=""),"",IF(AND((F109&lt;=85),(AJ109&gt;=15)),"O","X"))</f>
        <v>O</v>
      </c>
      <c r="AV109" s="13" t="str">
        <f t="shared" ref="AV109:AV133" si="182">IF(C109="","",IF(C109&gt;=$AV$1,"O","X"))</f>
        <v>O</v>
      </c>
      <c r="AW109" s="13" t="str">
        <f t="shared" ref="AW109:AW133" si="183">IF(AP109="","",IF(AND(AP109="O",AQ109="O",AS109="O",AU109="O",AV109="O"),"후보","X"))</f>
        <v>X</v>
      </c>
    </row>
    <row r="110" spans="1:49" x14ac:dyDescent="0.3">
      <c r="A110" s="5" t="s">
        <v>1835</v>
      </c>
      <c r="B110" s="14" t="s">
        <v>1836</v>
      </c>
      <c r="C110" s="25">
        <v>855</v>
      </c>
      <c r="D110" s="23">
        <v>66.099999999999994</v>
      </c>
      <c r="E110" s="21">
        <v>20</v>
      </c>
      <c r="F110" s="23">
        <v>43.1</v>
      </c>
      <c r="G110" s="24">
        <v>13</v>
      </c>
      <c r="H110" s="25">
        <v>20</v>
      </c>
      <c r="I110" s="29">
        <v>45000</v>
      </c>
      <c r="J110" s="29"/>
      <c r="K110" s="29">
        <v>30000</v>
      </c>
      <c r="L110" s="29"/>
      <c r="M110" s="6">
        <f t="shared" si="161"/>
        <v>15000</v>
      </c>
      <c r="N110" s="7">
        <f t="shared" si="162"/>
        <v>0.66666666666666663</v>
      </c>
      <c r="O110" s="12">
        <f t="shared" si="163"/>
        <v>2250</v>
      </c>
      <c r="P110" s="12">
        <f t="shared" si="164"/>
        <v>1500</v>
      </c>
      <c r="Q110" s="13">
        <v>2</v>
      </c>
      <c r="R110" s="13">
        <v>1</v>
      </c>
      <c r="S110" s="13" t="s">
        <v>51</v>
      </c>
      <c r="T110" s="8" t="s">
        <v>599</v>
      </c>
      <c r="U110" s="5"/>
      <c r="V110" s="5" t="s">
        <v>1838</v>
      </c>
      <c r="X110" s="23">
        <f t="shared" si="165"/>
        <v>66.099999999999994</v>
      </c>
      <c r="Y110" s="21">
        <f t="shared" si="166"/>
        <v>20</v>
      </c>
      <c r="Z110" s="28">
        <f t="shared" si="167"/>
        <v>20</v>
      </c>
      <c r="AA110" s="6">
        <f t="shared" si="168"/>
        <v>45000</v>
      </c>
      <c r="AB110" s="6">
        <f t="shared" si="169"/>
        <v>30000</v>
      </c>
      <c r="AC110" s="6">
        <f t="shared" si="170"/>
        <v>15000</v>
      </c>
      <c r="AD110" s="7">
        <f t="shared" si="171"/>
        <v>0.66666666666666663</v>
      </c>
      <c r="AE110" s="12">
        <f t="shared" si="172"/>
        <v>2250</v>
      </c>
      <c r="AF110" s="13" t="str">
        <f t="shared" si="173"/>
        <v>계</v>
      </c>
      <c r="AG110" s="13" t="str">
        <f t="shared" si="174"/>
        <v>2/1</v>
      </c>
      <c r="AI110" s="32" t="str">
        <f t="shared" si="101"/>
        <v>평촌두산위브리버뷰</v>
      </c>
      <c r="AJ110" s="21">
        <f t="shared" si="90"/>
        <v>20</v>
      </c>
      <c r="AK110" s="13" t="str">
        <f t="shared" si="175"/>
        <v>A-</v>
      </c>
      <c r="AL110" s="13"/>
      <c r="AM110" s="13"/>
      <c r="AN110" s="13"/>
      <c r="AO110" s="13" t="str">
        <f t="shared" si="176"/>
        <v>C</v>
      </c>
      <c r="AP110" s="13" t="str">
        <f t="shared" si="177"/>
        <v>X</v>
      </c>
      <c r="AQ110" s="13" t="str">
        <f t="shared" si="178"/>
        <v>O</v>
      </c>
      <c r="AR110" s="13" t="str">
        <f t="shared" si="179"/>
        <v>X</v>
      </c>
      <c r="AS110" s="13" t="str">
        <f t="shared" si="180"/>
        <v>X</v>
      </c>
      <c r="AT110" s="13" t="s">
        <v>32</v>
      </c>
      <c r="AU110" s="13" t="str">
        <f t="shared" si="181"/>
        <v>O</v>
      </c>
      <c r="AV110" s="13" t="str">
        <f t="shared" si="182"/>
        <v>O</v>
      </c>
      <c r="AW110" s="13" t="str">
        <f t="shared" si="183"/>
        <v>X</v>
      </c>
    </row>
    <row r="111" spans="1:49" x14ac:dyDescent="0.3">
      <c r="A111" s="5" t="s">
        <v>1835</v>
      </c>
      <c r="B111" s="14" t="s">
        <v>1836</v>
      </c>
      <c r="C111" s="25">
        <v>855</v>
      </c>
      <c r="D111" s="23">
        <v>67.2</v>
      </c>
      <c r="E111" s="21">
        <v>20</v>
      </c>
      <c r="F111" s="23">
        <v>43.1</v>
      </c>
      <c r="G111" s="24">
        <v>13</v>
      </c>
      <c r="H111" s="25">
        <v>17</v>
      </c>
      <c r="I111" s="29">
        <v>28765</v>
      </c>
      <c r="J111" s="29"/>
      <c r="K111" s="29"/>
      <c r="L111" s="29"/>
      <c r="M111" s="6">
        <f t="shared" si="161"/>
        <v>28765</v>
      </c>
      <c r="N111" s="7">
        <f t="shared" si="162"/>
        <v>0</v>
      </c>
      <c r="O111" s="12">
        <f t="shared" si="163"/>
        <v>1438.25</v>
      </c>
      <c r="P111" s="12">
        <f t="shared" si="164"/>
        <v>0</v>
      </c>
      <c r="Q111" s="13">
        <v>2</v>
      </c>
      <c r="R111" s="13">
        <v>1</v>
      </c>
      <c r="S111" s="13" t="s">
        <v>51</v>
      </c>
      <c r="T111" s="8" t="s">
        <v>1077</v>
      </c>
      <c r="U111" s="5"/>
      <c r="V111" s="5" t="s">
        <v>1839</v>
      </c>
      <c r="X111" s="23">
        <f t="shared" si="165"/>
        <v>67.2</v>
      </c>
      <c r="Y111" s="21">
        <f t="shared" si="166"/>
        <v>20</v>
      </c>
      <c r="Z111" s="28">
        <f t="shared" si="167"/>
        <v>17</v>
      </c>
      <c r="AA111" s="6">
        <f t="shared" si="168"/>
        <v>28765</v>
      </c>
      <c r="AB111" s="6">
        <f t="shared" si="169"/>
        <v>0</v>
      </c>
      <c r="AC111" s="6">
        <f t="shared" si="170"/>
        <v>28765</v>
      </c>
      <c r="AD111" s="7">
        <f t="shared" si="171"/>
        <v>0</v>
      </c>
      <c r="AE111" s="12">
        <f t="shared" si="172"/>
        <v>1438.25</v>
      </c>
      <c r="AF111" s="13" t="str">
        <f t="shared" si="173"/>
        <v>계</v>
      </c>
      <c r="AG111" s="13" t="str">
        <f t="shared" si="174"/>
        <v>2/1</v>
      </c>
      <c r="AI111" s="32" t="str">
        <f t="shared" si="101"/>
        <v>평촌두산위브리버뷰</v>
      </c>
      <c r="AJ111" s="21">
        <f t="shared" si="90"/>
        <v>20</v>
      </c>
      <c r="AK111" s="13" t="str">
        <f t="shared" si="175"/>
        <v>A-</v>
      </c>
      <c r="AL111" s="13"/>
      <c r="AM111" s="13"/>
      <c r="AN111" s="13"/>
      <c r="AO111" s="13" t="str">
        <f t="shared" si="176"/>
        <v>C</v>
      </c>
      <c r="AP111" s="13" t="str">
        <f t="shared" si="177"/>
        <v>X</v>
      </c>
      <c r="AQ111" s="13" t="str">
        <f t="shared" si="178"/>
        <v>O</v>
      </c>
      <c r="AR111" s="13" t="str">
        <f t="shared" si="179"/>
        <v>X</v>
      </c>
      <c r="AS111" s="13" t="str">
        <f t="shared" si="180"/>
        <v>X</v>
      </c>
      <c r="AT111" s="13" t="s">
        <v>32</v>
      </c>
      <c r="AU111" s="13" t="str">
        <f t="shared" si="181"/>
        <v>O</v>
      </c>
      <c r="AV111" s="13" t="str">
        <f t="shared" si="182"/>
        <v>O</v>
      </c>
      <c r="AW111" s="13" t="str">
        <f t="shared" si="183"/>
        <v>X</v>
      </c>
    </row>
    <row r="112" spans="1:49" x14ac:dyDescent="0.3">
      <c r="A112" s="5" t="s">
        <v>1835</v>
      </c>
      <c r="B112" s="14" t="s">
        <v>1836</v>
      </c>
      <c r="C112" s="25">
        <v>855</v>
      </c>
      <c r="D112" s="23">
        <v>80.2</v>
      </c>
      <c r="E112" s="21">
        <v>24</v>
      </c>
      <c r="F112" s="23">
        <v>60</v>
      </c>
      <c r="G112" s="24">
        <v>18</v>
      </c>
      <c r="H112" s="25">
        <v>30</v>
      </c>
      <c r="I112" s="29">
        <v>65000</v>
      </c>
      <c r="J112" s="29"/>
      <c r="K112" s="29">
        <v>40000</v>
      </c>
      <c r="L112" s="29"/>
      <c r="M112" s="6">
        <f t="shared" si="161"/>
        <v>25000</v>
      </c>
      <c r="N112" s="7">
        <f t="shared" si="162"/>
        <v>0.61538461538461542</v>
      </c>
      <c r="O112" s="12">
        <f t="shared" si="163"/>
        <v>2708.3333333333335</v>
      </c>
      <c r="P112" s="12">
        <f t="shared" si="164"/>
        <v>1666.6666666666667</v>
      </c>
      <c r="Q112" s="13">
        <v>3</v>
      </c>
      <c r="R112" s="13">
        <v>2</v>
      </c>
      <c r="S112" s="13" t="s">
        <v>51</v>
      </c>
      <c r="T112" s="8" t="s">
        <v>1078</v>
      </c>
      <c r="U112" s="5"/>
      <c r="V112" s="5" t="s">
        <v>1840</v>
      </c>
      <c r="X112" s="23">
        <f t="shared" si="165"/>
        <v>80.2</v>
      </c>
      <c r="Y112" s="21">
        <f t="shared" si="166"/>
        <v>24</v>
      </c>
      <c r="Z112" s="28">
        <f t="shared" si="167"/>
        <v>30</v>
      </c>
      <c r="AA112" s="6">
        <f t="shared" si="168"/>
        <v>65000</v>
      </c>
      <c r="AB112" s="6">
        <f t="shared" si="169"/>
        <v>40000</v>
      </c>
      <c r="AC112" s="6">
        <f t="shared" si="170"/>
        <v>25000</v>
      </c>
      <c r="AD112" s="7">
        <f t="shared" si="171"/>
        <v>0.61538461538461542</v>
      </c>
      <c r="AE112" s="12">
        <f t="shared" si="172"/>
        <v>2708.3333333333335</v>
      </c>
      <c r="AF112" s="13" t="str">
        <f t="shared" si="173"/>
        <v>계</v>
      </c>
      <c r="AG112" s="13" t="str">
        <f t="shared" si="174"/>
        <v>3/2</v>
      </c>
      <c r="AI112" s="32" t="str">
        <f t="shared" si="101"/>
        <v>평촌두산위브리버뷰</v>
      </c>
      <c r="AJ112" s="21">
        <f t="shared" si="90"/>
        <v>24</v>
      </c>
      <c r="AK112" s="13" t="str">
        <f t="shared" si="175"/>
        <v>A-</v>
      </c>
      <c r="AL112" s="13"/>
      <c r="AM112" s="13"/>
      <c r="AN112" s="13"/>
      <c r="AO112" s="13" t="str">
        <f t="shared" si="176"/>
        <v>C</v>
      </c>
      <c r="AP112" s="13" t="str">
        <f t="shared" si="177"/>
        <v>X</v>
      </c>
      <c r="AQ112" s="13" t="str">
        <f t="shared" si="178"/>
        <v>X</v>
      </c>
      <c r="AR112" s="13" t="str">
        <f t="shared" si="179"/>
        <v>X</v>
      </c>
      <c r="AS112" s="13" t="str">
        <f t="shared" si="180"/>
        <v>X</v>
      </c>
      <c r="AT112" s="13" t="s">
        <v>32</v>
      </c>
      <c r="AU112" s="13" t="str">
        <f t="shared" si="181"/>
        <v>O</v>
      </c>
      <c r="AV112" s="13" t="str">
        <f t="shared" si="182"/>
        <v>O</v>
      </c>
      <c r="AW112" s="13" t="str">
        <f t="shared" si="183"/>
        <v>X</v>
      </c>
    </row>
    <row r="113" spans="1:49" x14ac:dyDescent="0.3">
      <c r="A113" s="5" t="s">
        <v>1835</v>
      </c>
      <c r="B113" s="14" t="s">
        <v>1836</v>
      </c>
      <c r="C113" s="25">
        <v>855</v>
      </c>
      <c r="D113" s="23">
        <v>81.2</v>
      </c>
      <c r="E113" s="21">
        <v>25</v>
      </c>
      <c r="F113" s="23">
        <v>60</v>
      </c>
      <c r="G113" s="24">
        <v>18</v>
      </c>
      <c r="H113" s="25">
        <v>26</v>
      </c>
      <c r="I113" s="29"/>
      <c r="J113" s="29"/>
      <c r="K113" s="29"/>
      <c r="L113" s="29"/>
      <c r="M113" s="6">
        <f t="shared" si="161"/>
        <v>0</v>
      </c>
      <c r="N113" s="7" t="str">
        <f t="shared" si="162"/>
        <v/>
      </c>
      <c r="O113" s="12">
        <f t="shared" si="163"/>
        <v>0</v>
      </c>
      <c r="P113" s="12">
        <f t="shared" si="164"/>
        <v>0</v>
      </c>
      <c r="Q113" s="13">
        <v>3</v>
      </c>
      <c r="R113" s="13">
        <v>2</v>
      </c>
      <c r="S113" s="13" t="s">
        <v>51</v>
      </c>
      <c r="T113" s="8" t="s">
        <v>464</v>
      </c>
      <c r="U113" s="5" t="s">
        <v>1965</v>
      </c>
      <c r="V113" s="5" t="s">
        <v>1841</v>
      </c>
      <c r="X113" s="23">
        <f t="shared" si="165"/>
        <v>81.2</v>
      </c>
      <c r="Y113" s="21">
        <f t="shared" si="166"/>
        <v>25</v>
      </c>
      <c r="Z113" s="28">
        <f t="shared" si="167"/>
        <v>26</v>
      </c>
      <c r="AA113" s="6">
        <f t="shared" si="168"/>
        <v>0</v>
      </c>
      <c r="AB113" s="6">
        <f t="shared" si="169"/>
        <v>0</v>
      </c>
      <c r="AC113" s="6">
        <f t="shared" si="170"/>
        <v>0</v>
      </c>
      <c r="AD113" s="7" t="str">
        <f t="shared" si="171"/>
        <v/>
      </c>
      <c r="AE113" s="12">
        <f t="shared" si="172"/>
        <v>0</v>
      </c>
      <c r="AF113" s="13" t="str">
        <f t="shared" si="173"/>
        <v>계</v>
      </c>
      <c r="AG113" s="13" t="str">
        <f t="shared" si="174"/>
        <v>3/2</v>
      </c>
      <c r="AI113" s="32" t="str">
        <f t="shared" si="101"/>
        <v>평촌두산위브리버뷰</v>
      </c>
      <c r="AJ113" s="21">
        <f t="shared" si="90"/>
        <v>25</v>
      </c>
      <c r="AK113" s="13" t="str">
        <f t="shared" si="175"/>
        <v>A-</v>
      </c>
      <c r="AL113" s="13"/>
      <c r="AM113" s="13"/>
      <c r="AN113" s="13"/>
      <c r="AO113" s="13" t="str">
        <f t="shared" si="176"/>
        <v>C</v>
      </c>
      <c r="AP113" s="13" t="str">
        <f t="shared" si="177"/>
        <v/>
      </c>
      <c r="AQ113" s="13" t="str">
        <f t="shared" si="178"/>
        <v/>
      </c>
      <c r="AR113" s="13" t="str">
        <f t="shared" si="179"/>
        <v>O</v>
      </c>
      <c r="AS113" s="13" t="str">
        <f t="shared" si="180"/>
        <v>O</v>
      </c>
      <c r="AT113" s="13" t="s">
        <v>32</v>
      </c>
      <c r="AU113" s="13" t="str">
        <f t="shared" si="181"/>
        <v>O</v>
      </c>
      <c r="AV113" s="13" t="str">
        <f t="shared" si="182"/>
        <v>O</v>
      </c>
      <c r="AW113" s="13" t="str">
        <f t="shared" si="183"/>
        <v/>
      </c>
    </row>
    <row r="114" spans="1:49" x14ac:dyDescent="0.3">
      <c r="A114" s="5" t="s">
        <v>1835</v>
      </c>
      <c r="B114" s="14" t="s">
        <v>1836</v>
      </c>
      <c r="C114" s="25">
        <v>855</v>
      </c>
      <c r="D114" s="23">
        <v>81.3</v>
      </c>
      <c r="E114" s="21">
        <v>25</v>
      </c>
      <c r="F114" s="23">
        <v>60</v>
      </c>
      <c r="G114" s="24">
        <v>18</v>
      </c>
      <c r="H114" s="25">
        <v>21</v>
      </c>
      <c r="I114" s="29"/>
      <c r="J114" s="29"/>
      <c r="K114" s="29"/>
      <c r="L114" s="29"/>
      <c r="M114" s="6">
        <f t="shared" si="161"/>
        <v>0</v>
      </c>
      <c r="N114" s="7" t="str">
        <f t="shared" si="162"/>
        <v/>
      </c>
      <c r="O114" s="12">
        <f t="shared" si="163"/>
        <v>0</v>
      </c>
      <c r="P114" s="12">
        <f t="shared" si="164"/>
        <v>0</v>
      </c>
      <c r="Q114" s="13">
        <v>3</v>
      </c>
      <c r="R114" s="13">
        <v>2</v>
      </c>
      <c r="S114" s="13" t="s">
        <v>51</v>
      </c>
      <c r="T114" s="8" t="s">
        <v>1079</v>
      </c>
      <c r="U114" s="5"/>
      <c r="V114" s="5" t="s">
        <v>1841</v>
      </c>
      <c r="X114" s="23">
        <f t="shared" si="165"/>
        <v>81.3</v>
      </c>
      <c r="Y114" s="21">
        <f t="shared" si="166"/>
        <v>25</v>
      </c>
      <c r="Z114" s="28">
        <f t="shared" si="167"/>
        <v>21</v>
      </c>
      <c r="AA114" s="6">
        <f t="shared" si="168"/>
        <v>0</v>
      </c>
      <c r="AB114" s="6">
        <f t="shared" si="169"/>
        <v>0</v>
      </c>
      <c r="AC114" s="6">
        <f t="shared" si="170"/>
        <v>0</v>
      </c>
      <c r="AD114" s="7" t="str">
        <f t="shared" si="171"/>
        <v/>
      </c>
      <c r="AE114" s="12">
        <f t="shared" si="172"/>
        <v>0</v>
      </c>
      <c r="AF114" s="13" t="str">
        <f t="shared" si="173"/>
        <v>계</v>
      </c>
      <c r="AG114" s="13" t="str">
        <f t="shared" si="174"/>
        <v>3/2</v>
      </c>
      <c r="AI114" s="32" t="str">
        <f t="shared" si="101"/>
        <v>평촌두산위브리버뷰</v>
      </c>
      <c r="AJ114" s="21">
        <f t="shared" si="90"/>
        <v>25</v>
      </c>
      <c r="AK114" s="13" t="str">
        <f t="shared" si="175"/>
        <v>A-</v>
      </c>
      <c r="AL114" s="13"/>
      <c r="AM114" s="13"/>
      <c r="AN114" s="13"/>
      <c r="AO114" s="13" t="str">
        <f t="shared" si="176"/>
        <v>C</v>
      </c>
      <c r="AP114" s="13" t="str">
        <f t="shared" si="177"/>
        <v/>
      </c>
      <c r="AQ114" s="13" t="str">
        <f t="shared" si="178"/>
        <v/>
      </c>
      <c r="AR114" s="13" t="str">
        <f t="shared" si="179"/>
        <v>O</v>
      </c>
      <c r="AS114" s="13" t="str">
        <f t="shared" si="180"/>
        <v>O</v>
      </c>
      <c r="AT114" s="13" t="s">
        <v>32</v>
      </c>
      <c r="AU114" s="13" t="str">
        <f t="shared" si="181"/>
        <v>O</v>
      </c>
      <c r="AV114" s="13" t="str">
        <f t="shared" si="182"/>
        <v>O</v>
      </c>
      <c r="AW114" s="13" t="str">
        <f t="shared" si="183"/>
        <v/>
      </c>
    </row>
    <row r="115" spans="1:49" x14ac:dyDescent="0.3">
      <c r="A115" s="5" t="s">
        <v>1835</v>
      </c>
      <c r="B115" s="14" t="s">
        <v>1836</v>
      </c>
      <c r="C115" s="25">
        <v>855</v>
      </c>
      <c r="D115" s="23">
        <v>82.2</v>
      </c>
      <c r="E115" s="21">
        <v>25</v>
      </c>
      <c r="F115" s="23">
        <v>60</v>
      </c>
      <c r="G115" s="24">
        <v>18</v>
      </c>
      <c r="H115" s="25">
        <v>18</v>
      </c>
      <c r="I115" s="29"/>
      <c r="J115" s="29"/>
      <c r="K115" s="29"/>
      <c r="L115" s="29"/>
      <c r="M115" s="6">
        <f t="shared" si="161"/>
        <v>0</v>
      </c>
      <c r="N115" s="7" t="str">
        <f t="shared" si="162"/>
        <v/>
      </c>
      <c r="O115" s="12">
        <f t="shared" si="163"/>
        <v>0</v>
      </c>
      <c r="P115" s="12">
        <f t="shared" si="164"/>
        <v>0</v>
      </c>
      <c r="Q115" s="13">
        <v>3</v>
      </c>
      <c r="R115" s="13">
        <v>2</v>
      </c>
      <c r="S115" s="13" t="s">
        <v>51</v>
      </c>
      <c r="T115" s="8" t="s">
        <v>1080</v>
      </c>
      <c r="U115" s="5"/>
      <c r="V115" s="5" t="s">
        <v>1842</v>
      </c>
      <c r="X115" s="23">
        <f t="shared" si="165"/>
        <v>82.2</v>
      </c>
      <c r="Y115" s="21">
        <f t="shared" si="166"/>
        <v>25</v>
      </c>
      <c r="Z115" s="28">
        <f t="shared" si="167"/>
        <v>18</v>
      </c>
      <c r="AA115" s="6">
        <f t="shared" si="168"/>
        <v>0</v>
      </c>
      <c r="AB115" s="6">
        <f t="shared" si="169"/>
        <v>0</v>
      </c>
      <c r="AC115" s="6">
        <f t="shared" si="170"/>
        <v>0</v>
      </c>
      <c r="AD115" s="7" t="str">
        <f t="shared" si="171"/>
        <v/>
      </c>
      <c r="AE115" s="12">
        <f t="shared" si="172"/>
        <v>0</v>
      </c>
      <c r="AF115" s="13" t="str">
        <f t="shared" si="173"/>
        <v>계</v>
      </c>
      <c r="AG115" s="13" t="str">
        <f t="shared" si="174"/>
        <v>3/2</v>
      </c>
      <c r="AI115" s="32" t="str">
        <f t="shared" si="101"/>
        <v>평촌두산위브리버뷰</v>
      </c>
      <c r="AJ115" s="21">
        <f t="shared" si="90"/>
        <v>25</v>
      </c>
      <c r="AK115" s="13" t="str">
        <f t="shared" si="175"/>
        <v>A-</v>
      </c>
      <c r="AL115" s="13"/>
      <c r="AM115" s="13"/>
      <c r="AN115" s="13"/>
      <c r="AO115" s="13" t="str">
        <f t="shared" si="176"/>
        <v>C</v>
      </c>
      <c r="AP115" s="13" t="str">
        <f t="shared" si="177"/>
        <v/>
      </c>
      <c r="AQ115" s="13" t="str">
        <f t="shared" si="178"/>
        <v/>
      </c>
      <c r="AR115" s="13" t="str">
        <f t="shared" si="179"/>
        <v>O</v>
      </c>
      <c r="AS115" s="13" t="str">
        <f t="shared" si="180"/>
        <v>O</v>
      </c>
      <c r="AT115" s="13" t="s">
        <v>32</v>
      </c>
      <c r="AU115" s="13" t="str">
        <f t="shared" si="181"/>
        <v>O</v>
      </c>
      <c r="AV115" s="13" t="str">
        <f t="shared" si="182"/>
        <v>O</v>
      </c>
      <c r="AW115" s="13" t="str">
        <f t="shared" si="183"/>
        <v/>
      </c>
    </row>
    <row r="116" spans="1:49" x14ac:dyDescent="0.3">
      <c r="A116" s="5" t="s">
        <v>1835</v>
      </c>
      <c r="B116" s="14" t="s">
        <v>1836</v>
      </c>
      <c r="C116" s="25">
        <v>855</v>
      </c>
      <c r="D116" s="23">
        <v>84.9</v>
      </c>
      <c r="E116" s="21">
        <v>26</v>
      </c>
      <c r="F116" s="23">
        <v>60</v>
      </c>
      <c r="G116" s="24">
        <v>18</v>
      </c>
      <c r="H116" s="25">
        <v>24</v>
      </c>
      <c r="I116" s="29"/>
      <c r="J116" s="29"/>
      <c r="K116" s="29"/>
      <c r="L116" s="29"/>
      <c r="M116" s="6">
        <f t="shared" si="161"/>
        <v>0</v>
      </c>
      <c r="N116" s="7" t="str">
        <f t="shared" si="162"/>
        <v/>
      </c>
      <c r="O116" s="12">
        <f t="shared" si="163"/>
        <v>0</v>
      </c>
      <c r="P116" s="12">
        <f t="shared" si="164"/>
        <v>0</v>
      </c>
      <c r="Q116" s="13">
        <v>3</v>
      </c>
      <c r="R116" s="13">
        <v>2</v>
      </c>
      <c r="S116" s="13" t="s">
        <v>51</v>
      </c>
      <c r="T116" s="8" t="s">
        <v>1081</v>
      </c>
      <c r="U116" s="5"/>
      <c r="V116" s="5" t="s">
        <v>1843</v>
      </c>
      <c r="X116" s="23">
        <f t="shared" si="165"/>
        <v>84.9</v>
      </c>
      <c r="Y116" s="21">
        <f t="shared" si="166"/>
        <v>26</v>
      </c>
      <c r="Z116" s="28">
        <f t="shared" si="167"/>
        <v>24</v>
      </c>
      <c r="AA116" s="6">
        <f t="shared" si="168"/>
        <v>0</v>
      </c>
      <c r="AB116" s="6">
        <f t="shared" si="169"/>
        <v>0</v>
      </c>
      <c r="AC116" s="6">
        <f t="shared" si="170"/>
        <v>0</v>
      </c>
      <c r="AD116" s="7" t="str">
        <f t="shared" si="171"/>
        <v/>
      </c>
      <c r="AE116" s="12">
        <f t="shared" si="172"/>
        <v>0</v>
      </c>
      <c r="AF116" s="13" t="str">
        <f t="shared" si="173"/>
        <v>계</v>
      </c>
      <c r="AG116" s="13" t="str">
        <f t="shared" si="174"/>
        <v>3/2</v>
      </c>
      <c r="AI116" s="32" t="str">
        <f t="shared" si="101"/>
        <v>평촌두산위브리버뷰</v>
      </c>
      <c r="AJ116" s="21">
        <f t="shared" si="90"/>
        <v>26</v>
      </c>
      <c r="AK116" s="13" t="str">
        <f t="shared" si="175"/>
        <v>A-</v>
      </c>
      <c r="AL116" s="13"/>
      <c r="AM116" s="13"/>
      <c r="AN116" s="13"/>
      <c r="AO116" s="13" t="str">
        <f t="shared" si="176"/>
        <v>C</v>
      </c>
      <c r="AP116" s="13" t="str">
        <f t="shared" si="177"/>
        <v/>
      </c>
      <c r="AQ116" s="13" t="str">
        <f t="shared" si="178"/>
        <v/>
      </c>
      <c r="AR116" s="13" t="str">
        <f t="shared" si="179"/>
        <v>O</v>
      </c>
      <c r="AS116" s="13" t="str">
        <f t="shared" si="180"/>
        <v>O</v>
      </c>
      <c r="AT116" s="13" t="s">
        <v>32</v>
      </c>
      <c r="AU116" s="13" t="str">
        <f t="shared" si="181"/>
        <v>O</v>
      </c>
      <c r="AV116" s="13" t="str">
        <f t="shared" si="182"/>
        <v>O</v>
      </c>
      <c r="AW116" s="13" t="str">
        <f t="shared" si="183"/>
        <v/>
      </c>
    </row>
    <row r="117" spans="1:49" x14ac:dyDescent="0.3">
      <c r="A117" s="5" t="s">
        <v>1835</v>
      </c>
      <c r="B117" s="14" t="s">
        <v>1836</v>
      </c>
      <c r="C117" s="25">
        <v>855</v>
      </c>
      <c r="D117" s="23">
        <v>85.5</v>
      </c>
      <c r="E117" s="21">
        <v>26</v>
      </c>
      <c r="F117" s="23">
        <v>60</v>
      </c>
      <c r="G117" s="24">
        <v>18</v>
      </c>
      <c r="H117" s="25">
        <v>28</v>
      </c>
      <c r="I117" s="29">
        <v>65000</v>
      </c>
      <c r="J117" s="29"/>
      <c r="K117" s="29">
        <v>40000</v>
      </c>
      <c r="L117" s="29"/>
      <c r="M117" s="6">
        <f t="shared" si="161"/>
        <v>25000</v>
      </c>
      <c r="N117" s="7">
        <f t="shared" si="162"/>
        <v>0.61538461538461542</v>
      </c>
      <c r="O117" s="12">
        <f t="shared" si="163"/>
        <v>2500</v>
      </c>
      <c r="P117" s="12">
        <f t="shared" si="164"/>
        <v>1538.4615384615386</v>
      </c>
      <c r="Q117" s="13">
        <v>3</v>
      </c>
      <c r="R117" s="13">
        <v>2</v>
      </c>
      <c r="S117" s="13" t="s">
        <v>51</v>
      </c>
      <c r="T117" s="8" t="s">
        <v>957</v>
      </c>
      <c r="U117" s="5"/>
      <c r="V117" s="5" t="s">
        <v>1843</v>
      </c>
      <c r="X117" s="23">
        <f t="shared" si="165"/>
        <v>85.5</v>
      </c>
      <c r="Y117" s="21">
        <f t="shared" si="166"/>
        <v>26</v>
      </c>
      <c r="Z117" s="28">
        <f t="shared" si="167"/>
        <v>28</v>
      </c>
      <c r="AA117" s="6">
        <f t="shared" si="168"/>
        <v>65000</v>
      </c>
      <c r="AB117" s="6">
        <f t="shared" si="169"/>
        <v>40000</v>
      </c>
      <c r="AC117" s="6">
        <f t="shared" si="170"/>
        <v>25000</v>
      </c>
      <c r="AD117" s="7">
        <f t="shared" si="171"/>
        <v>0.61538461538461542</v>
      </c>
      <c r="AE117" s="12">
        <f t="shared" si="172"/>
        <v>2500</v>
      </c>
      <c r="AF117" s="13" t="str">
        <f t="shared" si="173"/>
        <v>계</v>
      </c>
      <c r="AG117" s="13" t="str">
        <f t="shared" si="174"/>
        <v>3/2</v>
      </c>
      <c r="AI117" s="32" t="str">
        <f t="shared" si="101"/>
        <v>평촌두산위브리버뷰</v>
      </c>
      <c r="AJ117" s="21">
        <f t="shared" si="90"/>
        <v>26</v>
      </c>
      <c r="AK117" s="13" t="str">
        <f t="shared" si="175"/>
        <v>A-</v>
      </c>
      <c r="AL117" s="13"/>
      <c r="AM117" s="13"/>
      <c r="AN117" s="13"/>
      <c r="AO117" s="13" t="str">
        <f t="shared" si="176"/>
        <v>C</v>
      </c>
      <c r="AP117" s="13" t="str">
        <f t="shared" si="177"/>
        <v>X</v>
      </c>
      <c r="AQ117" s="13" t="str">
        <f t="shared" si="178"/>
        <v>X</v>
      </c>
      <c r="AR117" s="13" t="str">
        <f t="shared" si="179"/>
        <v>X</v>
      </c>
      <c r="AS117" s="13" t="str">
        <f t="shared" si="180"/>
        <v>X</v>
      </c>
      <c r="AT117" s="13" t="s">
        <v>32</v>
      </c>
      <c r="AU117" s="13" t="str">
        <f t="shared" si="181"/>
        <v>O</v>
      </c>
      <c r="AV117" s="13" t="str">
        <f t="shared" si="182"/>
        <v>O</v>
      </c>
      <c r="AW117" s="13" t="str">
        <f t="shared" si="183"/>
        <v>X</v>
      </c>
    </row>
    <row r="118" spans="1:49" x14ac:dyDescent="0.3">
      <c r="A118" s="5" t="s">
        <v>1835</v>
      </c>
      <c r="B118" s="14" t="s">
        <v>1836</v>
      </c>
      <c r="C118" s="25">
        <v>855</v>
      </c>
      <c r="D118" s="23">
        <v>85.3</v>
      </c>
      <c r="E118" s="21">
        <v>26</v>
      </c>
      <c r="F118" s="23">
        <v>60</v>
      </c>
      <c r="G118" s="24">
        <v>18</v>
      </c>
      <c r="H118" s="25">
        <v>24</v>
      </c>
      <c r="I118" s="29"/>
      <c r="J118" s="29"/>
      <c r="K118" s="29"/>
      <c r="L118" s="29"/>
      <c r="M118" s="6">
        <f t="shared" si="161"/>
        <v>0</v>
      </c>
      <c r="N118" s="7" t="str">
        <f t="shared" si="162"/>
        <v/>
      </c>
      <c r="O118" s="12">
        <f t="shared" si="163"/>
        <v>0</v>
      </c>
      <c r="P118" s="12">
        <f t="shared" si="164"/>
        <v>0</v>
      </c>
      <c r="Q118" s="13">
        <v>3</v>
      </c>
      <c r="R118" s="13">
        <v>2</v>
      </c>
      <c r="S118" s="13" t="s">
        <v>51</v>
      </c>
      <c r="T118" s="8" t="s">
        <v>628</v>
      </c>
      <c r="U118" s="5"/>
      <c r="V118" s="5" t="s">
        <v>1843</v>
      </c>
      <c r="X118" s="23">
        <f t="shared" si="165"/>
        <v>85.3</v>
      </c>
      <c r="Y118" s="21">
        <f t="shared" si="166"/>
        <v>26</v>
      </c>
      <c r="Z118" s="28">
        <f t="shared" si="167"/>
        <v>24</v>
      </c>
      <c r="AA118" s="6">
        <f t="shared" si="168"/>
        <v>0</v>
      </c>
      <c r="AB118" s="6">
        <f t="shared" si="169"/>
        <v>0</v>
      </c>
      <c r="AC118" s="6">
        <f t="shared" si="170"/>
        <v>0</v>
      </c>
      <c r="AD118" s="7" t="str">
        <f t="shared" si="171"/>
        <v/>
      </c>
      <c r="AE118" s="12">
        <f t="shared" si="172"/>
        <v>0</v>
      </c>
      <c r="AF118" s="13" t="str">
        <f t="shared" si="173"/>
        <v>계</v>
      </c>
      <c r="AG118" s="13" t="str">
        <f t="shared" si="174"/>
        <v>3/2</v>
      </c>
      <c r="AI118" s="32" t="str">
        <f t="shared" si="101"/>
        <v>평촌두산위브리버뷰</v>
      </c>
      <c r="AJ118" s="21">
        <f t="shared" si="90"/>
        <v>26</v>
      </c>
      <c r="AK118" s="13" t="str">
        <f t="shared" si="175"/>
        <v>A-</v>
      </c>
      <c r="AL118" s="13"/>
      <c r="AM118" s="13"/>
      <c r="AN118" s="13"/>
      <c r="AO118" s="13" t="str">
        <f t="shared" si="176"/>
        <v>C</v>
      </c>
      <c r="AP118" s="13" t="str">
        <f t="shared" si="177"/>
        <v/>
      </c>
      <c r="AQ118" s="13" t="str">
        <f t="shared" si="178"/>
        <v/>
      </c>
      <c r="AR118" s="13" t="str">
        <f t="shared" si="179"/>
        <v>O</v>
      </c>
      <c r="AS118" s="13" t="str">
        <f t="shared" si="180"/>
        <v>O</v>
      </c>
      <c r="AT118" s="13" t="s">
        <v>32</v>
      </c>
      <c r="AU118" s="13" t="str">
        <f t="shared" si="181"/>
        <v>O</v>
      </c>
      <c r="AV118" s="13" t="str">
        <f t="shared" si="182"/>
        <v>O</v>
      </c>
      <c r="AW118" s="13" t="str">
        <f t="shared" si="183"/>
        <v/>
      </c>
    </row>
    <row r="119" spans="1:49" x14ac:dyDescent="0.3">
      <c r="A119" s="5" t="s">
        <v>1835</v>
      </c>
      <c r="B119" s="14" t="s">
        <v>1836</v>
      </c>
      <c r="C119" s="25">
        <v>855</v>
      </c>
      <c r="D119" s="23">
        <v>87.8</v>
      </c>
      <c r="E119" s="21">
        <v>27</v>
      </c>
      <c r="F119" s="23">
        <v>60</v>
      </c>
      <c r="G119" s="24">
        <v>18</v>
      </c>
      <c r="H119" s="25">
        <v>37</v>
      </c>
      <c r="I119" s="29">
        <v>65000</v>
      </c>
      <c r="J119" s="29"/>
      <c r="K119" s="29">
        <v>40000</v>
      </c>
      <c r="L119" s="29"/>
      <c r="M119" s="6">
        <f t="shared" si="161"/>
        <v>25000</v>
      </c>
      <c r="N119" s="7">
        <f t="shared" si="162"/>
        <v>0.61538461538461542</v>
      </c>
      <c r="O119" s="12">
        <f t="shared" si="163"/>
        <v>2407.4074074074074</v>
      </c>
      <c r="P119" s="12">
        <f t="shared" si="164"/>
        <v>1481.4814814814815</v>
      </c>
      <c r="Q119" s="13">
        <v>3</v>
      </c>
      <c r="R119" s="13">
        <v>2</v>
      </c>
      <c r="S119" s="13" t="s">
        <v>51</v>
      </c>
      <c r="T119" s="8" t="s">
        <v>1082</v>
      </c>
      <c r="U119" s="5"/>
      <c r="V119" s="5" t="s">
        <v>1844</v>
      </c>
      <c r="X119" s="23">
        <f t="shared" si="165"/>
        <v>87.8</v>
      </c>
      <c r="Y119" s="21">
        <f t="shared" si="166"/>
        <v>27</v>
      </c>
      <c r="Z119" s="28">
        <f t="shared" si="167"/>
        <v>37</v>
      </c>
      <c r="AA119" s="6">
        <f t="shared" si="168"/>
        <v>65000</v>
      </c>
      <c r="AB119" s="6">
        <f t="shared" si="169"/>
        <v>40000</v>
      </c>
      <c r="AC119" s="6">
        <f t="shared" si="170"/>
        <v>25000</v>
      </c>
      <c r="AD119" s="7">
        <f t="shared" si="171"/>
        <v>0.61538461538461542</v>
      </c>
      <c r="AE119" s="12">
        <f t="shared" si="172"/>
        <v>2407.4074074074074</v>
      </c>
      <c r="AF119" s="13" t="str">
        <f t="shared" si="173"/>
        <v>계</v>
      </c>
      <c r="AG119" s="13" t="str">
        <f t="shared" si="174"/>
        <v>3/2</v>
      </c>
      <c r="AI119" s="32" t="str">
        <f t="shared" si="101"/>
        <v>평촌두산위브리버뷰</v>
      </c>
      <c r="AJ119" s="21">
        <f t="shared" si="90"/>
        <v>27</v>
      </c>
      <c r="AK119" s="13" t="str">
        <f t="shared" si="175"/>
        <v>A-</v>
      </c>
      <c r="AL119" s="13"/>
      <c r="AM119" s="13"/>
      <c r="AN119" s="13"/>
      <c r="AO119" s="13" t="str">
        <f t="shared" si="176"/>
        <v>C</v>
      </c>
      <c r="AP119" s="13" t="str">
        <f t="shared" si="177"/>
        <v>X</v>
      </c>
      <c r="AQ119" s="13" t="str">
        <f t="shared" si="178"/>
        <v>X</v>
      </c>
      <c r="AR119" s="13" t="str">
        <f t="shared" si="179"/>
        <v>X</v>
      </c>
      <c r="AS119" s="13" t="str">
        <f t="shared" si="180"/>
        <v>X</v>
      </c>
      <c r="AT119" s="13" t="s">
        <v>32</v>
      </c>
      <c r="AU119" s="13" t="str">
        <f t="shared" si="181"/>
        <v>O</v>
      </c>
      <c r="AV119" s="13" t="str">
        <f t="shared" si="182"/>
        <v>O</v>
      </c>
      <c r="AW119" s="13" t="str">
        <f t="shared" si="183"/>
        <v>X</v>
      </c>
    </row>
    <row r="120" spans="1:49" x14ac:dyDescent="0.3">
      <c r="A120" s="5" t="s">
        <v>1835</v>
      </c>
      <c r="B120" s="14" t="s">
        <v>1836</v>
      </c>
      <c r="C120" s="25">
        <v>855</v>
      </c>
      <c r="D120" s="23">
        <v>93.5</v>
      </c>
      <c r="E120" s="21">
        <v>28</v>
      </c>
      <c r="F120" s="23">
        <v>70.099999999999994</v>
      </c>
      <c r="G120" s="24">
        <v>21</v>
      </c>
      <c r="H120" s="25">
        <v>33</v>
      </c>
      <c r="I120" s="29">
        <v>75000</v>
      </c>
      <c r="J120" s="29"/>
      <c r="K120" s="29">
        <v>45000</v>
      </c>
      <c r="L120" s="29"/>
      <c r="M120" s="6">
        <f t="shared" si="161"/>
        <v>30000</v>
      </c>
      <c r="N120" s="7">
        <f t="shared" si="162"/>
        <v>0.6</v>
      </c>
      <c r="O120" s="12">
        <f t="shared" si="163"/>
        <v>2678.5714285714284</v>
      </c>
      <c r="P120" s="12">
        <f t="shared" si="164"/>
        <v>1607.1428571428571</v>
      </c>
      <c r="Q120" s="13">
        <v>3</v>
      </c>
      <c r="R120" s="13">
        <v>2</v>
      </c>
      <c r="S120" s="13" t="s">
        <v>51</v>
      </c>
      <c r="T120" s="8" t="s">
        <v>613</v>
      </c>
      <c r="U120" s="5"/>
      <c r="V120" s="5" t="s">
        <v>1845</v>
      </c>
      <c r="X120" s="23">
        <f t="shared" si="165"/>
        <v>93.5</v>
      </c>
      <c r="Y120" s="21">
        <f t="shared" si="166"/>
        <v>28</v>
      </c>
      <c r="Z120" s="28">
        <f t="shared" si="167"/>
        <v>33</v>
      </c>
      <c r="AA120" s="6">
        <f t="shared" si="168"/>
        <v>75000</v>
      </c>
      <c r="AB120" s="6">
        <f t="shared" si="169"/>
        <v>45000</v>
      </c>
      <c r="AC120" s="6">
        <f t="shared" si="170"/>
        <v>30000</v>
      </c>
      <c r="AD120" s="7">
        <f t="shared" si="171"/>
        <v>0.6</v>
      </c>
      <c r="AE120" s="12">
        <f t="shared" si="172"/>
        <v>2678.5714285714284</v>
      </c>
      <c r="AF120" s="13" t="str">
        <f t="shared" si="173"/>
        <v>계</v>
      </c>
      <c r="AG120" s="13" t="str">
        <f t="shared" si="174"/>
        <v>3/2</v>
      </c>
      <c r="AI120" s="32" t="str">
        <f t="shared" si="101"/>
        <v>평촌두산위브리버뷰</v>
      </c>
      <c r="AJ120" s="21">
        <f t="shared" si="90"/>
        <v>28</v>
      </c>
      <c r="AK120" s="13" t="str">
        <f t="shared" si="175"/>
        <v>A-</v>
      </c>
      <c r="AL120" s="13"/>
      <c r="AM120" s="13"/>
      <c r="AN120" s="13"/>
      <c r="AO120" s="13" t="str">
        <f t="shared" si="176"/>
        <v>C</v>
      </c>
      <c r="AP120" s="13" t="str">
        <f t="shared" si="177"/>
        <v>X</v>
      </c>
      <c r="AQ120" s="13" t="str">
        <f t="shared" si="178"/>
        <v>X</v>
      </c>
      <c r="AR120" s="13" t="str">
        <f t="shared" si="179"/>
        <v>X</v>
      </c>
      <c r="AS120" s="13" t="str">
        <f t="shared" si="180"/>
        <v>X</v>
      </c>
      <c r="AT120" s="13" t="s">
        <v>32</v>
      </c>
      <c r="AU120" s="13" t="str">
        <f t="shared" si="181"/>
        <v>O</v>
      </c>
      <c r="AV120" s="13" t="str">
        <f t="shared" si="182"/>
        <v>O</v>
      </c>
      <c r="AW120" s="13" t="str">
        <f t="shared" si="183"/>
        <v>X</v>
      </c>
    </row>
    <row r="121" spans="1:49" x14ac:dyDescent="0.3">
      <c r="A121" s="5" t="s">
        <v>1835</v>
      </c>
      <c r="B121" s="14" t="s">
        <v>1836</v>
      </c>
      <c r="C121" s="25">
        <v>855</v>
      </c>
      <c r="D121" s="23">
        <v>94.8</v>
      </c>
      <c r="E121" s="21">
        <v>29</v>
      </c>
      <c r="F121" s="23">
        <v>70.099999999999994</v>
      </c>
      <c r="G121" s="24">
        <v>21</v>
      </c>
      <c r="H121" s="25">
        <v>16</v>
      </c>
      <c r="I121" s="29"/>
      <c r="J121" s="29"/>
      <c r="K121" s="29"/>
      <c r="L121" s="29"/>
      <c r="M121" s="6">
        <f t="shared" si="161"/>
        <v>0</v>
      </c>
      <c r="N121" s="7" t="str">
        <f t="shared" si="162"/>
        <v/>
      </c>
      <c r="O121" s="12">
        <f t="shared" si="163"/>
        <v>0</v>
      </c>
      <c r="P121" s="12">
        <f t="shared" si="164"/>
        <v>0</v>
      </c>
      <c r="Q121" s="13">
        <v>3</v>
      </c>
      <c r="R121" s="13">
        <v>2</v>
      </c>
      <c r="S121" s="13" t="s">
        <v>51</v>
      </c>
      <c r="T121" s="8" t="s">
        <v>701</v>
      </c>
      <c r="U121" s="5"/>
      <c r="V121" s="5" t="s">
        <v>1846</v>
      </c>
      <c r="X121" s="23">
        <f t="shared" si="165"/>
        <v>94.8</v>
      </c>
      <c r="Y121" s="21">
        <f t="shared" si="166"/>
        <v>29</v>
      </c>
      <c r="Z121" s="28">
        <f t="shared" si="167"/>
        <v>16</v>
      </c>
      <c r="AA121" s="6">
        <f t="shared" si="168"/>
        <v>0</v>
      </c>
      <c r="AB121" s="6">
        <f t="shared" si="169"/>
        <v>0</v>
      </c>
      <c r="AC121" s="6">
        <f t="shared" si="170"/>
        <v>0</v>
      </c>
      <c r="AD121" s="7" t="str">
        <f t="shared" si="171"/>
        <v/>
      </c>
      <c r="AE121" s="12">
        <f t="shared" si="172"/>
        <v>0</v>
      </c>
      <c r="AF121" s="13" t="str">
        <f t="shared" si="173"/>
        <v>계</v>
      </c>
      <c r="AG121" s="13" t="str">
        <f t="shared" si="174"/>
        <v>3/2</v>
      </c>
      <c r="AI121" s="32" t="str">
        <f t="shared" si="101"/>
        <v>평촌두산위브리버뷰</v>
      </c>
      <c r="AJ121" s="21">
        <f t="shared" si="90"/>
        <v>29</v>
      </c>
      <c r="AK121" s="13" t="str">
        <f t="shared" si="175"/>
        <v>A-</v>
      </c>
      <c r="AL121" s="13"/>
      <c r="AM121" s="13"/>
      <c r="AN121" s="13"/>
      <c r="AO121" s="13" t="str">
        <f t="shared" si="176"/>
        <v>C</v>
      </c>
      <c r="AP121" s="13" t="str">
        <f t="shared" si="177"/>
        <v/>
      </c>
      <c r="AQ121" s="13" t="str">
        <f t="shared" si="178"/>
        <v/>
      </c>
      <c r="AR121" s="13" t="str">
        <f t="shared" si="179"/>
        <v>O</v>
      </c>
      <c r="AS121" s="13" t="str">
        <f t="shared" si="180"/>
        <v>O</v>
      </c>
      <c r="AT121" s="13" t="s">
        <v>32</v>
      </c>
      <c r="AU121" s="13" t="str">
        <f t="shared" si="181"/>
        <v>O</v>
      </c>
      <c r="AV121" s="13" t="str">
        <f t="shared" si="182"/>
        <v>O</v>
      </c>
      <c r="AW121" s="13" t="str">
        <f t="shared" si="183"/>
        <v/>
      </c>
    </row>
    <row r="122" spans="1:49" x14ac:dyDescent="0.3">
      <c r="A122" s="5" t="s">
        <v>1835</v>
      </c>
      <c r="B122" s="14" t="s">
        <v>1836</v>
      </c>
      <c r="C122" s="25">
        <v>855</v>
      </c>
      <c r="D122" s="23">
        <v>99.5</v>
      </c>
      <c r="E122" s="21">
        <v>30</v>
      </c>
      <c r="F122" s="23">
        <v>70.099999999999994</v>
      </c>
      <c r="G122" s="24">
        <v>21</v>
      </c>
      <c r="H122" s="25">
        <v>20</v>
      </c>
      <c r="I122" s="29"/>
      <c r="J122" s="29"/>
      <c r="K122" s="29"/>
      <c r="L122" s="29"/>
      <c r="M122" s="6">
        <f t="shared" si="161"/>
        <v>0</v>
      </c>
      <c r="N122" s="7" t="str">
        <f t="shared" si="162"/>
        <v/>
      </c>
      <c r="O122" s="12">
        <f t="shared" si="163"/>
        <v>0</v>
      </c>
      <c r="P122" s="12">
        <f t="shared" si="164"/>
        <v>0</v>
      </c>
      <c r="Q122" s="13">
        <v>3</v>
      </c>
      <c r="R122" s="13">
        <v>2</v>
      </c>
      <c r="S122" s="13" t="s">
        <v>51</v>
      </c>
      <c r="T122" s="8" t="s">
        <v>577</v>
      </c>
      <c r="U122" s="5"/>
      <c r="V122" s="5" t="s">
        <v>1847</v>
      </c>
      <c r="X122" s="23">
        <f t="shared" si="165"/>
        <v>99.5</v>
      </c>
      <c r="Y122" s="21">
        <f t="shared" si="166"/>
        <v>30</v>
      </c>
      <c r="Z122" s="28">
        <f t="shared" si="167"/>
        <v>20</v>
      </c>
      <c r="AA122" s="6">
        <f t="shared" si="168"/>
        <v>0</v>
      </c>
      <c r="AB122" s="6">
        <f t="shared" si="169"/>
        <v>0</v>
      </c>
      <c r="AC122" s="6">
        <f t="shared" si="170"/>
        <v>0</v>
      </c>
      <c r="AD122" s="7" t="str">
        <f t="shared" si="171"/>
        <v/>
      </c>
      <c r="AE122" s="12">
        <f t="shared" si="172"/>
        <v>0</v>
      </c>
      <c r="AF122" s="13" t="str">
        <f t="shared" si="173"/>
        <v>계</v>
      </c>
      <c r="AG122" s="13" t="str">
        <f t="shared" si="174"/>
        <v>3/2</v>
      </c>
      <c r="AI122" s="32" t="str">
        <f t="shared" si="101"/>
        <v>평촌두산위브리버뷰</v>
      </c>
      <c r="AJ122" s="21">
        <f t="shared" si="90"/>
        <v>30</v>
      </c>
      <c r="AK122" s="13" t="str">
        <f t="shared" si="175"/>
        <v>A-</v>
      </c>
      <c r="AL122" s="13"/>
      <c r="AM122" s="13"/>
      <c r="AN122" s="13"/>
      <c r="AO122" s="13" t="str">
        <f t="shared" si="176"/>
        <v>C</v>
      </c>
      <c r="AP122" s="13" t="str">
        <f t="shared" si="177"/>
        <v/>
      </c>
      <c r="AQ122" s="13" t="str">
        <f t="shared" si="178"/>
        <v/>
      </c>
      <c r="AR122" s="13" t="str">
        <f t="shared" si="179"/>
        <v>O</v>
      </c>
      <c r="AS122" s="13" t="str">
        <f t="shared" si="180"/>
        <v>O</v>
      </c>
      <c r="AT122" s="13" t="s">
        <v>32</v>
      </c>
      <c r="AU122" s="13" t="str">
        <f t="shared" si="181"/>
        <v>O</v>
      </c>
      <c r="AV122" s="13" t="str">
        <f t="shared" si="182"/>
        <v>O</v>
      </c>
      <c r="AW122" s="13" t="str">
        <f t="shared" si="183"/>
        <v/>
      </c>
    </row>
    <row r="123" spans="1:49" x14ac:dyDescent="0.3">
      <c r="A123" s="5" t="s">
        <v>1835</v>
      </c>
      <c r="B123" s="14" t="s">
        <v>1836</v>
      </c>
      <c r="C123" s="25">
        <v>855</v>
      </c>
      <c r="D123" s="23">
        <v>99.7</v>
      </c>
      <c r="E123" s="21">
        <v>30</v>
      </c>
      <c r="F123" s="23">
        <v>70.099999999999994</v>
      </c>
      <c r="G123" s="24">
        <v>21</v>
      </c>
      <c r="H123" s="25">
        <v>17</v>
      </c>
      <c r="I123" s="29"/>
      <c r="J123" s="29"/>
      <c r="K123" s="29"/>
      <c r="L123" s="29"/>
      <c r="M123" s="6">
        <f t="shared" si="161"/>
        <v>0</v>
      </c>
      <c r="N123" s="7" t="str">
        <f t="shared" si="162"/>
        <v/>
      </c>
      <c r="O123" s="12">
        <f t="shared" si="163"/>
        <v>0</v>
      </c>
      <c r="P123" s="12">
        <f t="shared" si="164"/>
        <v>0</v>
      </c>
      <c r="Q123" s="13">
        <v>3</v>
      </c>
      <c r="R123" s="13">
        <v>2</v>
      </c>
      <c r="S123" s="13" t="s">
        <v>51</v>
      </c>
      <c r="T123" s="8" t="s">
        <v>1083</v>
      </c>
      <c r="U123" s="5"/>
      <c r="V123" s="5" t="s">
        <v>1848</v>
      </c>
      <c r="X123" s="23">
        <f t="shared" si="165"/>
        <v>99.7</v>
      </c>
      <c r="Y123" s="21">
        <f t="shared" si="166"/>
        <v>30</v>
      </c>
      <c r="Z123" s="28">
        <f t="shared" si="167"/>
        <v>17</v>
      </c>
      <c r="AA123" s="6">
        <f t="shared" si="168"/>
        <v>0</v>
      </c>
      <c r="AB123" s="6">
        <f t="shared" si="169"/>
        <v>0</v>
      </c>
      <c r="AC123" s="6">
        <f t="shared" si="170"/>
        <v>0</v>
      </c>
      <c r="AD123" s="7" t="str">
        <f t="shared" si="171"/>
        <v/>
      </c>
      <c r="AE123" s="12">
        <f t="shared" si="172"/>
        <v>0</v>
      </c>
      <c r="AF123" s="13" t="str">
        <f t="shared" si="173"/>
        <v>계</v>
      </c>
      <c r="AG123" s="13" t="str">
        <f t="shared" si="174"/>
        <v>3/2</v>
      </c>
      <c r="AI123" s="32" t="str">
        <f t="shared" si="101"/>
        <v>평촌두산위브리버뷰</v>
      </c>
      <c r="AJ123" s="21">
        <f t="shared" si="90"/>
        <v>30</v>
      </c>
      <c r="AK123" s="13" t="str">
        <f t="shared" si="175"/>
        <v>A-</v>
      </c>
      <c r="AL123" s="13"/>
      <c r="AM123" s="13"/>
      <c r="AN123" s="13"/>
      <c r="AO123" s="13" t="str">
        <f t="shared" si="176"/>
        <v>C</v>
      </c>
      <c r="AP123" s="13" t="str">
        <f t="shared" si="177"/>
        <v/>
      </c>
      <c r="AQ123" s="13" t="str">
        <f t="shared" si="178"/>
        <v/>
      </c>
      <c r="AR123" s="13" t="str">
        <f t="shared" si="179"/>
        <v>O</v>
      </c>
      <c r="AS123" s="13" t="str">
        <f t="shared" si="180"/>
        <v>O</v>
      </c>
      <c r="AT123" s="13" t="s">
        <v>32</v>
      </c>
      <c r="AU123" s="13" t="str">
        <f t="shared" si="181"/>
        <v>O</v>
      </c>
      <c r="AV123" s="13" t="str">
        <f t="shared" si="182"/>
        <v>O</v>
      </c>
      <c r="AW123" s="13" t="str">
        <f t="shared" si="183"/>
        <v/>
      </c>
    </row>
    <row r="124" spans="1:49" x14ac:dyDescent="0.3">
      <c r="A124" s="5" t="s">
        <v>1835</v>
      </c>
      <c r="B124" s="14" t="s">
        <v>1836</v>
      </c>
      <c r="C124" s="25">
        <v>855</v>
      </c>
      <c r="D124" s="23">
        <v>101.5</v>
      </c>
      <c r="E124" s="21">
        <v>31</v>
      </c>
      <c r="F124" s="23">
        <v>70</v>
      </c>
      <c r="G124" s="24">
        <v>21</v>
      </c>
      <c r="H124" s="25">
        <v>72</v>
      </c>
      <c r="I124" s="29">
        <v>75000</v>
      </c>
      <c r="J124" s="29"/>
      <c r="K124" s="29">
        <v>45000</v>
      </c>
      <c r="L124" s="29"/>
      <c r="M124" s="6">
        <f t="shared" si="161"/>
        <v>30000</v>
      </c>
      <c r="N124" s="7">
        <f t="shared" si="162"/>
        <v>0.6</v>
      </c>
      <c r="O124" s="12">
        <f t="shared" si="163"/>
        <v>2419.3548387096776</v>
      </c>
      <c r="P124" s="12">
        <f t="shared" si="164"/>
        <v>1451.6129032258063</v>
      </c>
      <c r="Q124" s="13">
        <v>3</v>
      </c>
      <c r="R124" s="13">
        <v>2</v>
      </c>
      <c r="S124" s="13" t="s">
        <v>51</v>
      </c>
      <c r="T124" s="8" t="s">
        <v>1084</v>
      </c>
      <c r="U124" s="5"/>
      <c r="V124" s="5" t="s">
        <v>1849</v>
      </c>
      <c r="X124" s="23">
        <f t="shared" si="165"/>
        <v>101.5</v>
      </c>
      <c r="Y124" s="21">
        <f t="shared" si="166"/>
        <v>31</v>
      </c>
      <c r="Z124" s="28">
        <f t="shared" si="167"/>
        <v>72</v>
      </c>
      <c r="AA124" s="6">
        <f t="shared" si="168"/>
        <v>75000</v>
      </c>
      <c r="AB124" s="6">
        <f t="shared" si="169"/>
        <v>45000</v>
      </c>
      <c r="AC124" s="6">
        <f t="shared" si="170"/>
        <v>30000</v>
      </c>
      <c r="AD124" s="7">
        <f t="shared" si="171"/>
        <v>0.6</v>
      </c>
      <c r="AE124" s="12">
        <f t="shared" si="172"/>
        <v>2419.3548387096776</v>
      </c>
      <c r="AF124" s="13" t="str">
        <f t="shared" si="173"/>
        <v>계</v>
      </c>
      <c r="AG124" s="13" t="str">
        <f t="shared" si="174"/>
        <v>3/2</v>
      </c>
      <c r="AI124" s="32" t="str">
        <f t="shared" si="101"/>
        <v>평촌두산위브리버뷰</v>
      </c>
      <c r="AJ124" s="21">
        <f t="shared" si="90"/>
        <v>31</v>
      </c>
      <c r="AK124" s="13" t="str">
        <f t="shared" si="175"/>
        <v>A-</v>
      </c>
      <c r="AL124" s="13"/>
      <c r="AM124" s="13"/>
      <c r="AN124" s="13"/>
      <c r="AO124" s="13" t="str">
        <f t="shared" si="176"/>
        <v>C</v>
      </c>
      <c r="AP124" s="13" t="str">
        <f t="shared" si="177"/>
        <v>X</v>
      </c>
      <c r="AQ124" s="13" t="str">
        <f t="shared" si="178"/>
        <v>X</v>
      </c>
      <c r="AR124" s="13" t="str">
        <f t="shared" si="179"/>
        <v>X</v>
      </c>
      <c r="AS124" s="13" t="str">
        <f t="shared" si="180"/>
        <v>X</v>
      </c>
      <c r="AT124" s="13" t="s">
        <v>32</v>
      </c>
      <c r="AU124" s="13" t="str">
        <f t="shared" si="181"/>
        <v>O</v>
      </c>
      <c r="AV124" s="13" t="str">
        <f t="shared" si="182"/>
        <v>O</v>
      </c>
      <c r="AW124" s="13" t="str">
        <f t="shared" si="183"/>
        <v>X</v>
      </c>
    </row>
    <row r="125" spans="1:49" x14ac:dyDescent="0.3">
      <c r="A125" s="5" t="s">
        <v>1835</v>
      </c>
      <c r="B125" s="14" t="s">
        <v>1836</v>
      </c>
      <c r="C125" s="25">
        <v>855</v>
      </c>
      <c r="D125" s="23">
        <v>102.8</v>
      </c>
      <c r="E125" s="21">
        <v>31</v>
      </c>
      <c r="F125" s="23">
        <v>70</v>
      </c>
      <c r="G125" s="24">
        <v>21</v>
      </c>
      <c r="H125" s="25">
        <v>71</v>
      </c>
      <c r="I125" s="29">
        <v>75000</v>
      </c>
      <c r="J125" s="29"/>
      <c r="K125" s="29">
        <v>45000</v>
      </c>
      <c r="L125" s="29"/>
      <c r="M125" s="6">
        <f t="shared" si="161"/>
        <v>30000</v>
      </c>
      <c r="N125" s="7">
        <f t="shared" si="162"/>
        <v>0.6</v>
      </c>
      <c r="O125" s="12">
        <f t="shared" si="163"/>
        <v>2419.3548387096776</v>
      </c>
      <c r="P125" s="12">
        <f t="shared" si="164"/>
        <v>1451.6129032258063</v>
      </c>
      <c r="Q125" s="13">
        <v>4</v>
      </c>
      <c r="R125" s="13">
        <v>2</v>
      </c>
      <c r="S125" s="13" t="s">
        <v>51</v>
      </c>
      <c r="T125" s="8" t="s">
        <v>1085</v>
      </c>
      <c r="U125" s="5"/>
      <c r="V125" s="5" t="s">
        <v>1850</v>
      </c>
      <c r="X125" s="23">
        <f t="shared" si="165"/>
        <v>102.8</v>
      </c>
      <c r="Y125" s="21">
        <f t="shared" si="166"/>
        <v>31</v>
      </c>
      <c r="Z125" s="28">
        <f t="shared" si="167"/>
        <v>71</v>
      </c>
      <c r="AA125" s="6">
        <f t="shared" si="168"/>
        <v>75000</v>
      </c>
      <c r="AB125" s="6">
        <f t="shared" si="169"/>
        <v>45000</v>
      </c>
      <c r="AC125" s="6">
        <f t="shared" si="170"/>
        <v>30000</v>
      </c>
      <c r="AD125" s="7">
        <f t="shared" si="171"/>
        <v>0.6</v>
      </c>
      <c r="AE125" s="12">
        <f t="shared" si="172"/>
        <v>2419.3548387096776</v>
      </c>
      <c r="AF125" s="13" t="str">
        <f t="shared" si="173"/>
        <v>계</v>
      </c>
      <c r="AG125" s="13" t="str">
        <f t="shared" si="174"/>
        <v>4/2</v>
      </c>
      <c r="AI125" s="32" t="str">
        <f t="shared" si="101"/>
        <v>평촌두산위브리버뷰</v>
      </c>
      <c r="AJ125" s="21">
        <f t="shared" si="90"/>
        <v>31</v>
      </c>
      <c r="AK125" s="13" t="str">
        <f t="shared" si="175"/>
        <v>A-</v>
      </c>
      <c r="AL125" s="13"/>
      <c r="AM125" s="13"/>
      <c r="AN125" s="13"/>
      <c r="AO125" s="13" t="str">
        <f t="shared" si="176"/>
        <v>C</v>
      </c>
      <c r="AP125" s="13" t="str">
        <f t="shared" si="177"/>
        <v>X</v>
      </c>
      <c r="AQ125" s="13" t="str">
        <f t="shared" si="178"/>
        <v>X</v>
      </c>
      <c r="AR125" s="13" t="str">
        <f t="shared" si="179"/>
        <v>X</v>
      </c>
      <c r="AS125" s="13" t="str">
        <f t="shared" si="180"/>
        <v>X</v>
      </c>
      <c r="AT125" s="13" t="s">
        <v>32</v>
      </c>
      <c r="AU125" s="13" t="str">
        <f t="shared" si="181"/>
        <v>O</v>
      </c>
      <c r="AV125" s="13" t="str">
        <f t="shared" si="182"/>
        <v>O</v>
      </c>
      <c r="AW125" s="13" t="str">
        <f t="shared" si="183"/>
        <v>X</v>
      </c>
    </row>
    <row r="126" spans="1:49" x14ac:dyDescent="0.3">
      <c r="A126" s="5" t="s">
        <v>1835</v>
      </c>
      <c r="B126" s="14" t="s">
        <v>1836</v>
      </c>
      <c r="C126" s="25">
        <v>855</v>
      </c>
      <c r="D126" s="23">
        <v>111.3</v>
      </c>
      <c r="E126" s="21">
        <v>34</v>
      </c>
      <c r="F126" s="23">
        <v>85</v>
      </c>
      <c r="G126" s="24">
        <v>26</v>
      </c>
      <c r="H126" s="25">
        <v>66</v>
      </c>
      <c r="I126" s="29">
        <v>80000</v>
      </c>
      <c r="J126" s="29"/>
      <c r="K126" s="29">
        <v>50000</v>
      </c>
      <c r="L126" s="29"/>
      <c r="M126" s="6">
        <f t="shared" si="161"/>
        <v>30000</v>
      </c>
      <c r="N126" s="7">
        <f t="shared" si="162"/>
        <v>0.625</v>
      </c>
      <c r="O126" s="12">
        <f t="shared" si="163"/>
        <v>2352.9411764705883</v>
      </c>
      <c r="P126" s="12">
        <f t="shared" si="164"/>
        <v>1470.5882352941176</v>
      </c>
      <c r="Q126" s="13">
        <v>3</v>
      </c>
      <c r="R126" s="13">
        <v>2</v>
      </c>
      <c r="S126" s="13" t="s">
        <v>51</v>
      </c>
      <c r="T126" s="8" t="s">
        <v>118</v>
      </c>
      <c r="U126" s="5"/>
      <c r="V126" s="5" t="s">
        <v>1851</v>
      </c>
      <c r="X126" s="23">
        <f t="shared" si="165"/>
        <v>111.3</v>
      </c>
      <c r="Y126" s="21">
        <f t="shared" si="166"/>
        <v>34</v>
      </c>
      <c r="Z126" s="28">
        <f t="shared" si="167"/>
        <v>66</v>
      </c>
      <c r="AA126" s="6">
        <f t="shared" si="168"/>
        <v>80000</v>
      </c>
      <c r="AB126" s="6">
        <f t="shared" si="169"/>
        <v>50000</v>
      </c>
      <c r="AC126" s="6">
        <f t="shared" si="170"/>
        <v>30000</v>
      </c>
      <c r="AD126" s="7">
        <f t="shared" si="171"/>
        <v>0.625</v>
      </c>
      <c r="AE126" s="12">
        <f t="shared" si="172"/>
        <v>2352.9411764705883</v>
      </c>
      <c r="AF126" s="13" t="str">
        <f t="shared" si="173"/>
        <v>계</v>
      </c>
      <c r="AG126" s="13" t="str">
        <f t="shared" si="174"/>
        <v>3/2</v>
      </c>
      <c r="AI126" s="32" t="str">
        <f t="shared" si="101"/>
        <v>평촌두산위브리버뷰</v>
      </c>
      <c r="AJ126" s="21">
        <f t="shared" si="90"/>
        <v>34</v>
      </c>
      <c r="AK126" s="13" t="str">
        <f t="shared" si="175"/>
        <v>A-</v>
      </c>
      <c r="AL126" s="13"/>
      <c r="AM126" s="13"/>
      <c r="AN126" s="13"/>
      <c r="AO126" s="13" t="str">
        <f t="shared" si="176"/>
        <v>C</v>
      </c>
      <c r="AP126" s="13" t="str">
        <f t="shared" si="177"/>
        <v>X</v>
      </c>
      <c r="AQ126" s="13" t="str">
        <f t="shared" si="178"/>
        <v>X</v>
      </c>
      <c r="AR126" s="13" t="str">
        <f t="shared" si="179"/>
        <v>X</v>
      </c>
      <c r="AS126" s="13" t="str">
        <f t="shared" si="180"/>
        <v>X</v>
      </c>
      <c r="AT126" s="13" t="s">
        <v>32</v>
      </c>
      <c r="AU126" s="13" t="str">
        <f t="shared" si="181"/>
        <v>O</v>
      </c>
      <c r="AV126" s="13" t="str">
        <f t="shared" si="182"/>
        <v>O</v>
      </c>
      <c r="AW126" s="13" t="str">
        <f t="shared" si="183"/>
        <v>X</v>
      </c>
    </row>
    <row r="127" spans="1:49" x14ac:dyDescent="0.3">
      <c r="A127" s="5" t="s">
        <v>1835</v>
      </c>
      <c r="B127" s="14" t="s">
        <v>1836</v>
      </c>
      <c r="C127" s="25">
        <v>855</v>
      </c>
      <c r="D127" s="23">
        <v>111.6</v>
      </c>
      <c r="E127" s="21">
        <v>34</v>
      </c>
      <c r="F127" s="23">
        <v>85</v>
      </c>
      <c r="G127" s="24">
        <v>26</v>
      </c>
      <c r="H127" s="25">
        <v>48</v>
      </c>
      <c r="I127" s="29"/>
      <c r="J127" s="29"/>
      <c r="K127" s="29"/>
      <c r="L127" s="29"/>
      <c r="M127" s="6">
        <f t="shared" si="161"/>
        <v>0</v>
      </c>
      <c r="N127" s="7" t="str">
        <f t="shared" si="162"/>
        <v/>
      </c>
      <c r="O127" s="12">
        <f t="shared" si="163"/>
        <v>0</v>
      </c>
      <c r="P127" s="12">
        <f t="shared" si="164"/>
        <v>0</v>
      </c>
      <c r="Q127" s="13">
        <v>3</v>
      </c>
      <c r="R127" s="13">
        <v>2</v>
      </c>
      <c r="S127" s="13" t="s">
        <v>51</v>
      </c>
      <c r="T127" s="8" t="s">
        <v>124</v>
      </c>
      <c r="U127" s="5"/>
      <c r="V127" s="5" t="s">
        <v>1852</v>
      </c>
      <c r="X127" s="23">
        <f t="shared" si="165"/>
        <v>111.6</v>
      </c>
      <c r="Y127" s="21">
        <f t="shared" si="166"/>
        <v>34</v>
      </c>
      <c r="Z127" s="28">
        <f t="shared" si="167"/>
        <v>48</v>
      </c>
      <c r="AA127" s="6">
        <f t="shared" si="168"/>
        <v>0</v>
      </c>
      <c r="AB127" s="6">
        <f t="shared" si="169"/>
        <v>0</v>
      </c>
      <c r="AC127" s="6">
        <f t="shared" si="170"/>
        <v>0</v>
      </c>
      <c r="AD127" s="7" t="str">
        <f t="shared" si="171"/>
        <v/>
      </c>
      <c r="AE127" s="12">
        <f t="shared" si="172"/>
        <v>0</v>
      </c>
      <c r="AF127" s="13" t="str">
        <f t="shared" si="173"/>
        <v>계</v>
      </c>
      <c r="AG127" s="13" t="str">
        <f t="shared" si="174"/>
        <v>3/2</v>
      </c>
      <c r="AI127" s="32" t="str">
        <f t="shared" si="101"/>
        <v>평촌두산위브리버뷰</v>
      </c>
      <c r="AJ127" s="21">
        <f t="shared" si="90"/>
        <v>34</v>
      </c>
      <c r="AK127" s="13" t="str">
        <f t="shared" si="175"/>
        <v>A-</v>
      </c>
      <c r="AL127" s="13"/>
      <c r="AM127" s="13"/>
      <c r="AN127" s="13"/>
      <c r="AO127" s="13" t="str">
        <f t="shared" si="176"/>
        <v>C</v>
      </c>
      <c r="AP127" s="13" t="str">
        <f t="shared" si="177"/>
        <v/>
      </c>
      <c r="AQ127" s="13" t="str">
        <f t="shared" si="178"/>
        <v/>
      </c>
      <c r="AR127" s="13" t="str">
        <f t="shared" si="179"/>
        <v>O</v>
      </c>
      <c r="AS127" s="13" t="str">
        <f t="shared" si="180"/>
        <v>O</v>
      </c>
      <c r="AT127" s="13" t="s">
        <v>32</v>
      </c>
      <c r="AU127" s="13" t="str">
        <f t="shared" si="181"/>
        <v>O</v>
      </c>
      <c r="AV127" s="13" t="str">
        <f t="shared" si="182"/>
        <v>O</v>
      </c>
      <c r="AW127" s="13" t="str">
        <f t="shared" si="183"/>
        <v/>
      </c>
    </row>
    <row r="128" spans="1:49" x14ac:dyDescent="0.3">
      <c r="A128" s="5" t="s">
        <v>1835</v>
      </c>
      <c r="B128" s="14" t="s">
        <v>1836</v>
      </c>
      <c r="C128" s="25">
        <v>855</v>
      </c>
      <c r="D128" s="23">
        <v>111.3</v>
      </c>
      <c r="E128" s="21">
        <v>34</v>
      </c>
      <c r="F128" s="23">
        <v>85</v>
      </c>
      <c r="G128" s="24">
        <v>26</v>
      </c>
      <c r="H128" s="25">
        <v>33</v>
      </c>
      <c r="I128" s="29"/>
      <c r="J128" s="29"/>
      <c r="K128" s="29"/>
      <c r="L128" s="29"/>
      <c r="M128" s="6">
        <f t="shared" si="161"/>
        <v>0</v>
      </c>
      <c r="N128" s="7" t="str">
        <f t="shared" si="162"/>
        <v/>
      </c>
      <c r="O128" s="12">
        <f t="shared" si="163"/>
        <v>0</v>
      </c>
      <c r="P128" s="12">
        <f t="shared" si="164"/>
        <v>0</v>
      </c>
      <c r="Q128" s="13">
        <v>3</v>
      </c>
      <c r="R128" s="13">
        <v>2</v>
      </c>
      <c r="S128" s="13" t="s">
        <v>51</v>
      </c>
      <c r="T128" s="8" t="s">
        <v>121</v>
      </c>
      <c r="U128" s="5"/>
      <c r="V128" s="5" t="s">
        <v>1851</v>
      </c>
      <c r="X128" s="23">
        <f t="shared" si="165"/>
        <v>111.3</v>
      </c>
      <c r="Y128" s="21">
        <f t="shared" si="166"/>
        <v>34</v>
      </c>
      <c r="Z128" s="28">
        <f t="shared" si="167"/>
        <v>33</v>
      </c>
      <c r="AA128" s="6">
        <f t="shared" si="168"/>
        <v>0</v>
      </c>
      <c r="AB128" s="6">
        <f t="shared" si="169"/>
        <v>0</v>
      </c>
      <c r="AC128" s="6">
        <f t="shared" si="170"/>
        <v>0</v>
      </c>
      <c r="AD128" s="7" t="str">
        <f t="shared" si="171"/>
        <v/>
      </c>
      <c r="AE128" s="12">
        <f t="shared" si="172"/>
        <v>0</v>
      </c>
      <c r="AF128" s="13" t="str">
        <f t="shared" si="173"/>
        <v>계</v>
      </c>
      <c r="AG128" s="13" t="str">
        <f t="shared" si="174"/>
        <v>3/2</v>
      </c>
      <c r="AI128" s="32" t="str">
        <f t="shared" si="101"/>
        <v>평촌두산위브리버뷰</v>
      </c>
      <c r="AJ128" s="21">
        <f t="shared" si="90"/>
        <v>34</v>
      </c>
      <c r="AK128" s="13" t="str">
        <f t="shared" si="175"/>
        <v>A-</v>
      </c>
      <c r="AL128" s="13"/>
      <c r="AM128" s="13"/>
      <c r="AN128" s="13"/>
      <c r="AO128" s="13" t="str">
        <f t="shared" si="176"/>
        <v>C</v>
      </c>
      <c r="AP128" s="13" t="str">
        <f t="shared" si="177"/>
        <v/>
      </c>
      <c r="AQ128" s="13" t="str">
        <f t="shared" si="178"/>
        <v/>
      </c>
      <c r="AR128" s="13" t="str">
        <f t="shared" si="179"/>
        <v>O</v>
      </c>
      <c r="AS128" s="13" t="str">
        <f t="shared" si="180"/>
        <v>O</v>
      </c>
      <c r="AT128" s="13" t="s">
        <v>32</v>
      </c>
      <c r="AU128" s="13" t="str">
        <f t="shared" si="181"/>
        <v>O</v>
      </c>
      <c r="AV128" s="13" t="str">
        <f t="shared" si="182"/>
        <v>O</v>
      </c>
      <c r="AW128" s="13" t="str">
        <f t="shared" si="183"/>
        <v/>
      </c>
    </row>
    <row r="129" spans="1:49" x14ac:dyDescent="0.3">
      <c r="A129" s="5" t="s">
        <v>1835</v>
      </c>
      <c r="B129" s="14" t="s">
        <v>1836</v>
      </c>
      <c r="C129" s="25">
        <v>855</v>
      </c>
      <c r="D129" s="23">
        <v>112.2</v>
      </c>
      <c r="E129" s="21">
        <v>34</v>
      </c>
      <c r="F129" s="23">
        <v>85</v>
      </c>
      <c r="G129" s="24">
        <v>26</v>
      </c>
      <c r="H129" s="25">
        <v>27</v>
      </c>
      <c r="I129" s="29"/>
      <c r="J129" s="29"/>
      <c r="K129" s="29"/>
      <c r="L129" s="29"/>
      <c r="M129" s="6">
        <f t="shared" si="161"/>
        <v>0</v>
      </c>
      <c r="N129" s="7" t="str">
        <f t="shared" si="162"/>
        <v/>
      </c>
      <c r="O129" s="12">
        <f t="shared" si="163"/>
        <v>0</v>
      </c>
      <c r="P129" s="12">
        <f t="shared" si="164"/>
        <v>0</v>
      </c>
      <c r="Q129" s="13">
        <v>3</v>
      </c>
      <c r="R129" s="13">
        <v>2</v>
      </c>
      <c r="S129" s="13" t="s">
        <v>51</v>
      </c>
      <c r="T129" s="8" t="s">
        <v>799</v>
      </c>
      <c r="U129" s="5"/>
      <c r="V129" s="5" t="s">
        <v>1852</v>
      </c>
      <c r="X129" s="23">
        <f t="shared" si="165"/>
        <v>112.2</v>
      </c>
      <c r="Y129" s="21">
        <f t="shared" si="166"/>
        <v>34</v>
      </c>
      <c r="Z129" s="28">
        <f t="shared" si="167"/>
        <v>27</v>
      </c>
      <c r="AA129" s="6">
        <f t="shared" si="168"/>
        <v>0</v>
      </c>
      <c r="AB129" s="6">
        <f t="shared" si="169"/>
        <v>0</v>
      </c>
      <c r="AC129" s="6">
        <f t="shared" si="170"/>
        <v>0</v>
      </c>
      <c r="AD129" s="7" t="str">
        <f t="shared" si="171"/>
        <v/>
      </c>
      <c r="AE129" s="12">
        <f t="shared" si="172"/>
        <v>0</v>
      </c>
      <c r="AF129" s="13" t="str">
        <f t="shared" si="173"/>
        <v>계</v>
      </c>
      <c r="AG129" s="13" t="str">
        <f t="shared" si="174"/>
        <v>3/2</v>
      </c>
      <c r="AI129" s="32" t="str">
        <f t="shared" si="101"/>
        <v>평촌두산위브리버뷰</v>
      </c>
      <c r="AJ129" s="21">
        <f t="shared" si="90"/>
        <v>34</v>
      </c>
      <c r="AK129" s="13" t="str">
        <f t="shared" si="175"/>
        <v>A-</v>
      </c>
      <c r="AL129" s="13"/>
      <c r="AM129" s="13"/>
      <c r="AN129" s="13"/>
      <c r="AO129" s="13" t="str">
        <f t="shared" si="176"/>
        <v>C</v>
      </c>
      <c r="AP129" s="13" t="str">
        <f t="shared" si="177"/>
        <v/>
      </c>
      <c r="AQ129" s="13" t="str">
        <f t="shared" si="178"/>
        <v/>
      </c>
      <c r="AR129" s="13" t="str">
        <f t="shared" si="179"/>
        <v>O</v>
      </c>
      <c r="AS129" s="13" t="str">
        <f t="shared" si="180"/>
        <v>O</v>
      </c>
      <c r="AT129" s="13" t="s">
        <v>32</v>
      </c>
      <c r="AU129" s="13" t="str">
        <f t="shared" si="181"/>
        <v>O</v>
      </c>
      <c r="AV129" s="13" t="str">
        <f t="shared" si="182"/>
        <v>O</v>
      </c>
      <c r="AW129" s="13" t="str">
        <f t="shared" si="183"/>
        <v/>
      </c>
    </row>
    <row r="130" spans="1:49" x14ac:dyDescent="0.3">
      <c r="A130" s="5" t="s">
        <v>1835</v>
      </c>
      <c r="B130" s="14" t="s">
        <v>1836</v>
      </c>
      <c r="C130" s="25">
        <v>855</v>
      </c>
      <c r="D130" s="23">
        <v>113.8</v>
      </c>
      <c r="E130" s="21">
        <v>34</v>
      </c>
      <c r="F130" s="23">
        <v>85</v>
      </c>
      <c r="G130" s="24">
        <v>26</v>
      </c>
      <c r="H130" s="25">
        <v>26</v>
      </c>
      <c r="I130" s="29">
        <v>80000</v>
      </c>
      <c r="J130" s="29"/>
      <c r="K130" s="29">
        <v>50000</v>
      </c>
      <c r="L130" s="29"/>
      <c r="M130" s="6">
        <f t="shared" si="161"/>
        <v>30000</v>
      </c>
      <c r="N130" s="7">
        <f t="shared" si="162"/>
        <v>0.625</v>
      </c>
      <c r="O130" s="12">
        <f t="shared" si="163"/>
        <v>2352.9411764705883</v>
      </c>
      <c r="P130" s="12">
        <f t="shared" si="164"/>
        <v>1470.5882352941176</v>
      </c>
      <c r="Q130" s="13">
        <v>3</v>
      </c>
      <c r="R130" s="13">
        <v>2</v>
      </c>
      <c r="S130" s="13" t="s">
        <v>51</v>
      </c>
      <c r="T130" s="8" t="s">
        <v>847</v>
      </c>
      <c r="U130" s="5"/>
      <c r="V130" s="5" t="s">
        <v>1853</v>
      </c>
      <c r="X130" s="23">
        <f t="shared" si="165"/>
        <v>113.8</v>
      </c>
      <c r="Y130" s="21">
        <f t="shared" si="166"/>
        <v>34</v>
      </c>
      <c r="Z130" s="28">
        <f t="shared" si="167"/>
        <v>26</v>
      </c>
      <c r="AA130" s="6">
        <f t="shared" si="168"/>
        <v>80000</v>
      </c>
      <c r="AB130" s="6">
        <f t="shared" si="169"/>
        <v>50000</v>
      </c>
      <c r="AC130" s="6">
        <f t="shared" si="170"/>
        <v>30000</v>
      </c>
      <c r="AD130" s="7">
        <f t="shared" si="171"/>
        <v>0.625</v>
      </c>
      <c r="AE130" s="12">
        <f t="shared" si="172"/>
        <v>2352.9411764705883</v>
      </c>
      <c r="AF130" s="13" t="str">
        <f t="shared" si="173"/>
        <v>계</v>
      </c>
      <c r="AG130" s="13" t="str">
        <f t="shared" si="174"/>
        <v>3/2</v>
      </c>
      <c r="AI130" s="32" t="str">
        <f t="shared" si="101"/>
        <v>평촌두산위브리버뷰</v>
      </c>
      <c r="AJ130" s="21">
        <f t="shared" si="90"/>
        <v>34</v>
      </c>
      <c r="AK130" s="13" t="str">
        <f t="shared" si="175"/>
        <v>A-</v>
      </c>
      <c r="AL130" s="13"/>
      <c r="AM130" s="13"/>
      <c r="AN130" s="13"/>
      <c r="AO130" s="13" t="str">
        <f t="shared" si="176"/>
        <v>C</v>
      </c>
      <c r="AP130" s="13" t="str">
        <f t="shared" si="177"/>
        <v>X</v>
      </c>
      <c r="AQ130" s="13" t="str">
        <f t="shared" si="178"/>
        <v>X</v>
      </c>
      <c r="AR130" s="13" t="str">
        <f t="shared" si="179"/>
        <v>X</v>
      </c>
      <c r="AS130" s="13" t="str">
        <f t="shared" si="180"/>
        <v>X</v>
      </c>
      <c r="AT130" s="13" t="s">
        <v>32</v>
      </c>
      <c r="AU130" s="13" t="str">
        <f t="shared" si="181"/>
        <v>O</v>
      </c>
      <c r="AV130" s="13" t="str">
        <f t="shared" si="182"/>
        <v>O</v>
      </c>
      <c r="AW130" s="13" t="str">
        <f t="shared" si="183"/>
        <v>X</v>
      </c>
    </row>
    <row r="131" spans="1:49" x14ac:dyDescent="0.3">
      <c r="A131" s="5" t="s">
        <v>1835</v>
      </c>
      <c r="B131" s="14" t="s">
        <v>1836</v>
      </c>
      <c r="C131" s="25">
        <v>855</v>
      </c>
      <c r="D131" s="23">
        <v>114.3</v>
      </c>
      <c r="E131" s="21">
        <v>35</v>
      </c>
      <c r="F131" s="23">
        <v>85</v>
      </c>
      <c r="G131" s="24">
        <v>26</v>
      </c>
      <c r="H131" s="25">
        <v>26</v>
      </c>
      <c r="I131" s="29"/>
      <c r="J131" s="29"/>
      <c r="K131" s="29"/>
      <c r="L131" s="29"/>
      <c r="M131" s="6">
        <f t="shared" si="161"/>
        <v>0</v>
      </c>
      <c r="N131" s="7" t="str">
        <f t="shared" si="162"/>
        <v/>
      </c>
      <c r="O131" s="12">
        <f t="shared" si="163"/>
        <v>0</v>
      </c>
      <c r="P131" s="12">
        <f t="shared" si="164"/>
        <v>0</v>
      </c>
      <c r="Q131" s="13">
        <v>3</v>
      </c>
      <c r="R131" s="13">
        <v>2</v>
      </c>
      <c r="S131" s="13" t="s">
        <v>51</v>
      </c>
      <c r="T131" s="8" t="s">
        <v>1086</v>
      </c>
      <c r="U131" s="5"/>
      <c r="V131" s="5" t="s">
        <v>1853</v>
      </c>
      <c r="X131" s="23">
        <f t="shared" si="165"/>
        <v>114.3</v>
      </c>
      <c r="Y131" s="21">
        <f t="shared" si="166"/>
        <v>35</v>
      </c>
      <c r="Z131" s="28">
        <f t="shared" si="167"/>
        <v>26</v>
      </c>
      <c r="AA131" s="6">
        <f t="shared" si="168"/>
        <v>0</v>
      </c>
      <c r="AB131" s="6">
        <f t="shared" si="169"/>
        <v>0</v>
      </c>
      <c r="AC131" s="6">
        <f t="shared" si="170"/>
        <v>0</v>
      </c>
      <c r="AD131" s="7" t="str">
        <f t="shared" si="171"/>
        <v/>
      </c>
      <c r="AE131" s="12">
        <f t="shared" si="172"/>
        <v>0</v>
      </c>
      <c r="AF131" s="13" t="str">
        <f t="shared" si="173"/>
        <v>계</v>
      </c>
      <c r="AG131" s="13" t="str">
        <f t="shared" si="174"/>
        <v>3/2</v>
      </c>
      <c r="AI131" s="32" t="str">
        <f t="shared" si="101"/>
        <v>평촌두산위브리버뷰</v>
      </c>
      <c r="AJ131" s="21">
        <f t="shared" ref="AJ131:AJ194" si="184">IF(E131="","",E131)</f>
        <v>35</v>
      </c>
      <c r="AK131" s="13" t="str">
        <f t="shared" si="175"/>
        <v>A-</v>
      </c>
      <c r="AL131" s="13"/>
      <c r="AM131" s="13"/>
      <c r="AN131" s="13"/>
      <c r="AO131" s="13" t="str">
        <f t="shared" si="176"/>
        <v>C</v>
      </c>
      <c r="AP131" s="13" t="str">
        <f t="shared" si="177"/>
        <v/>
      </c>
      <c r="AQ131" s="13" t="str">
        <f t="shared" si="178"/>
        <v/>
      </c>
      <c r="AR131" s="13" t="str">
        <f t="shared" si="179"/>
        <v>O</v>
      </c>
      <c r="AS131" s="13" t="str">
        <f t="shared" si="180"/>
        <v>O</v>
      </c>
      <c r="AT131" s="13" t="s">
        <v>32</v>
      </c>
      <c r="AU131" s="13" t="str">
        <f t="shared" si="181"/>
        <v>O</v>
      </c>
      <c r="AV131" s="13" t="str">
        <f t="shared" si="182"/>
        <v>O</v>
      </c>
      <c r="AW131" s="13" t="str">
        <f t="shared" si="183"/>
        <v/>
      </c>
    </row>
    <row r="132" spans="1:49" x14ac:dyDescent="0.3">
      <c r="A132" s="5" t="s">
        <v>1835</v>
      </c>
      <c r="B132" s="14" t="s">
        <v>1836</v>
      </c>
      <c r="C132" s="25">
        <v>855</v>
      </c>
      <c r="D132" s="23">
        <v>115.3</v>
      </c>
      <c r="E132" s="21">
        <v>35</v>
      </c>
      <c r="F132" s="23">
        <v>85</v>
      </c>
      <c r="G132" s="24">
        <v>26</v>
      </c>
      <c r="H132" s="25">
        <v>23</v>
      </c>
      <c r="I132" s="29"/>
      <c r="J132" s="29"/>
      <c r="K132" s="29"/>
      <c r="L132" s="29"/>
      <c r="M132" s="6">
        <f t="shared" si="161"/>
        <v>0</v>
      </c>
      <c r="N132" s="7" t="str">
        <f t="shared" si="162"/>
        <v/>
      </c>
      <c r="O132" s="12">
        <f t="shared" si="163"/>
        <v>0</v>
      </c>
      <c r="P132" s="12">
        <f t="shared" si="164"/>
        <v>0</v>
      </c>
      <c r="Q132" s="13">
        <v>3</v>
      </c>
      <c r="R132" s="13">
        <v>2</v>
      </c>
      <c r="S132" s="13" t="s">
        <v>51</v>
      </c>
      <c r="T132" s="8" t="s">
        <v>549</v>
      </c>
      <c r="U132" s="5"/>
      <c r="V132" s="5" t="s">
        <v>1854</v>
      </c>
      <c r="X132" s="23">
        <f t="shared" si="165"/>
        <v>115.3</v>
      </c>
      <c r="Y132" s="21">
        <f t="shared" si="166"/>
        <v>35</v>
      </c>
      <c r="Z132" s="28">
        <f t="shared" si="167"/>
        <v>23</v>
      </c>
      <c r="AA132" s="6">
        <f t="shared" si="168"/>
        <v>0</v>
      </c>
      <c r="AB132" s="6">
        <f t="shared" si="169"/>
        <v>0</v>
      </c>
      <c r="AC132" s="6">
        <f t="shared" si="170"/>
        <v>0</v>
      </c>
      <c r="AD132" s="7" t="str">
        <f t="shared" si="171"/>
        <v/>
      </c>
      <c r="AE132" s="12">
        <f t="shared" si="172"/>
        <v>0</v>
      </c>
      <c r="AF132" s="13" t="str">
        <f t="shared" si="173"/>
        <v>계</v>
      </c>
      <c r="AG132" s="13" t="str">
        <f t="shared" si="174"/>
        <v>3/2</v>
      </c>
      <c r="AI132" s="32" t="str">
        <f t="shared" si="101"/>
        <v>평촌두산위브리버뷰</v>
      </c>
      <c r="AJ132" s="21">
        <f t="shared" si="184"/>
        <v>35</v>
      </c>
      <c r="AK132" s="13" t="str">
        <f t="shared" si="175"/>
        <v>A-</v>
      </c>
      <c r="AL132" s="13"/>
      <c r="AM132" s="13"/>
      <c r="AN132" s="13"/>
      <c r="AO132" s="13" t="str">
        <f t="shared" si="176"/>
        <v>C</v>
      </c>
      <c r="AP132" s="13" t="str">
        <f t="shared" si="177"/>
        <v/>
      </c>
      <c r="AQ132" s="13" t="str">
        <f t="shared" si="178"/>
        <v/>
      </c>
      <c r="AR132" s="13" t="str">
        <f t="shared" si="179"/>
        <v>O</v>
      </c>
      <c r="AS132" s="13" t="str">
        <f t="shared" si="180"/>
        <v>O</v>
      </c>
      <c r="AT132" s="13" t="s">
        <v>32</v>
      </c>
      <c r="AU132" s="13" t="str">
        <f t="shared" si="181"/>
        <v>O</v>
      </c>
      <c r="AV132" s="13" t="str">
        <f t="shared" si="182"/>
        <v>O</v>
      </c>
      <c r="AW132" s="13" t="str">
        <f t="shared" si="183"/>
        <v/>
      </c>
    </row>
    <row r="133" spans="1:49" x14ac:dyDescent="0.3">
      <c r="A133" s="5" t="s">
        <v>1835</v>
      </c>
      <c r="B133" s="14" t="s">
        <v>1836</v>
      </c>
      <c r="C133" s="25">
        <v>855</v>
      </c>
      <c r="D133" s="23">
        <v>115.8</v>
      </c>
      <c r="E133" s="21">
        <v>35</v>
      </c>
      <c r="F133" s="23">
        <v>85</v>
      </c>
      <c r="G133" s="24">
        <v>26</v>
      </c>
      <c r="H133" s="25">
        <v>23</v>
      </c>
      <c r="I133" s="29"/>
      <c r="J133" s="29"/>
      <c r="K133" s="29"/>
      <c r="L133" s="29"/>
      <c r="M133" s="6">
        <f t="shared" si="161"/>
        <v>0</v>
      </c>
      <c r="N133" s="7" t="str">
        <f t="shared" si="162"/>
        <v/>
      </c>
      <c r="O133" s="12">
        <f t="shared" si="163"/>
        <v>0</v>
      </c>
      <c r="P133" s="12">
        <f t="shared" si="164"/>
        <v>0</v>
      </c>
      <c r="Q133" s="13">
        <v>3</v>
      </c>
      <c r="R133" s="13">
        <v>2</v>
      </c>
      <c r="S133" s="13" t="s">
        <v>51</v>
      </c>
      <c r="T133" s="8" t="s">
        <v>1087</v>
      </c>
      <c r="U133" s="5"/>
      <c r="V133" s="5" t="s">
        <v>1855</v>
      </c>
      <c r="X133" s="23">
        <f t="shared" si="165"/>
        <v>115.8</v>
      </c>
      <c r="Y133" s="21">
        <f t="shared" si="166"/>
        <v>35</v>
      </c>
      <c r="Z133" s="28">
        <f t="shared" si="167"/>
        <v>23</v>
      </c>
      <c r="AA133" s="6">
        <f t="shared" si="168"/>
        <v>0</v>
      </c>
      <c r="AB133" s="6">
        <f t="shared" si="169"/>
        <v>0</v>
      </c>
      <c r="AC133" s="6">
        <f t="shared" si="170"/>
        <v>0</v>
      </c>
      <c r="AD133" s="7" t="str">
        <f t="shared" si="171"/>
        <v/>
      </c>
      <c r="AE133" s="12">
        <f t="shared" si="172"/>
        <v>0</v>
      </c>
      <c r="AF133" s="13" t="str">
        <f t="shared" si="173"/>
        <v>계</v>
      </c>
      <c r="AG133" s="13" t="str">
        <f t="shared" si="174"/>
        <v>3/2</v>
      </c>
      <c r="AI133" s="32" t="str">
        <f t="shared" ref="AI133:AI196" si="185">IF(A133="","",A133)</f>
        <v>평촌두산위브리버뷰</v>
      </c>
      <c r="AJ133" s="21">
        <f t="shared" si="184"/>
        <v>35</v>
      </c>
      <c r="AK133" s="13" t="str">
        <f t="shared" si="175"/>
        <v>A-</v>
      </c>
      <c r="AL133" s="13"/>
      <c r="AM133" s="13"/>
      <c r="AN133" s="13"/>
      <c r="AO133" s="13" t="str">
        <f t="shared" si="176"/>
        <v>C</v>
      </c>
      <c r="AP133" s="13" t="str">
        <f t="shared" si="177"/>
        <v/>
      </c>
      <c r="AQ133" s="13" t="str">
        <f t="shared" si="178"/>
        <v/>
      </c>
      <c r="AR133" s="13" t="str">
        <f t="shared" si="179"/>
        <v>O</v>
      </c>
      <c r="AS133" s="13" t="str">
        <f t="shared" si="180"/>
        <v>O</v>
      </c>
      <c r="AT133" s="13" t="s">
        <v>32</v>
      </c>
      <c r="AU133" s="13" t="str">
        <f t="shared" si="181"/>
        <v>O</v>
      </c>
      <c r="AV133" s="13" t="str">
        <f t="shared" si="182"/>
        <v>O</v>
      </c>
      <c r="AW133" s="13" t="str">
        <f t="shared" si="183"/>
        <v/>
      </c>
    </row>
    <row r="134" spans="1:49" x14ac:dyDescent="0.3">
      <c r="A134" s="5"/>
      <c r="B134" s="13"/>
      <c r="C134" s="9"/>
      <c r="D134" s="5"/>
      <c r="E134" s="18"/>
      <c r="F134" s="23"/>
      <c r="G134" s="5"/>
      <c r="H134" s="5"/>
      <c r="I134" s="5"/>
      <c r="J134" s="5"/>
      <c r="K134" s="5"/>
      <c r="L134" s="5"/>
      <c r="M134" s="5"/>
      <c r="N134" s="5"/>
      <c r="O134" s="12"/>
      <c r="P134" s="12"/>
      <c r="Q134" s="21"/>
      <c r="R134" s="21"/>
      <c r="S134" s="5"/>
      <c r="T134" s="59"/>
      <c r="U134" s="5"/>
      <c r="V134" s="5"/>
      <c r="X134" s="90" t="str">
        <f>$A$4&amp;" "&amp;A135&amp;"("&amp;B135&amp;","&amp;C135&amp;"^)"</f>
        <v>호계동 평촌트리지아('24.08,2417^)</v>
      </c>
      <c r="Y134" s="91"/>
      <c r="Z134" s="91"/>
      <c r="AA134" s="91"/>
      <c r="AB134" s="91"/>
      <c r="AC134" s="91"/>
      <c r="AD134" s="91"/>
      <c r="AE134" s="91"/>
      <c r="AF134" s="91"/>
      <c r="AG134" s="92"/>
      <c r="AI134" s="32" t="str">
        <f t="shared" si="185"/>
        <v/>
      </c>
      <c r="AJ134" s="33" t="str">
        <f t="shared" si="184"/>
        <v/>
      </c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</row>
    <row r="135" spans="1:49" x14ac:dyDescent="0.3">
      <c r="A135" s="5" t="s">
        <v>1856</v>
      </c>
      <c r="B135" s="14" t="s">
        <v>1857</v>
      </c>
      <c r="C135" s="25">
        <v>2417</v>
      </c>
      <c r="D135" s="23">
        <v>83.9</v>
      </c>
      <c r="E135" s="21">
        <v>25</v>
      </c>
      <c r="F135" s="23">
        <v>60</v>
      </c>
      <c r="G135" s="24">
        <v>18</v>
      </c>
      <c r="H135" s="25">
        <v>768</v>
      </c>
      <c r="I135" s="29"/>
      <c r="J135" s="29"/>
      <c r="K135" s="29"/>
      <c r="L135" s="29"/>
      <c r="M135" s="6">
        <f>I135-K135</f>
        <v>0</v>
      </c>
      <c r="N135" s="7" t="str">
        <f>IF(ISERROR(K135/I135),"",K135/I135)</f>
        <v/>
      </c>
      <c r="O135" s="12">
        <f>I135/E135</f>
        <v>0</v>
      </c>
      <c r="P135" s="12">
        <f>K135/E135</f>
        <v>0</v>
      </c>
      <c r="Q135" s="13">
        <v>3</v>
      </c>
      <c r="R135" s="13">
        <v>2</v>
      </c>
      <c r="S135" s="13" t="s">
        <v>51</v>
      </c>
      <c r="T135" s="8" t="s">
        <v>575</v>
      </c>
      <c r="U135" s="5"/>
      <c r="V135" s="5" t="s">
        <v>1858</v>
      </c>
      <c r="X135" s="23">
        <f t="shared" ref="X135:Y139" si="186">D135</f>
        <v>83.9</v>
      </c>
      <c r="Y135" s="21">
        <f t="shared" si="186"/>
        <v>25</v>
      </c>
      <c r="Z135" s="28">
        <f t="shared" ref="Z135:AA139" si="187">H135</f>
        <v>768</v>
      </c>
      <c r="AA135" s="6">
        <f t="shared" si="187"/>
        <v>0</v>
      </c>
      <c r="AB135" s="6">
        <f>K135</f>
        <v>0</v>
      </c>
      <c r="AC135" s="6">
        <f t="shared" ref="AC135:AE139" si="188">M135</f>
        <v>0</v>
      </c>
      <c r="AD135" s="7" t="str">
        <f t="shared" si="188"/>
        <v/>
      </c>
      <c r="AE135" s="12">
        <f t="shared" si="188"/>
        <v>0</v>
      </c>
      <c r="AF135" s="13" t="str">
        <f>S135</f>
        <v>계</v>
      </c>
      <c r="AG135" s="13" t="str">
        <f>Q135&amp;"/"&amp;R135</f>
        <v>3/2</v>
      </c>
      <c r="AI135" s="32" t="str">
        <f t="shared" si="185"/>
        <v>평촌트리지아</v>
      </c>
      <c r="AJ135" s="21">
        <f t="shared" si="184"/>
        <v>25</v>
      </c>
      <c r="AK135" s="13" t="str">
        <f>IF(AJ135="","",$AK$2)</f>
        <v>A-</v>
      </c>
      <c r="AL135" s="13"/>
      <c r="AM135" s="13"/>
      <c r="AN135" s="13"/>
      <c r="AO135" s="13" t="str">
        <f>IF(AJ135="","",$AO$2)</f>
        <v>C</v>
      </c>
      <c r="AP135" s="13" t="str">
        <f>IF(N135="","",IF(N135&gt;=$AP$1/100,"O","X"))</f>
        <v/>
      </c>
      <c r="AQ135" s="13" t="str">
        <f>IF(I135="","",IF(I135&lt;=$AQ$1,"O","X"))</f>
        <v/>
      </c>
      <c r="AR135" s="13" t="str">
        <f>IF(O135="","",IF(O135&lt;=$AR$1,"O","X"))</f>
        <v>O</v>
      </c>
      <c r="AS135" s="13" t="str">
        <f>IF(M135="","",IF(M135&lt;=$AS$1,"O","X"))</f>
        <v>O</v>
      </c>
      <c r="AT135" s="13" t="s">
        <v>32</v>
      </c>
      <c r="AU135" s="13" t="str">
        <f>IF(OR(F135="",AJ135=""),"",IF(AND((F135&lt;=85),(AJ135&gt;=15)),"O","X"))</f>
        <v>O</v>
      </c>
      <c r="AV135" s="13" t="str">
        <f>IF(C135="","",IF(C135&gt;=$AV$1,"O","X"))</f>
        <v>O</v>
      </c>
      <c r="AW135" s="13" t="str">
        <f>IF(AP135="","",IF(AND(AP135="O",AQ135="O",AS135="O",AU135="O",AV135="O"),"후보","X"))</f>
        <v/>
      </c>
    </row>
    <row r="136" spans="1:49" x14ac:dyDescent="0.3">
      <c r="A136" s="5" t="s">
        <v>1856</v>
      </c>
      <c r="B136" s="14" t="s">
        <v>1857</v>
      </c>
      <c r="C136" s="25">
        <v>2417</v>
      </c>
      <c r="D136" s="23">
        <v>85.7</v>
      </c>
      <c r="E136" s="21">
        <v>26</v>
      </c>
      <c r="F136" s="23">
        <v>60</v>
      </c>
      <c r="G136" s="24">
        <v>18</v>
      </c>
      <c r="H136" s="25">
        <v>444</v>
      </c>
      <c r="I136" s="29"/>
      <c r="J136" s="29"/>
      <c r="K136" s="29"/>
      <c r="L136" s="29"/>
      <c r="M136" s="6">
        <f>I136-K136</f>
        <v>0</v>
      </c>
      <c r="N136" s="7" t="str">
        <f>IF(ISERROR(K136/I136),"",K136/I136)</f>
        <v/>
      </c>
      <c r="O136" s="12">
        <f>I136/E136</f>
        <v>0</v>
      </c>
      <c r="P136" s="12">
        <f>K136/E136</f>
        <v>0</v>
      </c>
      <c r="Q136" s="13">
        <v>3</v>
      </c>
      <c r="R136" s="13">
        <v>2</v>
      </c>
      <c r="S136" s="13" t="s">
        <v>51</v>
      </c>
      <c r="T136" s="8" t="s">
        <v>628</v>
      </c>
      <c r="U136" s="5"/>
      <c r="V136" s="5" t="s">
        <v>1859</v>
      </c>
      <c r="X136" s="23">
        <f t="shared" si="186"/>
        <v>85.7</v>
      </c>
      <c r="Y136" s="21">
        <f t="shared" si="186"/>
        <v>26</v>
      </c>
      <c r="Z136" s="28">
        <f t="shared" si="187"/>
        <v>444</v>
      </c>
      <c r="AA136" s="6">
        <f t="shared" si="187"/>
        <v>0</v>
      </c>
      <c r="AB136" s="6">
        <f>K136</f>
        <v>0</v>
      </c>
      <c r="AC136" s="6">
        <f t="shared" si="188"/>
        <v>0</v>
      </c>
      <c r="AD136" s="7" t="str">
        <f t="shared" si="188"/>
        <v/>
      </c>
      <c r="AE136" s="12">
        <f t="shared" si="188"/>
        <v>0</v>
      </c>
      <c r="AF136" s="13" t="str">
        <f>S136</f>
        <v>계</v>
      </c>
      <c r="AG136" s="13" t="str">
        <f>Q136&amp;"/"&amp;R136</f>
        <v>3/2</v>
      </c>
      <c r="AI136" s="32" t="str">
        <f t="shared" si="185"/>
        <v>평촌트리지아</v>
      </c>
      <c r="AJ136" s="21">
        <f t="shared" si="184"/>
        <v>26</v>
      </c>
      <c r="AK136" s="13" t="str">
        <f>IF(AJ136="","",$AK$2)</f>
        <v>A-</v>
      </c>
      <c r="AL136" s="13"/>
      <c r="AM136" s="13"/>
      <c r="AN136" s="13"/>
      <c r="AO136" s="13" t="str">
        <f>IF(AJ136="","",$AO$2)</f>
        <v>C</v>
      </c>
      <c r="AP136" s="13" t="str">
        <f>IF(N136="","",IF(N136&gt;=$AP$1/100,"O","X"))</f>
        <v/>
      </c>
      <c r="AQ136" s="13" t="str">
        <f>IF(I136="","",IF(I136&lt;=$AQ$1,"O","X"))</f>
        <v/>
      </c>
      <c r="AR136" s="13" t="str">
        <f>IF(O136="","",IF(O136&lt;=$AR$1,"O","X"))</f>
        <v>O</v>
      </c>
      <c r="AS136" s="13" t="str">
        <f>IF(M136="","",IF(M136&lt;=$AS$1,"O","X"))</f>
        <v>O</v>
      </c>
      <c r="AT136" s="13" t="s">
        <v>32</v>
      </c>
      <c r="AU136" s="13" t="str">
        <f>IF(OR(F136="",AJ136=""),"",IF(AND((F136&lt;=85),(AJ136&gt;=15)),"O","X"))</f>
        <v>O</v>
      </c>
      <c r="AV136" s="13" t="str">
        <f>IF(C136="","",IF(C136&gt;=$AV$1,"O","X"))</f>
        <v>O</v>
      </c>
      <c r="AW136" s="13" t="str">
        <f>IF(AP136="","",IF(AND(AP136="O",AQ136="O",AS136="O",AU136="O",AV136="O"),"후보","X"))</f>
        <v/>
      </c>
    </row>
    <row r="137" spans="1:49" x14ac:dyDescent="0.3">
      <c r="A137" s="5" t="s">
        <v>1856</v>
      </c>
      <c r="B137" s="14" t="s">
        <v>1857</v>
      </c>
      <c r="C137" s="25">
        <v>2417</v>
      </c>
      <c r="D137" s="23">
        <v>101.7</v>
      </c>
      <c r="E137" s="21">
        <v>31</v>
      </c>
      <c r="F137" s="23">
        <v>74.900000000000006</v>
      </c>
      <c r="G137" s="24">
        <v>23</v>
      </c>
      <c r="H137" s="25">
        <v>509</v>
      </c>
      <c r="I137" s="29"/>
      <c r="J137" s="29"/>
      <c r="K137" s="29"/>
      <c r="L137" s="29"/>
      <c r="M137" s="6">
        <f>I137-K137</f>
        <v>0</v>
      </c>
      <c r="N137" s="7" t="str">
        <f>IF(ISERROR(K137/I137),"",K137/I137)</f>
        <v/>
      </c>
      <c r="O137" s="12">
        <f>I137/E137</f>
        <v>0</v>
      </c>
      <c r="P137" s="12">
        <f>K137/E137</f>
        <v>0</v>
      </c>
      <c r="Q137" s="13">
        <v>3</v>
      </c>
      <c r="R137" s="13">
        <v>2</v>
      </c>
      <c r="S137" s="13" t="s">
        <v>51</v>
      </c>
      <c r="T137" s="8">
        <v>101</v>
      </c>
      <c r="U137" s="5"/>
      <c r="V137" s="5" t="s">
        <v>1860</v>
      </c>
      <c r="X137" s="23">
        <f t="shared" si="186"/>
        <v>101.7</v>
      </c>
      <c r="Y137" s="21">
        <f t="shared" si="186"/>
        <v>31</v>
      </c>
      <c r="Z137" s="28">
        <f t="shared" si="187"/>
        <v>509</v>
      </c>
      <c r="AA137" s="6">
        <f t="shared" si="187"/>
        <v>0</v>
      </c>
      <c r="AB137" s="6">
        <f>K137</f>
        <v>0</v>
      </c>
      <c r="AC137" s="6">
        <f t="shared" si="188"/>
        <v>0</v>
      </c>
      <c r="AD137" s="7" t="str">
        <f t="shared" si="188"/>
        <v/>
      </c>
      <c r="AE137" s="12">
        <f t="shared" si="188"/>
        <v>0</v>
      </c>
      <c r="AF137" s="13" t="str">
        <f>S137</f>
        <v>계</v>
      </c>
      <c r="AG137" s="13" t="str">
        <f>Q137&amp;"/"&amp;R137</f>
        <v>3/2</v>
      </c>
      <c r="AI137" s="32" t="str">
        <f t="shared" si="185"/>
        <v>평촌트리지아</v>
      </c>
      <c r="AJ137" s="21">
        <f t="shared" si="184"/>
        <v>31</v>
      </c>
      <c r="AK137" s="13" t="str">
        <f>IF(AJ137="","",$AK$2)</f>
        <v>A-</v>
      </c>
      <c r="AL137" s="13"/>
      <c r="AM137" s="13"/>
      <c r="AN137" s="13"/>
      <c r="AO137" s="13" t="str">
        <f>IF(AJ137="","",$AO$2)</f>
        <v>C</v>
      </c>
      <c r="AP137" s="13" t="str">
        <f>IF(N137="","",IF(N137&gt;=$AP$1/100,"O","X"))</f>
        <v/>
      </c>
      <c r="AQ137" s="13" t="str">
        <f>IF(I137="","",IF(I137&lt;=$AQ$1,"O","X"))</f>
        <v/>
      </c>
      <c r="AR137" s="13" t="str">
        <f>IF(O137="","",IF(O137&lt;=$AR$1,"O","X"))</f>
        <v>O</v>
      </c>
      <c r="AS137" s="13" t="str">
        <f>IF(M137="","",IF(M137&lt;=$AS$1,"O","X"))</f>
        <v>O</v>
      </c>
      <c r="AT137" s="13" t="s">
        <v>32</v>
      </c>
      <c r="AU137" s="13" t="str">
        <f>IF(OR(F137="",AJ137=""),"",IF(AND((F137&lt;=85),(AJ137&gt;=15)),"O","X"))</f>
        <v>O</v>
      </c>
      <c r="AV137" s="13" t="str">
        <f>IF(C137="","",IF(C137&gt;=$AV$1,"O","X"))</f>
        <v>O</v>
      </c>
      <c r="AW137" s="13" t="str">
        <f>IF(AP137="","",IF(AND(AP137="O",AQ137="O",AS137="O",AU137="O",AV137="O"),"후보","X"))</f>
        <v/>
      </c>
    </row>
    <row r="138" spans="1:49" x14ac:dyDescent="0.3">
      <c r="A138" s="5" t="s">
        <v>1856</v>
      </c>
      <c r="B138" s="14" t="s">
        <v>1857</v>
      </c>
      <c r="C138" s="25">
        <v>2417</v>
      </c>
      <c r="D138" s="23">
        <v>110.4</v>
      </c>
      <c r="E138" s="21">
        <v>33</v>
      </c>
      <c r="F138" s="23">
        <v>85</v>
      </c>
      <c r="G138" s="24">
        <v>26</v>
      </c>
      <c r="H138" s="25">
        <v>87</v>
      </c>
      <c r="I138" s="29"/>
      <c r="J138" s="29"/>
      <c r="K138" s="29"/>
      <c r="L138" s="29"/>
      <c r="M138" s="6">
        <f>I138-K138</f>
        <v>0</v>
      </c>
      <c r="N138" s="7" t="str">
        <f>IF(ISERROR(K138/I138),"",K138/I138)</f>
        <v/>
      </c>
      <c r="O138" s="12">
        <f>I138/E138</f>
        <v>0</v>
      </c>
      <c r="P138" s="12">
        <f>K138/E138</f>
        <v>0</v>
      </c>
      <c r="Q138" s="13">
        <v>3</v>
      </c>
      <c r="R138" s="13">
        <v>2</v>
      </c>
      <c r="S138" s="13" t="s">
        <v>51</v>
      </c>
      <c r="T138" s="8" t="s">
        <v>457</v>
      </c>
      <c r="U138" s="5"/>
      <c r="V138" s="5" t="s">
        <v>1861</v>
      </c>
      <c r="X138" s="23">
        <f t="shared" si="186"/>
        <v>110.4</v>
      </c>
      <c r="Y138" s="21">
        <f t="shared" si="186"/>
        <v>33</v>
      </c>
      <c r="Z138" s="28">
        <f t="shared" si="187"/>
        <v>87</v>
      </c>
      <c r="AA138" s="6">
        <f t="shared" si="187"/>
        <v>0</v>
      </c>
      <c r="AB138" s="6">
        <f>K138</f>
        <v>0</v>
      </c>
      <c r="AC138" s="6">
        <f t="shared" si="188"/>
        <v>0</v>
      </c>
      <c r="AD138" s="7" t="str">
        <f t="shared" si="188"/>
        <v/>
      </c>
      <c r="AE138" s="12">
        <f t="shared" si="188"/>
        <v>0</v>
      </c>
      <c r="AF138" s="13" t="str">
        <f>S138</f>
        <v>계</v>
      </c>
      <c r="AG138" s="13" t="str">
        <f>Q138&amp;"/"&amp;R138</f>
        <v>3/2</v>
      </c>
      <c r="AI138" s="32" t="str">
        <f t="shared" si="185"/>
        <v>평촌트리지아</v>
      </c>
      <c r="AJ138" s="21">
        <f t="shared" si="184"/>
        <v>33</v>
      </c>
      <c r="AK138" s="13" t="str">
        <f>IF(AJ138="","",$AK$2)</f>
        <v>A-</v>
      </c>
      <c r="AL138" s="13"/>
      <c r="AM138" s="13"/>
      <c r="AN138" s="13"/>
      <c r="AO138" s="13" t="str">
        <f>IF(AJ138="","",$AO$2)</f>
        <v>C</v>
      </c>
      <c r="AP138" s="13" t="str">
        <f>IF(N138="","",IF(N138&gt;=$AP$1/100,"O","X"))</f>
        <v/>
      </c>
      <c r="AQ138" s="13" t="str">
        <f>IF(I138="","",IF(I138&lt;=$AQ$1,"O","X"))</f>
        <v/>
      </c>
      <c r="AR138" s="13" t="str">
        <f>IF(O138="","",IF(O138&lt;=$AR$1,"O","X"))</f>
        <v>O</v>
      </c>
      <c r="AS138" s="13" t="str">
        <f>IF(M138="","",IF(M138&lt;=$AS$1,"O","X"))</f>
        <v>O</v>
      </c>
      <c r="AT138" s="13" t="s">
        <v>32</v>
      </c>
      <c r="AU138" s="13" t="str">
        <f>IF(OR(F138="",AJ138=""),"",IF(AND((F138&lt;=85),(AJ138&gt;=15)),"O","X"))</f>
        <v>O</v>
      </c>
      <c r="AV138" s="13" t="str">
        <f>IF(C138="","",IF(C138&gt;=$AV$1,"O","X"))</f>
        <v>O</v>
      </c>
      <c r="AW138" s="13" t="str">
        <f>IF(AP138="","",IF(AND(AP138="O",AQ138="O",AS138="O",AU138="O",AV138="O"),"후보","X"))</f>
        <v/>
      </c>
    </row>
    <row r="139" spans="1:49" x14ac:dyDescent="0.3">
      <c r="A139" s="5" t="s">
        <v>1856</v>
      </c>
      <c r="B139" s="14" t="s">
        <v>1857</v>
      </c>
      <c r="C139" s="25">
        <v>2417</v>
      </c>
      <c r="D139" s="23">
        <v>111.6</v>
      </c>
      <c r="E139" s="21">
        <v>34</v>
      </c>
      <c r="F139" s="23">
        <v>85</v>
      </c>
      <c r="G139" s="24">
        <v>26</v>
      </c>
      <c r="H139" s="25">
        <v>413</v>
      </c>
      <c r="I139" s="29"/>
      <c r="J139" s="29"/>
      <c r="K139" s="29"/>
      <c r="L139" s="29"/>
      <c r="M139" s="6">
        <f>I139-K139</f>
        <v>0</v>
      </c>
      <c r="N139" s="7" t="str">
        <f>IF(ISERROR(K139/I139),"",K139/I139)</f>
        <v/>
      </c>
      <c r="O139" s="12">
        <f>I139/E139</f>
        <v>0</v>
      </c>
      <c r="P139" s="12">
        <f>K139/E139</f>
        <v>0</v>
      </c>
      <c r="Q139" s="13">
        <v>3</v>
      </c>
      <c r="R139" s="13">
        <v>2</v>
      </c>
      <c r="S139" s="13" t="s">
        <v>51</v>
      </c>
      <c r="T139" s="8" t="s">
        <v>120</v>
      </c>
      <c r="U139" s="5"/>
      <c r="V139" s="5" t="s">
        <v>1862</v>
      </c>
      <c r="X139" s="23">
        <f t="shared" si="186"/>
        <v>111.6</v>
      </c>
      <c r="Y139" s="21">
        <f t="shared" si="186"/>
        <v>34</v>
      </c>
      <c r="Z139" s="28">
        <f t="shared" si="187"/>
        <v>413</v>
      </c>
      <c r="AA139" s="6">
        <f t="shared" si="187"/>
        <v>0</v>
      </c>
      <c r="AB139" s="6">
        <f>K139</f>
        <v>0</v>
      </c>
      <c r="AC139" s="6">
        <f t="shared" si="188"/>
        <v>0</v>
      </c>
      <c r="AD139" s="7" t="str">
        <f t="shared" si="188"/>
        <v/>
      </c>
      <c r="AE139" s="12">
        <f t="shared" si="188"/>
        <v>0</v>
      </c>
      <c r="AF139" s="13" t="str">
        <f>S139</f>
        <v>계</v>
      </c>
      <c r="AG139" s="13" t="str">
        <f>Q139&amp;"/"&amp;R139</f>
        <v>3/2</v>
      </c>
      <c r="AI139" s="32" t="str">
        <f t="shared" si="185"/>
        <v>평촌트리지아</v>
      </c>
      <c r="AJ139" s="21">
        <f t="shared" si="184"/>
        <v>34</v>
      </c>
      <c r="AK139" s="13" t="str">
        <f>IF(AJ139="","",$AK$2)</f>
        <v>A-</v>
      </c>
      <c r="AL139" s="13"/>
      <c r="AM139" s="13"/>
      <c r="AN139" s="13"/>
      <c r="AO139" s="13" t="str">
        <f>IF(AJ139="","",$AO$2)</f>
        <v>C</v>
      </c>
      <c r="AP139" s="13" t="str">
        <f>IF(N139="","",IF(N139&gt;=$AP$1/100,"O","X"))</f>
        <v/>
      </c>
      <c r="AQ139" s="13" t="str">
        <f>IF(I139="","",IF(I139&lt;=$AQ$1,"O","X"))</f>
        <v/>
      </c>
      <c r="AR139" s="13" t="str">
        <f>IF(O139="","",IF(O139&lt;=$AR$1,"O","X"))</f>
        <v>O</v>
      </c>
      <c r="AS139" s="13" t="str">
        <f>IF(M139="","",IF(M139&lt;=$AS$1,"O","X"))</f>
        <v>O</v>
      </c>
      <c r="AT139" s="13" t="s">
        <v>32</v>
      </c>
      <c r="AU139" s="13" t="str">
        <f>IF(OR(F139="",AJ139=""),"",IF(AND((F139&lt;=85),(AJ139&gt;=15)),"O","X"))</f>
        <v>O</v>
      </c>
      <c r="AV139" s="13" t="str">
        <f>IF(C139="","",IF(C139&gt;=$AV$1,"O","X"))</f>
        <v>O</v>
      </c>
      <c r="AW139" s="13" t="str">
        <f>IF(AP139="","",IF(AND(AP139="O",AQ139="O",AS139="O",AU139="O",AV139="O"),"후보","X"))</f>
        <v/>
      </c>
    </row>
    <row r="140" spans="1:49" x14ac:dyDescent="0.3">
      <c r="A140" s="5"/>
      <c r="B140" s="13"/>
      <c r="C140" s="9"/>
      <c r="D140" s="5"/>
      <c r="E140" s="18"/>
      <c r="F140" s="23"/>
      <c r="G140" s="5"/>
      <c r="H140" s="5"/>
      <c r="I140" s="5"/>
      <c r="J140" s="5"/>
      <c r="K140" s="5"/>
      <c r="L140" s="5"/>
      <c r="M140" s="5"/>
      <c r="N140" s="5"/>
      <c r="O140" s="12"/>
      <c r="P140" s="12"/>
      <c r="Q140" s="21"/>
      <c r="R140" s="21"/>
      <c r="S140" s="5"/>
      <c r="T140" s="59"/>
      <c r="U140" s="5"/>
      <c r="V140" s="5"/>
      <c r="X140" s="90" t="str">
        <f>$A$4&amp;" "&amp;A141&amp;"("&amp;B141&amp;","&amp;C141&amp;"^)"</f>
        <v>호계동 평촌대성유니드('19.04,203^)</v>
      </c>
      <c r="Y140" s="91"/>
      <c r="Z140" s="91"/>
      <c r="AA140" s="91"/>
      <c r="AB140" s="91"/>
      <c r="AC140" s="91"/>
      <c r="AD140" s="91"/>
      <c r="AE140" s="91"/>
      <c r="AF140" s="91"/>
      <c r="AG140" s="92"/>
      <c r="AI140" s="32" t="str">
        <f t="shared" si="185"/>
        <v/>
      </c>
      <c r="AJ140" s="33" t="str">
        <f t="shared" si="184"/>
        <v/>
      </c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</row>
    <row r="141" spans="1:49" x14ac:dyDescent="0.3">
      <c r="A141" s="5" t="s">
        <v>1863</v>
      </c>
      <c r="B141" s="14" t="s">
        <v>50</v>
      </c>
      <c r="C141" s="25">
        <v>203</v>
      </c>
      <c r="D141" s="23">
        <v>65.400000000000006</v>
      </c>
      <c r="E141" s="21">
        <v>20</v>
      </c>
      <c r="F141" s="23">
        <v>45.8</v>
      </c>
      <c r="G141" s="24">
        <v>14</v>
      </c>
      <c r="H141" s="25">
        <v>62</v>
      </c>
      <c r="I141" s="29">
        <v>45000</v>
      </c>
      <c r="J141" s="29"/>
      <c r="K141" s="29">
        <v>34000</v>
      </c>
      <c r="L141" s="29"/>
      <c r="M141" s="6">
        <f t="shared" ref="M141:M146" si="189">I141-K141</f>
        <v>11000</v>
      </c>
      <c r="N141" s="7">
        <f t="shared" ref="N141:N146" si="190">IF(ISERROR(K141/I141),"",K141/I141)</f>
        <v>0.75555555555555554</v>
      </c>
      <c r="O141" s="12">
        <f t="shared" ref="O141:O146" si="191">I141/E141</f>
        <v>2250</v>
      </c>
      <c r="P141" s="12">
        <f t="shared" ref="P141:P146" si="192">K141/E141</f>
        <v>1700</v>
      </c>
      <c r="Q141" s="13">
        <v>2</v>
      </c>
      <c r="R141" s="13">
        <v>1</v>
      </c>
      <c r="S141" s="13" t="s">
        <v>51</v>
      </c>
      <c r="T141" s="8" t="s">
        <v>709</v>
      </c>
      <c r="U141" s="5"/>
      <c r="V141" s="5" t="s">
        <v>1864</v>
      </c>
      <c r="X141" s="23">
        <f t="shared" ref="X141:Y146" si="193">D141</f>
        <v>65.400000000000006</v>
      </c>
      <c r="Y141" s="21">
        <f t="shared" si="193"/>
        <v>20</v>
      </c>
      <c r="Z141" s="28">
        <f t="shared" ref="Z141:AA146" si="194">H141</f>
        <v>62</v>
      </c>
      <c r="AA141" s="6">
        <f t="shared" si="194"/>
        <v>45000</v>
      </c>
      <c r="AB141" s="6">
        <f t="shared" ref="AB141:AB146" si="195">K141</f>
        <v>34000</v>
      </c>
      <c r="AC141" s="6">
        <f t="shared" ref="AC141:AE146" si="196">M141</f>
        <v>11000</v>
      </c>
      <c r="AD141" s="7">
        <f t="shared" si="196"/>
        <v>0.75555555555555554</v>
      </c>
      <c r="AE141" s="12">
        <f t="shared" si="196"/>
        <v>2250</v>
      </c>
      <c r="AF141" s="13" t="str">
        <f t="shared" ref="AF141:AF146" si="197">S141</f>
        <v>계</v>
      </c>
      <c r="AG141" s="13" t="str">
        <f t="shared" ref="AG141:AG146" si="198">Q141&amp;"/"&amp;R141</f>
        <v>2/1</v>
      </c>
      <c r="AI141" s="32" t="str">
        <f t="shared" si="185"/>
        <v>평촌대성유니드</v>
      </c>
      <c r="AJ141" s="21">
        <f t="shared" si="184"/>
        <v>20</v>
      </c>
      <c r="AK141" s="13" t="str">
        <f t="shared" ref="AK141:AK146" si="199">IF(AJ141="","",$AK$2)</f>
        <v>A-</v>
      </c>
      <c r="AL141" s="13"/>
      <c r="AM141" s="13"/>
      <c r="AN141" s="13"/>
      <c r="AO141" s="13" t="str">
        <f t="shared" ref="AO141:AO146" si="200">IF(AJ141="","",$AO$2)</f>
        <v>C</v>
      </c>
      <c r="AP141" s="13" t="str">
        <f t="shared" ref="AP141:AP146" si="201">IF(N141="","",IF(N141&gt;=$AP$1/100,"O","X"))</f>
        <v>X</v>
      </c>
      <c r="AQ141" s="13" t="str">
        <f t="shared" ref="AQ141:AQ146" si="202">IF(I141="","",IF(I141&lt;=$AQ$1,"O","X"))</f>
        <v>O</v>
      </c>
      <c r="AR141" s="13" t="str">
        <f t="shared" ref="AR141:AR146" si="203">IF(O141="","",IF(O141&lt;=$AR$1,"O","X"))</f>
        <v>X</v>
      </c>
      <c r="AS141" s="13" t="str">
        <f t="shared" ref="AS141:AS146" si="204">IF(M141="","",IF(M141&lt;=$AS$1,"O","X"))</f>
        <v>X</v>
      </c>
      <c r="AT141" s="13" t="s">
        <v>32</v>
      </c>
      <c r="AU141" s="13" t="str">
        <f t="shared" ref="AU141:AU146" si="205">IF(OR(F141="",AJ141=""),"",IF(AND((F141&lt;=85),(AJ141&gt;=15)),"O","X"))</f>
        <v>O</v>
      </c>
      <c r="AV141" s="13" t="str">
        <f t="shared" ref="AV141:AV146" si="206">IF(C141="","",IF(C141&gt;=$AV$1,"O","X"))</f>
        <v>X</v>
      </c>
      <c r="AW141" s="13" t="str">
        <f t="shared" ref="AW141:AW146" si="207">IF(AP141="","",IF(AND(AP141="O",AQ141="O",AS141="O",AU141="O",AV141="O"),"후보","X"))</f>
        <v>X</v>
      </c>
    </row>
    <row r="142" spans="1:49" x14ac:dyDescent="0.3">
      <c r="A142" s="5" t="s">
        <v>1863</v>
      </c>
      <c r="B142" s="14" t="s">
        <v>50</v>
      </c>
      <c r="C142" s="25">
        <v>203</v>
      </c>
      <c r="D142" s="23">
        <v>65.400000000000006</v>
      </c>
      <c r="E142" s="21">
        <v>20</v>
      </c>
      <c r="F142" s="23">
        <v>45.8</v>
      </c>
      <c r="G142" s="24">
        <v>14</v>
      </c>
      <c r="H142" s="25">
        <v>10</v>
      </c>
      <c r="I142" s="29">
        <v>45000</v>
      </c>
      <c r="J142" s="29"/>
      <c r="K142" s="29">
        <v>34000</v>
      </c>
      <c r="L142" s="29"/>
      <c r="M142" s="6">
        <f t="shared" si="189"/>
        <v>11000</v>
      </c>
      <c r="N142" s="7">
        <f t="shared" si="190"/>
        <v>0.75555555555555554</v>
      </c>
      <c r="O142" s="12">
        <f t="shared" si="191"/>
        <v>2250</v>
      </c>
      <c r="P142" s="12">
        <f t="shared" si="192"/>
        <v>1700</v>
      </c>
      <c r="Q142" s="13">
        <v>2</v>
      </c>
      <c r="R142" s="13">
        <v>1</v>
      </c>
      <c r="S142" s="13" t="s">
        <v>51</v>
      </c>
      <c r="T142" s="8" t="s">
        <v>1111</v>
      </c>
      <c r="U142" s="5"/>
      <c r="V142" s="5" t="s">
        <v>1864</v>
      </c>
      <c r="X142" s="23">
        <f t="shared" si="193"/>
        <v>65.400000000000006</v>
      </c>
      <c r="Y142" s="21">
        <f t="shared" si="193"/>
        <v>20</v>
      </c>
      <c r="Z142" s="28">
        <f t="shared" si="194"/>
        <v>10</v>
      </c>
      <c r="AA142" s="6">
        <f t="shared" si="194"/>
        <v>45000</v>
      </c>
      <c r="AB142" s="6">
        <f t="shared" si="195"/>
        <v>34000</v>
      </c>
      <c r="AC142" s="6">
        <f t="shared" si="196"/>
        <v>11000</v>
      </c>
      <c r="AD142" s="7">
        <f t="shared" si="196"/>
        <v>0.75555555555555554</v>
      </c>
      <c r="AE142" s="12">
        <f t="shared" si="196"/>
        <v>2250</v>
      </c>
      <c r="AF142" s="13" t="str">
        <f t="shared" si="197"/>
        <v>계</v>
      </c>
      <c r="AG142" s="13" t="str">
        <f t="shared" si="198"/>
        <v>2/1</v>
      </c>
      <c r="AI142" s="32" t="str">
        <f t="shared" si="185"/>
        <v>평촌대성유니드</v>
      </c>
      <c r="AJ142" s="21">
        <f t="shared" si="184"/>
        <v>20</v>
      </c>
      <c r="AK142" s="13" t="str">
        <f t="shared" si="199"/>
        <v>A-</v>
      </c>
      <c r="AL142" s="13"/>
      <c r="AM142" s="13"/>
      <c r="AN142" s="13"/>
      <c r="AO142" s="13" t="str">
        <f t="shared" si="200"/>
        <v>C</v>
      </c>
      <c r="AP142" s="13" t="str">
        <f t="shared" si="201"/>
        <v>X</v>
      </c>
      <c r="AQ142" s="13" t="str">
        <f t="shared" si="202"/>
        <v>O</v>
      </c>
      <c r="AR142" s="13" t="str">
        <f t="shared" si="203"/>
        <v>X</v>
      </c>
      <c r="AS142" s="13" t="str">
        <f t="shared" si="204"/>
        <v>X</v>
      </c>
      <c r="AT142" s="13" t="s">
        <v>32</v>
      </c>
      <c r="AU142" s="13" t="str">
        <f t="shared" si="205"/>
        <v>O</v>
      </c>
      <c r="AV142" s="13" t="str">
        <f t="shared" si="206"/>
        <v>X</v>
      </c>
      <c r="AW142" s="13" t="str">
        <f t="shared" si="207"/>
        <v>X</v>
      </c>
    </row>
    <row r="143" spans="1:49" x14ac:dyDescent="0.3">
      <c r="A143" s="5" t="s">
        <v>1863</v>
      </c>
      <c r="B143" s="14" t="s">
        <v>50</v>
      </c>
      <c r="C143" s="25">
        <v>203</v>
      </c>
      <c r="D143" s="23">
        <v>84.9</v>
      </c>
      <c r="E143" s="21">
        <v>26</v>
      </c>
      <c r="F143" s="23">
        <v>59.9</v>
      </c>
      <c r="G143" s="24">
        <v>18</v>
      </c>
      <c r="H143" s="25">
        <v>68</v>
      </c>
      <c r="I143" s="29">
        <v>58000</v>
      </c>
      <c r="J143" s="29"/>
      <c r="K143" s="29">
        <v>42000</v>
      </c>
      <c r="L143" s="29"/>
      <c r="M143" s="6">
        <f t="shared" si="189"/>
        <v>16000</v>
      </c>
      <c r="N143" s="7">
        <f t="shared" si="190"/>
        <v>0.72413793103448276</v>
      </c>
      <c r="O143" s="12">
        <f t="shared" si="191"/>
        <v>2230.7692307692309</v>
      </c>
      <c r="P143" s="12">
        <f t="shared" si="192"/>
        <v>1615.3846153846155</v>
      </c>
      <c r="Q143" s="13">
        <v>3</v>
      </c>
      <c r="R143" s="13">
        <v>2</v>
      </c>
      <c r="S143" s="13" t="s">
        <v>51</v>
      </c>
      <c r="T143" s="8" t="s">
        <v>445</v>
      </c>
      <c r="U143" s="5"/>
      <c r="V143" s="5" t="s">
        <v>1865</v>
      </c>
      <c r="X143" s="23">
        <f t="shared" si="193"/>
        <v>84.9</v>
      </c>
      <c r="Y143" s="21">
        <f t="shared" si="193"/>
        <v>26</v>
      </c>
      <c r="Z143" s="28">
        <f t="shared" si="194"/>
        <v>68</v>
      </c>
      <c r="AA143" s="6">
        <f t="shared" si="194"/>
        <v>58000</v>
      </c>
      <c r="AB143" s="6">
        <f t="shared" si="195"/>
        <v>42000</v>
      </c>
      <c r="AC143" s="6">
        <f t="shared" si="196"/>
        <v>16000</v>
      </c>
      <c r="AD143" s="7">
        <f t="shared" si="196"/>
        <v>0.72413793103448276</v>
      </c>
      <c r="AE143" s="12">
        <f t="shared" si="196"/>
        <v>2230.7692307692309</v>
      </c>
      <c r="AF143" s="13" t="str">
        <f t="shared" si="197"/>
        <v>계</v>
      </c>
      <c r="AG143" s="13" t="str">
        <f t="shared" si="198"/>
        <v>3/2</v>
      </c>
      <c r="AI143" s="32" t="str">
        <f t="shared" si="185"/>
        <v>평촌대성유니드</v>
      </c>
      <c r="AJ143" s="21">
        <f t="shared" si="184"/>
        <v>26</v>
      </c>
      <c r="AK143" s="13" t="str">
        <f t="shared" si="199"/>
        <v>A-</v>
      </c>
      <c r="AL143" s="13"/>
      <c r="AM143" s="13"/>
      <c r="AN143" s="13"/>
      <c r="AO143" s="13" t="str">
        <f t="shared" si="200"/>
        <v>C</v>
      </c>
      <c r="AP143" s="13" t="str">
        <f t="shared" si="201"/>
        <v>X</v>
      </c>
      <c r="AQ143" s="13" t="str">
        <f t="shared" si="202"/>
        <v>X</v>
      </c>
      <c r="AR143" s="13" t="str">
        <f t="shared" si="203"/>
        <v>X</v>
      </c>
      <c r="AS143" s="13" t="str">
        <f t="shared" si="204"/>
        <v>X</v>
      </c>
      <c r="AT143" s="13" t="s">
        <v>32</v>
      </c>
      <c r="AU143" s="13" t="str">
        <f t="shared" si="205"/>
        <v>O</v>
      </c>
      <c r="AV143" s="13" t="str">
        <f t="shared" si="206"/>
        <v>X</v>
      </c>
      <c r="AW143" s="13" t="str">
        <f t="shared" si="207"/>
        <v>X</v>
      </c>
    </row>
    <row r="144" spans="1:49" x14ac:dyDescent="0.3">
      <c r="A144" s="5" t="s">
        <v>1863</v>
      </c>
      <c r="B144" s="14" t="s">
        <v>50</v>
      </c>
      <c r="C144" s="25">
        <v>203</v>
      </c>
      <c r="D144" s="23">
        <v>84.9</v>
      </c>
      <c r="E144" s="21">
        <v>26</v>
      </c>
      <c r="F144" s="23">
        <v>59.9</v>
      </c>
      <c r="G144" s="24">
        <v>18</v>
      </c>
      <c r="H144" s="25">
        <v>24</v>
      </c>
      <c r="I144" s="29">
        <v>58000</v>
      </c>
      <c r="J144" s="29"/>
      <c r="K144" s="29">
        <v>42000</v>
      </c>
      <c r="L144" s="29"/>
      <c r="M144" s="6">
        <f t="shared" si="189"/>
        <v>16000</v>
      </c>
      <c r="N144" s="7">
        <f t="shared" si="190"/>
        <v>0.72413793103448276</v>
      </c>
      <c r="O144" s="12">
        <f t="shared" si="191"/>
        <v>2230.7692307692309</v>
      </c>
      <c r="P144" s="12">
        <f t="shared" si="192"/>
        <v>1615.3846153846155</v>
      </c>
      <c r="Q144" s="13">
        <v>3</v>
      </c>
      <c r="R144" s="13">
        <v>2</v>
      </c>
      <c r="S144" s="13" t="s">
        <v>51</v>
      </c>
      <c r="T144" s="8" t="s">
        <v>1066</v>
      </c>
      <c r="U144" s="5"/>
      <c r="V144" s="5" t="s">
        <v>1865</v>
      </c>
      <c r="X144" s="23">
        <f t="shared" si="193"/>
        <v>84.9</v>
      </c>
      <c r="Y144" s="21">
        <f t="shared" si="193"/>
        <v>26</v>
      </c>
      <c r="Z144" s="28">
        <f t="shared" si="194"/>
        <v>24</v>
      </c>
      <c r="AA144" s="6">
        <f t="shared" si="194"/>
        <v>58000</v>
      </c>
      <c r="AB144" s="6">
        <f t="shared" si="195"/>
        <v>42000</v>
      </c>
      <c r="AC144" s="6">
        <f t="shared" si="196"/>
        <v>16000</v>
      </c>
      <c r="AD144" s="7">
        <f t="shared" si="196"/>
        <v>0.72413793103448276</v>
      </c>
      <c r="AE144" s="12">
        <f t="shared" si="196"/>
        <v>2230.7692307692309</v>
      </c>
      <c r="AF144" s="13" t="str">
        <f t="shared" si="197"/>
        <v>계</v>
      </c>
      <c r="AG144" s="13" t="str">
        <f t="shared" si="198"/>
        <v>3/2</v>
      </c>
      <c r="AI144" s="32" t="str">
        <f t="shared" si="185"/>
        <v>평촌대성유니드</v>
      </c>
      <c r="AJ144" s="21">
        <f t="shared" si="184"/>
        <v>26</v>
      </c>
      <c r="AK144" s="13" t="str">
        <f t="shared" si="199"/>
        <v>A-</v>
      </c>
      <c r="AL144" s="13"/>
      <c r="AM144" s="13"/>
      <c r="AN144" s="13"/>
      <c r="AO144" s="13" t="str">
        <f t="shared" si="200"/>
        <v>C</v>
      </c>
      <c r="AP144" s="13" t="str">
        <f t="shared" si="201"/>
        <v>X</v>
      </c>
      <c r="AQ144" s="13" t="str">
        <f t="shared" si="202"/>
        <v>X</v>
      </c>
      <c r="AR144" s="13" t="str">
        <f t="shared" si="203"/>
        <v>X</v>
      </c>
      <c r="AS144" s="13" t="str">
        <f t="shared" si="204"/>
        <v>X</v>
      </c>
      <c r="AT144" s="13" t="s">
        <v>32</v>
      </c>
      <c r="AU144" s="13" t="str">
        <f t="shared" si="205"/>
        <v>O</v>
      </c>
      <c r="AV144" s="13" t="str">
        <f t="shared" si="206"/>
        <v>X</v>
      </c>
      <c r="AW144" s="13" t="str">
        <f t="shared" si="207"/>
        <v>X</v>
      </c>
    </row>
    <row r="145" spans="1:49" x14ac:dyDescent="0.3">
      <c r="A145" s="5" t="s">
        <v>1863</v>
      </c>
      <c r="B145" s="14" t="s">
        <v>50</v>
      </c>
      <c r="C145" s="25">
        <v>203</v>
      </c>
      <c r="D145" s="23">
        <v>84.9</v>
      </c>
      <c r="E145" s="21">
        <v>26</v>
      </c>
      <c r="F145" s="23">
        <v>59.9</v>
      </c>
      <c r="G145" s="24">
        <v>18</v>
      </c>
      <c r="H145" s="25">
        <v>15</v>
      </c>
      <c r="I145" s="29">
        <v>58000</v>
      </c>
      <c r="J145" s="29"/>
      <c r="K145" s="29">
        <v>42000</v>
      </c>
      <c r="L145" s="29"/>
      <c r="M145" s="6">
        <f t="shared" si="189"/>
        <v>16000</v>
      </c>
      <c r="N145" s="7">
        <f t="shared" si="190"/>
        <v>0.72413793103448276</v>
      </c>
      <c r="O145" s="12">
        <f t="shared" si="191"/>
        <v>2230.7692307692309</v>
      </c>
      <c r="P145" s="12">
        <f t="shared" si="192"/>
        <v>1615.3846153846155</v>
      </c>
      <c r="Q145" s="13">
        <v>3</v>
      </c>
      <c r="R145" s="13">
        <v>2</v>
      </c>
      <c r="S145" s="13" t="s">
        <v>51</v>
      </c>
      <c r="T145" s="8" t="s">
        <v>1112</v>
      </c>
      <c r="U145" s="5"/>
      <c r="V145" s="5" t="s">
        <v>1865</v>
      </c>
      <c r="X145" s="23">
        <f t="shared" si="193"/>
        <v>84.9</v>
      </c>
      <c r="Y145" s="21">
        <f t="shared" si="193"/>
        <v>26</v>
      </c>
      <c r="Z145" s="28">
        <f t="shared" si="194"/>
        <v>15</v>
      </c>
      <c r="AA145" s="6">
        <f t="shared" si="194"/>
        <v>58000</v>
      </c>
      <c r="AB145" s="6">
        <f t="shared" si="195"/>
        <v>42000</v>
      </c>
      <c r="AC145" s="6">
        <f t="shared" si="196"/>
        <v>16000</v>
      </c>
      <c r="AD145" s="7">
        <f t="shared" si="196"/>
        <v>0.72413793103448276</v>
      </c>
      <c r="AE145" s="12">
        <f t="shared" si="196"/>
        <v>2230.7692307692309</v>
      </c>
      <c r="AF145" s="13" t="str">
        <f t="shared" si="197"/>
        <v>계</v>
      </c>
      <c r="AG145" s="13" t="str">
        <f t="shared" si="198"/>
        <v>3/2</v>
      </c>
      <c r="AI145" s="32" t="str">
        <f t="shared" si="185"/>
        <v>평촌대성유니드</v>
      </c>
      <c r="AJ145" s="21">
        <f t="shared" si="184"/>
        <v>26</v>
      </c>
      <c r="AK145" s="13" t="str">
        <f t="shared" si="199"/>
        <v>A-</v>
      </c>
      <c r="AL145" s="13"/>
      <c r="AM145" s="13"/>
      <c r="AN145" s="13"/>
      <c r="AO145" s="13" t="str">
        <f t="shared" si="200"/>
        <v>C</v>
      </c>
      <c r="AP145" s="13" t="str">
        <f t="shared" si="201"/>
        <v>X</v>
      </c>
      <c r="AQ145" s="13" t="str">
        <f t="shared" si="202"/>
        <v>X</v>
      </c>
      <c r="AR145" s="13" t="str">
        <f t="shared" si="203"/>
        <v>X</v>
      </c>
      <c r="AS145" s="13" t="str">
        <f t="shared" si="204"/>
        <v>X</v>
      </c>
      <c r="AT145" s="13" t="s">
        <v>32</v>
      </c>
      <c r="AU145" s="13" t="str">
        <f t="shared" si="205"/>
        <v>O</v>
      </c>
      <c r="AV145" s="13" t="str">
        <f t="shared" si="206"/>
        <v>X</v>
      </c>
      <c r="AW145" s="13" t="str">
        <f t="shared" si="207"/>
        <v>X</v>
      </c>
    </row>
    <row r="146" spans="1:49" x14ac:dyDescent="0.3">
      <c r="A146" s="5" t="s">
        <v>1863</v>
      </c>
      <c r="B146" s="14" t="s">
        <v>50</v>
      </c>
      <c r="C146" s="25">
        <v>203</v>
      </c>
      <c r="D146" s="23">
        <v>85.6</v>
      </c>
      <c r="E146" s="21">
        <v>26</v>
      </c>
      <c r="F146" s="23">
        <v>59.7</v>
      </c>
      <c r="G146" s="24">
        <v>18</v>
      </c>
      <c r="H146" s="25">
        <v>24</v>
      </c>
      <c r="I146" s="29">
        <v>58000</v>
      </c>
      <c r="J146" s="29"/>
      <c r="K146" s="29">
        <v>42000</v>
      </c>
      <c r="L146" s="29"/>
      <c r="M146" s="6">
        <f t="shared" si="189"/>
        <v>16000</v>
      </c>
      <c r="N146" s="7">
        <f t="shared" si="190"/>
        <v>0.72413793103448276</v>
      </c>
      <c r="O146" s="12">
        <f t="shared" si="191"/>
        <v>2230.7692307692309</v>
      </c>
      <c r="P146" s="12">
        <f t="shared" si="192"/>
        <v>1615.3846153846155</v>
      </c>
      <c r="Q146" s="13">
        <v>3</v>
      </c>
      <c r="R146" s="13">
        <v>2</v>
      </c>
      <c r="S146" s="13" t="s">
        <v>51</v>
      </c>
      <c r="T146" s="8" t="s">
        <v>628</v>
      </c>
      <c r="U146" s="5"/>
      <c r="V146" s="5" t="s">
        <v>1866</v>
      </c>
      <c r="X146" s="23">
        <f t="shared" si="193"/>
        <v>85.6</v>
      </c>
      <c r="Y146" s="21">
        <f t="shared" si="193"/>
        <v>26</v>
      </c>
      <c r="Z146" s="28">
        <f t="shared" si="194"/>
        <v>24</v>
      </c>
      <c r="AA146" s="6">
        <f t="shared" si="194"/>
        <v>58000</v>
      </c>
      <c r="AB146" s="6">
        <f t="shared" si="195"/>
        <v>42000</v>
      </c>
      <c r="AC146" s="6">
        <f t="shared" si="196"/>
        <v>16000</v>
      </c>
      <c r="AD146" s="7">
        <f t="shared" si="196"/>
        <v>0.72413793103448276</v>
      </c>
      <c r="AE146" s="12">
        <f t="shared" si="196"/>
        <v>2230.7692307692309</v>
      </c>
      <c r="AF146" s="13" t="str">
        <f t="shared" si="197"/>
        <v>계</v>
      </c>
      <c r="AG146" s="13" t="str">
        <f t="shared" si="198"/>
        <v>3/2</v>
      </c>
      <c r="AI146" s="32" t="str">
        <f t="shared" si="185"/>
        <v>평촌대성유니드</v>
      </c>
      <c r="AJ146" s="21">
        <f t="shared" si="184"/>
        <v>26</v>
      </c>
      <c r="AK146" s="13" t="str">
        <f t="shared" si="199"/>
        <v>A-</v>
      </c>
      <c r="AL146" s="13"/>
      <c r="AM146" s="13"/>
      <c r="AN146" s="13"/>
      <c r="AO146" s="13" t="str">
        <f t="shared" si="200"/>
        <v>C</v>
      </c>
      <c r="AP146" s="13" t="str">
        <f t="shared" si="201"/>
        <v>X</v>
      </c>
      <c r="AQ146" s="13" t="str">
        <f t="shared" si="202"/>
        <v>X</v>
      </c>
      <c r="AR146" s="13" t="str">
        <f t="shared" si="203"/>
        <v>X</v>
      </c>
      <c r="AS146" s="13" t="str">
        <f t="shared" si="204"/>
        <v>X</v>
      </c>
      <c r="AT146" s="13" t="s">
        <v>32</v>
      </c>
      <c r="AU146" s="13" t="str">
        <f t="shared" si="205"/>
        <v>O</v>
      </c>
      <c r="AV146" s="13" t="str">
        <f t="shared" si="206"/>
        <v>X</v>
      </c>
      <c r="AW146" s="13" t="str">
        <f t="shared" si="207"/>
        <v>X</v>
      </c>
    </row>
    <row r="147" spans="1:49" x14ac:dyDescent="0.3">
      <c r="A147" s="5"/>
      <c r="B147" s="13"/>
      <c r="C147" s="9"/>
      <c r="D147" s="5"/>
      <c r="E147" s="18"/>
      <c r="F147" s="23"/>
      <c r="G147" s="5"/>
      <c r="H147" s="5"/>
      <c r="I147" s="5"/>
      <c r="J147" s="5"/>
      <c r="K147" s="5"/>
      <c r="L147" s="5"/>
      <c r="M147" s="5"/>
      <c r="N147" s="5"/>
      <c r="O147" s="12"/>
      <c r="P147" s="12"/>
      <c r="Q147" s="21"/>
      <c r="R147" s="21"/>
      <c r="S147" s="5"/>
      <c r="T147" s="59"/>
      <c r="U147" s="5"/>
      <c r="V147" s="5"/>
      <c r="X147" s="90" t="str">
        <f>$A$4&amp;" "&amp;A148&amp;"("&amp;B148&amp;","&amp;C148&amp;"^)"</f>
        <v>호계동 목련6단지('93.07,440^)</v>
      </c>
      <c r="Y147" s="91"/>
      <c r="Z147" s="91"/>
      <c r="AA147" s="91"/>
      <c r="AB147" s="91"/>
      <c r="AC147" s="91"/>
      <c r="AD147" s="91"/>
      <c r="AE147" s="91"/>
      <c r="AF147" s="91"/>
      <c r="AG147" s="92"/>
      <c r="AI147" s="32" t="str">
        <f t="shared" si="185"/>
        <v/>
      </c>
      <c r="AJ147" s="33" t="str">
        <f t="shared" si="184"/>
        <v/>
      </c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</row>
    <row r="148" spans="1:49" x14ac:dyDescent="0.3">
      <c r="A148" s="5" t="s">
        <v>1867</v>
      </c>
      <c r="B148" s="14" t="s">
        <v>1449</v>
      </c>
      <c r="C148" s="25">
        <v>440</v>
      </c>
      <c r="D148" s="23">
        <v>123.1</v>
      </c>
      <c r="E148" s="21">
        <v>37</v>
      </c>
      <c r="F148" s="23">
        <v>101.9</v>
      </c>
      <c r="G148" s="24">
        <v>31</v>
      </c>
      <c r="H148" s="25">
        <v>224</v>
      </c>
      <c r="I148" s="29">
        <v>117000</v>
      </c>
      <c r="J148" s="29"/>
      <c r="K148" s="29">
        <v>73000</v>
      </c>
      <c r="L148" s="29"/>
      <c r="M148" s="6">
        <f>I148-K148</f>
        <v>44000</v>
      </c>
      <c r="N148" s="7">
        <f>IF(ISERROR(K148/I148),"",K148/I148)</f>
        <v>0.62393162393162394</v>
      </c>
      <c r="O148" s="12">
        <f>I148/E148</f>
        <v>3162.1621621621621</v>
      </c>
      <c r="P148" s="12">
        <f>K148/E148</f>
        <v>1972.9729729729729</v>
      </c>
      <c r="Q148" s="13">
        <v>4</v>
      </c>
      <c r="R148" s="13">
        <v>2</v>
      </c>
      <c r="S148" s="13" t="s">
        <v>51</v>
      </c>
      <c r="T148" s="8">
        <v>123</v>
      </c>
      <c r="U148" s="5"/>
      <c r="V148" s="5" t="s">
        <v>1868</v>
      </c>
      <c r="X148" s="23">
        <f t="shared" ref="X148:Y150" si="208">D148</f>
        <v>123.1</v>
      </c>
      <c r="Y148" s="21">
        <f t="shared" si="208"/>
        <v>37</v>
      </c>
      <c r="Z148" s="28">
        <f t="shared" ref="Z148:AA150" si="209">H148</f>
        <v>224</v>
      </c>
      <c r="AA148" s="6">
        <f t="shared" si="209"/>
        <v>117000</v>
      </c>
      <c r="AB148" s="6">
        <f>K148</f>
        <v>73000</v>
      </c>
      <c r="AC148" s="6">
        <f t="shared" ref="AC148:AE150" si="210">M148</f>
        <v>44000</v>
      </c>
      <c r="AD148" s="7">
        <f t="shared" si="210"/>
        <v>0.62393162393162394</v>
      </c>
      <c r="AE148" s="12">
        <f t="shared" si="210"/>
        <v>3162.1621621621621</v>
      </c>
      <c r="AF148" s="13" t="str">
        <f>S148</f>
        <v>계</v>
      </c>
      <c r="AG148" s="13" t="str">
        <f>Q148&amp;"/"&amp;R148</f>
        <v>4/2</v>
      </c>
      <c r="AI148" s="32" t="str">
        <f t="shared" si="185"/>
        <v>목련6단지</v>
      </c>
      <c r="AJ148" s="21">
        <f t="shared" si="184"/>
        <v>37</v>
      </c>
      <c r="AK148" s="13" t="str">
        <f>IF(AJ148="","",$AK$2)</f>
        <v>A-</v>
      </c>
      <c r="AL148" s="13"/>
      <c r="AM148" s="13"/>
      <c r="AN148" s="13"/>
      <c r="AO148" s="13" t="str">
        <f>IF(AJ148="","",$AO$2)</f>
        <v>C</v>
      </c>
      <c r="AP148" s="13" t="str">
        <f>IF(N148="","",IF(N148&gt;=$AP$1/100,"O","X"))</f>
        <v>X</v>
      </c>
      <c r="AQ148" s="13" t="str">
        <f>IF(I148="","",IF(I148&lt;=$AQ$1,"O","X"))</f>
        <v>X</v>
      </c>
      <c r="AR148" s="13" t="str">
        <f>IF(O148="","",IF(O148&lt;=$AR$1,"O","X"))</f>
        <v>X</v>
      </c>
      <c r="AS148" s="13" t="str">
        <f>IF(M148="","",IF(M148&lt;=$AS$1,"O","X"))</f>
        <v>X</v>
      </c>
      <c r="AT148" s="13" t="s">
        <v>32</v>
      </c>
      <c r="AU148" s="13" t="str">
        <f>IF(OR(F148="",AJ148=""),"",IF(AND((F148&lt;=85),(AJ148&gt;=15)),"O","X"))</f>
        <v>X</v>
      </c>
      <c r="AV148" s="13" t="str">
        <f>IF(C148="","",IF(C148&gt;=$AV$1,"O","X"))</f>
        <v>O</v>
      </c>
      <c r="AW148" s="13" t="str">
        <f>IF(AP148="","",IF(AND(AP148="O",AQ148="O",AS148="O",AU148="O",AV148="O"),"후보","X"))</f>
        <v>X</v>
      </c>
    </row>
    <row r="149" spans="1:49" x14ac:dyDescent="0.3">
      <c r="A149" s="5" t="s">
        <v>1867</v>
      </c>
      <c r="B149" s="14" t="s">
        <v>1449</v>
      </c>
      <c r="C149" s="25">
        <v>440</v>
      </c>
      <c r="D149" s="23">
        <v>158.80000000000001</v>
      </c>
      <c r="E149" s="21">
        <v>48</v>
      </c>
      <c r="F149" s="23">
        <v>131.9</v>
      </c>
      <c r="G149" s="24">
        <v>40</v>
      </c>
      <c r="H149" s="25">
        <v>140</v>
      </c>
      <c r="I149" s="29">
        <v>136000</v>
      </c>
      <c r="J149" s="29"/>
      <c r="K149" s="29">
        <v>85000</v>
      </c>
      <c r="L149" s="29"/>
      <c r="M149" s="6">
        <f>I149-K149</f>
        <v>51000</v>
      </c>
      <c r="N149" s="7">
        <f>IF(ISERROR(K149/I149),"",K149/I149)</f>
        <v>0.625</v>
      </c>
      <c r="O149" s="12">
        <f>I149/E149</f>
        <v>2833.3333333333335</v>
      </c>
      <c r="P149" s="12">
        <f>K149/E149</f>
        <v>1770.8333333333333</v>
      </c>
      <c r="Q149" s="13">
        <v>4</v>
      </c>
      <c r="R149" s="13">
        <v>2</v>
      </c>
      <c r="S149" s="13" t="s">
        <v>51</v>
      </c>
      <c r="T149" s="8">
        <v>158</v>
      </c>
      <c r="U149" s="5"/>
      <c r="V149" s="5" t="s">
        <v>1869</v>
      </c>
      <c r="X149" s="23">
        <f t="shared" si="208"/>
        <v>158.80000000000001</v>
      </c>
      <c r="Y149" s="21">
        <f t="shared" si="208"/>
        <v>48</v>
      </c>
      <c r="Z149" s="28">
        <f t="shared" si="209"/>
        <v>140</v>
      </c>
      <c r="AA149" s="6">
        <f t="shared" si="209"/>
        <v>136000</v>
      </c>
      <c r="AB149" s="6">
        <f>K149</f>
        <v>85000</v>
      </c>
      <c r="AC149" s="6">
        <f t="shared" si="210"/>
        <v>51000</v>
      </c>
      <c r="AD149" s="7">
        <f t="shared" si="210"/>
        <v>0.625</v>
      </c>
      <c r="AE149" s="12">
        <f t="shared" si="210"/>
        <v>2833.3333333333335</v>
      </c>
      <c r="AF149" s="13" t="str">
        <f>S149</f>
        <v>계</v>
      </c>
      <c r="AG149" s="13" t="str">
        <f>Q149&amp;"/"&amp;R149</f>
        <v>4/2</v>
      </c>
      <c r="AI149" s="32" t="str">
        <f t="shared" si="185"/>
        <v>목련6단지</v>
      </c>
      <c r="AJ149" s="21">
        <f t="shared" si="184"/>
        <v>48</v>
      </c>
      <c r="AK149" s="13" t="str">
        <f>IF(AJ149="","",$AK$2)</f>
        <v>A-</v>
      </c>
      <c r="AL149" s="13"/>
      <c r="AM149" s="13"/>
      <c r="AN149" s="13"/>
      <c r="AO149" s="13" t="str">
        <f>IF(AJ149="","",$AO$2)</f>
        <v>C</v>
      </c>
      <c r="AP149" s="13" t="str">
        <f>IF(N149="","",IF(N149&gt;=$AP$1/100,"O","X"))</f>
        <v>X</v>
      </c>
      <c r="AQ149" s="13" t="str">
        <f>IF(I149="","",IF(I149&lt;=$AQ$1,"O","X"))</f>
        <v>X</v>
      </c>
      <c r="AR149" s="13" t="str">
        <f>IF(O149="","",IF(O149&lt;=$AR$1,"O","X"))</f>
        <v>X</v>
      </c>
      <c r="AS149" s="13" t="str">
        <f>IF(M149="","",IF(M149&lt;=$AS$1,"O","X"))</f>
        <v>X</v>
      </c>
      <c r="AT149" s="13" t="s">
        <v>32</v>
      </c>
      <c r="AU149" s="13" t="str">
        <f>IF(OR(F149="",AJ149=""),"",IF(AND((F149&lt;=85),(AJ149&gt;=15)),"O","X"))</f>
        <v>X</v>
      </c>
      <c r="AV149" s="13" t="str">
        <f>IF(C149="","",IF(C149&gt;=$AV$1,"O","X"))</f>
        <v>O</v>
      </c>
      <c r="AW149" s="13" t="str">
        <f>IF(AP149="","",IF(AND(AP149="O",AQ149="O",AS149="O",AU149="O",AV149="O"),"후보","X"))</f>
        <v>X</v>
      </c>
    </row>
    <row r="150" spans="1:49" x14ac:dyDescent="0.3">
      <c r="A150" s="5" t="s">
        <v>1867</v>
      </c>
      <c r="B150" s="14" t="s">
        <v>1449</v>
      </c>
      <c r="C150" s="25">
        <v>440</v>
      </c>
      <c r="D150" s="23">
        <v>193.3</v>
      </c>
      <c r="E150" s="21">
        <v>58</v>
      </c>
      <c r="F150" s="23">
        <v>161.80000000000001</v>
      </c>
      <c r="G150" s="24">
        <v>49</v>
      </c>
      <c r="H150" s="25">
        <v>76</v>
      </c>
      <c r="I150" s="29">
        <v>140000</v>
      </c>
      <c r="J150" s="29"/>
      <c r="K150" s="29">
        <v>96000</v>
      </c>
      <c r="L150" s="29"/>
      <c r="M150" s="6">
        <f>I150-K150</f>
        <v>44000</v>
      </c>
      <c r="N150" s="7">
        <f>IF(ISERROR(K150/I150),"",K150/I150)</f>
        <v>0.68571428571428572</v>
      </c>
      <c r="O150" s="12">
        <f>I150/E150</f>
        <v>2413.7931034482758</v>
      </c>
      <c r="P150" s="12">
        <f>K150/E150</f>
        <v>1655.1724137931035</v>
      </c>
      <c r="Q150" s="13">
        <v>5</v>
      </c>
      <c r="R150" s="13">
        <v>2</v>
      </c>
      <c r="S150" s="13" t="s">
        <v>51</v>
      </c>
      <c r="T150" s="8">
        <v>193</v>
      </c>
      <c r="U150" s="5"/>
      <c r="V150" s="5" t="s">
        <v>1870</v>
      </c>
      <c r="X150" s="23">
        <f t="shared" si="208"/>
        <v>193.3</v>
      </c>
      <c r="Y150" s="21">
        <f t="shared" si="208"/>
        <v>58</v>
      </c>
      <c r="Z150" s="28">
        <f t="shared" si="209"/>
        <v>76</v>
      </c>
      <c r="AA150" s="6">
        <f t="shared" si="209"/>
        <v>140000</v>
      </c>
      <c r="AB150" s="6">
        <f>K150</f>
        <v>96000</v>
      </c>
      <c r="AC150" s="6">
        <f t="shared" si="210"/>
        <v>44000</v>
      </c>
      <c r="AD150" s="7">
        <f t="shared" si="210"/>
        <v>0.68571428571428572</v>
      </c>
      <c r="AE150" s="12">
        <f t="shared" si="210"/>
        <v>2413.7931034482758</v>
      </c>
      <c r="AF150" s="13" t="str">
        <f>S150</f>
        <v>계</v>
      </c>
      <c r="AG150" s="13" t="str">
        <f>Q150&amp;"/"&amp;R150</f>
        <v>5/2</v>
      </c>
      <c r="AI150" s="32" t="str">
        <f t="shared" si="185"/>
        <v>목련6단지</v>
      </c>
      <c r="AJ150" s="21">
        <f t="shared" si="184"/>
        <v>58</v>
      </c>
      <c r="AK150" s="13" t="str">
        <f>IF(AJ150="","",$AK$2)</f>
        <v>A-</v>
      </c>
      <c r="AL150" s="13"/>
      <c r="AM150" s="13"/>
      <c r="AN150" s="13"/>
      <c r="AO150" s="13" t="str">
        <f>IF(AJ150="","",$AO$2)</f>
        <v>C</v>
      </c>
      <c r="AP150" s="13" t="str">
        <f>IF(N150="","",IF(N150&gt;=$AP$1/100,"O","X"))</f>
        <v>X</v>
      </c>
      <c r="AQ150" s="13" t="str">
        <f>IF(I150="","",IF(I150&lt;=$AQ$1,"O","X"))</f>
        <v>X</v>
      </c>
      <c r="AR150" s="13" t="str">
        <f>IF(O150="","",IF(O150&lt;=$AR$1,"O","X"))</f>
        <v>X</v>
      </c>
      <c r="AS150" s="13" t="str">
        <f>IF(M150="","",IF(M150&lt;=$AS$1,"O","X"))</f>
        <v>X</v>
      </c>
      <c r="AT150" s="13" t="s">
        <v>32</v>
      </c>
      <c r="AU150" s="13" t="str">
        <f>IF(OR(F150="",AJ150=""),"",IF(AND((F150&lt;=85),(AJ150&gt;=15)),"O","X"))</f>
        <v>X</v>
      </c>
      <c r="AV150" s="13" t="str">
        <f>IF(C150="","",IF(C150&gt;=$AV$1,"O","X"))</f>
        <v>O</v>
      </c>
      <c r="AW150" s="13" t="str">
        <f>IF(AP150="","",IF(AND(AP150="O",AQ150="O",AS150="O",AU150="O",AV150="O"),"후보","X"))</f>
        <v>X</v>
      </c>
    </row>
    <row r="151" spans="1:49" x14ac:dyDescent="0.3">
      <c r="A151" s="5"/>
      <c r="B151" s="13"/>
      <c r="C151" s="9"/>
      <c r="D151" s="5"/>
      <c r="E151" s="18"/>
      <c r="F151" s="23"/>
      <c r="G151" s="5"/>
      <c r="H151" s="5"/>
      <c r="I151" s="5"/>
      <c r="J151" s="5"/>
      <c r="K151" s="5"/>
      <c r="L151" s="5"/>
      <c r="M151" s="5"/>
      <c r="N151" s="5"/>
      <c r="O151" s="12"/>
      <c r="P151" s="12"/>
      <c r="Q151" s="21"/>
      <c r="R151" s="21"/>
      <c r="S151" s="5"/>
      <c r="T151" s="59"/>
      <c r="U151" s="5"/>
      <c r="V151" s="5"/>
      <c r="X151" s="90" t="str">
        <f>$A$4&amp;" "&amp;A152&amp;"("&amp;B152&amp;","&amp;C152&amp;"^)"</f>
        <v>호계동 평촌트루엘파크('18.03,200^)</v>
      </c>
      <c r="Y151" s="91"/>
      <c r="Z151" s="91"/>
      <c r="AA151" s="91"/>
      <c r="AB151" s="91"/>
      <c r="AC151" s="91"/>
      <c r="AD151" s="91"/>
      <c r="AE151" s="91"/>
      <c r="AF151" s="91"/>
      <c r="AG151" s="92"/>
      <c r="AI151" s="32" t="str">
        <f t="shared" si="185"/>
        <v/>
      </c>
      <c r="AJ151" s="33" t="str">
        <f t="shared" si="184"/>
        <v/>
      </c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</row>
    <row r="152" spans="1:49" x14ac:dyDescent="0.3">
      <c r="A152" s="5" t="s">
        <v>1871</v>
      </c>
      <c r="B152" s="14" t="s">
        <v>1872</v>
      </c>
      <c r="C152" s="25">
        <v>200</v>
      </c>
      <c r="D152" s="23">
        <v>85.1</v>
      </c>
      <c r="E152" s="21">
        <v>26</v>
      </c>
      <c r="F152" s="23">
        <v>59.9</v>
      </c>
      <c r="G152" s="24">
        <v>18</v>
      </c>
      <c r="H152" s="25">
        <v>58</v>
      </c>
      <c r="I152" s="29">
        <v>59000</v>
      </c>
      <c r="J152" s="29"/>
      <c r="K152" s="29">
        <v>45000</v>
      </c>
      <c r="L152" s="29"/>
      <c r="M152" s="6">
        <f t="shared" ref="M152:M157" si="211">I152-K152</f>
        <v>14000</v>
      </c>
      <c r="N152" s="7">
        <f t="shared" ref="N152:N157" si="212">IF(ISERROR(K152/I152),"",K152/I152)</f>
        <v>0.76271186440677963</v>
      </c>
      <c r="O152" s="12">
        <f t="shared" ref="O152:O157" si="213">I152/E152</f>
        <v>2269.2307692307691</v>
      </c>
      <c r="P152" s="12">
        <f t="shared" ref="P152:P157" si="214">K152/E152</f>
        <v>1730.7692307692307</v>
      </c>
      <c r="Q152" s="13">
        <v>3</v>
      </c>
      <c r="R152" s="13">
        <v>2</v>
      </c>
      <c r="S152" s="13" t="s">
        <v>51</v>
      </c>
      <c r="T152" s="8" t="s">
        <v>957</v>
      </c>
      <c r="U152" s="5"/>
      <c r="V152" s="5" t="s">
        <v>1873</v>
      </c>
      <c r="X152" s="23">
        <f t="shared" ref="X152:Y157" si="215">D152</f>
        <v>85.1</v>
      </c>
      <c r="Y152" s="21">
        <f t="shared" si="215"/>
        <v>26</v>
      </c>
      <c r="Z152" s="28">
        <f t="shared" ref="Z152:AA157" si="216">H152</f>
        <v>58</v>
      </c>
      <c r="AA152" s="6">
        <f t="shared" si="216"/>
        <v>59000</v>
      </c>
      <c r="AB152" s="6">
        <f t="shared" ref="AB152:AB157" si="217">K152</f>
        <v>45000</v>
      </c>
      <c r="AC152" s="6">
        <f t="shared" ref="AC152:AE157" si="218">M152</f>
        <v>14000</v>
      </c>
      <c r="AD152" s="7">
        <f t="shared" si="218"/>
        <v>0.76271186440677963</v>
      </c>
      <c r="AE152" s="12">
        <f t="shared" si="218"/>
        <v>2269.2307692307691</v>
      </c>
      <c r="AF152" s="13" t="str">
        <f t="shared" ref="AF152:AF157" si="219">S152</f>
        <v>계</v>
      </c>
      <c r="AG152" s="13" t="str">
        <f t="shared" ref="AG152:AG157" si="220">Q152&amp;"/"&amp;R152</f>
        <v>3/2</v>
      </c>
      <c r="AI152" s="32" t="str">
        <f t="shared" si="185"/>
        <v>평촌트루엘파크</v>
      </c>
      <c r="AJ152" s="21">
        <f t="shared" si="184"/>
        <v>26</v>
      </c>
      <c r="AK152" s="13" t="str">
        <f t="shared" ref="AK152:AK157" si="221">IF(AJ152="","",$AK$2)</f>
        <v>A-</v>
      </c>
      <c r="AL152" s="13"/>
      <c r="AM152" s="13"/>
      <c r="AN152" s="13"/>
      <c r="AO152" s="13" t="str">
        <f t="shared" ref="AO152:AO157" si="222">IF(AJ152="","",$AO$2)</f>
        <v>C</v>
      </c>
      <c r="AP152" s="13" t="str">
        <f t="shared" ref="AP152:AP157" si="223">IF(N152="","",IF(N152&gt;=$AP$1/100,"O","X"))</f>
        <v>X</v>
      </c>
      <c r="AQ152" s="13" t="str">
        <f t="shared" ref="AQ152:AQ157" si="224">IF(I152="","",IF(I152&lt;=$AQ$1,"O","X"))</f>
        <v>X</v>
      </c>
      <c r="AR152" s="13" t="str">
        <f t="shared" ref="AR152:AR157" si="225">IF(O152="","",IF(O152&lt;=$AR$1,"O","X"))</f>
        <v>X</v>
      </c>
      <c r="AS152" s="13" t="str">
        <f t="shared" ref="AS152:AS157" si="226">IF(M152="","",IF(M152&lt;=$AS$1,"O","X"))</f>
        <v>X</v>
      </c>
      <c r="AT152" s="13" t="s">
        <v>32</v>
      </c>
      <c r="AU152" s="13" t="str">
        <f t="shared" ref="AU152:AU157" si="227">IF(OR(F152="",AJ152=""),"",IF(AND((F152&lt;=85),(AJ152&gt;=15)),"O","X"))</f>
        <v>O</v>
      </c>
      <c r="AV152" s="13" t="str">
        <f t="shared" ref="AV152:AV157" si="228">IF(C152="","",IF(C152&gt;=$AV$1,"O","X"))</f>
        <v>X</v>
      </c>
      <c r="AW152" s="13" t="str">
        <f t="shared" ref="AW152:AW157" si="229">IF(AP152="","",IF(AND(AP152="O",AQ152="O",AS152="O",AU152="O",AV152="O"),"후보","X"))</f>
        <v>X</v>
      </c>
    </row>
    <row r="153" spans="1:49" x14ac:dyDescent="0.3">
      <c r="A153" s="5" t="s">
        <v>1871</v>
      </c>
      <c r="B153" s="14" t="s">
        <v>1872</v>
      </c>
      <c r="C153" s="25">
        <v>200</v>
      </c>
      <c r="D153" s="23">
        <v>85.9</v>
      </c>
      <c r="E153" s="21">
        <v>26</v>
      </c>
      <c r="F153" s="23">
        <v>59.8</v>
      </c>
      <c r="G153" s="24">
        <v>18</v>
      </c>
      <c r="H153" s="25">
        <v>29</v>
      </c>
      <c r="I153" s="29">
        <v>59000</v>
      </c>
      <c r="J153" s="29"/>
      <c r="K153" s="29">
        <v>45000</v>
      </c>
      <c r="L153" s="29"/>
      <c r="M153" s="6">
        <f t="shared" si="211"/>
        <v>14000</v>
      </c>
      <c r="N153" s="7">
        <f t="shared" si="212"/>
        <v>0.76271186440677963</v>
      </c>
      <c r="O153" s="12">
        <f t="shared" si="213"/>
        <v>2269.2307692307691</v>
      </c>
      <c r="P153" s="12">
        <f t="shared" si="214"/>
        <v>1730.7692307692307</v>
      </c>
      <c r="Q153" s="13">
        <v>3</v>
      </c>
      <c r="R153" s="13">
        <v>2</v>
      </c>
      <c r="S153" s="13" t="s">
        <v>51</v>
      </c>
      <c r="T153" s="8" t="s">
        <v>628</v>
      </c>
      <c r="U153" s="5"/>
      <c r="V153" s="5" t="s">
        <v>1874</v>
      </c>
      <c r="X153" s="23">
        <f t="shared" si="215"/>
        <v>85.9</v>
      </c>
      <c r="Y153" s="21">
        <f t="shared" si="215"/>
        <v>26</v>
      </c>
      <c r="Z153" s="28">
        <f t="shared" si="216"/>
        <v>29</v>
      </c>
      <c r="AA153" s="6">
        <f t="shared" si="216"/>
        <v>59000</v>
      </c>
      <c r="AB153" s="6">
        <f t="shared" si="217"/>
        <v>45000</v>
      </c>
      <c r="AC153" s="6">
        <f t="shared" si="218"/>
        <v>14000</v>
      </c>
      <c r="AD153" s="7">
        <f t="shared" si="218"/>
        <v>0.76271186440677963</v>
      </c>
      <c r="AE153" s="12">
        <f t="shared" si="218"/>
        <v>2269.2307692307691</v>
      </c>
      <c r="AF153" s="13" t="str">
        <f t="shared" si="219"/>
        <v>계</v>
      </c>
      <c r="AG153" s="13" t="str">
        <f t="shared" si="220"/>
        <v>3/2</v>
      </c>
      <c r="AI153" s="32" t="str">
        <f t="shared" si="185"/>
        <v>평촌트루엘파크</v>
      </c>
      <c r="AJ153" s="21">
        <f t="shared" si="184"/>
        <v>26</v>
      </c>
      <c r="AK153" s="13" t="str">
        <f t="shared" si="221"/>
        <v>A-</v>
      </c>
      <c r="AL153" s="13"/>
      <c r="AM153" s="13"/>
      <c r="AN153" s="13"/>
      <c r="AO153" s="13" t="str">
        <f t="shared" si="222"/>
        <v>C</v>
      </c>
      <c r="AP153" s="13" t="str">
        <f t="shared" si="223"/>
        <v>X</v>
      </c>
      <c r="AQ153" s="13" t="str">
        <f t="shared" si="224"/>
        <v>X</v>
      </c>
      <c r="AR153" s="13" t="str">
        <f t="shared" si="225"/>
        <v>X</v>
      </c>
      <c r="AS153" s="13" t="str">
        <f t="shared" si="226"/>
        <v>X</v>
      </c>
      <c r="AT153" s="13" t="s">
        <v>32</v>
      </c>
      <c r="AU153" s="13" t="str">
        <f t="shared" si="227"/>
        <v>O</v>
      </c>
      <c r="AV153" s="13" t="str">
        <f t="shared" si="228"/>
        <v>X</v>
      </c>
      <c r="AW153" s="13" t="str">
        <f t="shared" si="229"/>
        <v>X</v>
      </c>
    </row>
    <row r="154" spans="1:49" x14ac:dyDescent="0.3">
      <c r="A154" s="5" t="s">
        <v>1871</v>
      </c>
      <c r="B154" s="14" t="s">
        <v>1872</v>
      </c>
      <c r="C154" s="25">
        <v>200</v>
      </c>
      <c r="D154" s="23">
        <v>85.8</v>
      </c>
      <c r="E154" s="21">
        <v>26</v>
      </c>
      <c r="F154" s="23">
        <v>59.4</v>
      </c>
      <c r="G154" s="24">
        <v>18</v>
      </c>
      <c r="H154" s="25">
        <v>29</v>
      </c>
      <c r="I154" s="29">
        <v>59000</v>
      </c>
      <c r="J154" s="29"/>
      <c r="K154" s="29">
        <v>45000</v>
      </c>
      <c r="L154" s="29"/>
      <c r="M154" s="6">
        <f t="shared" si="211"/>
        <v>14000</v>
      </c>
      <c r="N154" s="7">
        <f t="shared" si="212"/>
        <v>0.76271186440677963</v>
      </c>
      <c r="O154" s="12">
        <f t="shared" si="213"/>
        <v>2269.2307692307691</v>
      </c>
      <c r="P154" s="12">
        <f t="shared" si="214"/>
        <v>1730.7692307692307</v>
      </c>
      <c r="Q154" s="13">
        <v>3</v>
      </c>
      <c r="R154" s="13">
        <v>2</v>
      </c>
      <c r="S154" s="13" t="s">
        <v>51</v>
      </c>
      <c r="T154" s="8" t="s">
        <v>1129</v>
      </c>
      <c r="U154" s="5"/>
      <c r="V154" s="5" t="s">
        <v>1874</v>
      </c>
      <c r="X154" s="23">
        <f t="shared" si="215"/>
        <v>85.8</v>
      </c>
      <c r="Y154" s="21">
        <f t="shared" si="215"/>
        <v>26</v>
      </c>
      <c r="Z154" s="28">
        <f t="shared" si="216"/>
        <v>29</v>
      </c>
      <c r="AA154" s="6">
        <f t="shared" si="216"/>
        <v>59000</v>
      </c>
      <c r="AB154" s="6">
        <f t="shared" si="217"/>
        <v>45000</v>
      </c>
      <c r="AC154" s="6">
        <f t="shared" si="218"/>
        <v>14000</v>
      </c>
      <c r="AD154" s="7">
        <f t="shared" si="218"/>
        <v>0.76271186440677963</v>
      </c>
      <c r="AE154" s="12">
        <f t="shared" si="218"/>
        <v>2269.2307692307691</v>
      </c>
      <c r="AF154" s="13" t="str">
        <f t="shared" si="219"/>
        <v>계</v>
      </c>
      <c r="AG154" s="13" t="str">
        <f t="shared" si="220"/>
        <v>3/2</v>
      </c>
      <c r="AI154" s="32" t="str">
        <f t="shared" si="185"/>
        <v>평촌트루엘파크</v>
      </c>
      <c r="AJ154" s="21">
        <f t="shared" si="184"/>
        <v>26</v>
      </c>
      <c r="AK154" s="13" t="str">
        <f t="shared" si="221"/>
        <v>A-</v>
      </c>
      <c r="AL154" s="13"/>
      <c r="AM154" s="13"/>
      <c r="AN154" s="13"/>
      <c r="AO154" s="13" t="str">
        <f t="shared" si="222"/>
        <v>C</v>
      </c>
      <c r="AP154" s="13" t="str">
        <f t="shared" si="223"/>
        <v>X</v>
      </c>
      <c r="AQ154" s="13" t="str">
        <f t="shared" si="224"/>
        <v>X</v>
      </c>
      <c r="AR154" s="13" t="str">
        <f t="shared" si="225"/>
        <v>X</v>
      </c>
      <c r="AS154" s="13" t="str">
        <f t="shared" si="226"/>
        <v>X</v>
      </c>
      <c r="AT154" s="13" t="s">
        <v>32</v>
      </c>
      <c r="AU154" s="13" t="str">
        <f t="shared" si="227"/>
        <v>O</v>
      </c>
      <c r="AV154" s="13" t="str">
        <f t="shared" si="228"/>
        <v>X</v>
      </c>
      <c r="AW154" s="13" t="str">
        <f t="shared" si="229"/>
        <v>X</v>
      </c>
    </row>
    <row r="155" spans="1:49" x14ac:dyDescent="0.3">
      <c r="A155" s="5" t="s">
        <v>1871</v>
      </c>
      <c r="B155" s="14" t="s">
        <v>1872</v>
      </c>
      <c r="C155" s="25">
        <v>200</v>
      </c>
      <c r="D155" s="23">
        <v>99.2</v>
      </c>
      <c r="E155" s="21">
        <v>30</v>
      </c>
      <c r="F155" s="23">
        <v>73.5</v>
      </c>
      <c r="G155" s="24">
        <v>22</v>
      </c>
      <c r="H155" s="25">
        <v>44</v>
      </c>
      <c r="I155" s="29">
        <v>73000</v>
      </c>
      <c r="J155" s="29"/>
      <c r="K155" s="29">
        <v>57000</v>
      </c>
      <c r="L155" s="29"/>
      <c r="M155" s="6">
        <f t="shared" si="211"/>
        <v>16000</v>
      </c>
      <c r="N155" s="7">
        <f t="shared" si="212"/>
        <v>0.78082191780821919</v>
      </c>
      <c r="O155" s="12">
        <f t="shared" si="213"/>
        <v>2433.3333333333335</v>
      </c>
      <c r="P155" s="12">
        <f t="shared" si="214"/>
        <v>1900</v>
      </c>
      <c r="Q155" s="13">
        <v>3</v>
      </c>
      <c r="R155" s="13">
        <v>2</v>
      </c>
      <c r="S155" s="13" t="s">
        <v>51</v>
      </c>
      <c r="T155" s="8">
        <v>99</v>
      </c>
      <c r="U155" s="5"/>
      <c r="V155" s="5" t="s">
        <v>1875</v>
      </c>
      <c r="X155" s="23">
        <f t="shared" si="215"/>
        <v>99.2</v>
      </c>
      <c r="Y155" s="21">
        <f t="shared" si="215"/>
        <v>30</v>
      </c>
      <c r="Z155" s="28">
        <f t="shared" si="216"/>
        <v>44</v>
      </c>
      <c r="AA155" s="6">
        <f t="shared" si="216"/>
        <v>73000</v>
      </c>
      <c r="AB155" s="6">
        <f t="shared" si="217"/>
        <v>57000</v>
      </c>
      <c r="AC155" s="6">
        <f t="shared" si="218"/>
        <v>16000</v>
      </c>
      <c r="AD155" s="7">
        <f t="shared" si="218"/>
        <v>0.78082191780821919</v>
      </c>
      <c r="AE155" s="12">
        <f t="shared" si="218"/>
        <v>2433.3333333333335</v>
      </c>
      <c r="AF155" s="13" t="str">
        <f t="shared" si="219"/>
        <v>계</v>
      </c>
      <c r="AG155" s="13" t="str">
        <f t="shared" si="220"/>
        <v>3/2</v>
      </c>
      <c r="AI155" s="32" t="str">
        <f t="shared" si="185"/>
        <v>평촌트루엘파크</v>
      </c>
      <c r="AJ155" s="21">
        <f t="shared" si="184"/>
        <v>30</v>
      </c>
      <c r="AK155" s="13" t="str">
        <f t="shared" si="221"/>
        <v>A-</v>
      </c>
      <c r="AL155" s="13"/>
      <c r="AM155" s="13"/>
      <c r="AN155" s="13"/>
      <c r="AO155" s="13" t="str">
        <f t="shared" si="222"/>
        <v>C</v>
      </c>
      <c r="AP155" s="13" t="str">
        <f t="shared" si="223"/>
        <v>X</v>
      </c>
      <c r="AQ155" s="13" t="str">
        <f t="shared" si="224"/>
        <v>X</v>
      </c>
      <c r="AR155" s="13" t="str">
        <f t="shared" si="225"/>
        <v>X</v>
      </c>
      <c r="AS155" s="13" t="str">
        <f t="shared" si="226"/>
        <v>X</v>
      </c>
      <c r="AT155" s="13" t="s">
        <v>32</v>
      </c>
      <c r="AU155" s="13" t="str">
        <f t="shared" si="227"/>
        <v>O</v>
      </c>
      <c r="AV155" s="13" t="str">
        <f t="shared" si="228"/>
        <v>X</v>
      </c>
      <c r="AW155" s="13" t="str">
        <f t="shared" si="229"/>
        <v>X</v>
      </c>
    </row>
    <row r="156" spans="1:49" x14ac:dyDescent="0.3">
      <c r="A156" s="5" t="s">
        <v>1871</v>
      </c>
      <c r="B156" s="14" t="s">
        <v>1872</v>
      </c>
      <c r="C156" s="25">
        <v>200</v>
      </c>
      <c r="D156" s="23">
        <v>109.4</v>
      </c>
      <c r="E156" s="21">
        <v>33</v>
      </c>
      <c r="F156" s="23">
        <v>81.400000000000006</v>
      </c>
      <c r="G156" s="24">
        <v>25</v>
      </c>
      <c r="H156" s="25">
        <v>20</v>
      </c>
      <c r="I156" s="29">
        <v>75000</v>
      </c>
      <c r="J156" s="29"/>
      <c r="K156" s="29">
        <v>60000</v>
      </c>
      <c r="L156" s="29"/>
      <c r="M156" s="6">
        <f t="shared" si="211"/>
        <v>15000</v>
      </c>
      <c r="N156" s="7">
        <f t="shared" si="212"/>
        <v>0.8</v>
      </c>
      <c r="O156" s="12">
        <f t="shared" si="213"/>
        <v>2272.7272727272725</v>
      </c>
      <c r="P156" s="12">
        <f t="shared" si="214"/>
        <v>1818.1818181818182</v>
      </c>
      <c r="Q156" s="13">
        <v>3</v>
      </c>
      <c r="R156" s="13">
        <v>2</v>
      </c>
      <c r="S156" s="13" t="s">
        <v>51</v>
      </c>
      <c r="T156" s="8" t="s">
        <v>805</v>
      </c>
      <c r="U156" s="5"/>
      <c r="V156" s="5" t="s">
        <v>1876</v>
      </c>
      <c r="X156" s="23">
        <f t="shared" si="215"/>
        <v>109.4</v>
      </c>
      <c r="Y156" s="21">
        <f t="shared" si="215"/>
        <v>33</v>
      </c>
      <c r="Z156" s="28">
        <f t="shared" si="216"/>
        <v>20</v>
      </c>
      <c r="AA156" s="6">
        <f t="shared" si="216"/>
        <v>75000</v>
      </c>
      <c r="AB156" s="6">
        <f t="shared" si="217"/>
        <v>60000</v>
      </c>
      <c r="AC156" s="6">
        <f t="shared" si="218"/>
        <v>15000</v>
      </c>
      <c r="AD156" s="7">
        <f t="shared" si="218"/>
        <v>0.8</v>
      </c>
      <c r="AE156" s="12">
        <f t="shared" si="218"/>
        <v>2272.7272727272725</v>
      </c>
      <c r="AF156" s="13" t="str">
        <f t="shared" si="219"/>
        <v>계</v>
      </c>
      <c r="AG156" s="13" t="str">
        <f t="shared" si="220"/>
        <v>3/2</v>
      </c>
      <c r="AI156" s="32" t="str">
        <f t="shared" si="185"/>
        <v>평촌트루엘파크</v>
      </c>
      <c r="AJ156" s="21">
        <f t="shared" si="184"/>
        <v>33</v>
      </c>
      <c r="AK156" s="13" t="str">
        <f t="shared" si="221"/>
        <v>A-</v>
      </c>
      <c r="AL156" s="13"/>
      <c r="AM156" s="13"/>
      <c r="AN156" s="13"/>
      <c r="AO156" s="13" t="str">
        <f t="shared" si="222"/>
        <v>C</v>
      </c>
      <c r="AP156" s="13" t="str">
        <f t="shared" si="223"/>
        <v>O</v>
      </c>
      <c r="AQ156" s="13" t="str">
        <f t="shared" si="224"/>
        <v>X</v>
      </c>
      <c r="AR156" s="13" t="str">
        <f t="shared" si="225"/>
        <v>X</v>
      </c>
      <c r="AS156" s="13" t="str">
        <f t="shared" si="226"/>
        <v>X</v>
      </c>
      <c r="AT156" s="13" t="s">
        <v>32</v>
      </c>
      <c r="AU156" s="13" t="str">
        <f t="shared" si="227"/>
        <v>O</v>
      </c>
      <c r="AV156" s="13" t="str">
        <f t="shared" si="228"/>
        <v>X</v>
      </c>
      <c r="AW156" s="13" t="str">
        <f t="shared" si="229"/>
        <v>X</v>
      </c>
    </row>
    <row r="157" spans="1:49" x14ac:dyDescent="0.3">
      <c r="A157" s="5" t="s">
        <v>1871</v>
      </c>
      <c r="B157" s="14" t="s">
        <v>1872</v>
      </c>
      <c r="C157" s="25">
        <v>200</v>
      </c>
      <c r="D157" s="23">
        <v>109.7</v>
      </c>
      <c r="E157" s="21">
        <v>33</v>
      </c>
      <c r="F157" s="23">
        <v>82.6</v>
      </c>
      <c r="G157" s="24">
        <v>25</v>
      </c>
      <c r="H157" s="25">
        <v>20</v>
      </c>
      <c r="I157" s="29">
        <v>75000</v>
      </c>
      <c r="J157" s="29"/>
      <c r="K157" s="29">
        <v>60000</v>
      </c>
      <c r="L157" s="29"/>
      <c r="M157" s="6">
        <f t="shared" si="211"/>
        <v>15000</v>
      </c>
      <c r="N157" s="7">
        <f t="shared" si="212"/>
        <v>0.8</v>
      </c>
      <c r="O157" s="12">
        <f t="shared" si="213"/>
        <v>2272.7272727272725</v>
      </c>
      <c r="P157" s="12">
        <f t="shared" si="214"/>
        <v>1818.1818181818182</v>
      </c>
      <c r="Q157" s="13">
        <v>3</v>
      </c>
      <c r="R157" s="13">
        <v>2</v>
      </c>
      <c r="S157" s="13" t="s">
        <v>51</v>
      </c>
      <c r="T157" s="8" t="s">
        <v>521</v>
      </c>
      <c r="U157" s="5"/>
      <c r="V157" s="5" t="s">
        <v>1877</v>
      </c>
      <c r="X157" s="23">
        <f t="shared" si="215"/>
        <v>109.7</v>
      </c>
      <c r="Y157" s="21">
        <f t="shared" si="215"/>
        <v>33</v>
      </c>
      <c r="Z157" s="28">
        <f t="shared" si="216"/>
        <v>20</v>
      </c>
      <c r="AA157" s="6">
        <f t="shared" si="216"/>
        <v>75000</v>
      </c>
      <c r="AB157" s="6">
        <f t="shared" si="217"/>
        <v>60000</v>
      </c>
      <c r="AC157" s="6">
        <f t="shared" si="218"/>
        <v>15000</v>
      </c>
      <c r="AD157" s="7">
        <f t="shared" si="218"/>
        <v>0.8</v>
      </c>
      <c r="AE157" s="12">
        <f t="shared" si="218"/>
        <v>2272.7272727272725</v>
      </c>
      <c r="AF157" s="13" t="str">
        <f t="shared" si="219"/>
        <v>계</v>
      </c>
      <c r="AG157" s="13" t="str">
        <f t="shared" si="220"/>
        <v>3/2</v>
      </c>
      <c r="AI157" s="32" t="str">
        <f t="shared" si="185"/>
        <v>평촌트루엘파크</v>
      </c>
      <c r="AJ157" s="21">
        <f t="shared" si="184"/>
        <v>33</v>
      </c>
      <c r="AK157" s="13" t="str">
        <f t="shared" si="221"/>
        <v>A-</v>
      </c>
      <c r="AL157" s="13"/>
      <c r="AM157" s="13"/>
      <c r="AN157" s="13"/>
      <c r="AO157" s="13" t="str">
        <f t="shared" si="222"/>
        <v>C</v>
      </c>
      <c r="AP157" s="13" t="str">
        <f t="shared" si="223"/>
        <v>O</v>
      </c>
      <c r="AQ157" s="13" t="str">
        <f t="shared" si="224"/>
        <v>X</v>
      </c>
      <c r="AR157" s="13" t="str">
        <f t="shared" si="225"/>
        <v>X</v>
      </c>
      <c r="AS157" s="13" t="str">
        <f t="shared" si="226"/>
        <v>X</v>
      </c>
      <c r="AT157" s="13" t="s">
        <v>32</v>
      </c>
      <c r="AU157" s="13" t="str">
        <f t="shared" si="227"/>
        <v>O</v>
      </c>
      <c r="AV157" s="13" t="str">
        <f t="shared" si="228"/>
        <v>X</v>
      </c>
      <c r="AW157" s="13" t="str">
        <f t="shared" si="229"/>
        <v>X</v>
      </c>
    </row>
    <row r="158" spans="1:49" x14ac:dyDescent="0.3">
      <c r="A158" s="5"/>
      <c r="B158" s="13"/>
      <c r="C158" s="9"/>
      <c r="D158" s="5"/>
      <c r="E158" s="18"/>
      <c r="F158" s="23"/>
      <c r="G158" s="5"/>
      <c r="H158" s="5"/>
      <c r="I158" s="5"/>
      <c r="J158" s="5"/>
      <c r="K158" s="5"/>
      <c r="L158" s="5"/>
      <c r="M158" s="5"/>
      <c r="N158" s="5"/>
      <c r="O158" s="12"/>
      <c r="P158" s="12"/>
      <c r="Q158" s="21"/>
      <c r="R158" s="21"/>
      <c r="S158" s="5"/>
      <c r="T158" s="59"/>
      <c r="U158" s="5"/>
      <c r="V158" s="5"/>
      <c r="X158" s="90" t="str">
        <f>$A$4&amp;" "&amp;A159&amp;"("&amp;B159&amp;","&amp;C159&amp;"^)"</f>
        <v>호계동 무궁화태영('92.08,654^)</v>
      </c>
      <c r="Y158" s="91"/>
      <c r="Z158" s="91"/>
      <c r="AA158" s="91"/>
      <c r="AB158" s="91"/>
      <c r="AC158" s="91"/>
      <c r="AD158" s="91"/>
      <c r="AE158" s="91"/>
      <c r="AF158" s="91"/>
      <c r="AG158" s="92"/>
      <c r="AI158" s="32" t="str">
        <f t="shared" si="185"/>
        <v/>
      </c>
      <c r="AJ158" s="33" t="str">
        <f t="shared" si="184"/>
        <v/>
      </c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</row>
    <row r="159" spans="1:49" x14ac:dyDescent="0.3">
      <c r="A159" s="5" t="s">
        <v>1878</v>
      </c>
      <c r="B159" s="14" t="s">
        <v>1704</v>
      </c>
      <c r="C159" s="25">
        <v>654</v>
      </c>
      <c r="D159" s="23">
        <v>80.3</v>
      </c>
      <c r="E159" s="21">
        <v>24</v>
      </c>
      <c r="F159" s="23">
        <v>59.8</v>
      </c>
      <c r="G159" s="24">
        <v>18</v>
      </c>
      <c r="H159" s="25">
        <v>150</v>
      </c>
      <c r="I159" s="29">
        <v>43000</v>
      </c>
      <c r="J159" s="29"/>
      <c r="K159" s="29">
        <v>30000</v>
      </c>
      <c r="L159" s="29"/>
      <c r="M159" s="6">
        <f>I159-K159</f>
        <v>13000</v>
      </c>
      <c r="N159" s="7">
        <f>IF(ISERROR(K159/I159),"",K159/I159)</f>
        <v>0.69767441860465118</v>
      </c>
      <c r="O159" s="12">
        <f>I159/E159</f>
        <v>1791.6666666666667</v>
      </c>
      <c r="P159" s="12">
        <f>K159/E159</f>
        <v>1250</v>
      </c>
      <c r="Q159" s="13">
        <v>3</v>
      </c>
      <c r="R159" s="13">
        <v>1</v>
      </c>
      <c r="S159" s="13" t="s">
        <v>1356</v>
      </c>
      <c r="T159" s="8">
        <v>80</v>
      </c>
      <c r="U159" s="5"/>
      <c r="V159" s="5" t="s">
        <v>1879</v>
      </c>
      <c r="X159" s="23">
        <f t="shared" ref="X159:Y161" si="230">D159</f>
        <v>80.3</v>
      </c>
      <c r="Y159" s="21">
        <f t="shared" si="230"/>
        <v>24</v>
      </c>
      <c r="Z159" s="28">
        <f t="shared" ref="Z159:AA161" si="231">H159</f>
        <v>150</v>
      </c>
      <c r="AA159" s="6">
        <f t="shared" si="231"/>
        <v>43000</v>
      </c>
      <c r="AB159" s="6">
        <f>K159</f>
        <v>30000</v>
      </c>
      <c r="AC159" s="6">
        <f t="shared" ref="AC159:AE161" si="232">M159</f>
        <v>13000</v>
      </c>
      <c r="AD159" s="7">
        <f t="shared" si="232"/>
        <v>0.69767441860465118</v>
      </c>
      <c r="AE159" s="12">
        <f t="shared" si="232"/>
        <v>1791.6666666666667</v>
      </c>
      <c r="AF159" s="13" t="str">
        <f>S159</f>
        <v>복</v>
      </c>
      <c r="AG159" s="13" t="str">
        <f>Q159&amp;"/"&amp;R159</f>
        <v>3/1</v>
      </c>
      <c r="AI159" s="32" t="str">
        <f t="shared" si="185"/>
        <v>무궁화태영</v>
      </c>
      <c r="AJ159" s="21">
        <f t="shared" si="184"/>
        <v>24</v>
      </c>
      <c r="AK159" s="13" t="str">
        <f>IF(AJ159="","",$AK$2)</f>
        <v>A-</v>
      </c>
      <c r="AL159" s="13"/>
      <c r="AM159" s="13"/>
      <c r="AN159" s="13"/>
      <c r="AO159" s="13" t="str">
        <f>IF(AJ159="","",$AO$2)</f>
        <v>C</v>
      </c>
      <c r="AP159" s="13" t="str">
        <f>IF(N159="","",IF(N159&gt;=$AP$1/100,"O","X"))</f>
        <v>X</v>
      </c>
      <c r="AQ159" s="13" t="str">
        <f>IF(I159="","",IF(I159&lt;=$AQ$1,"O","X"))</f>
        <v>O</v>
      </c>
      <c r="AR159" s="13" t="str">
        <f>IF(O159="","",IF(O159&lt;=$AR$1,"O","X"))</f>
        <v>X</v>
      </c>
      <c r="AS159" s="13" t="str">
        <f>IF(M159="","",IF(M159&lt;=$AS$1,"O","X"))</f>
        <v>X</v>
      </c>
      <c r="AT159" s="13" t="s">
        <v>32</v>
      </c>
      <c r="AU159" s="13" t="str">
        <f>IF(OR(F159="",AJ159=""),"",IF(AND((F159&lt;=85),(AJ159&gt;=15)),"O","X"))</f>
        <v>O</v>
      </c>
      <c r="AV159" s="13" t="str">
        <f>IF(C159="","",IF(C159&gt;=$AV$1,"O","X"))</f>
        <v>O</v>
      </c>
      <c r="AW159" s="13" t="str">
        <f>IF(AP159="","",IF(AND(AP159="O",AQ159="O",AS159="O",AU159="O",AV159="O"),"후보","X"))</f>
        <v>X</v>
      </c>
    </row>
    <row r="160" spans="1:49" x14ac:dyDescent="0.3">
      <c r="A160" s="5" t="s">
        <v>1878</v>
      </c>
      <c r="B160" s="14" t="s">
        <v>1704</v>
      </c>
      <c r="C160" s="25">
        <v>654</v>
      </c>
      <c r="D160" s="23">
        <v>93.8</v>
      </c>
      <c r="E160" s="21">
        <v>28</v>
      </c>
      <c r="F160" s="23">
        <v>76.2</v>
      </c>
      <c r="G160" s="24">
        <v>23</v>
      </c>
      <c r="H160" s="25">
        <v>144</v>
      </c>
      <c r="I160" s="29">
        <v>47000</v>
      </c>
      <c r="J160" s="29"/>
      <c r="K160" s="29">
        <v>37000</v>
      </c>
      <c r="L160" s="29"/>
      <c r="M160" s="6">
        <f>I160-K160</f>
        <v>10000</v>
      </c>
      <c r="N160" s="7">
        <f>IF(ISERROR(K160/I160),"",K160/I160)</f>
        <v>0.78723404255319152</v>
      </c>
      <c r="O160" s="12">
        <f>I160/E160</f>
        <v>1678.5714285714287</v>
      </c>
      <c r="P160" s="12">
        <f>K160/E160</f>
        <v>1321.4285714285713</v>
      </c>
      <c r="Q160" s="13">
        <v>3</v>
      </c>
      <c r="R160" s="13">
        <v>1</v>
      </c>
      <c r="S160" s="13" t="s">
        <v>51</v>
      </c>
      <c r="T160" s="8">
        <v>93</v>
      </c>
      <c r="U160" s="5"/>
      <c r="V160" s="5" t="s">
        <v>1880</v>
      </c>
      <c r="X160" s="23">
        <f t="shared" si="230"/>
        <v>93.8</v>
      </c>
      <c r="Y160" s="21">
        <f t="shared" si="230"/>
        <v>28</v>
      </c>
      <c r="Z160" s="28">
        <f t="shared" si="231"/>
        <v>144</v>
      </c>
      <c r="AA160" s="6">
        <f t="shared" si="231"/>
        <v>47000</v>
      </c>
      <c r="AB160" s="6">
        <f>K160</f>
        <v>37000</v>
      </c>
      <c r="AC160" s="6">
        <f t="shared" si="232"/>
        <v>10000</v>
      </c>
      <c r="AD160" s="7">
        <f t="shared" si="232"/>
        <v>0.78723404255319152</v>
      </c>
      <c r="AE160" s="12">
        <f t="shared" si="232"/>
        <v>1678.5714285714287</v>
      </c>
      <c r="AF160" s="13" t="str">
        <f>S160</f>
        <v>계</v>
      </c>
      <c r="AG160" s="13" t="str">
        <f>Q160&amp;"/"&amp;R160</f>
        <v>3/1</v>
      </c>
      <c r="AI160" s="32" t="str">
        <f t="shared" si="185"/>
        <v>무궁화태영</v>
      </c>
      <c r="AJ160" s="21">
        <f t="shared" si="184"/>
        <v>28</v>
      </c>
      <c r="AK160" s="13" t="str">
        <f>IF(AJ160="","",$AK$2)</f>
        <v>A-</v>
      </c>
      <c r="AL160" s="13"/>
      <c r="AM160" s="13"/>
      <c r="AN160" s="13"/>
      <c r="AO160" s="13" t="str">
        <f>IF(AJ160="","",$AO$2)</f>
        <v>C</v>
      </c>
      <c r="AP160" s="13" t="str">
        <f>IF(N160="","",IF(N160&gt;=$AP$1/100,"O","X"))</f>
        <v>X</v>
      </c>
      <c r="AQ160" s="13" t="str">
        <f>IF(I160="","",IF(I160&lt;=$AQ$1,"O","X"))</f>
        <v>X</v>
      </c>
      <c r="AR160" s="13" t="str">
        <f>IF(O160="","",IF(O160&lt;=$AR$1,"O","X"))</f>
        <v>X</v>
      </c>
      <c r="AS160" s="13" t="str">
        <f>IF(M160="","",IF(M160&lt;=$AS$1,"O","X"))</f>
        <v>X</v>
      </c>
      <c r="AT160" s="13" t="s">
        <v>32</v>
      </c>
      <c r="AU160" s="13" t="str">
        <f>IF(OR(F160="",AJ160=""),"",IF(AND((F160&lt;=85),(AJ160&gt;=15)),"O","X"))</f>
        <v>O</v>
      </c>
      <c r="AV160" s="13" t="str">
        <f>IF(C160="","",IF(C160&gt;=$AV$1,"O","X"))</f>
        <v>O</v>
      </c>
      <c r="AW160" s="13" t="str">
        <f>IF(AP160="","",IF(AND(AP160="O",AQ160="O",AS160="O",AU160="O",AV160="O"),"후보","X"))</f>
        <v>X</v>
      </c>
    </row>
    <row r="161" spans="1:49" x14ac:dyDescent="0.3">
      <c r="A161" s="5" t="s">
        <v>1878</v>
      </c>
      <c r="B161" s="14" t="s">
        <v>1704</v>
      </c>
      <c r="C161" s="25">
        <v>654</v>
      </c>
      <c r="D161" s="23">
        <v>104.4</v>
      </c>
      <c r="E161" s="21">
        <v>32</v>
      </c>
      <c r="F161" s="23">
        <v>84.9</v>
      </c>
      <c r="G161" s="24">
        <v>26</v>
      </c>
      <c r="H161" s="25">
        <v>360</v>
      </c>
      <c r="I161" s="29">
        <v>58000</v>
      </c>
      <c r="J161" s="29"/>
      <c r="K161" s="29">
        <v>43000</v>
      </c>
      <c r="L161" s="29"/>
      <c r="M161" s="6">
        <f>I161-K161</f>
        <v>15000</v>
      </c>
      <c r="N161" s="7">
        <f>IF(ISERROR(K161/I161),"",K161/I161)</f>
        <v>0.74137931034482762</v>
      </c>
      <c r="O161" s="12">
        <f>I161/E161</f>
        <v>1812.5</v>
      </c>
      <c r="P161" s="12">
        <f>K161/E161</f>
        <v>1343.75</v>
      </c>
      <c r="Q161" s="13">
        <v>3</v>
      </c>
      <c r="R161" s="13">
        <v>2</v>
      </c>
      <c r="S161" s="13" t="s">
        <v>51</v>
      </c>
      <c r="T161" s="8">
        <v>104</v>
      </c>
      <c r="U161" s="5"/>
      <c r="V161" s="5" t="s">
        <v>1881</v>
      </c>
      <c r="X161" s="23">
        <f t="shared" si="230"/>
        <v>104.4</v>
      </c>
      <c r="Y161" s="21">
        <f t="shared" si="230"/>
        <v>32</v>
      </c>
      <c r="Z161" s="28">
        <f t="shared" si="231"/>
        <v>360</v>
      </c>
      <c r="AA161" s="6">
        <f t="shared" si="231"/>
        <v>58000</v>
      </c>
      <c r="AB161" s="6">
        <f>K161</f>
        <v>43000</v>
      </c>
      <c r="AC161" s="6">
        <f t="shared" si="232"/>
        <v>15000</v>
      </c>
      <c r="AD161" s="7">
        <f t="shared" si="232"/>
        <v>0.74137931034482762</v>
      </c>
      <c r="AE161" s="12">
        <f t="shared" si="232"/>
        <v>1812.5</v>
      </c>
      <c r="AF161" s="13" t="str">
        <f>S161</f>
        <v>계</v>
      </c>
      <c r="AG161" s="13" t="str">
        <f>Q161&amp;"/"&amp;R161</f>
        <v>3/2</v>
      </c>
      <c r="AI161" s="32" t="str">
        <f t="shared" si="185"/>
        <v>무궁화태영</v>
      </c>
      <c r="AJ161" s="21">
        <f t="shared" si="184"/>
        <v>32</v>
      </c>
      <c r="AK161" s="13" t="str">
        <f>IF(AJ161="","",$AK$2)</f>
        <v>A-</v>
      </c>
      <c r="AL161" s="13"/>
      <c r="AM161" s="13"/>
      <c r="AN161" s="13"/>
      <c r="AO161" s="13" t="str">
        <f>IF(AJ161="","",$AO$2)</f>
        <v>C</v>
      </c>
      <c r="AP161" s="13" t="str">
        <f>IF(N161="","",IF(N161&gt;=$AP$1/100,"O","X"))</f>
        <v>X</v>
      </c>
      <c r="AQ161" s="13" t="str">
        <f>IF(I161="","",IF(I161&lt;=$AQ$1,"O","X"))</f>
        <v>X</v>
      </c>
      <c r="AR161" s="13" t="str">
        <f>IF(O161="","",IF(O161&lt;=$AR$1,"O","X"))</f>
        <v>X</v>
      </c>
      <c r="AS161" s="13" t="str">
        <f>IF(M161="","",IF(M161&lt;=$AS$1,"O","X"))</f>
        <v>X</v>
      </c>
      <c r="AT161" s="13" t="s">
        <v>32</v>
      </c>
      <c r="AU161" s="13" t="str">
        <f>IF(OR(F161="",AJ161=""),"",IF(AND((F161&lt;=85),(AJ161&gt;=15)),"O","X"))</f>
        <v>O</v>
      </c>
      <c r="AV161" s="13" t="str">
        <f>IF(C161="","",IF(C161&gt;=$AV$1,"O","X"))</f>
        <v>O</v>
      </c>
      <c r="AW161" s="13" t="str">
        <f>IF(AP161="","",IF(AND(AP161="O",AQ161="O",AS161="O",AU161="O",AV161="O"),"후보","X"))</f>
        <v>X</v>
      </c>
    </row>
    <row r="162" spans="1:49" x14ac:dyDescent="0.3">
      <c r="A162" s="5"/>
      <c r="B162" s="13"/>
      <c r="C162" s="9"/>
      <c r="D162" s="5"/>
      <c r="E162" s="18"/>
      <c r="F162" s="23"/>
      <c r="G162" s="5"/>
      <c r="H162" s="5"/>
      <c r="I162" s="5"/>
      <c r="J162" s="5"/>
      <c r="K162" s="5"/>
      <c r="L162" s="5"/>
      <c r="M162" s="5"/>
      <c r="N162" s="5"/>
      <c r="O162" s="12"/>
      <c r="P162" s="12"/>
      <c r="Q162" s="21"/>
      <c r="R162" s="21"/>
      <c r="S162" s="5"/>
      <c r="T162" s="59"/>
      <c r="U162" s="5"/>
      <c r="V162" s="5"/>
      <c r="X162" s="90" t="str">
        <f>$A$4&amp;" "&amp;A163&amp;"("&amp;B163&amp;","&amp;C163&amp;"^)"</f>
        <v>호계동 호계e-편한세상('03.12,1752^)</v>
      </c>
      <c r="Y162" s="91"/>
      <c r="Z162" s="91"/>
      <c r="AA162" s="91"/>
      <c r="AB162" s="91"/>
      <c r="AC162" s="91"/>
      <c r="AD162" s="91"/>
      <c r="AE162" s="91"/>
      <c r="AF162" s="91"/>
      <c r="AG162" s="92"/>
      <c r="AI162" s="32" t="str">
        <f t="shared" si="185"/>
        <v/>
      </c>
      <c r="AJ162" s="33" t="str">
        <f t="shared" si="184"/>
        <v/>
      </c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</row>
    <row r="163" spans="1:49" x14ac:dyDescent="0.3">
      <c r="A163" s="5" t="s">
        <v>1882</v>
      </c>
      <c r="B163" s="14" t="s">
        <v>1468</v>
      </c>
      <c r="C163" s="25">
        <v>1752</v>
      </c>
      <c r="D163" s="23">
        <v>81.3</v>
      </c>
      <c r="E163" s="21">
        <v>25</v>
      </c>
      <c r="F163" s="23">
        <v>60</v>
      </c>
      <c r="G163" s="24">
        <v>18</v>
      </c>
      <c r="H163" s="25">
        <v>50</v>
      </c>
      <c r="I163" s="29">
        <v>45000</v>
      </c>
      <c r="J163" s="29"/>
      <c r="K163" s="29">
        <v>33000</v>
      </c>
      <c r="L163" s="29"/>
      <c r="M163" s="6">
        <f t="shared" ref="M163:M169" si="233">I163-K163</f>
        <v>12000</v>
      </c>
      <c r="N163" s="7">
        <f t="shared" ref="N163:N169" si="234">IF(ISERROR(K163/I163),"",K163/I163)</f>
        <v>0.73333333333333328</v>
      </c>
      <c r="O163" s="12">
        <f t="shared" ref="O163:O169" si="235">I163/E163</f>
        <v>1800</v>
      </c>
      <c r="P163" s="12">
        <f t="shared" ref="P163:P169" si="236">K163/E163</f>
        <v>1320</v>
      </c>
      <c r="Q163" s="13">
        <v>2</v>
      </c>
      <c r="R163" s="13">
        <v>1</v>
      </c>
      <c r="S163" s="13" t="s">
        <v>51</v>
      </c>
      <c r="T163" s="8" t="s">
        <v>260</v>
      </c>
      <c r="U163" s="5"/>
      <c r="V163" s="5" t="s">
        <v>1883</v>
      </c>
      <c r="X163" s="23">
        <f t="shared" ref="X163:Y169" si="237">D163</f>
        <v>81.3</v>
      </c>
      <c r="Y163" s="21">
        <f t="shared" si="237"/>
        <v>25</v>
      </c>
      <c r="Z163" s="28">
        <f t="shared" ref="Z163:AA169" si="238">H163</f>
        <v>50</v>
      </c>
      <c r="AA163" s="6">
        <f t="shared" si="238"/>
        <v>45000</v>
      </c>
      <c r="AB163" s="6">
        <f t="shared" ref="AB163:AB169" si="239">K163</f>
        <v>33000</v>
      </c>
      <c r="AC163" s="6">
        <f t="shared" ref="AC163:AE169" si="240">M163</f>
        <v>12000</v>
      </c>
      <c r="AD163" s="7">
        <f t="shared" si="240"/>
        <v>0.73333333333333328</v>
      </c>
      <c r="AE163" s="12">
        <f t="shared" si="240"/>
        <v>1800</v>
      </c>
      <c r="AF163" s="13" t="str">
        <f t="shared" ref="AF163:AF169" si="241">S163</f>
        <v>계</v>
      </c>
      <c r="AG163" s="13" t="str">
        <f t="shared" ref="AG163:AG169" si="242">Q163&amp;"/"&amp;R163</f>
        <v>2/1</v>
      </c>
      <c r="AI163" s="32" t="str">
        <f t="shared" si="185"/>
        <v>호계e-편한세상</v>
      </c>
      <c r="AJ163" s="21">
        <f t="shared" si="184"/>
        <v>25</v>
      </c>
      <c r="AK163" s="13" t="str">
        <f t="shared" ref="AK163:AK169" si="243">IF(AJ163="","",$AK$2)</f>
        <v>A-</v>
      </c>
      <c r="AL163" s="13"/>
      <c r="AM163" s="13"/>
      <c r="AN163" s="13"/>
      <c r="AO163" s="13" t="str">
        <f t="shared" ref="AO163:AO169" si="244">IF(AJ163="","",$AO$2)</f>
        <v>C</v>
      </c>
      <c r="AP163" s="13" t="str">
        <f t="shared" ref="AP163:AP169" si="245">IF(N163="","",IF(N163&gt;=$AP$1/100,"O","X"))</f>
        <v>X</v>
      </c>
      <c r="AQ163" s="13" t="str">
        <f t="shared" ref="AQ163:AQ169" si="246">IF(I163="","",IF(I163&lt;=$AQ$1,"O","X"))</f>
        <v>O</v>
      </c>
      <c r="AR163" s="13" t="str">
        <f t="shared" ref="AR163:AR169" si="247">IF(O163="","",IF(O163&lt;=$AR$1,"O","X"))</f>
        <v>X</v>
      </c>
      <c r="AS163" s="13" t="str">
        <f t="shared" ref="AS163:AS169" si="248">IF(M163="","",IF(M163&lt;=$AS$1,"O","X"))</f>
        <v>X</v>
      </c>
      <c r="AT163" s="13" t="s">
        <v>32</v>
      </c>
      <c r="AU163" s="13" t="str">
        <f t="shared" ref="AU163:AU169" si="249">IF(OR(F163="",AJ163=""),"",IF(AND((F163&lt;=85),(AJ163&gt;=15)),"O","X"))</f>
        <v>O</v>
      </c>
      <c r="AV163" s="13" t="str">
        <f t="shared" ref="AV163:AV169" si="250">IF(C163="","",IF(C163&gt;=$AV$1,"O","X"))</f>
        <v>O</v>
      </c>
      <c r="AW163" s="13" t="str">
        <f t="shared" ref="AW163:AW169" si="251">IF(AP163="","",IF(AND(AP163="O",AQ163="O",AS163="O",AU163="O",AV163="O"),"후보","X"))</f>
        <v>X</v>
      </c>
    </row>
    <row r="164" spans="1:49" x14ac:dyDescent="0.3">
      <c r="A164" s="5" t="s">
        <v>1882</v>
      </c>
      <c r="B164" s="14" t="s">
        <v>1468</v>
      </c>
      <c r="C164" s="25">
        <v>1752</v>
      </c>
      <c r="D164" s="23">
        <v>82.1</v>
      </c>
      <c r="E164" s="21">
        <v>25</v>
      </c>
      <c r="F164" s="23">
        <v>59.9</v>
      </c>
      <c r="G164" s="24">
        <v>18</v>
      </c>
      <c r="H164" s="25">
        <v>130</v>
      </c>
      <c r="I164" s="29">
        <v>45000</v>
      </c>
      <c r="J164" s="29"/>
      <c r="K164" s="29">
        <v>33000</v>
      </c>
      <c r="L164" s="29"/>
      <c r="M164" s="6">
        <f t="shared" si="233"/>
        <v>12000</v>
      </c>
      <c r="N164" s="7">
        <f t="shared" si="234"/>
        <v>0.73333333333333328</v>
      </c>
      <c r="O164" s="12">
        <f t="shared" si="235"/>
        <v>1800</v>
      </c>
      <c r="P164" s="12">
        <f t="shared" si="236"/>
        <v>1320</v>
      </c>
      <c r="Q164" s="13">
        <v>3</v>
      </c>
      <c r="R164" s="13">
        <v>2</v>
      </c>
      <c r="S164" s="13" t="s">
        <v>51</v>
      </c>
      <c r="T164" s="8" t="s">
        <v>519</v>
      </c>
      <c r="U164" s="5"/>
      <c r="V164" s="5" t="s">
        <v>1884</v>
      </c>
      <c r="X164" s="23">
        <f t="shared" si="237"/>
        <v>82.1</v>
      </c>
      <c r="Y164" s="21">
        <f t="shared" si="237"/>
        <v>25</v>
      </c>
      <c r="Z164" s="28">
        <f t="shared" si="238"/>
        <v>130</v>
      </c>
      <c r="AA164" s="6">
        <f t="shared" si="238"/>
        <v>45000</v>
      </c>
      <c r="AB164" s="6">
        <f t="shared" si="239"/>
        <v>33000</v>
      </c>
      <c r="AC164" s="6">
        <f t="shared" si="240"/>
        <v>12000</v>
      </c>
      <c r="AD164" s="7">
        <f t="shared" si="240"/>
        <v>0.73333333333333328</v>
      </c>
      <c r="AE164" s="12">
        <f t="shared" si="240"/>
        <v>1800</v>
      </c>
      <c r="AF164" s="13" t="str">
        <f t="shared" si="241"/>
        <v>계</v>
      </c>
      <c r="AG164" s="13" t="str">
        <f t="shared" si="242"/>
        <v>3/2</v>
      </c>
      <c r="AI164" s="32" t="str">
        <f t="shared" si="185"/>
        <v>호계e-편한세상</v>
      </c>
      <c r="AJ164" s="21">
        <f t="shared" si="184"/>
        <v>25</v>
      </c>
      <c r="AK164" s="13" t="str">
        <f t="shared" si="243"/>
        <v>A-</v>
      </c>
      <c r="AL164" s="13"/>
      <c r="AM164" s="13"/>
      <c r="AN164" s="13"/>
      <c r="AO164" s="13" t="str">
        <f t="shared" si="244"/>
        <v>C</v>
      </c>
      <c r="AP164" s="13" t="str">
        <f t="shared" si="245"/>
        <v>X</v>
      </c>
      <c r="AQ164" s="13" t="str">
        <f t="shared" si="246"/>
        <v>O</v>
      </c>
      <c r="AR164" s="13" t="str">
        <f t="shared" si="247"/>
        <v>X</v>
      </c>
      <c r="AS164" s="13" t="str">
        <f t="shared" si="248"/>
        <v>X</v>
      </c>
      <c r="AT164" s="13" t="s">
        <v>32</v>
      </c>
      <c r="AU164" s="13" t="str">
        <f t="shared" si="249"/>
        <v>O</v>
      </c>
      <c r="AV164" s="13" t="str">
        <f t="shared" si="250"/>
        <v>O</v>
      </c>
      <c r="AW164" s="13" t="str">
        <f t="shared" si="251"/>
        <v>X</v>
      </c>
    </row>
    <row r="165" spans="1:49" x14ac:dyDescent="0.3">
      <c r="A165" s="5" t="s">
        <v>1882</v>
      </c>
      <c r="B165" s="14" t="s">
        <v>1468</v>
      </c>
      <c r="C165" s="25">
        <v>1752</v>
      </c>
      <c r="D165" s="23">
        <v>107.4</v>
      </c>
      <c r="E165" s="21">
        <v>32</v>
      </c>
      <c r="F165" s="23">
        <v>84.8</v>
      </c>
      <c r="G165" s="24">
        <v>26</v>
      </c>
      <c r="H165" s="25">
        <v>810</v>
      </c>
      <c r="I165" s="29">
        <v>54000</v>
      </c>
      <c r="J165" s="29"/>
      <c r="K165" s="29">
        <v>40000</v>
      </c>
      <c r="L165" s="29"/>
      <c r="M165" s="6">
        <f t="shared" si="233"/>
        <v>14000</v>
      </c>
      <c r="N165" s="7">
        <f t="shared" si="234"/>
        <v>0.7407407407407407</v>
      </c>
      <c r="O165" s="12">
        <f t="shared" si="235"/>
        <v>1687.5</v>
      </c>
      <c r="P165" s="12">
        <f t="shared" si="236"/>
        <v>1250</v>
      </c>
      <c r="Q165" s="13">
        <v>3</v>
      </c>
      <c r="R165" s="13">
        <v>2</v>
      </c>
      <c r="S165" s="13" t="s">
        <v>51</v>
      </c>
      <c r="T165" s="8" t="s">
        <v>428</v>
      </c>
      <c r="U165" s="5"/>
      <c r="V165" s="5" t="s">
        <v>1885</v>
      </c>
      <c r="X165" s="23">
        <f t="shared" si="237"/>
        <v>107.4</v>
      </c>
      <c r="Y165" s="21">
        <f t="shared" si="237"/>
        <v>32</v>
      </c>
      <c r="Z165" s="28">
        <f t="shared" si="238"/>
        <v>810</v>
      </c>
      <c r="AA165" s="6">
        <f t="shared" si="238"/>
        <v>54000</v>
      </c>
      <c r="AB165" s="6">
        <f t="shared" si="239"/>
        <v>40000</v>
      </c>
      <c r="AC165" s="6">
        <f t="shared" si="240"/>
        <v>14000</v>
      </c>
      <c r="AD165" s="7">
        <f t="shared" si="240"/>
        <v>0.7407407407407407</v>
      </c>
      <c r="AE165" s="12">
        <f t="shared" si="240"/>
        <v>1687.5</v>
      </c>
      <c r="AF165" s="13" t="str">
        <f t="shared" si="241"/>
        <v>계</v>
      </c>
      <c r="AG165" s="13" t="str">
        <f t="shared" si="242"/>
        <v>3/2</v>
      </c>
      <c r="AI165" s="32" t="str">
        <f t="shared" si="185"/>
        <v>호계e-편한세상</v>
      </c>
      <c r="AJ165" s="21">
        <f t="shared" si="184"/>
        <v>32</v>
      </c>
      <c r="AK165" s="13" t="str">
        <f t="shared" si="243"/>
        <v>A-</v>
      </c>
      <c r="AL165" s="13"/>
      <c r="AM165" s="13"/>
      <c r="AN165" s="13"/>
      <c r="AO165" s="13" t="str">
        <f t="shared" si="244"/>
        <v>C</v>
      </c>
      <c r="AP165" s="13" t="str">
        <f t="shared" si="245"/>
        <v>X</v>
      </c>
      <c r="AQ165" s="13" t="str">
        <f t="shared" si="246"/>
        <v>X</v>
      </c>
      <c r="AR165" s="13" t="str">
        <f t="shared" si="247"/>
        <v>X</v>
      </c>
      <c r="AS165" s="13" t="str">
        <f t="shared" si="248"/>
        <v>X</v>
      </c>
      <c r="AT165" s="13" t="s">
        <v>32</v>
      </c>
      <c r="AU165" s="13" t="str">
        <f t="shared" si="249"/>
        <v>O</v>
      </c>
      <c r="AV165" s="13" t="str">
        <f t="shared" si="250"/>
        <v>O</v>
      </c>
      <c r="AW165" s="13" t="str">
        <f t="shared" si="251"/>
        <v>X</v>
      </c>
    </row>
    <row r="166" spans="1:49" x14ac:dyDescent="0.3">
      <c r="A166" s="5" t="s">
        <v>1882</v>
      </c>
      <c r="B166" s="14" t="s">
        <v>1468</v>
      </c>
      <c r="C166" s="25">
        <v>1752</v>
      </c>
      <c r="D166" s="23">
        <v>107.6</v>
      </c>
      <c r="E166" s="21">
        <v>33</v>
      </c>
      <c r="F166" s="23">
        <v>85</v>
      </c>
      <c r="G166" s="24">
        <v>26</v>
      </c>
      <c r="H166" s="25">
        <v>355</v>
      </c>
      <c r="I166" s="29">
        <v>54000</v>
      </c>
      <c r="J166" s="29"/>
      <c r="K166" s="29">
        <v>40000</v>
      </c>
      <c r="L166" s="29"/>
      <c r="M166" s="6">
        <f t="shared" si="233"/>
        <v>14000</v>
      </c>
      <c r="N166" s="7">
        <f t="shared" si="234"/>
        <v>0.7407407407407407</v>
      </c>
      <c r="O166" s="12">
        <f t="shared" si="235"/>
        <v>1636.3636363636363</v>
      </c>
      <c r="P166" s="12">
        <f t="shared" si="236"/>
        <v>1212.121212121212</v>
      </c>
      <c r="Q166" s="13">
        <v>3</v>
      </c>
      <c r="R166" s="13">
        <v>2</v>
      </c>
      <c r="S166" s="13" t="s">
        <v>51</v>
      </c>
      <c r="T166" s="8" t="s">
        <v>427</v>
      </c>
      <c r="U166" s="5"/>
      <c r="V166" s="5" t="s">
        <v>1886</v>
      </c>
      <c r="X166" s="23">
        <f t="shared" si="237"/>
        <v>107.6</v>
      </c>
      <c r="Y166" s="21">
        <f t="shared" si="237"/>
        <v>33</v>
      </c>
      <c r="Z166" s="28">
        <f t="shared" si="238"/>
        <v>355</v>
      </c>
      <c r="AA166" s="6">
        <f t="shared" si="238"/>
        <v>54000</v>
      </c>
      <c r="AB166" s="6">
        <f t="shared" si="239"/>
        <v>40000</v>
      </c>
      <c r="AC166" s="6">
        <f t="shared" si="240"/>
        <v>14000</v>
      </c>
      <c r="AD166" s="7">
        <f t="shared" si="240"/>
        <v>0.7407407407407407</v>
      </c>
      <c r="AE166" s="12">
        <f t="shared" si="240"/>
        <v>1636.3636363636363</v>
      </c>
      <c r="AF166" s="13" t="str">
        <f t="shared" si="241"/>
        <v>계</v>
      </c>
      <c r="AG166" s="13" t="str">
        <f t="shared" si="242"/>
        <v>3/2</v>
      </c>
      <c r="AI166" s="32" t="str">
        <f t="shared" si="185"/>
        <v>호계e-편한세상</v>
      </c>
      <c r="AJ166" s="21">
        <f t="shared" si="184"/>
        <v>33</v>
      </c>
      <c r="AK166" s="13" t="str">
        <f t="shared" si="243"/>
        <v>A-</v>
      </c>
      <c r="AL166" s="13"/>
      <c r="AM166" s="13"/>
      <c r="AN166" s="13"/>
      <c r="AO166" s="13" t="str">
        <f t="shared" si="244"/>
        <v>C</v>
      </c>
      <c r="AP166" s="13" t="str">
        <f t="shared" si="245"/>
        <v>X</v>
      </c>
      <c r="AQ166" s="13" t="str">
        <f t="shared" si="246"/>
        <v>X</v>
      </c>
      <c r="AR166" s="13" t="str">
        <f t="shared" si="247"/>
        <v>X</v>
      </c>
      <c r="AS166" s="13" t="str">
        <f t="shared" si="248"/>
        <v>X</v>
      </c>
      <c r="AT166" s="13" t="s">
        <v>32</v>
      </c>
      <c r="AU166" s="13" t="str">
        <f t="shared" si="249"/>
        <v>O</v>
      </c>
      <c r="AV166" s="13" t="str">
        <f t="shared" si="250"/>
        <v>O</v>
      </c>
      <c r="AW166" s="13" t="str">
        <f t="shared" si="251"/>
        <v>X</v>
      </c>
    </row>
    <row r="167" spans="1:49" x14ac:dyDescent="0.3">
      <c r="A167" s="5" t="s">
        <v>1882</v>
      </c>
      <c r="B167" s="14" t="s">
        <v>1468</v>
      </c>
      <c r="C167" s="25">
        <v>1752</v>
      </c>
      <c r="D167" s="23">
        <v>122.8</v>
      </c>
      <c r="E167" s="21">
        <v>37</v>
      </c>
      <c r="F167" s="23">
        <v>97.7</v>
      </c>
      <c r="G167" s="24">
        <v>30</v>
      </c>
      <c r="H167" s="25">
        <v>89</v>
      </c>
      <c r="I167" s="29">
        <v>62500</v>
      </c>
      <c r="J167" s="29"/>
      <c r="K167" s="29">
        <v>50000</v>
      </c>
      <c r="L167" s="29"/>
      <c r="M167" s="6">
        <f t="shared" si="233"/>
        <v>12500</v>
      </c>
      <c r="N167" s="7">
        <f t="shared" si="234"/>
        <v>0.8</v>
      </c>
      <c r="O167" s="12">
        <f t="shared" si="235"/>
        <v>1689.1891891891892</v>
      </c>
      <c r="P167" s="12">
        <f t="shared" si="236"/>
        <v>1351.3513513513512</v>
      </c>
      <c r="Q167" s="13">
        <v>3</v>
      </c>
      <c r="R167" s="13">
        <v>2</v>
      </c>
      <c r="S167" s="13" t="s">
        <v>51</v>
      </c>
      <c r="T167" s="8">
        <v>122</v>
      </c>
      <c r="U167" s="5"/>
      <c r="V167" s="5" t="s">
        <v>1887</v>
      </c>
      <c r="X167" s="23">
        <f t="shared" si="237"/>
        <v>122.8</v>
      </c>
      <c r="Y167" s="21">
        <f t="shared" si="237"/>
        <v>37</v>
      </c>
      <c r="Z167" s="28">
        <f t="shared" si="238"/>
        <v>89</v>
      </c>
      <c r="AA167" s="6">
        <f t="shared" si="238"/>
        <v>62500</v>
      </c>
      <c r="AB167" s="6">
        <f t="shared" si="239"/>
        <v>50000</v>
      </c>
      <c r="AC167" s="6">
        <f t="shared" si="240"/>
        <v>12500</v>
      </c>
      <c r="AD167" s="7">
        <f t="shared" si="240"/>
        <v>0.8</v>
      </c>
      <c r="AE167" s="12">
        <f t="shared" si="240"/>
        <v>1689.1891891891892</v>
      </c>
      <c r="AF167" s="13" t="str">
        <f t="shared" si="241"/>
        <v>계</v>
      </c>
      <c r="AG167" s="13" t="str">
        <f t="shared" si="242"/>
        <v>3/2</v>
      </c>
      <c r="AI167" s="32" t="str">
        <f t="shared" si="185"/>
        <v>호계e-편한세상</v>
      </c>
      <c r="AJ167" s="21">
        <f t="shared" si="184"/>
        <v>37</v>
      </c>
      <c r="AK167" s="13" t="str">
        <f t="shared" si="243"/>
        <v>A-</v>
      </c>
      <c r="AL167" s="13"/>
      <c r="AM167" s="13"/>
      <c r="AN167" s="13"/>
      <c r="AO167" s="13" t="str">
        <f t="shared" si="244"/>
        <v>C</v>
      </c>
      <c r="AP167" s="13" t="str">
        <f t="shared" si="245"/>
        <v>O</v>
      </c>
      <c r="AQ167" s="13" t="str">
        <f t="shared" si="246"/>
        <v>X</v>
      </c>
      <c r="AR167" s="13" t="str">
        <f t="shared" si="247"/>
        <v>X</v>
      </c>
      <c r="AS167" s="13" t="str">
        <f t="shared" si="248"/>
        <v>X</v>
      </c>
      <c r="AT167" s="13" t="s">
        <v>32</v>
      </c>
      <c r="AU167" s="13" t="str">
        <f t="shared" si="249"/>
        <v>X</v>
      </c>
      <c r="AV167" s="13" t="str">
        <f t="shared" si="250"/>
        <v>O</v>
      </c>
      <c r="AW167" s="13" t="str">
        <f t="shared" si="251"/>
        <v>X</v>
      </c>
    </row>
    <row r="168" spans="1:49" x14ac:dyDescent="0.3">
      <c r="A168" s="5" t="s">
        <v>1882</v>
      </c>
      <c r="B168" s="14" t="s">
        <v>1468</v>
      </c>
      <c r="C168" s="25">
        <v>1752</v>
      </c>
      <c r="D168" s="23">
        <v>143.80000000000001</v>
      </c>
      <c r="E168" s="21">
        <v>43</v>
      </c>
      <c r="F168" s="23">
        <v>116.5</v>
      </c>
      <c r="G168" s="24">
        <v>35</v>
      </c>
      <c r="H168" s="25">
        <v>210</v>
      </c>
      <c r="I168" s="29">
        <v>74000</v>
      </c>
      <c r="J168" s="29"/>
      <c r="K168" s="29">
        <v>54000</v>
      </c>
      <c r="L168" s="29"/>
      <c r="M168" s="6">
        <f t="shared" si="233"/>
        <v>20000</v>
      </c>
      <c r="N168" s="7">
        <f t="shared" si="234"/>
        <v>0.72972972972972971</v>
      </c>
      <c r="O168" s="12">
        <f t="shared" si="235"/>
        <v>1720.9302325581396</v>
      </c>
      <c r="P168" s="12">
        <f t="shared" si="236"/>
        <v>1255.8139534883721</v>
      </c>
      <c r="Q168" s="13">
        <v>4</v>
      </c>
      <c r="R168" s="13">
        <v>2</v>
      </c>
      <c r="S168" s="13" t="s">
        <v>51</v>
      </c>
      <c r="T168" s="8">
        <v>143</v>
      </c>
      <c r="U168" s="5"/>
      <c r="V168" s="5" t="s">
        <v>1888</v>
      </c>
      <c r="X168" s="23">
        <f t="shared" si="237"/>
        <v>143.80000000000001</v>
      </c>
      <c r="Y168" s="21">
        <f t="shared" si="237"/>
        <v>43</v>
      </c>
      <c r="Z168" s="28">
        <f t="shared" si="238"/>
        <v>210</v>
      </c>
      <c r="AA168" s="6">
        <f t="shared" si="238"/>
        <v>74000</v>
      </c>
      <c r="AB168" s="6">
        <f t="shared" si="239"/>
        <v>54000</v>
      </c>
      <c r="AC168" s="6">
        <f t="shared" si="240"/>
        <v>20000</v>
      </c>
      <c r="AD168" s="7">
        <f t="shared" si="240"/>
        <v>0.72972972972972971</v>
      </c>
      <c r="AE168" s="12">
        <f t="shared" si="240"/>
        <v>1720.9302325581396</v>
      </c>
      <c r="AF168" s="13" t="str">
        <f t="shared" si="241"/>
        <v>계</v>
      </c>
      <c r="AG168" s="13" t="str">
        <f t="shared" si="242"/>
        <v>4/2</v>
      </c>
      <c r="AI168" s="32" t="str">
        <f t="shared" si="185"/>
        <v>호계e-편한세상</v>
      </c>
      <c r="AJ168" s="21">
        <f t="shared" si="184"/>
        <v>43</v>
      </c>
      <c r="AK168" s="13" t="str">
        <f t="shared" si="243"/>
        <v>A-</v>
      </c>
      <c r="AL168" s="13"/>
      <c r="AM168" s="13"/>
      <c r="AN168" s="13"/>
      <c r="AO168" s="13" t="str">
        <f t="shared" si="244"/>
        <v>C</v>
      </c>
      <c r="AP168" s="13" t="str">
        <f t="shared" si="245"/>
        <v>X</v>
      </c>
      <c r="AQ168" s="13" t="str">
        <f t="shared" si="246"/>
        <v>X</v>
      </c>
      <c r="AR168" s="13" t="str">
        <f t="shared" si="247"/>
        <v>X</v>
      </c>
      <c r="AS168" s="13" t="str">
        <f t="shared" si="248"/>
        <v>X</v>
      </c>
      <c r="AT168" s="13" t="s">
        <v>32</v>
      </c>
      <c r="AU168" s="13" t="str">
        <f t="shared" si="249"/>
        <v>X</v>
      </c>
      <c r="AV168" s="13" t="str">
        <f t="shared" si="250"/>
        <v>O</v>
      </c>
      <c r="AW168" s="13" t="str">
        <f t="shared" si="251"/>
        <v>X</v>
      </c>
    </row>
    <row r="169" spans="1:49" x14ac:dyDescent="0.3">
      <c r="A169" s="5" t="s">
        <v>1882</v>
      </c>
      <c r="B169" s="14" t="s">
        <v>1468</v>
      </c>
      <c r="C169" s="25">
        <v>1752</v>
      </c>
      <c r="D169" s="23">
        <v>172</v>
      </c>
      <c r="E169" s="21">
        <v>52</v>
      </c>
      <c r="F169" s="23">
        <v>143.30000000000001</v>
      </c>
      <c r="G169" s="24">
        <v>43</v>
      </c>
      <c r="H169" s="25">
        <v>108</v>
      </c>
      <c r="I169" s="29">
        <v>90000</v>
      </c>
      <c r="J169" s="29"/>
      <c r="K169" s="29">
        <v>62000</v>
      </c>
      <c r="L169" s="29"/>
      <c r="M169" s="6">
        <f t="shared" si="233"/>
        <v>28000</v>
      </c>
      <c r="N169" s="7">
        <f t="shared" si="234"/>
        <v>0.68888888888888888</v>
      </c>
      <c r="O169" s="12">
        <f t="shared" si="235"/>
        <v>1730.7692307692307</v>
      </c>
      <c r="P169" s="12">
        <f t="shared" si="236"/>
        <v>1192.3076923076924</v>
      </c>
      <c r="Q169" s="13">
        <v>4</v>
      </c>
      <c r="R169" s="13">
        <v>2</v>
      </c>
      <c r="S169" s="13" t="s">
        <v>51</v>
      </c>
      <c r="T169" s="8">
        <v>171</v>
      </c>
      <c r="U169" s="5"/>
      <c r="V169" s="5" t="s">
        <v>1889</v>
      </c>
      <c r="X169" s="23">
        <f t="shared" si="237"/>
        <v>172</v>
      </c>
      <c r="Y169" s="21">
        <f t="shared" si="237"/>
        <v>52</v>
      </c>
      <c r="Z169" s="28">
        <f t="shared" si="238"/>
        <v>108</v>
      </c>
      <c r="AA169" s="6">
        <f t="shared" si="238"/>
        <v>90000</v>
      </c>
      <c r="AB169" s="6">
        <f t="shared" si="239"/>
        <v>62000</v>
      </c>
      <c r="AC169" s="6">
        <f t="shared" si="240"/>
        <v>28000</v>
      </c>
      <c r="AD169" s="7">
        <f t="shared" si="240"/>
        <v>0.68888888888888888</v>
      </c>
      <c r="AE169" s="12">
        <f t="shared" si="240"/>
        <v>1730.7692307692307</v>
      </c>
      <c r="AF169" s="13" t="str">
        <f t="shared" si="241"/>
        <v>계</v>
      </c>
      <c r="AG169" s="13" t="str">
        <f t="shared" si="242"/>
        <v>4/2</v>
      </c>
      <c r="AI169" s="32" t="str">
        <f t="shared" si="185"/>
        <v>호계e-편한세상</v>
      </c>
      <c r="AJ169" s="21">
        <f t="shared" si="184"/>
        <v>52</v>
      </c>
      <c r="AK169" s="13" t="str">
        <f t="shared" si="243"/>
        <v>A-</v>
      </c>
      <c r="AL169" s="13"/>
      <c r="AM169" s="13"/>
      <c r="AN169" s="13"/>
      <c r="AO169" s="13" t="str">
        <f t="shared" si="244"/>
        <v>C</v>
      </c>
      <c r="AP169" s="13" t="str">
        <f t="shared" si="245"/>
        <v>X</v>
      </c>
      <c r="AQ169" s="13" t="str">
        <f t="shared" si="246"/>
        <v>X</v>
      </c>
      <c r="AR169" s="13" t="str">
        <f t="shared" si="247"/>
        <v>X</v>
      </c>
      <c r="AS169" s="13" t="str">
        <f t="shared" si="248"/>
        <v>X</v>
      </c>
      <c r="AT169" s="13" t="s">
        <v>32</v>
      </c>
      <c r="AU169" s="13" t="str">
        <f t="shared" si="249"/>
        <v>X</v>
      </c>
      <c r="AV169" s="13" t="str">
        <f t="shared" si="250"/>
        <v>O</v>
      </c>
      <c r="AW169" s="13" t="str">
        <f t="shared" si="251"/>
        <v>X</v>
      </c>
    </row>
    <row r="170" spans="1:49" x14ac:dyDescent="0.3">
      <c r="A170" s="5"/>
      <c r="B170" s="13"/>
      <c r="C170" s="9"/>
      <c r="D170" s="5"/>
      <c r="E170" s="18"/>
      <c r="F170" s="23"/>
      <c r="G170" s="5"/>
      <c r="H170" s="5"/>
      <c r="I170" s="5"/>
      <c r="J170" s="5"/>
      <c r="K170" s="5"/>
      <c r="L170" s="5"/>
      <c r="M170" s="5"/>
      <c r="N170" s="5"/>
      <c r="O170" s="12"/>
      <c r="P170" s="12"/>
      <c r="Q170" s="21"/>
      <c r="R170" s="21"/>
      <c r="S170" s="5"/>
      <c r="T170" s="59"/>
      <c r="U170" s="5"/>
      <c r="V170" s="5"/>
      <c r="X170" s="90" t="str">
        <f>$A$4&amp;" "&amp;A171&amp;"("&amp;B171&amp;","&amp;C171&amp;"^)"</f>
        <v>호계동 샘대우한양('93.11,1072^)</v>
      </c>
      <c r="Y170" s="91"/>
      <c r="Z170" s="91"/>
      <c r="AA170" s="91"/>
      <c r="AB170" s="91"/>
      <c r="AC170" s="91"/>
      <c r="AD170" s="91"/>
      <c r="AE170" s="91"/>
      <c r="AF170" s="91"/>
      <c r="AG170" s="92"/>
      <c r="AI170" s="32" t="str">
        <f t="shared" si="185"/>
        <v/>
      </c>
      <c r="AJ170" s="33" t="str">
        <f t="shared" si="184"/>
        <v/>
      </c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</row>
    <row r="171" spans="1:49" x14ac:dyDescent="0.3">
      <c r="A171" s="5" t="s">
        <v>1890</v>
      </c>
      <c r="B171" s="14" t="s">
        <v>1489</v>
      </c>
      <c r="C171" s="25">
        <v>1072</v>
      </c>
      <c r="D171" s="23">
        <v>101.7</v>
      </c>
      <c r="E171" s="21">
        <v>31</v>
      </c>
      <c r="F171" s="23">
        <v>82.9</v>
      </c>
      <c r="G171" s="24">
        <v>25</v>
      </c>
      <c r="H171" s="25">
        <v>5</v>
      </c>
      <c r="I171" s="29">
        <v>46000</v>
      </c>
      <c r="J171" s="29"/>
      <c r="K171" s="29">
        <v>30000</v>
      </c>
      <c r="L171" s="29"/>
      <c r="M171" s="6">
        <f t="shared" ref="M171:M182" si="252">I171-K171</f>
        <v>16000</v>
      </c>
      <c r="N171" s="7">
        <f t="shared" ref="N171:N182" si="253">IF(ISERROR(K171/I171),"",K171/I171)</f>
        <v>0.65217391304347827</v>
      </c>
      <c r="O171" s="12">
        <f t="shared" ref="O171:O182" si="254">I171/E171</f>
        <v>1483.8709677419354</v>
      </c>
      <c r="P171" s="12">
        <f t="shared" ref="P171:P182" si="255">K171/E171</f>
        <v>967.74193548387098</v>
      </c>
      <c r="Q171" s="13">
        <v>3</v>
      </c>
      <c r="R171" s="13">
        <v>2</v>
      </c>
      <c r="S171" s="13" t="s">
        <v>51</v>
      </c>
      <c r="T171" s="8">
        <v>101</v>
      </c>
      <c r="U171" s="5"/>
      <c r="V171" s="5" t="s">
        <v>1891</v>
      </c>
      <c r="X171" s="23">
        <f t="shared" ref="X171:X182" si="256">D171</f>
        <v>101.7</v>
      </c>
      <c r="Y171" s="21">
        <f t="shared" ref="Y171:Y182" si="257">E171</f>
        <v>31</v>
      </c>
      <c r="Z171" s="28">
        <f t="shared" ref="Z171:Z182" si="258">H171</f>
        <v>5</v>
      </c>
      <c r="AA171" s="6">
        <f t="shared" ref="AA171:AA182" si="259">I171</f>
        <v>46000</v>
      </c>
      <c r="AB171" s="6">
        <f t="shared" ref="AB171:AB182" si="260">K171</f>
        <v>30000</v>
      </c>
      <c r="AC171" s="6">
        <f t="shared" ref="AC171:AC182" si="261">M171</f>
        <v>16000</v>
      </c>
      <c r="AD171" s="7">
        <f t="shared" ref="AD171:AD182" si="262">N171</f>
        <v>0.65217391304347827</v>
      </c>
      <c r="AE171" s="12">
        <f t="shared" ref="AE171:AE182" si="263">O171</f>
        <v>1483.8709677419354</v>
      </c>
      <c r="AF171" s="13" t="str">
        <f t="shared" ref="AF171:AF182" si="264">S171</f>
        <v>계</v>
      </c>
      <c r="AG171" s="13" t="str">
        <f t="shared" ref="AG171:AG182" si="265">Q171&amp;"/"&amp;R171</f>
        <v>3/2</v>
      </c>
      <c r="AI171" s="32" t="str">
        <f t="shared" si="185"/>
        <v>샘대우한양</v>
      </c>
      <c r="AJ171" s="21">
        <f t="shared" si="184"/>
        <v>31</v>
      </c>
      <c r="AK171" s="13" t="str">
        <f t="shared" ref="AK171:AK182" si="266">IF(AJ171="","",$AK$2)</f>
        <v>A-</v>
      </c>
      <c r="AL171" s="13"/>
      <c r="AM171" s="13"/>
      <c r="AN171" s="13"/>
      <c r="AO171" s="13" t="str">
        <f t="shared" ref="AO171:AO182" si="267">IF(AJ171="","",$AO$2)</f>
        <v>C</v>
      </c>
      <c r="AP171" s="13" t="str">
        <f t="shared" ref="AP171:AP182" si="268">IF(N171="","",IF(N171&gt;=$AP$1/100,"O","X"))</f>
        <v>X</v>
      </c>
      <c r="AQ171" s="13" t="str">
        <f t="shared" ref="AQ171:AQ182" si="269">IF(I171="","",IF(I171&lt;=$AQ$1,"O","X"))</f>
        <v>X</v>
      </c>
      <c r="AR171" s="13" t="str">
        <f t="shared" ref="AR171:AR182" si="270">IF(O171="","",IF(O171&lt;=$AR$1,"O","X"))</f>
        <v>X</v>
      </c>
      <c r="AS171" s="13" t="str">
        <f t="shared" ref="AS171:AS182" si="271">IF(M171="","",IF(M171&lt;=$AS$1,"O","X"))</f>
        <v>X</v>
      </c>
      <c r="AT171" s="13" t="s">
        <v>32</v>
      </c>
      <c r="AU171" s="13" t="str">
        <f t="shared" ref="AU171:AU182" si="272">IF(OR(F171="",AJ171=""),"",IF(AND((F171&lt;=85),(AJ171&gt;=15)),"O","X"))</f>
        <v>O</v>
      </c>
      <c r="AV171" s="13" t="str">
        <f t="shared" ref="AV171:AV182" si="273">IF(C171="","",IF(C171&gt;=$AV$1,"O","X"))</f>
        <v>O</v>
      </c>
      <c r="AW171" s="13" t="str">
        <f t="shared" ref="AW171:AW182" si="274">IF(AP171="","",IF(AND(AP171="O",AQ171="O",AS171="O",AU171="O",AV171="O"),"후보","X"))</f>
        <v>X</v>
      </c>
    </row>
    <row r="172" spans="1:49" x14ac:dyDescent="0.3">
      <c r="A172" s="5" t="s">
        <v>1890</v>
      </c>
      <c r="B172" s="14" t="s">
        <v>1489</v>
      </c>
      <c r="C172" s="25">
        <v>1072</v>
      </c>
      <c r="D172" s="23">
        <v>108.9</v>
      </c>
      <c r="E172" s="21">
        <v>33</v>
      </c>
      <c r="F172" s="23">
        <v>88.7</v>
      </c>
      <c r="G172" s="24">
        <v>27</v>
      </c>
      <c r="H172" s="25">
        <v>91</v>
      </c>
      <c r="I172" s="29">
        <v>73000</v>
      </c>
      <c r="J172" s="29"/>
      <c r="K172" s="29">
        <v>45000</v>
      </c>
      <c r="L172" s="29"/>
      <c r="M172" s="6">
        <f t="shared" si="252"/>
        <v>28000</v>
      </c>
      <c r="N172" s="7">
        <f t="shared" si="253"/>
        <v>0.61643835616438358</v>
      </c>
      <c r="O172" s="12">
        <f t="shared" si="254"/>
        <v>2212.121212121212</v>
      </c>
      <c r="P172" s="12">
        <f t="shared" si="255"/>
        <v>1363.6363636363637</v>
      </c>
      <c r="Q172" s="13">
        <v>3</v>
      </c>
      <c r="R172" s="13">
        <v>2</v>
      </c>
      <c r="S172" s="13" t="s">
        <v>51</v>
      </c>
      <c r="T172" s="8" t="s">
        <v>187</v>
      </c>
      <c r="U172" s="5"/>
      <c r="V172" s="5" t="s">
        <v>1892</v>
      </c>
      <c r="X172" s="23">
        <f t="shared" si="256"/>
        <v>108.9</v>
      </c>
      <c r="Y172" s="21">
        <f t="shared" si="257"/>
        <v>33</v>
      </c>
      <c r="Z172" s="28">
        <f t="shared" si="258"/>
        <v>91</v>
      </c>
      <c r="AA172" s="6">
        <f t="shared" si="259"/>
        <v>73000</v>
      </c>
      <c r="AB172" s="6">
        <f t="shared" si="260"/>
        <v>45000</v>
      </c>
      <c r="AC172" s="6">
        <f t="shared" si="261"/>
        <v>28000</v>
      </c>
      <c r="AD172" s="7">
        <f t="shared" si="262"/>
        <v>0.61643835616438358</v>
      </c>
      <c r="AE172" s="12">
        <f t="shared" si="263"/>
        <v>2212.121212121212</v>
      </c>
      <c r="AF172" s="13" t="str">
        <f t="shared" si="264"/>
        <v>계</v>
      </c>
      <c r="AG172" s="13" t="str">
        <f t="shared" si="265"/>
        <v>3/2</v>
      </c>
      <c r="AI172" s="32" t="str">
        <f t="shared" si="185"/>
        <v>샘대우한양</v>
      </c>
      <c r="AJ172" s="21">
        <f t="shared" si="184"/>
        <v>33</v>
      </c>
      <c r="AK172" s="13" t="str">
        <f t="shared" si="266"/>
        <v>A-</v>
      </c>
      <c r="AL172" s="13"/>
      <c r="AM172" s="13"/>
      <c r="AN172" s="13"/>
      <c r="AO172" s="13" t="str">
        <f t="shared" si="267"/>
        <v>C</v>
      </c>
      <c r="AP172" s="13" t="str">
        <f t="shared" si="268"/>
        <v>X</v>
      </c>
      <c r="AQ172" s="13" t="str">
        <f t="shared" si="269"/>
        <v>X</v>
      </c>
      <c r="AR172" s="13" t="str">
        <f t="shared" si="270"/>
        <v>X</v>
      </c>
      <c r="AS172" s="13" t="str">
        <f t="shared" si="271"/>
        <v>X</v>
      </c>
      <c r="AT172" s="13" t="s">
        <v>32</v>
      </c>
      <c r="AU172" s="13" t="str">
        <f t="shared" si="272"/>
        <v>X</v>
      </c>
      <c r="AV172" s="13" t="str">
        <f t="shared" si="273"/>
        <v>O</v>
      </c>
      <c r="AW172" s="13" t="str">
        <f t="shared" si="274"/>
        <v>X</v>
      </c>
    </row>
    <row r="173" spans="1:49" x14ac:dyDescent="0.3">
      <c r="A173" s="5" t="s">
        <v>1890</v>
      </c>
      <c r="B173" s="14" t="s">
        <v>1489</v>
      </c>
      <c r="C173" s="25">
        <v>1072</v>
      </c>
      <c r="D173" s="23">
        <v>109</v>
      </c>
      <c r="E173" s="21">
        <v>33</v>
      </c>
      <c r="F173" s="23">
        <v>88.8</v>
      </c>
      <c r="G173" s="24">
        <v>27</v>
      </c>
      <c r="H173" s="25">
        <v>96</v>
      </c>
      <c r="I173" s="29">
        <v>73000</v>
      </c>
      <c r="J173" s="29"/>
      <c r="K173" s="29">
        <v>45000</v>
      </c>
      <c r="L173" s="29"/>
      <c r="M173" s="6">
        <f t="shared" si="252"/>
        <v>28000</v>
      </c>
      <c r="N173" s="7">
        <f t="shared" si="253"/>
        <v>0.61643835616438358</v>
      </c>
      <c r="O173" s="12">
        <f t="shared" si="254"/>
        <v>2212.121212121212</v>
      </c>
      <c r="P173" s="12">
        <f t="shared" si="255"/>
        <v>1363.6363636363637</v>
      </c>
      <c r="Q173" s="13">
        <v>3</v>
      </c>
      <c r="R173" s="13">
        <v>2</v>
      </c>
      <c r="S173" s="13" t="s">
        <v>51</v>
      </c>
      <c r="T173" s="8" t="s">
        <v>521</v>
      </c>
      <c r="U173" s="5"/>
      <c r="V173" s="5" t="s">
        <v>1892</v>
      </c>
      <c r="X173" s="23">
        <f t="shared" si="256"/>
        <v>109</v>
      </c>
      <c r="Y173" s="21">
        <f t="shared" si="257"/>
        <v>33</v>
      </c>
      <c r="Z173" s="28">
        <f t="shared" si="258"/>
        <v>96</v>
      </c>
      <c r="AA173" s="6">
        <f t="shared" si="259"/>
        <v>73000</v>
      </c>
      <c r="AB173" s="6">
        <f t="shared" si="260"/>
        <v>45000</v>
      </c>
      <c r="AC173" s="6">
        <f t="shared" si="261"/>
        <v>28000</v>
      </c>
      <c r="AD173" s="7">
        <f t="shared" si="262"/>
        <v>0.61643835616438358</v>
      </c>
      <c r="AE173" s="12">
        <f t="shared" si="263"/>
        <v>2212.121212121212</v>
      </c>
      <c r="AF173" s="13" t="str">
        <f t="shared" si="264"/>
        <v>계</v>
      </c>
      <c r="AG173" s="13" t="str">
        <f t="shared" si="265"/>
        <v>3/2</v>
      </c>
      <c r="AI173" s="32" t="str">
        <f t="shared" si="185"/>
        <v>샘대우한양</v>
      </c>
      <c r="AJ173" s="21">
        <f t="shared" si="184"/>
        <v>33</v>
      </c>
      <c r="AK173" s="13" t="str">
        <f t="shared" si="266"/>
        <v>A-</v>
      </c>
      <c r="AL173" s="13"/>
      <c r="AM173" s="13"/>
      <c r="AN173" s="13"/>
      <c r="AO173" s="13" t="str">
        <f t="shared" si="267"/>
        <v>C</v>
      </c>
      <c r="AP173" s="13" t="str">
        <f t="shared" si="268"/>
        <v>X</v>
      </c>
      <c r="AQ173" s="13" t="str">
        <f t="shared" si="269"/>
        <v>X</v>
      </c>
      <c r="AR173" s="13" t="str">
        <f t="shared" si="270"/>
        <v>X</v>
      </c>
      <c r="AS173" s="13" t="str">
        <f t="shared" si="271"/>
        <v>X</v>
      </c>
      <c r="AT173" s="13" t="s">
        <v>32</v>
      </c>
      <c r="AU173" s="13" t="str">
        <f t="shared" si="272"/>
        <v>X</v>
      </c>
      <c r="AV173" s="13" t="str">
        <f t="shared" si="273"/>
        <v>O</v>
      </c>
      <c r="AW173" s="13" t="str">
        <f t="shared" si="274"/>
        <v>X</v>
      </c>
    </row>
    <row r="174" spans="1:49" x14ac:dyDescent="0.3">
      <c r="A174" s="5" t="s">
        <v>1890</v>
      </c>
      <c r="B174" s="14" t="s">
        <v>1489</v>
      </c>
      <c r="C174" s="25">
        <v>1072</v>
      </c>
      <c r="D174" s="23">
        <v>110.4</v>
      </c>
      <c r="E174" s="21">
        <v>33</v>
      </c>
      <c r="F174" s="23">
        <v>91.2</v>
      </c>
      <c r="G174" s="24">
        <v>28</v>
      </c>
      <c r="H174" s="25">
        <v>7</v>
      </c>
      <c r="I174" s="29">
        <v>76500</v>
      </c>
      <c r="J174" s="29"/>
      <c r="K174" s="29">
        <v>46500</v>
      </c>
      <c r="L174" s="29"/>
      <c r="M174" s="6">
        <f t="shared" si="252"/>
        <v>30000</v>
      </c>
      <c r="N174" s="7">
        <f t="shared" si="253"/>
        <v>0.60784313725490191</v>
      </c>
      <c r="O174" s="12">
        <f t="shared" si="254"/>
        <v>2318.181818181818</v>
      </c>
      <c r="P174" s="12">
        <f t="shared" si="255"/>
        <v>1409.090909090909</v>
      </c>
      <c r="Q174" s="13">
        <v>3</v>
      </c>
      <c r="R174" s="13">
        <v>2</v>
      </c>
      <c r="S174" s="13" t="s">
        <v>51</v>
      </c>
      <c r="T174" s="8" t="s">
        <v>459</v>
      </c>
      <c r="U174" s="5"/>
      <c r="V174" s="5" t="s">
        <v>1893</v>
      </c>
      <c r="X174" s="23">
        <f t="shared" si="256"/>
        <v>110.4</v>
      </c>
      <c r="Y174" s="21">
        <f t="shared" si="257"/>
        <v>33</v>
      </c>
      <c r="Z174" s="28">
        <f t="shared" si="258"/>
        <v>7</v>
      </c>
      <c r="AA174" s="6">
        <f t="shared" si="259"/>
        <v>76500</v>
      </c>
      <c r="AB174" s="6">
        <f t="shared" si="260"/>
        <v>46500</v>
      </c>
      <c r="AC174" s="6">
        <f t="shared" si="261"/>
        <v>30000</v>
      </c>
      <c r="AD174" s="7">
        <f t="shared" si="262"/>
        <v>0.60784313725490191</v>
      </c>
      <c r="AE174" s="12">
        <f t="shared" si="263"/>
        <v>2318.181818181818</v>
      </c>
      <c r="AF174" s="13" t="str">
        <f t="shared" si="264"/>
        <v>계</v>
      </c>
      <c r="AG174" s="13" t="str">
        <f t="shared" si="265"/>
        <v>3/2</v>
      </c>
      <c r="AI174" s="32" t="str">
        <f t="shared" si="185"/>
        <v>샘대우한양</v>
      </c>
      <c r="AJ174" s="21">
        <f t="shared" si="184"/>
        <v>33</v>
      </c>
      <c r="AK174" s="13" t="str">
        <f t="shared" si="266"/>
        <v>A-</v>
      </c>
      <c r="AL174" s="13"/>
      <c r="AM174" s="13"/>
      <c r="AN174" s="13"/>
      <c r="AO174" s="13" t="str">
        <f t="shared" si="267"/>
        <v>C</v>
      </c>
      <c r="AP174" s="13" t="str">
        <f t="shared" si="268"/>
        <v>X</v>
      </c>
      <c r="AQ174" s="13" t="str">
        <f t="shared" si="269"/>
        <v>X</v>
      </c>
      <c r="AR174" s="13" t="str">
        <f t="shared" si="270"/>
        <v>X</v>
      </c>
      <c r="AS174" s="13" t="str">
        <f t="shared" si="271"/>
        <v>X</v>
      </c>
      <c r="AT174" s="13" t="s">
        <v>32</v>
      </c>
      <c r="AU174" s="13" t="str">
        <f t="shared" si="272"/>
        <v>X</v>
      </c>
      <c r="AV174" s="13" t="str">
        <f t="shared" si="273"/>
        <v>O</v>
      </c>
      <c r="AW174" s="13" t="str">
        <f t="shared" si="274"/>
        <v>X</v>
      </c>
    </row>
    <row r="175" spans="1:49" x14ac:dyDescent="0.3">
      <c r="A175" s="5" t="s">
        <v>1890</v>
      </c>
      <c r="B175" s="14" t="s">
        <v>1489</v>
      </c>
      <c r="C175" s="25">
        <v>1072</v>
      </c>
      <c r="D175" s="23">
        <v>123.7</v>
      </c>
      <c r="E175" s="21">
        <v>37</v>
      </c>
      <c r="F175" s="23">
        <v>101.9</v>
      </c>
      <c r="G175" s="24">
        <v>31</v>
      </c>
      <c r="H175" s="25">
        <v>210</v>
      </c>
      <c r="I175" s="29">
        <v>76000</v>
      </c>
      <c r="J175" s="29"/>
      <c r="K175" s="29">
        <v>52000</v>
      </c>
      <c r="L175" s="29"/>
      <c r="M175" s="6">
        <f t="shared" si="252"/>
        <v>24000</v>
      </c>
      <c r="N175" s="7">
        <f t="shared" si="253"/>
        <v>0.68421052631578949</v>
      </c>
      <c r="O175" s="12">
        <f t="shared" si="254"/>
        <v>2054.0540540540542</v>
      </c>
      <c r="P175" s="12">
        <f t="shared" si="255"/>
        <v>1405.4054054054054</v>
      </c>
      <c r="Q175" s="13">
        <v>4</v>
      </c>
      <c r="R175" s="13">
        <v>2</v>
      </c>
      <c r="S175" s="13" t="s">
        <v>51</v>
      </c>
      <c r="T175" s="8" t="s">
        <v>1177</v>
      </c>
      <c r="U175" s="5"/>
      <c r="V175" s="5" t="s">
        <v>1894</v>
      </c>
      <c r="X175" s="23">
        <f t="shared" si="256"/>
        <v>123.7</v>
      </c>
      <c r="Y175" s="21">
        <f t="shared" si="257"/>
        <v>37</v>
      </c>
      <c r="Z175" s="28">
        <f t="shared" si="258"/>
        <v>210</v>
      </c>
      <c r="AA175" s="6">
        <f t="shared" si="259"/>
        <v>76000</v>
      </c>
      <c r="AB175" s="6">
        <f t="shared" si="260"/>
        <v>52000</v>
      </c>
      <c r="AC175" s="6">
        <f t="shared" si="261"/>
        <v>24000</v>
      </c>
      <c r="AD175" s="7">
        <f t="shared" si="262"/>
        <v>0.68421052631578949</v>
      </c>
      <c r="AE175" s="12">
        <f t="shared" si="263"/>
        <v>2054.0540540540542</v>
      </c>
      <c r="AF175" s="13" t="str">
        <f t="shared" si="264"/>
        <v>계</v>
      </c>
      <c r="AG175" s="13" t="str">
        <f t="shared" si="265"/>
        <v>4/2</v>
      </c>
      <c r="AI175" s="32" t="str">
        <f t="shared" si="185"/>
        <v>샘대우한양</v>
      </c>
      <c r="AJ175" s="21">
        <f t="shared" si="184"/>
        <v>37</v>
      </c>
      <c r="AK175" s="13" t="str">
        <f t="shared" si="266"/>
        <v>A-</v>
      </c>
      <c r="AL175" s="13"/>
      <c r="AM175" s="13"/>
      <c r="AN175" s="13"/>
      <c r="AO175" s="13" t="str">
        <f t="shared" si="267"/>
        <v>C</v>
      </c>
      <c r="AP175" s="13" t="str">
        <f t="shared" si="268"/>
        <v>X</v>
      </c>
      <c r="AQ175" s="13" t="str">
        <f t="shared" si="269"/>
        <v>X</v>
      </c>
      <c r="AR175" s="13" t="str">
        <f t="shared" si="270"/>
        <v>X</v>
      </c>
      <c r="AS175" s="13" t="str">
        <f t="shared" si="271"/>
        <v>X</v>
      </c>
      <c r="AT175" s="13" t="s">
        <v>32</v>
      </c>
      <c r="AU175" s="13" t="str">
        <f t="shared" si="272"/>
        <v>X</v>
      </c>
      <c r="AV175" s="13" t="str">
        <f t="shared" si="273"/>
        <v>O</v>
      </c>
      <c r="AW175" s="13" t="str">
        <f t="shared" si="274"/>
        <v>X</v>
      </c>
    </row>
    <row r="176" spans="1:49" x14ac:dyDescent="0.3">
      <c r="A176" s="5" t="s">
        <v>1890</v>
      </c>
      <c r="B176" s="14" t="s">
        <v>1489</v>
      </c>
      <c r="C176" s="25">
        <v>1072</v>
      </c>
      <c r="D176" s="23">
        <v>123.5</v>
      </c>
      <c r="E176" s="21">
        <v>37</v>
      </c>
      <c r="F176" s="23">
        <v>102</v>
      </c>
      <c r="G176" s="24">
        <v>31</v>
      </c>
      <c r="H176" s="25">
        <v>203</v>
      </c>
      <c r="I176" s="29">
        <v>76000</v>
      </c>
      <c r="J176" s="29"/>
      <c r="K176" s="29">
        <v>52000</v>
      </c>
      <c r="L176" s="29"/>
      <c r="M176" s="6">
        <f t="shared" si="252"/>
        <v>24000</v>
      </c>
      <c r="N176" s="7">
        <f t="shared" si="253"/>
        <v>0.68421052631578949</v>
      </c>
      <c r="O176" s="12">
        <f t="shared" si="254"/>
        <v>2054.0540540540542</v>
      </c>
      <c r="P176" s="12">
        <f t="shared" si="255"/>
        <v>1405.4054054054054</v>
      </c>
      <c r="Q176" s="13">
        <v>4</v>
      </c>
      <c r="R176" s="13">
        <v>2</v>
      </c>
      <c r="S176" s="13" t="s">
        <v>51</v>
      </c>
      <c r="T176" s="8" t="s">
        <v>1178</v>
      </c>
      <c r="U176" s="5"/>
      <c r="V176" s="5" t="s">
        <v>1895</v>
      </c>
      <c r="X176" s="23">
        <f t="shared" si="256"/>
        <v>123.5</v>
      </c>
      <c r="Y176" s="21">
        <f t="shared" si="257"/>
        <v>37</v>
      </c>
      <c r="Z176" s="28">
        <f t="shared" si="258"/>
        <v>203</v>
      </c>
      <c r="AA176" s="6">
        <f t="shared" si="259"/>
        <v>76000</v>
      </c>
      <c r="AB176" s="6">
        <f t="shared" si="260"/>
        <v>52000</v>
      </c>
      <c r="AC176" s="6">
        <f t="shared" si="261"/>
        <v>24000</v>
      </c>
      <c r="AD176" s="7">
        <f t="shared" si="262"/>
        <v>0.68421052631578949</v>
      </c>
      <c r="AE176" s="12">
        <f t="shared" si="263"/>
        <v>2054.0540540540542</v>
      </c>
      <c r="AF176" s="13" t="str">
        <f t="shared" si="264"/>
        <v>계</v>
      </c>
      <c r="AG176" s="13" t="str">
        <f t="shared" si="265"/>
        <v>4/2</v>
      </c>
      <c r="AI176" s="32" t="str">
        <f t="shared" si="185"/>
        <v>샘대우한양</v>
      </c>
      <c r="AJ176" s="21">
        <f t="shared" si="184"/>
        <v>37</v>
      </c>
      <c r="AK176" s="13" t="str">
        <f t="shared" si="266"/>
        <v>A-</v>
      </c>
      <c r="AL176" s="13"/>
      <c r="AM176" s="13"/>
      <c r="AN176" s="13"/>
      <c r="AO176" s="13" t="str">
        <f t="shared" si="267"/>
        <v>C</v>
      </c>
      <c r="AP176" s="13" t="str">
        <f t="shared" si="268"/>
        <v>X</v>
      </c>
      <c r="AQ176" s="13" t="str">
        <f t="shared" si="269"/>
        <v>X</v>
      </c>
      <c r="AR176" s="13" t="str">
        <f t="shared" si="270"/>
        <v>X</v>
      </c>
      <c r="AS176" s="13" t="str">
        <f t="shared" si="271"/>
        <v>X</v>
      </c>
      <c r="AT176" s="13" t="s">
        <v>32</v>
      </c>
      <c r="AU176" s="13" t="str">
        <f t="shared" si="272"/>
        <v>X</v>
      </c>
      <c r="AV176" s="13" t="str">
        <f t="shared" si="273"/>
        <v>O</v>
      </c>
      <c r="AW176" s="13" t="str">
        <f t="shared" si="274"/>
        <v>X</v>
      </c>
    </row>
    <row r="177" spans="1:49" x14ac:dyDescent="0.3">
      <c r="A177" s="5" t="s">
        <v>1890</v>
      </c>
      <c r="B177" s="14" t="s">
        <v>1489</v>
      </c>
      <c r="C177" s="25">
        <v>1072</v>
      </c>
      <c r="D177" s="23">
        <v>145.1</v>
      </c>
      <c r="E177" s="21">
        <v>44</v>
      </c>
      <c r="F177" s="23">
        <v>120.4</v>
      </c>
      <c r="G177" s="24">
        <v>36</v>
      </c>
      <c r="H177" s="25">
        <v>3</v>
      </c>
      <c r="I177" s="29">
        <v>54800</v>
      </c>
      <c r="J177" s="29"/>
      <c r="K177" s="29"/>
      <c r="L177" s="29"/>
      <c r="M177" s="6">
        <f t="shared" si="252"/>
        <v>54800</v>
      </c>
      <c r="N177" s="7">
        <f t="shared" si="253"/>
        <v>0</v>
      </c>
      <c r="O177" s="12">
        <f t="shared" si="254"/>
        <v>1245.4545454545455</v>
      </c>
      <c r="P177" s="12">
        <f t="shared" si="255"/>
        <v>0</v>
      </c>
      <c r="Q177" s="13">
        <v>4</v>
      </c>
      <c r="R177" s="13">
        <v>2</v>
      </c>
      <c r="S177" s="13" t="s">
        <v>51</v>
      </c>
      <c r="T177" s="8">
        <v>145</v>
      </c>
      <c r="U177" s="5"/>
      <c r="V177" s="5" t="s">
        <v>1896</v>
      </c>
      <c r="X177" s="23">
        <f t="shared" si="256"/>
        <v>145.1</v>
      </c>
      <c r="Y177" s="21">
        <f t="shared" si="257"/>
        <v>44</v>
      </c>
      <c r="Z177" s="28">
        <f t="shared" si="258"/>
        <v>3</v>
      </c>
      <c r="AA177" s="6">
        <f t="shared" si="259"/>
        <v>54800</v>
      </c>
      <c r="AB177" s="6">
        <f t="shared" si="260"/>
        <v>0</v>
      </c>
      <c r="AC177" s="6">
        <f t="shared" si="261"/>
        <v>54800</v>
      </c>
      <c r="AD177" s="7">
        <f t="shared" si="262"/>
        <v>0</v>
      </c>
      <c r="AE177" s="12">
        <f t="shared" si="263"/>
        <v>1245.4545454545455</v>
      </c>
      <c r="AF177" s="13" t="str">
        <f t="shared" si="264"/>
        <v>계</v>
      </c>
      <c r="AG177" s="13" t="str">
        <f t="shared" si="265"/>
        <v>4/2</v>
      </c>
      <c r="AI177" s="32" t="str">
        <f t="shared" si="185"/>
        <v>샘대우한양</v>
      </c>
      <c r="AJ177" s="21">
        <f t="shared" si="184"/>
        <v>44</v>
      </c>
      <c r="AK177" s="13" t="str">
        <f t="shared" si="266"/>
        <v>A-</v>
      </c>
      <c r="AL177" s="13"/>
      <c r="AM177" s="13"/>
      <c r="AN177" s="13"/>
      <c r="AO177" s="13" t="str">
        <f t="shared" si="267"/>
        <v>C</v>
      </c>
      <c r="AP177" s="13" t="str">
        <f t="shared" si="268"/>
        <v>X</v>
      </c>
      <c r="AQ177" s="13" t="str">
        <f t="shared" si="269"/>
        <v>X</v>
      </c>
      <c r="AR177" s="13" t="str">
        <f t="shared" si="270"/>
        <v>X</v>
      </c>
      <c r="AS177" s="13" t="str">
        <f t="shared" si="271"/>
        <v>X</v>
      </c>
      <c r="AT177" s="13" t="s">
        <v>32</v>
      </c>
      <c r="AU177" s="13" t="str">
        <f t="shared" si="272"/>
        <v>X</v>
      </c>
      <c r="AV177" s="13" t="str">
        <f t="shared" si="273"/>
        <v>O</v>
      </c>
      <c r="AW177" s="13" t="str">
        <f t="shared" si="274"/>
        <v>X</v>
      </c>
    </row>
    <row r="178" spans="1:49" x14ac:dyDescent="0.3">
      <c r="A178" s="5" t="s">
        <v>1890</v>
      </c>
      <c r="B178" s="14" t="s">
        <v>1489</v>
      </c>
      <c r="C178" s="25">
        <v>1072</v>
      </c>
      <c r="D178" s="23">
        <v>162.5</v>
      </c>
      <c r="E178" s="21">
        <v>49</v>
      </c>
      <c r="F178" s="23">
        <v>134.6</v>
      </c>
      <c r="G178" s="24">
        <v>41</v>
      </c>
      <c r="H178" s="25">
        <v>136</v>
      </c>
      <c r="I178" s="29">
        <v>95000</v>
      </c>
      <c r="J178" s="29"/>
      <c r="K178" s="29">
        <v>63000</v>
      </c>
      <c r="L178" s="29"/>
      <c r="M178" s="6">
        <f t="shared" si="252"/>
        <v>32000</v>
      </c>
      <c r="N178" s="7">
        <f t="shared" si="253"/>
        <v>0.66315789473684206</v>
      </c>
      <c r="O178" s="12">
        <f t="shared" si="254"/>
        <v>1938.7755102040817</v>
      </c>
      <c r="P178" s="12">
        <f t="shared" si="255"/>
        <v>1285.7142857142858</v>
      </c>
      <c r="Q178" s="13">
        <v>4</v>
      </c>
      <c r="R178" s="13">
        <v>2</v>
      </c>
      <c r="S178" s="13" t="s">
        <v>51</v>
      </c>
      <c r="T178" s="8" t="s">
        <v>1179</v>
      </c>
      <c r="U178" s="5"/>
      <c r="V178" s="5" t="s">
        <v>1897</v>
      </c>
      <c r="X178" s="23">
        <f t="shared" si="256"/>
        <v>162.5</v>
      </c>
      <c r="Y178" s="21">
        <f t="shared" si="257"/>
        <v>49</v>
      </c>
      <c r="Z178" s="28">
        <f t="shared" si="258"/>
        <v>136</v>
      </c>
      <c r="AA178" s="6">
        <f t="shared" si="259"/>
        <v>95000</v>
      </c>
      <c r="AB178" s="6">
        <f t="shared" si="260"/>
        <v>63000</v>
      </c>
      <c r="AC178" s="6">
        <f t="shared" si="261"/>
        <v>32000</v>
      </c>
      <c r="AD178" s="7">
        <f t="shared" si="262"/>
        <v>0.66315789473684206</v>
      </c>
      <c r="AE178" s="12">
        <f t="shared" si="263"/>
        <v>1938.7755102040817</v>
      </c>
      <c r="AF178" s="13" t="str">
        <f t="shared" si="264"/>
        <v>계</v>
      </c>
      <c r="AG178" s="13" t="str">
        <f t="shared" si="265"/>
        <v>4/2</v>
      </c>
      <c r="AI178" s="32" t="str">
        <f t="shared" si="185"/>
        <v>샘대우한양</v>
      </c>
      <c r="AJ178" s="21">
        <f t="shared" si="184"/>
        <v>49</v>
      </c>
      <c r="AK178" s="13" t="str">
        <f t="shared" si="266"/>
        <v>A-</v>
      </c>
      <c r="AL178" s="13"/>
      <c r="AM178" s="13"/>
      <c r="AN178" s="13"/>
      <c r="AO178" s="13" t="str">
        <f t="shared" si="267"/>
        <v>C</v>
      </c>
      <c r="AP178" s="13" t="str">
        <f t="shared" si="268"/>
        <v>X</v>
      </c>
      <c r="AQ178" s="13" t="str">
        <f t="shared" si="269"/>
        <v>X</v>
      </c>
      <c r="AR178" s="13" t="str">
        <f t="shared" si="270"/>
        <v>X</v>
      </c>
      <c r="AS178" s="13" t="str">
        <f t="shared" si="271"/>
        <v>X</v>
      </c>
      <c r="AT178" s="13" t="s">
        <v>32</v>
      </c>
      <c r="AU178" s="13" t="str">
        <f t="shared" si="272"/>
        <v>X</v>
      </c>
      <c r="AV178" s="13" t="str">
        <f t="shared" si="273"/>
        <v>O</v>
      </c>
      <c r="AW178" s="13" t="str">
        <f t="shared" si="274"/>
        <v>X</v>
      </c>
    </row>
    <row r="179" spans="1:49" x14ac:dyDescent="0.3">
      <c r="A179" s="5" t="s">
        <v>1890</v>
      </c>
      <c r="B179" s="14" t="s">
        <v>1489</v>
      </c>
      <c r="C179" s="25">
        <v>1072</v>
      </c>
      <c r="D179" s="23">
        <v>162.19999999999999</v>
      </c>
      <c r="E179" s="21">
        <v>49</v>
      </c>
      <c r="F179" s="23">
        <v>134.6</v>
      </c>
      <c r="G179" s="24">
        <v>41</v>
      </c>
      <c r="H179" s="25">
        <v>133</v>
      </c>
      <c r="I179" s="29">
        <v>92000</v>
      </c>
      <c r="J179" s="29"/>
      <c r="K179" s="29">
        <v>65000</v>
      </c>
      <c r="L179" s="29"/>
      <c r="M179" s="6">
        <f t="shared" si="252"/>
        <v>27000</v>
      </c>
      <c r="N179" s="7">
        <f t="shared" si="253"/>
        <v>0.70652173913043481</v>
      </c>
      <c r="O179" s="12">
        <f t="shared" si="254"/>
        <v>1877.5510204081634</v>
      </c>
      <c r="P179" s="12">
        <f t="shared" si="255"/>
        <v>1326.5306122448981</v>
      </c>
      <c r="Q179" s="13">
        <v>4</v>
      </c>
      <c r="R179" s="13">
        <v>2</v>
      </c>
      <c r="S179" s="13" t="s">
        <v>51</v>
      </c>
      <c r="T179" s="8" t="s">
        <v>1180</v>
      </c>
      <c r="U179" s="5"/>
      <c r="V179" s="5" t="s">
        <v>1897</v>
      </c>
      <c r="X179" s="23">
        <f t="shared" si="256"/>
        <v>162.19999999999999</v>
      </c>
      <c r="Y179" s="21">
        <f t="shared" si="257"/>
        <v>49</v>
      </c>
      <c r="Z179" s="28">
        <f t="shared" si="258"/>
        <v>133</v>
      </c>
      <c r="AA179" s="6">
        <f t="shared" si="259"/>
        <v>92000</v>
      </c>
      <c r="AB179" s="6">
        <f t="shared" si="260"/>
        <v>65000</v>
      </c>
      <c r="AC179" s="6">
        <f t="shared" si="261"/>
        <v>27000</v>
      </c>
      <c r="AD179" s="7">
        <f t="shared" si="262"/>
        <v>0.70652173913043481</v>
      </c>
      <c r="AE179" s="12">
        <f t="shared" si="263"/>
        <v>1877.5510204081634</v>
      </c>
      <c r="AF179" s="13" t="str">
        <f t="shared" si="264"/>
        <v>계</v>
      </c>
      <c r="AG179" s="13" t="str">
        <f t="shared" si="265"/>
        <v>4/2</v>
      </c>
      <c r="AI179" s="32" t="str">
        <f t="shared" si="185"/>
        <v>샘대우한양</v>
      </c>
      <c r="AJ179" s="21">
        <f t="shared" si="184"/>
        <v>49</v>
      </c>
      <c r="AK179" s="13" t="str">
        <f t="shared" si="266"/>
        <v>A-</v>
      </c>
      <c r="AL179" s="13"/>
      <c r="AM179" s="13"/>
      <c r="AN179" s="13"/>
      <c r="AO179" s="13" t="str">
        <f t="shared" si="267"/>
        <v>C</v>
      </c>
      <c r="AP179" s="13" t="str">
        <f t="shared" si="268"/>
        <v>X</v>
      </c>
      <c r="AQ179" s="13" t="str">
        <f t="shared" si="269"/>
        <v>X</v>
      </c>
      <c r="AR179" s="13" t="str">
        <f t="shared" si="270"/>
        <v>X</v>
      </c>
      <c r="AS179" s="13" t="str">
        <f t="shared" si="271"/>
        <v>X</v>
      </c>
      <c r="AT179" s="13" t="s">
        <v>32</v>
      </c>
      <c r="AU179" s="13" t="str">
        <f t="shared" si="272"/>
        <v>X</v>
      </c>
      <c r="AV179" s="13" t="str">
        <f t="shared" si="273"/>
        <v>O</v>
      </c>
      <c r="AW179" s="13" t="str">
        <f t="shared" si="274"/>
        <v>X</v>
      </c>
    </row>
    <row r="180" spans="1:49" x14ac:dyDescent="0.3">
      <c r="A180" s="5" t="s">
        <v>1890</v>
      </c>
      <c r="B180" s="14" t="s">
        <v>1489</v>
      </c>
      <c r="C180" s="25">
        <v>1072</v>
      </c>
      <c r="D180" s="23">
        <v>177.6</v>
      </c>
      <c r="E180" s="21">
        <v>54</v>
      </c>
      <c r="F180" s="23">
        <v>147.30000000000001</v>
      </c>
      <c r="G180" s="24">
        <v>45</v>
      </c>
      <c r="H180" s="25">
        <v>2</v>
      </c>
      <c r="I180" s="29">
        <v>52000</v>
      </c>
      <c r="J180" s="29"/>
      <c r="K180" s="29"/>
      <c r="L180" s="29"/>
      <c r="M180" s="6">
        <f t="shared" si="252"/>
        <v>52000</v>
      </c>
      <c r="N180" s="7">
        <f t="shared" si="253"/>
        <v>0</v>
      </c>
      <c r="O180" s="12">
        <f t="shared" si="254"/>
        <v>962.96296296296293</v>
      </c>
      <c r="P180" s="12">
        <f t="shared" si="255"/>
        <v>0</v>
      </c>
      <c r="Q180" s="13">
        <v>4</v>
      </c>
      <c r="R180" s="13">
        <v>2</v>
      </c>
      <c r="S180" s="13" t="s">
        <v>51</v>
      </c>
      <c r="T180" s="8">
        <v>177</v>
      </c>
      <c r="U180" s="5"/>
      <c r="V180" s="5" t="s">
        <v>1898</v>
      </c>
      <c r="X180" s="23">
        <f t="shared" si="256"/>
        <v>177.6</v>
      </c>
      <c r="Y180" s="21">
        <f t="shared" si="257"/>
        <v>54</v>
      </c>
      <c r="Z180" s="28">
        <f t="shared" si="258"/>
        <v>2</v>
      </c>
      <c r="AA180" s="6">
        <f t="shared" si="259"/>
        <v>52000</v>
      </c>
      <c r="AB180" s="6">
        <f t="shared" si="260"/>
        <v>0</v>
      </c>
      <c r="AC180" s="6">
        <f t="shared" si="261"/>
        <v>52000</v>
      </c>
      <c r="AD180" s="7">
        <f t="shared" si="262"/>
        <v>0</v>
      </c>
      <c r="AE180" s="12">
        <f t="shared" si="263"/>
        <v>962.96296296296293</v>
      </c>
      <c r="AF180" s="13" t="str">
        <f t="shared" si="264"/>
        <v>계</v>
      </c>
      <c r="AG180" s="13" t="str">
        <f t="shared" si="265"/>
        <v>4/2</v>
      </c>
      <c r="AI180" s="32" t="str">
        <f t="shared" si="185"/>
        <v>샘대우한양</v>
      </c>
      <c r="AJ180" s="21">
        <f t="shared" si="184"/>
        <v>54</v>
      </c>
      <c r="AK180" s="13" t="str">
        <f t="shared" si="266"/>
        <v>A-</v>
      </c>
      <c r="AL180" s="13"/>
      <c r="AM180" s="13"/>
      <c r="AN180" s="13"/>
      <c r="AO180" s="13" t="str">
        <f t="shared" si="267"/>
        <v>C</v>
      </c>
      <c r="AP180" s="13" t="str">
        <f t="shared" si="268"/>
        <v>X</v>
      </c>
      <c r="AQ180" s="13" t="str">
        <f t="shared" si="269"/>
        <v>X</v>
      </c>
      <c r="AR180" s="13" t="str">
        <f t="shared" si="270"/>
        <v>O</v>
      </c>
      <c r="AS180" s="13" t="str">
        <f t="shared" si="271"/>
        <v>X</v>
      </c>
      <c r="AT180" s="13" t="s">
        <v>32</v>
      </c>
      <c r="AU180" s="13" t="str">
        <f t="shared" si="272"/>
        <v>X</v>
      </c>
      <c r="AV180" s="13" t="str">
        <f t="shared" si="273"/>
        <v>O</v>
      </c>
      <c r="AW180" s="13" t="str">
        <f t="shared" si="274"/>
        <v>X</v>
      </c>
    </row>
    <row r="181" spans="1:49" x14ac:dyDescent="0.3">
      <c r="A181" s="5" t="s">
        <v>1890</v>
      </c>
      <c r="B181" s="14" t="s">
        <v>1489</v>
      </c>
      <c r="C181" s="25">
        <v>1072</v>
      </c>
      <c r="D181" s="23">
        <v>198.7</v>
      </c>
      <c r="E181" s="21">
        <v>60</v>
      </c>
      <c r="F181" s="23">
        <v>164.5</v>
      </c>
      <c r="G181" s="24">
        <v>50</v>
      </c>
      <c r="H181" s="25">
        <v>94</v>
      </c>
      <c r="I181" s="29">
        <v>110000</v>
      </c>
      <c r="J181" s="29"/>
      <c r="K181" s="29">
        <v>76000</v>
      </c>
      <c r="L181" s="29"/>
      <c r="M181" s="6">
        <f t="shared" si="252"/>
        <v>34000</v>
      </c>
      <c r="N181" s="7">
        <f t="shared" si="253"/>
        <v>0.69090909090909092</v>
      </c>
      <c r="O181" s="12">
        <f t="shared" si="254"/>
        <v>1833.3333333333333</v>
      </c>
      <c r="P181" s="12">
        <f t="shared" si="255"/>
        <v>1266.6666666666667</v>
      </c>
      <c r="Q181" s="13">
        <v>5</v>
      </c>
      <c r="R181" s="13">
        <v>2</v>
      </c>
      <c r="S181" s="13" t="s">
        <v>51</v>
      </c>
      <c r="T181" s="8" t="s">
        <v>1181</v>
      </c>
      <c r="U181" s="5"/>
      <c r="V181" s="5" t="s">
        <v>1899</v>
      </c>
      <c r="X181" s="23">
        <f t="shared" si="256"/>
        <v>198.7</v>
      </c>
      <c r="Y181" s="21">
        <f t="shared" si="257"/>
        <v>60</v>
      </c>
      <c r="Z181" s="28">
        <f t="shared" si="258"/>
        <v>94</v>
      </c>
      <c r="AA181" s="6">
        <f t="shared" si="259"/>
        <v>110000</v>
      </c>
      <c r="AB181" s="6">
        <f t="shared" si="260"/>
        <v>76000</v>
      </c>
      <c r="AC181" s="6">
        <f t="shared" si="261"/>
        <v>34000</v>
      </c>
      <c r="AD181" s="7">
        <f t="shared" si="262"/>
        <v>0.69090909090909092</v>
      </c>
      <c r="AE181" s="12">
        <f t="shared" si="263"/>
        <v>1833.3333333333333</v>
      </c>
      <c r="AF181" s="13" t="str">
        <f t="shared" si="264"/>
        <v>계</v>
      </c>
      <c r="AG181" s="13" t="str">
        <f t="shared" si="265"/>
        <v>5/2</v>
      </c>
      <c r="AI181" s="32" t="str">
        <f t="shared" si="185"/>
        <v>샘대우한양</v>
      </c>
      <c r="AJ181" s="21">
        <f t="shared" si="184"/>
        <v>60</v>
      </c>
      <c r="AK181" s="13" t="str">
        <f t="shared" si="266"/>
        <v>A-</v>
      </c>
      <c r="AL181" s="13"/>
      <c r="AM181" s="13"/>
      <c r="AN181" s="13"/>
      <c r="AO181" s="13" t="str">
        <f t="shared" si="267"/>
        <v>C</v>
      </c>
      <c r="AP181" s="13" t="str">
        <f t="shared" si="268"/>
        <v>X</v>
      </c>
      <c r="AQ181" s="13" t="str">
        <f t="shared" si="269"/>
        <v>X</v>
      </c>
      <c r="AR181" s="13" t="str">
        <f t="shared" si="270"/>
        <v>X</v>
      </c>
      <c r="AS181" s="13" t="str">
        <f t="shared" si="271"/>
        <v>X</v>
      </c>
      <c r="AT181" s="13" t="s">
        <v>32</v>
      </c>
      <c r="AU181" s="13" t="str">
        <f t="shared" si="272"/>
        <v>X</v>
      </c>
      <c r="AV181" s="13" t="str">
        <f t="shared" si="273"/>
        <v>O</v>
      </c>
      <c r="AW181" s="13" t="str">
        <f t="shared" si="274"/>
        <v>X</v>
      </c>
    </row>
    <row r="182" spans="1:49" x14ac:dyDescent="0.3">
      <c r="A182" s="5" t="s">
        <v>1890</v>
      </c>
      <c r="B182" s="14" t="s">
        <v>1489</v>
      </c>
      <c r="C182" s="25">
        <v>1072</v>
      </c>
      <c r="D182" s="23">
        <v>198.3</v>
      </c>
      <c r="E182" s="21">
        <v>60</v>
      </c>
      <c r="F182" s="23">
        <v>164.4</v>
      </c>
      <c r="G182" s="24">
        <v>50</v>
      </c>
      <c r="H182" s="25">
        <v>92</v>
      </c>
      <c r="I182" s="29">
        <v>108000</v>
      </c>
      <c r="J182" s="29"/>
      <c r="K182" s="29">
        <v>74000</v>
      </c>
      <c r="L182" s="29"/>
      <c r="M182" s="6">
        <f t="shared" si="252"/>
        <v>34000</v>
      </c>
      <c r="N182" s="7">
        <f t="shared" si="253"/>
        <v>0.68518518518518523</v>
      </c>
      <c r="O182" s="12">
        <f t="shared" si="254"/>
        <v>1800</v>
      </c>
      <c r="P182" s="12">
        <f t="shared" si="255"/>
        <v>1233.3333333333333</v>
      </c>
      <c r="Q182" s="13">
        <v>5</v>
      </c>
      <c r="R182" s="13">
        <v>2</v>
      </c>
      <c r="S182" s="13" t="s">
        <v>51</v>
      </c>
      <c r="T182" s="8" t="s">
        <v>1182</v>
      </c>
      <c r="U182" s="5"/>
      <c r="V182" s="5" t="s">
        <v>1900</v>
      </c>
      <c r="X182" s="23">
        <f t="shared" si="256"/>
        <v>198.3</v>
      </c>
      <c r="Y182" s="21">
        <f t="shared" si="257"/>
        <v>60</v>
      </c>
      <c r="Z182" s="28">
        <f t="shared" si="258"/>
        <v>92</v>
      </c>
      <c r="AA182" s="6">
        <f t="shared" si="259"/>
        <v>108000</v>
      </c>
      <c r="AB182" s="6">
        <f t="shared" si="260"/>
        <v>74000</v>
      </c>
      <c r="AC182" s="6">
        <f t="shared" si="261"/>
        <v>34000</v>
      </c>
      <c r="AD182" s="7">
        <f t="shared" si="262"/>
        <v>0.68518518518518523</v>
      </c>
      <c r="AE182" s="12">
        <f t="shared" si="263"/>
        <v>1800</v>
      </c>
      <c r="AF182" s="13" t="str">
        <f t="shared" si="264"/>
        <v>계</v>
      </c>
      <c r="AG182" s="13" t="str">
        <f t="shared" si="265"/>
        <v>5/2</v>
      </c>
      <c r="AI182" s="32" t="str">
        <f t="shared" si="185"/>
        <v>샘대우한양</v>
      </c>
      <c r="AJ182" s="21">
        <f t="shared" si="184"/>
        <v>60</v>
      </c>
      <c r="AK182" s="13" t="str">
        <f t="shared" si="266"/>
        <v>A-</v>
      </c>
      <c r="AL182" s="13"/>
      <c r="AM182" s="13"/>
      <c r="AN182" s="13"/>
      <c r="AO182" s="13" t="str">
        <f t="shared" si="267"/>
        <v>C</v>
      </c>
      <c r="AP182" s="13" t="str">
        <f t="shared" si="268"/>
        <v>X</v>
      </c>
      <c r="AQ182" s="13" t="str">
        <f t="shared" si="269"/>
        <v>X</v>
      </c>
      <c r="AR182" s="13" t="str">
        <f t="shared" si="270"/>
        <v>X</v>
      </c>
      <c r="AS182" s="13" t="str">
        <f t="shared" si="271"/>
        <v>X</v>
      </c>
      <c r="AT182" s="13" t="s">
        <v>32</v>
      </c>
      <c r="AU182" s="13" t="str">
        <f t="shared" si="272"/>
        <v>X</v>
      </c>
      <c r="AV182" s="13" t="str">
        <f t="shared" si="273"/>
        <v>O</v>
      </c>
      <c r="AW182" s="13" t="str">
        <f t="shared" si="274"/>
        <v>X</v>
      </c>
    </row>
    <row r="183" spans="1:49" x14ac:dyDescent="0.3">
      <c r="A183" s="5"/>
      <c r="B183" s="13"/>
      <c r="C183" s="9"/>
      <c r="D183" s="5"/>
      <c r="E183" s="18"/>
      <c r="F183" s="23"/>
      <c r="G183" s="5"/>
      <c r="H183" s="5"/>
      <c r="I183" s="5"/>
      <c r="J183" s="5"/>
      <c r="K183" s="5"/>
      <c r="L183" s="5"/>
      <c r="M183" s="5"/>
      <c r="N183" s="5"/>
      <c r="O183" s="12"/>
      <c r="P183" s="12"/>
      <c r="Q183" s="21"/>
      <c r="R183" s="21"/>
      <c r="S183" s="5"/>
      <c r="T183" s="59"/>
      <c r="U183" s="5"/>
      <c r="V183" s="5"/>
      <c r="X183" s="90" t="str">
        <f>$A$4&amp;" "&amp;A184&amp;"("&amp;B184&amp;","&amp;C184&amp;"^)"</f>
        <v>호계동 푸른마을삼성('99.01,231^)</v>
      </c>
      <c r="Y183" s="91"/>
      <c r="Z183" s="91"/>
      <c r="AA183" s="91"/>
      <c r="AB183" s="91"/>
      <c r="AC183" s="91"/>
      <c r="AD183" s="91"/>
      <c r="AE183" s="91"/>
      <c r="AF183" s="91"/>
      <c r="AG183" s="92"/>
      <c r="AI183" s="32" t="str">
        <f t="shared" si="185"/>
        <v/>
      </c>
      <c r="AJ183" s="33" t="str">
        <f t="shared" si="184"/>
        <v/>
      </c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</row>
    <row r="184" spans="1:49" x14ac:dyDescent="0.3">
      <c r="A184" s="5" t="s">
        <v>1901</v>
      </c>
      <c r="B184" s="14" t="s">
        <v>1902</v>
      </c>
      <c r="C184" s="25">
        <v>231</v>
      </c>
      <c r="D184" s="23">
        <v>83.9</v>
      </c>
      <c r="E184" s="21">
        <v>25</v>
      </c>
      <c r="F184" s="23">
        <v>59.4</v>
      </c>
      <c r="G184" s="24">
        <v>18</v>
      </c>
      <c r="H184" s="25">
        <v>115</v>
      </c>
      <c r="I184" s="29">
        <v>38000</v>
      </c>
      <c r="J184" s="29"/>
      <c r="K184" s="29">
        <v>29000</v>
      </c>
      <c r="L184" s="29"/>
      <c r="M184" s="6">
        <f>I184-K184</f>
        <v>9000</v>
      </c>
      <c r="N184" s="7">
        <f>IF(ISERROR(K184/I184),"",K184/I184)</f>
        <v>0.76315789473684215</v>
      </c>
      <c r="O184" s="12">
        <f>I184/E184</f>
        <v>1520</v>
      </c>
      <c r="P184" s="12">
        <f>K184/E184</f>
        <v>1160</v>
      </c>
      <c r="Q184" s="13">
        <v>3</v>
      </c>
      <c r="R184" s="13">
        <v>1</v>
      </c>
      <c r="S184" s="13" t="s">
        <v>1356</v>
      </c>
      <c r="T184" s="8">
        <v>83</v>
      </c>
      <c r="U184" s="5"/>
      <c r="V184" s="5" t="s">
        <v>1903</v>
      </c>
      <c r="X184" s="23">
        <f>D184</f>
        <v>83.9</v>
      </c>
      <c r="Y184" s="21">
        <f>E184</f>
        <v>25</v>
      </c>
      <c r="Z184" s="28">
        <f>H184</f>
        <v>115</v>
      </c>
      <c r="AA184" s="6">
        <f>I184</f>
        <v>38000</v>
      </c>
      <c r="AB184" s="6">
        <f>K184</f>
        <v>29000</v>
      </c>
      <c r="AC184" s="6">
        <f t="shared" ref="AC184:AE185" si="275">M184</f>
        <v>9000</v>
      </c>
      <c r="AD184" s="7">
        <f t="shared" si="275"/>
        <v>0.76315789473684215</v>
      </c>
      <c r="AE184" s="12">
        <f t="shared" si="275"/>
        <v>1520</v>
      </c>
      <c r="AF184" s="13" t="str">
        <f>S184</f>
        <v>복</v>
      </c>
      <c r="AG184" s="13" t="str">
        <f>Q184&amp;"/"&amp;R184</f>
        <v>3/1</v>
      </c>
      <c r="AI184" s="32" t="str">
        <f t="shared" si="185"/>
        <v>푸른마을삼성</v>
      </c>
      <c r="AJ184" s="21">
        <f t="shared" si="184"/>
        <v>25</v>
      </c>
      <c r="AK184" s="13" t="str">
        <f>IF(AJ184="","",$AK$2)</f>
        <v>A-</v>
      </c>
      <c r="AL184" s="13"/>
      <c r="AM184" s="13"/>
      <c r="AN184" s="13"/>
      <c r="AO184" s="13" t="str">
        <f>IF(AJ184="","",$AO$2)</f>
        <v>C</v>
      </c>
      <c r="AP184" s="13" t="str">
        <f>IF(N184="","",IF(N184&gt;=$AP$1/100,"O","X"))</f>
        <v>X</v>
      </c>
      <c r="AQ184" s="13" t="str">
        <f>IF(I184="","",IF(I184&lt;=$AQ$1,"O","X"))</f>
        <v>O</v>
      </c>
      <c r="AR184" s="13" t="str">
        <f>IF(O184="","",IF(O184&lt;=$AR$1,"O","X"))</f>
        <v>X</v>
      </c>
      <c r="AS184" s="13" t="str">
        <f>IF(M184="","",IF(M184&lt;=$AS$1,"O","X"))</f>
        <v>X</v>
      </c>
      <c r="AT184" s="13" t="s">
        <v>32</v>
      </c>
      <c r="AU184" s="13" t="str">
        <f>IF(OR(F184="",AJ184=""),"",IF(AND((F184&lt;=85),(AJ184&gt;=15)),"O","X"))</f>
        <v>O</v>
      </c>
      <c r="AV184" s="13" t="str">
        <f>IF(C184="","",IF(C184&gt;=$AV$1,"O","X"))</f>
        <v>X</v>
      </c>
      <c r="AW184" s="13" t="str">
        <f>IF(AP184="","",IF(AND(AP184="O",AQ184="O",AS184="O",AU184="O",AV184="O"),"후보","X"))</f>
        <v>X</v>
      </c>
    </row>
    <row r="185" spans="1:49" x14ac:dyDescent="0.3">
      <c r="A185" s="5" t="s">
        <v>1901</v>
      </c>
      <c r="B185" s="14" t="s">
        <v>1902</v>
      </c>
      <c r="C185" s="25">
        <v>231</v>
      </c>
      <c r="D185" s="23">
        <v>107.1</v>
      </c>
      <c r="E185" s="21">
        <v>32</v>
      </c>
      <c r="F185" s="23">
        <v>85</v>
      </c>
      <c r="G185" s="24">
        <v>26</v>
      </c>
      <c r="H185" s="25">
        <v>116</v>
      </c>
      <c r="I185" s="29">
        <v>50000</v>
      </c>
      <c r="J185" s="29"/>
      <c r="K185" s="29">
        <v>35000</v>
      </c>
      <c r="L185" s="29"/>
      <c r="M185" s="6">
        <f>I185-K185</f>
        <v>15000</v>
      </c>
      <c r="N185" s="7">
        <f>IF(ISERROR(K185/I185),"",K185/I185)</f>
        <v>0.7</v>
      </c>
      <c r="O185" s="12">
        <f>I185/E185</f>
        <v>1562.5</v>
      </c>
      <c r="P185" s="12">
        <f>K185/E185</f>
        <v>1093.75</v>
      </c>
      <c r="Q185" s="13">
        <v>3</v>
      </c>
      <c r="R185" s="13">
        <v>2</v>
      </c>
      <c r="S185" s="13" t="s">
        <v>51</v>
      </c>
      <c r="T185" s="8">
        <v>107</v>
      </c>
      <c r="U185" s="5"/>
      <c r="V185" s="5" t="s">
        <v>1904</v>
      </c>
      <c r="X185" s="23">
        <f>D185</f>
        <v>107.1</v>
      </c>
      <c r="Y185" s="21">
        <f>E185</f>
        <v>32</v>
      </c>
      <c r="Z185" s="28">
        <f>H185</f>
        <v>116</v>
      </c>
      <c r="AA185" s="6">
        <f>I185</f>
        <v>50000</v>
      </c>
      <c r="AB185" s="6">
        <f>K185</f>
        <v>35000</v>
      </c>
      <c r="AC185" s="6">
        <f t="shared" si="275"/>
        <v>15000</v>
      </c>
      <c r="AD185" s="7">
        <f t="shared" si="275"/>
        <v>0.7</v>
      </c>
      <c r="AE185" s="12">
        <f t="shared" si="275"/>
        <v>1562.5</v>
      </c>
      <c r="AF185" s="13" t="str">
        <f>S185</f>
        <v>계</v>
      </c>
      <c r="AG185" s="13" t="str">
        <f>Q185&amp;"/"&amp;R185</f>
        <v>3/2</v>
      </c>
      <c r="AI185" s="32" t="str">
        <f t="shared" si="185"/>
        <v>푸른마을삼성</v>
      </c>
      <c r="AJ185" s="21">
        <f t="shared" si="184"/>
        <v>32</v>
      </c>
      <c r="AK185" s="13" t="str">
        <f>IF(AJ185="","",$AK$2)</f>
        <v>A-</v>
      </c>
      <c r="AL185" s="13"/>
      <c r="AM185" s="13"/>
      <c r="AN185" s="13"/>
      <c r="AO185" s="13" t="str">
        <f>IF(AJ185="","",$AO$2)</f>
        <v>C</v>
      </c>
      <c r="AP185" s="13" t="str">
        <f>IF(N185="","",IF(N185&gt;=$AP$1/100,"O","X"))</f>
        <v>X</v>
      </c>
      <c r="AQ185" s="13" t="str">
        <f>IF(I185="","",IF(I185&lt;=$AQ$1,"O","X"))</f>
        <v>X</v>
      </c>
      <c r="AR185" s="13" t="str">
        <f>IF(O185="","",IF(O185&lt;=$AR$1,"O","X"))</f>
        <v>X</v>
      </c>
      <c r="AS185" s="13" t="str">
        <f>IF(M185="","",IF(M185&lt;=$AS$1,"O","X"))</f>
        <v>X</v>
      </c>
      <c r="AT185" s="13" t="s">
        <v>32</v>
      </c>
      <c r="AU185" s="13" t="str">
        <f>IF(OR(F185="",AJ185=""),"",IF(AND((F185&lt;=85),(AJ185&gt;=15)),"O","X"))</f>
        <v>O</v>
      </c>
      <c r="AV185" s="13" t="str">
        <f>IF(C185="","",IF(C185&gt;=$AV$1,"O","X"))</f>
        <v>X</v>
      </c>
      <c r="AW185" s="13" t="str">
        <f>IF(AP185="","",IF(AND(AP185="O",AQ185="O",AS185="O",AU185="O",AV185="O"),"후보","X"))</f>
        <v>X</v>
      </c>
    </row>
    <row r="186" spans="1:49" x14ac:dyDescent="0.3">
      <c r="A186" s="5"/>
      <c r="B186" s="13"/>
      <c r="C186" s="9"/>
      <c r="D186" s="5"/>
      <c r="E186" s="18"/>
      <c r="F186" s="23"/>
      <c r="G186" s="5"/>
      <c r="H186" s="5"/>
      <c r="I186" s="5"/>
      <c r="J186" s="5"/>
      <c r="K186" s="5"/>
      <c r="L186" s="5"/>
      <c r="M186" s="5"/>
      <c r="N186" s="5"/>
      <c r="O186" s="12"/>
      <c r="P186" s="12"/>
      <c r="Q186" s="21"/>
      <c r="R186" s="21"/>
      <c r="S186" s="5"/>
      <c r="T186" s="59"/>
      <c r="U186" s="5"/>
      <c r="V186" s="5"/>
      <c r="X186" s="90" t="str">
        <f>$A$4&amp;" "&amp;A187&amp;"("&amp;B187&amp;","&amp;C187&amp;"^)"</f>
        <v>호계동 무궁화경남('94.08,590^)</v>
      </c>
      <c r="Y186" s="91"/>
      <c r="Z186" s="91"/>
      <c r="AA186" s="91"/>
      <c r="AB186" s="91"/>
      <c r="AC186" s="91"/>
      <c r="AD186" s="91"/>
      <c r="AE186" s="91"/>
      <c r="AF186" s="91"/>
      <c r="AG186" s="92"/>
      <c r="AI186" s="32" t="str">
        <f t="shared" si="185"/>
        <v/>
      </c>
      <c r="AJ186" s="33" t="str">
        <f t="shared" si="184"/>
        <v/>
      </c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</row>
    <row r="187" spans="1:49" x14ac:dyDescent="0.3">
      <c r="A187" s="5" t="s">
        <v>1905</v>
      </c>
      <c r="B187" s="14" t="s">
        <v>1906</v>
      </c>
      <c r="C187" s="25">
        <v>590</v>
      </c>
      <c r="D187" s="23">
        <v>81.400000000000006</v>
      </c>
      <c r="E187" s="21">
        <v>25</v>
      </c>
      <c r="F187" s="23">
        <v>59.9</v>
      </c>
      <c r="G187" s="24">
        <v>18</v>
      </c>
      <c r="H187" s="25">
        <v>210</v>
      </c>
      <c r="I187" s="29">
        <v>54500</v>
      </c>
      <c r="J187" s="29"/>
      <c r="K187" s="29">
        <v>39000</v>
      </c>
      <c r="L187" s="29"/>
      <c r="M187" s="6">
        <f>I187-K187</f>
        <v>15500</v>
      </c>
      <c r="N187" s="7">
        <f>IF(ISERROR(K187/I187),"",K187/I187)</f>
        <v>0.7155963302752294</v>
      </c>
      <c r="O187" s="12">
        <f>I187/E187</f>
        <v>2180</v>
      </c>
      <c r="P187" s="12">
        <f>K187/E187</f>
        <v>1560</v>
      </c>
      <c r="Q187" s="13">
        <v>3</v>
      </c>
      <c r="R187" s="13">
        <v>1</v>
      </c>
      <c r="S187" s="13" t="s">
        <v>51</v>
      </c>
      <c r="T187" s="8">
        <v>81</v>
      </c>
      <c r="U187" s="5"/>
      <c r="V187" s="5" t="s">
        <v>1907</v>
      </c>
      <c r="X187" s="23">
        <f t="shared" ref="X187:Y189" si="276">D187</f>
        <v>81.400000000000006</v>
      </c>
      <c r="Y187" s="21">
        <f t="shared" si="276"/>
        <v>25</v>
      </c>
      <c r="Z187" s="28">
        <f t="shared" ref="Z187:AA189" si="277">H187</f>
        <v>210</v>
      </c>
      <c r="AA187" s="6">
        <f t="shared" si="277"/>
        <v>54500</v>
      </c>
      <c r="AB187" s="6">
        <f>K187</f>
        <v>39000</v>
      </c>
      <c r="AC187" s="6">
        <f t="shared" ref="AC187:AE189" si="278">M187</f>
        <v>15500</v>
      </c>
      <c r="AD187" s="7">
        <f t="shared" si="278"/>
        <v>0.7155963302752294</v>
      </c>
      <c r="AE187" s="12">
        <f t="shared" si="278"/>
        <v>2180</v>
      </c>
      <c r="AF187" s="13" t="str">
        <f>S187</f>
        <v>계</v>
      </c>
      <c r="AG187" s="13" t="str">
        <f>Q187&amp;"/"&amp;R187</f>
        <v>3/1</v>
      </c>
      <c r="AI187" s="32" t="str">
        <f t="shared" si="185"/>
        <v>무궁화경남</v>
      </c>
      <c r="AJ187" s="21">
        <f t="shared" si="184"/>
        <v>25</v>
      </c>
      <c r="AK187" s="13" t="str">
        <f>IF(AJ187="","",$AK$2)</f>
        <v>A-</v>
      </c>
      <c r="AL187" s="13"/>
      <c r="AM187" s="13"/>
      <c r="AN187" s="13"/>
      <c r="AO187" s="13" t="str">
        <f>IF(AJ187="","",$AO$2)</f>
        <v>C</v>
      </c>
      <c r="AP187" s="13" t="str">
        <f>IF(N187="","",IF(N187&gt;=$AP$1/100,"O","X"))</f>
        <v>X</v>
      </c>
      <c r="AQ187" s="13" t="str">
        <f>IF(I187="","",IF(I187&lt;=$AQ$1,"O","X"))</f>
        <v>X</v>
      </c>
      <c r="AR187" s="13" t="str">
        <f>IF(O187="","",IF(O187&lt;=$AR$1,"O","X"))</f>
        <v>X</v>
      </c>
      <c r="AS187" s="13" t="str">
        <f>IF(M187="","",IF(M187&lt;=$AS$1,"O","X"))</f>
        <v>X</v>
      </c>
      <c r="AT187" s="13" t="s">
        <v>32</v>
      </c>
      <c r="AU187" s="13" t="str">
        <f>IF(OR(F187="",AJ187=""),"",IF(AND((F187&lt;=85),(AJ187&gt;=15)),"O","X"))</f>
        <v>O</v>
      </c>
      <c r="AV187" s="13" t="str">
        <f>IF(C187="","",IF(C187&gt;=$AV$1,"O","X"))</f>
        <v>O</v>
      </c>
      <c r="AW187" s="13" t="str">
        <f>IF(AP187="","",IF(AND(AP187="O",AQ187="O",AS187="O",AU187="O",AV187="O"),"후보","X"))</f>
        <v>X</v>
      </c>
    </row>
    <row r="188" spans="1:49" x14ac:dyDescent="0.3">
      <c r="A188" s="5" t="s">
        <v>1905</v>
      </c>
      <c r="B188" s="14" t="s">
        <v>1906</v>
      </c>
      <c r="C188" s="25">
        <v>590</v>
      </c>
      <c r="D188" s="23">
        <v>106.7</v>
      </c>
      <c r="E188" s="21">
        <v>32</v>
      </c>
      <c r="F188" s="23">
        <v>84.9</v>
      </c>
      <c r="G188" s="24">
        <v>26</v>
      </c>
      <c r="H188" s="25">
        <v>280</v>
      </c>
      <c r="I188" s="29">
        <v>80000</v>
      </c>
      <c r="J188" s="29"/>
      <c r="K188" s="29">
        <v>55000</v>
      </c>
      <c r="L188" s="29"/>
      <c r="M188" s="6">
        <f>I188-K188</f>
        <v>25000</v>
      </c>
      <c r="N188" s="7">
        <f>IF(ISERROR(K188/I188),"",K188/I188)</f>
        <v>0.6875</v>
      </c>
      <c r="O188" s="12">
        <f>I188/E188</f>
        <v>2500</v>
      </c>
      <c r="P188" s="12">
        <f>K188/E188</f>
        <v>1718.75</v>
      </c>
      <c r="Q188" s="13">
        <v>3</v>
      </c>
      <c r="R188" s="13">
        <v>2</v>
      </c>
      <c r="S188" s="13" t="s">
        <v>51</v>
      </c>
      <c r="T188" s="8" t="s">
        <v>1199</v>
      </c>
      <c r="U188" s="5"/>
      <c r="V188" s="5" t="s">
        <v>1908</v>
      </c>
      <c r="X188" s="23">
        <f t="shared" si="276"/>
        <v>106.7</v>
      </c>
      <c r="Y188" s="21">
        <f t="shared" si="276"/>
        <v>32</v>
      </c>
      <c r="Z188" s="28">
        <f t="shared" si="277"/>
        <v>280</v>
      </c>
      <c r="AA188" s="6">
        <f t="shared" si="277"/>
        <v>80000</v>
      </c>
      <c r="AB188" s="6">
        <f>K188</f>
        <v>55000</v>
      </c>
      <c r="AC188" s="6">
        <f t="shared" si="278"/>
        <v>25000</v>
      </c>
      <c r="AD188" s="7">
        <f t="shared" si="278"/>
        <v>0.6875</v>
      </c>
      <c r="AE188" s="12">
        <f t="shared" si="278"/>
        <v>2500</v>
      </c>
      <c r="AF188" s="13" t="str">
        <f>S188</f>
        <v>계</v>
      </c>
      <c r="AG188" s="13" t="str">
        <f>Q188&amp;"/"&amp;R188</f>
        <v>3/2</v>
      </c>
      <c r="AI188" s="32" t="str">
        <f t="shared" si="185"/>
        <v>무궁화경남</v>
      </c>
      <c r="AJ188" s="21">
        <f t="shared" si="184"/>
        <v>32</v>
      </c>
      <c r="AK188" s="13" t="str">
        <f>IF(AJ188="","",$AK$2)</f>
        <v>A-</v>
      </c>
      <c r="AL188" s="13"/>
      <c r="AM188" s="13"/>
      <c r="AN188" s="13"/>
      <c r="AO188" s="13" t="str">
        <f>IF(AJ188="","",$AO$2)</f>
        <v>C</v>
      </c>
      <c r="AP188" s="13" t="str">
        <f>IF(N188="","",IF(N188&gt;=$AP$1/100,"O","X"))</f>
        <v>X</v>
      </c>
      <c r="AQ188" s="13" t="str">
        <f>IF(I188="","",IF(I188&lt;=$AQ$1,"O","X"))</f>
        <v>X</v>
      </c>
      <c r="AR188" s="13" t="str">
        <f>IF(O188="","",IF(O188&lt;=$AR$1,"O","X"))</f>
        <v>X</v>
      </c>
      <c r="AS188" s="13" t="str">
        <f>IF(M188="","",IF(M188&lt;=$AS$1,"O","X"))</f>
        <v>X</v>
      </c>
      <c r="AT188" s="13" t="s">
        <v>32</v>
      </c>
      <c r="AU188" s="13" t="str">
        <f>IF(OR(F188="",AJ188=""),"",IF(AND((F188&lt;=85),(AJ188&gt;=15)),"O","X"))</f>
        <v>O</v>
      </c>
      <c r="AV188" s="13" t="str">
        <f>IF(C188="","",IF(C188&gt;=$AV$1,"O","X"))</f>
        <v>O</v>
      </c>
      <c r="AW188" s="13" t="str">
        <f>IF(AP188="","",IF(AND(AP188="O",AQ188="O",AS188="O",AU188="O",AV188="O"),"후보","X"))</f>
        <v>X</v>
      </c>
    </row>
    <row r="189" spans="1:49" x14ac:dyDescent="0.3">
      <c r="A189" s="5" t="s">
        <v>1905</v>
      </c>
      <c r="B189" s="14" t="s">
        <v>1906</v>
      </c>
      <c r="C189" s="25">
        <v>590</v>
      </c>
      <c r="D189" s="23">
        <v>106.9</v>
      </c>
      <c r="E189" s="21">
        <v>32</v>
      </c>
      <c r="F189" s="23">
        <v>85</v>
      </c>
      <c r="G189" s="24">
        <v>26</v>
      </c>
      <c r="H189" s="25">
        <v>100</v>
      </c>
      <c r="I189" s="29">
        <v>80000</v>
      </c>
      <c r="J189" s="29"/>
      <c r="K189" s="29">
        <v>55000</v>
      </c>
      <c r="L189" s="29"/>
      <c r="M189" s="6">
        <f>I189-K189</f>
        <v>25000</v>
      </c>
      <c r="N189" s="7">
        <f>IF(ISERROR(K189/I189),"",K189/I189)</f>
        <v>0.6875</v>
      </c>
      <c r="O189" s="12">
        <f>I189/E189</f>
        <v>2500</v>
      </c>
      <c r="P189" s="12">
        <f>K189/E189</f>
        <v>1718.75</v>
      </c>
      <c r="Q189" s="13">
        <v>3</v>
      </c>
      <c r="R189" s="13">
        <v>2</v>
      </c>
      <c r="S189" s="13" t="s">
        <v>51</v>
      </c>
      <c r="T189" s="8" t="s">
        <v>1200</v>
      </c>
      <c r="U189" s="5"/>
      <c r="V189" s="5" t="s">
        <v>1908</v>
      </c>
      <c r="X189" s="23">
        <f t="shared" si="276"/>
        <v>106.9</v>
      </c>
      <c r="Y189" s="21">
        <f t="shared" si="276"/>
        <v>32</v>
      </c>
      <c r="Z189" s="28">
        <f t="shared" si="277"/>
        <v>100</v>
      </c>
      <c r="AA189" s="6">
        <f t="shared" si="277"/>
        <v>80000</v>
      </c>
      <c r="AB189" s="6">
        <f>K189</f>
        <v>55000</v>
      </c>
      <c r="AC189" s="6">
        <f t="shared" si="278"/>
        <v>25000</v>
      </c>
      <c r="AD189" s="7">
        <f t="shared" si="278"/>
        <v>0.6875</v>
      </c>
      <c r="AE189" s="12">
        <f t="shared" si="278"/>
        <v>2500</v>
      </c>
      <c r="AF189" s="13" t="str">
        <f>S189</f>
        <v>계</v>
      </c>
      <c r="AG189" s="13" t="str">
        <f>Q189&amp;"/"&amp;R189</f>
        <v>3/2</v>
      </c>
      <c r="AI189" s="32" t="str">
        <f t="shared" si="185"/>
        <v>무궁화경남</v>
      </c>
      <c r="AJ189" s="21">
        <f t="shared" si="184"/>
        <v>32</v>
      </c>
      <c r="AK189" s="13" t="str">
        <f>IF(AJ189="","",$AK$2)</f>
        <v>A-</v>
      </c>
      <c r="AL189" s="13"/>
      <c r="AM189" s="13"/>
      <c r="AN189" s="13"/>
      <c r="AO189" s="13" t="str">
        <f>IF(AJ189="","",$AO$2)</f>
        <v>C</v>
      </c>
      <c r="AP189" s="13" t="str">
        <f>IF(N189="","",IF(N189&gt;=$AP$1/100,"O","X"))</f>
        <v>X</v>
      </c>
      <c r="AQ189" s="13" t="str">
        <f>IF(I189="","",IF(I189&lt;=$AQ$1,"O","X"))</f>
        <v>X</v>
      </c>
      <c r="AR189" s="13" t="str">
        <f>IF(O189="","",IF(O189&lt;=$AR$1,"O","X"))</f>
        <v>X</v>
      </c>
      <c r="AS189" s="13" t="str">
        <f>IF(M189="","",IF(M189&lt;=$AS$1,"O","X"))</f>
        <v>X</v>
      </c>
      <c r="AT189" s="13" t="s">
        <v>32</v>
      </c>
      <c r="AU189" s="13" t="str">
        <f>IF(OR(F189="",AJ189=""),"",IF(AND((F189&lt;=85),(AJ189&gt;=15)),"O","X"))</f>
        <v>O</v>
      </c>
      <c r="AV189" s="13" t="str">
        <f>IF(C189="","",IF(C189&gt;=$AV$1,"O","X"))</f>
        <v>O</v>
      </c>
      <c r="AW189" s="13" t="str">
        <f>IF(AP189="","",IF(AND(AP189="O",AQ189="O",AS189="O",AU189="O",AV189="O"),"후보","X"))</f>
        <v>X</v>
      </c>
    </row>
    <row r="190" spans="1:49" x14ac:dyDescent="0.3">
      <c r="A190" s="5"/>
      <c r="B190" s="13"/>
      <c r="C190" s="9"/>
      <c r="D190" s="5"/>
      <c r="E190" s="18"/>
      <c r="F190" s="23"/>
      <c r="G190" s="5"/>
      <c r="H190" s="5"/>
      <c r="I190" s="5"/>
      <c r="J190" s="5"/>
      <c r="K190" s="5"/>
      <c r="L190" s="5"/>
      <c r="M190" s="5"/>
      <c r="N190" s="5"/>
      <c r="O190" s="12"/>
      <c r="P190" s="12"/>
      <c r="Q190" s="21"/>
      <c r="R190" s="21"/>
      <c r="S190" s="5"/>
      <c r="T190" s="59"/>
      <c r="U190" s="5"/>
      <c r="V190" s="5"/>
      <c r="X190" s="90" t="str">
        <f>$A$4&amp;" "&amp;A191&amp;"("&amp;B191&amp;","&amp;C191&amp;"^)"</f>
        <v>호계동 목련7단지('92.09,466^)</v>
      </c>
      <c r="Y190" s="91"/>
      <c r="Z190" s="91"/>
      <c r="AA190" s="91"/>
      <c r="AB190" s="91"/>
      <c r="AC190" s="91"/>
      <c r="AD190" s="91"/>
      <c r="AE190" s="91"/>
      <c r="AF190" s="91"/>
      <c r="AG190" s="92"/>
      <c r="AI190" s="32" t="str">
        <f t="shared" si="185"/>
        <v/>
      </c>
      <c r="AJ190" s="33" t="str">
        <f t="shared" si="184"/>
        <v/>
      </c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</row>
    <row r="191" spans="1:49" x14ac:dyDescent="0.3">
      <c r="A191" s="5" t="s">
        <v>1909</v>
      </c>
      <c r="B191" s="14" t="s">
        <v>1649</v>
      </c>
      <c r="C191" s="25">
        <v>466</v>
      </c>
      <c r="D191" s="23">
        <v>122.8</v>
      </c>
      <c r="E191" s="21">
        <v>37</v>
      </c>
      <c r="F191" s="23">
        <v>101.3</v>
      </c>
      <c r="G191" s="24">
        <v>31</v>
      </c>
      <c r="H191" s="25">
        <v>100</v>
      </c>
      <c r="I191" s="29">
        <v>115000</v>
      </c>
      <c r="J191" s="29"/>
      <c r="K191" s="29">
        <v>73000</v>
      </c>
      <c r="L191" s="29"/>
      <c r="M191" s="6">
        <f>I191-K191</f>
        <v>42000</v>
      </c>
      <c r="N191" s="7">
        <f>IF(ISERROR(K191/I191),"",K191/I191)</f>
        <v>0.63478260869565217</v>
      </c>
      <c r="O191" s="12">
        <f>I191/E191</f>
        <v>3108.1081081081079</v>
      </c>
      <c r="P191" s="12">
        <f>K191/E191</f>
        <v>1972.9729729729729</v>
      </c>
      <c r="Q191" s="13">
        <v>4</v>
      </c>
      <c r="R191" s="13">
        <v>2</v>
      </c>
      <c r="S191" s="13" t="s">
        <v>51</v>
      </c>
      <c r="T191" s="8">
        <v>122</v>
      </c>
      <c r="U191" s="5"/>
      <c r="V191" s="5" t="s">
        <v>1910</v>
      </c>
      <c r="X191" s="23">
        <f t="shared" ref="X191:Y193" si="279">D191</f>
        <v>122.8</v>
      </c>
      <c r="Y191" s="21">
        <f t="shared" si="279"/>
        <v>37</v>
      </c>
      <c r="Z191" s="28">
        <f t="shared" ref="Z191:AA193" si="280">H191</f>
        <v>100</v>
      </c>
      <c r="AA191" s="6">
        <f t="shared" si="280"/>
        <v>115000</v>
      </c>
      <c r="AB191" s="6">
        <f>K191</f>
        <v>73000</v>
      </c>
      <c r="AC191" s="6">
        <f t="shared" ref="AC191:AE193" si="281">M191</f>
        <v>42000</v>
      </c>
      <c r="AD191" s="7">
        <f t="shared" si="281"/>
        <v>0.63478260869565217</v>
      </c>
      <c r="AE191" s="12">
        <f t="shared" si="281"/>
        <v>3108.1081081081079</v>
      </c>
      <c r="AF191" s="13" t="str">
        <f>S191</f>
        <v>계</v>
      </c>
      <c r="AG191" s="13" t="str">
        <f>Q191&amp;"/"&amp;R191</f>
        <v>4/2</v>
      </c>
      <c r="AI191" s="32" t="str">
        <f t="shared" si="185"/>
        <v>목련7단지</v>
      </c>
      <c r="AJ191" s="21">
        <f t="shared" si="184"/>
        <v>37</v>
      </c>
      <c r="AK191" s="13" t="str">
        <f>IF(AJ191="","",$AK$2)</f>
        <v>A-</v>
      </c>
      <c r="AL191" s="13"/>
      <c r="AM191" s="13"/>
      <c r="AN191" s="13"/>
      <c r="AO191" s="13" t="str">
        <f>IF(AJ191="","",$AO$2)</f>
        <v>C</v>
      </c>
      <c r="AP191" s="13" t="str">
        <f>IF(N191="","",IF(N191&gt;=$AP$1/100,"O","X"))</f>
        <v>X</v>
      </c>
      <c r="AQ191" s="13" t="str">
        <f>IF(I191="","",IF(I191&lt;=$AQ$1,"O","X"))</f>
        <v>X</v>
      </c>
      <c r="AR191" s="13" t="str">
        <f>IF(O191="","",IF(O191&lt;=$AR$1,"O","X"))</f>
        <v>X</v>
      </c>
      <c r="AS191" s="13" t="str">
        <f>IF(M191="","",IF(M191&lt;=$AS$1,"O","X"))</f>
        <v>X</v>
      </c>
      <c r="AT191" s="13" t="s">
        <v>32</v>
      </c>
      <c r="AU191" s="13" t="str">
        <f>IF(OR(F191="",AJ191=""),"",IF(AND((F191&lt;=85),(AJ191&gt;=15)),"O","X"))</f>
        <v>X</v>
      </c>
      <c r="AV191" s="13" t="str">
        <f>IF(C191="","",IF(C191&gt;=$AV$1,"O","X"))</f>
        <v>O</v>
      </c>
      <c r="AW191" s="13" t="str">
        <f>IF(AP191="","",IF(AND(AP191="O",AQ191="O",AS191="O",AU191="O",AV191="O"),"후보","X"))</f>
        <v>X</v>
      </c>
    </row>
    <row r="192" spans="1:49" x14ac:dyDescent="0.3">
      <c r="A192" s="5" t="s">
        <v>1909</v>
      </c>
      <c r="B192" s="14" t="s">
        <v>1649</v>
      </c>
      <c r="C192" s="25">
        <v>466</v>
      </c>
      <c r="D192" s="23">
        <v>155.69999999999999</v>
      </c>
      <c r="E192" s="21">
        <v>47</v>
      </c>
      <c r="F192" s="23">
        <v>133.69999999999999</v>
      </c>
      <c r="G192" s="24">
        <v>40</v>
      </c>
      <c r="H192" s="25">
        <v>240</v>
      </c>
      <c r="I192" s="29">
        <v>135000</v>
      </c>
      <c r="J192" s="29"/>
      <c r="K192" s="29">
        <v>85000</v>
      </c>
      <c r="L192" s="29"/>
      <c r="M192" s="6">
        <f>I192-K192</f>
        <v>50000</v>
      </c>
      <c r="N192" s="7">
        <f>IF(ISERROR(K192/I192),"",K192/I192)</f>
        <v>0.62962962962962965</v>
      </c>
      <c r="O192" s="12">
        <f>I192/E192</f>
        <v>2872.3404255319151</v>
      </c>
      <c r="P192" s="12">
        <f>K192/E192</f>
        <v>1808.5106382978724</v>
      </c>
      <c r="Q192" s="13">
        <v>4</v>
      </c>
      <c r="R192" s="13">
        <v>2</v>
      </c>
      <c r="S192" s="13" t="s">
        <v>51</v>
      </c>
      <c r="T192" s="8">
        <v>155</v>
      </c>
      <c r="U192" s="5"/>
      <c r="V192" s="5" t="s">
        <v>1911</v>
      </c>
      <c r="X192" s="23">
        <f t="shared" si="279"/>
        <v>155.69999999999999</v>
      </c>
      <c r="Y192" s="21">
        <f t="shared" si="279"/>
        <v>47</v>
      </c>
      <c r="Z192" s="28">
        <f t="shared" si="280"/>
        <v>240</v>
      </c>
      <c r="AA192" s="6">
        <f t="shared" si="280"/>
        <v>135000</v>
      </c>
      <c r="AB192" s="6">
        <f>K192</f>
        <v>85000</v>
      </c>
      <c r="AC192" s="6">
        <f t="shared" si="281"/>
        <v>50000</v>
      </c>
      <c r="AD192" s="7">
        <f t="shared" si="281"/>
        <v>0.62962962962962965</v>
      </c>
      <c r="AE192" s="12">
        <f t="shared" si="281"/>
        <v>2872.3404255319151</v>
      </c>
      <c r="AF192" s="13" t="str">
        <f>S192</f>
        <v>계</v>
      </c>
      <c r="AG192" s="13" t="str">
        <f>Q192&amp;"/"&amp;R192</f>
        <v>4/2</v>
      </c>
      <c r="AI192" s="32" t="str">
        <f t="shared" si="185"/>
        <v>목련7단지</v>
      </c>
      <c r="AJ192" s="21">
        <f t="shared" si="184"/>
        <v>47</v>
      </c>
      <c r="AK192" s="13" t="str">
        <f>IF(AJ192="","",$AK$2)</f>
        <v>A-</v>
      </c>
      <c r="AL192" s="13"/>
      <c r="AM192" s="13"/>
      <c r="AN192" s="13"/>
      <c r="AO192" s="13" t="str">
        <f>IF(AJ192="","",$AO$2)</f>
        <v>C</v>
      </c>
      <c r="AP192" s="13" t="str">
        <f>IF(N192="","",IF(N192&gt;=$AP$1/100,"O","X"))</f>
        <v>X</v>
      </c>
      <c r="AQ192" s="13" t="str">
        <f>IF(I192="","",IF(I192&lt;=$AQ$1,"O","X"))</f>
        <v>X</v>
      </c>
      <c r="AR192" s="13" t="str">
        <f>IF(O192="","",IF(O192&lt;=$AR$1,"O","X"))</f>
        <v>X</v>
      </c>
      <c r="AS192" s="13" t="str">
        <f>IF(M192="","",IF(M192&lt;=$AS$1,"O","X"))</f>
        <v>X</v>
      </c>
      <c r="AT192" s="13" t="s">
        <v>32</v>
      </c>
      <c r="AU192" s="13" t="str">
        <f>IF(OR(F192="",AJ192=""),"",IF(AND((F192&lt;=85),(AJ192&gt;=15)),"O","X"))</f>
        <v>X</v>
      </c>
      <c r="AV192" s="13" t="str">
        <f>IF(C192="","",IF(C192&gt;=$AV$1,"O","X"))</f>
        <v>O</v>
      </c>
      <c r="AW192" s="13" t="str">
        <f>IF(AP192="","",IF(AND(AP192="O",AQ192="O",AS192="O",AU192="O",AV192="O"),"후보","X"))</f>
        <v>X</v>
      </c>
    </row>
    <row r="193" spans="1:49" x14ac:dyDescent="0.3">
      <c r="A193" s="5" t="s">
        <v>1909</v>
      </c>
      <c r="B193" s="14" t="s">
        <v>1649</v>
      </c>
      <c r="C193" s="25">
        <v>466</v>
      </c>
      <c r="D193" s="23">
        <v>187.3</v>
      </c>
      <c r="E193" s="21">
        <v>57</v>
      </c>
      <c r="F193" s="23">
        <v>158.9</v>
      </c>
      <c r="G193" s="24">
        <v>48</v>
      </c>
      <c r="H193" s="25">
        <v>126</v>
      </c>
      <c r="I193" s="29">
        <v>145000</v>
      </c>
      <c r="J193" s="29"/>
      <c r="K193" s="29">
        <v>95000</v>
      </c>
      <c r="L193" s="29"/>
      <c r="M193" s="6">
        <f>I193-K193</f>
        <v>50000</v>
      </c>
      <c r="N193" s="7">
        <f>IF(ISERROR(K193/I193),"",K193/I193)</f>
        <v>0.65517241379310343</v>
      </c>
      <c r="O193" s="12">
        <f>I193/E193</f>
        <v>2543.8596491228072</v>
      </c>
      <c r="P193" s="12">
        <f>K193/E193</f>
        <v>1666.6666666666667</v>
      </c>
      <c r="Q193" s="13">
        <v>4</v>
      </c>
      <c r="R193" s="13">
        <v>2</v>
      </c>
      <c r="S193" s="13" t="s">
        <v>51</v>
      </c>
      <c r="T193" s="8">
        <v>187</v>
      </c>
      <c r="U193" s="5"/>
      <c r="V193" s="5" t="s">
        <v>1912</v>
      </c>
      <c r="X193" s="23">
        <f t="shared" si="279"/>
        <v>187.3</v>
      </c>
      <c r="Y193" s="21">
        <f t="shared" si="279"/>
        <v>57</v>
      </c>
      <c r="Z193" s="28">
        <f t="shared" si="280"/>
        <v>126</v>
      </c>
      <c r="AA193" s="6">
        <f t="shared" si="280"/>
        <v>145000</v>
      </c>
      <c r="AB193" s="6">
        <f>K193</f>
        <v>95000</v>
      </c>
      <c r="AC193" s="6">
        <f t="shared" si="281"/>
        <v>50000</v>
      </c>
      <c r="AD193" s="7">
        <f t="shared" si="281"/>
        <v>0.65517241379310343</v>
      </c>
      <c r="AE193" s="12">
        <f t="shared" si="281"/>
        <v>2543.8596491228072</v>
      </c>
      <c r="AF193" s="13" t="str">
        <f>S193</f>
        <v>계</v>
      </c>
      <c r="AG193" s="13" t="str">
        <f>Q193&amp;"/"&amp;R193</f>
        <v>4/2</v>
      </c>
      <c r="AI193" s="32" t="str">
        <f t="shared" si="185"/>
        <v>목련7단지</v>
      </c>
      <c r="AJ193" s="21">
        <f t="shared" si="184"/>
        <v>57</v>
      </c>
      <c r="AK193" s="13" t="str">
        <f>IF(AJ193="","",$AK$2)</f>
        <v>A-</v>
      </c>
      <c r="AL193" s="13"/>
      <c r="AM193" s="13"/>
      <c r="AN193" s="13"/>
      <c r="AO193" s="13" t="str">
        <f>IF(AJ193="","",$AO$2)</f>
        <v>C</v>
      </c>
      <c r="AP193" s="13" t="str">
        <f>IF(N193="","",IF(N193&gt;=$AP$1/100,"O","X"))</f>
        <v>X</v>
      </c>
      <c r="AQ193" s="13" t="str">
        <f>IF(I193="","",IF(I193&lt;=$AQ$1,"O","X"))</f>
        <v>X</v>
      </c>
      <c r="AR193" s="13" t="str">
        <f>IF(O193="","",IF(O193&lt;=$AR$1,"O","X"))</f>
        <v>X</v>
      </c>
      <c r="AS193" s="13" t="str">
        <f>IF(M193="","",IF(M193&lt;=$AS$1,"O","X"))</f>
        <v>X</v>
      </c>
      <c r="AT193" s="13" t="s">
        <v>32</v>
      </c>
      <c r="AU193" s="13" t="str">
        <f>IF(OR(F193="",AJ193=""),"",IF(AND((F193&lt;=85),(AJ193&gt;=15)),"O","X"))</f>
        <v>X</v>
      </c>
      <c r="AV193" s="13" t="str">
        <f>IF(C193="","",IF(C193&gt;=$AV$1,"O","X"))</f>
        <v>O</v>
      </c>
      <c r="AW193" s="13" t="str">
        <f>IF(AP193="","",IF(AND(AP193="O",AQ193="O",AS193="O",AU193="O",AV193="O"),"후보","X"))</f>
        <v>X</v>
      </c>
    </row>
    <row r="194" spans="1:49" x14ac:dyDescent="0.3">
      <c r="A194" s="5"/>
      <c r="B194" s="13"/>
      <c r="C194" s="9"/>
      <c r="D194" s="5"/>
      <c r="E194" s="18"/>
      <c r="F194" s="23"/>
      <c r="G194" s="5"/>
      <c r="H194" s="5"/>
      <c r="I194" s="5"/>
      <c r="J194" s="5"/>
      <c r="K194" s="5"/>
      <c r="L194" s="5"/>
      <c r="M194" s="5"/>
      <c r="N194" s="5"/>
      <c r="O194" s="12"/>
      <c r="P194" s="12"/>
      <c r="Q194" s="21"/>
      <c r="R194" s="21"/>
      <c r="S194" s="5"/>
      <c r="T194" s="59"/>
      <c r="U194" s="5"/>
      <c r="V194" s="5"/>
      <c r="X194" s="90" t="str">
        <f>$A$4&amp;" "&amp;A195&amp;"("&amp;B195&amp;","&amp;C195&amp;"^)"</f>
        <v>호계동 샘우방('92.12,488^)</v>
      </c>
      <c r="Y194" s="91"/>
      <c r="Z194" s="91"/>
      <c r="AA194" s="91"/>
      <c r="AB194" s="91"/>
      <c r="AC194" s="91"/>
      <c r="AD194" s="91"/>
      <c r="AE194" s="91"/>
      <c r="AF194" s="91"/>
      <c r="AG194" s="92"/>
      <c r="AI194" s="32" t="str">
        <f t="shared" si="185"/>
        <v/>
      </c>
      <c r="AJ194" s="33" t="str">
        <f t="shared" si="184"/>
        <v/>
      </c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</row>
    <row r="195" spans="1:49" x14ac:dyDescent="0.3">
      <c r="A195" s="5" t="s">
        <v>1913</v>
      </c>
      <c r="B195" s="14" t="s">
        <v>1914</v>
      </c>
      <c r="C195" s="25">
        <v>488</v>
      </c>
      <c r="D195" s="23">
        <v>121.3</v>
      </c>
      <c r="E195" s="21">
        <v>37</v>
      </c>
      <c r="F195" s="23">
        <v>102</v>
      </c>
      <c r="G195" s="24">
        <v>31</v>
      </c>
      <c r="H195" s="25">
        <v>209</v>
      </c>
      <c r="I195" s="29">
        <v>76000</v>
      </c>
      <c r="J195" s="29"/>
      <c r="K195" s="29">
        <v>52000</v>
      </c>
      <c r="L195" s="29"/>
      <c r="M195" s="6">
        <f>I195-K195</f>
        <v>24000</v>
      </c>
      <c r="N195" s="7">
        <f>IF(ISERROR(K195/I195),"",K195/I195)</f>
        <v>0.68421052631578949</v>
      </c>
      <c r="O195" s="12">
        <f>I195/E195</f>
        <v>2054.0540540540542</v>
      </c>
      <c r="P195" s="12">
        <f>K195/E195</f>
        <v>1405.4054054054054</v>
      </c>
      <c r="Q195" s="13">
        <v>4</v>
      </c>
      <c r="R195" s="13">
        <v>2</v>
      </c>
      <c r="S195" s="13" t="s">
        <v>51</v>
      </c>
      <c r="T195" s="8">
        <v>121</v>
      </c>
      <c r="U195" s="5"/>
      <c r="V195" s="5" t="s">
        <v>1915</v>
      </c>
      <c r="X195" s="23">
        <f>D195</f>
        <v>121.3</v>
      </c>
      <c r="Y195" s="21">
        <f>E195</f>
        <v>37</v>
      </c>
      <c r="Z195" s="28">
        <f>H195</f>
        <v>209</v>
      </c>
      <c r="AA195" s="6">
        <f>I195</f>
        <v>76000</v>
      </c>
      <c r="AB195" s="6">
        <f>K195</f>
        <v>52000</v>
      </c>
      <c r="AC195" s="6">
        <f t="shared" ref="AC195:AE196" si="282">M195</f>
        <v>24000</v>
      </c>
      <c r="AD195" s="7">
        <f t="shared" si="282"/>
        <v>0.68421052631578949</v>
      </c>
      <c r="AE195" s="12">
        <f t="shared" si="282"/>
        <v>2054.0540540540542</v>
      </c>
      <c r="AF195" s="13" t="str">
        <f>S195</f>
        <v>계</v>
      </c>
      <c r="AG195" s="13" t="str">
        <f>Q195&amp;"/"&amp;R195</f>
        <v>4/2</v>
      </c>
      <c r="AI195" s="32" t="str">
        <f t="shared" si="185"/>
        <v>샘우방</v>
      </c>
      <c r="AJ195" s="21">
        <f t="shared" ref="AJ195:AJ239" si="283">IF(E195="","",E195)</f>
        <v>37</v>
      </c>
      <c r="AK195" s="13" t="str">
        <f>IF(AJ195="","",$AK$2)</f>
        <v>A-</v>
      </c>
      <c r="AL195" s="13"/>
      <c r="AM195" s="13"/>
      <c r="AN195" s="13"/>
      <c r="AO195" s="13" t="str">
        <f>IF(AJ195="","",$AO$2)</f>
        <v>C</v>
      </c>
      <c r="AP195" s="13" t="str">
        <f>IF(N195="","",IF(N195&gt;=$AP$1/100,"O","X"))</f>
        <v>X</v>
      </c>
      <c r="AQ195" s="13" t="str">
        <f>IF(I195="","",IF(I195&lt;=$AQ$1,"O","X"))</f>
        <v>X</v>
      </c>
      <c r="AR195" s="13" t="str">
        <f>IF(O195="","",IF(O195&lt;=$AR$1,"O","X"))</f>
        <v>X</v>
      </c>
      <c r="AS195" s="13" t="str">
        <f>IF(M195="","",IF(M195&lt;=$AS$1,"O","X"))</f>
        <v>X</v>
      </c>
      <c r="AT195" s="13" t="s">
        <v>32</v>
      </c>
      <c r="AU195" s="13" t="str">
        <f>IF(OR(F195="",AJ195=""),"",IF(AND((F195&lt;=85),(AJ195&gt;=15)),"O","X"))</f>
        <v>X</v>
      </c>
      <c r="AV195" s="13" t="str">
        <f>IF(C195="","",IF(C195&gt;=$AV$1,"O","X"))</f>
        <v>O</v>
      </c>
      <c r="AW195" s="13" t="str">
        <f>IF(AP195="","",IF(AND(AP195="O",AQ195="O",AS195="O",AU195="O",AV195="O"),"후보","X"))</f>
        <v>X</v>
      </c>
    </row>
    <row r="196" spans="1:49" x14ac:dyDescent="0.3">
      <c r="A196" s="5" t="s">
        <v>1913</v>
      </c>
      <c r="B196" s="14" t="s">
        <v>1914</v>
      </c>
      <c r="C196" s="25">
        <v>488</v>
      </c>
      <c r="D196" s="23">
        <v>160.69999999999999</v>
      </c>
      <c r="E196" s="21">
        <v>49</v>
      </c>
      <c r="F196" s="23">
        <v>133.9</v>
      </c>
      <c r="G196" s="24">
        <v>40</v>
      </c>
      <c r="H196" s="25">
        <v>279</v>
      </c>
      <c r="I196" s="29">
        <v>94000</v>
      </c>
      <c r="J196" s="29"/>
      <c r="K196" s="29">
        <v>70000</v>
      </c>
      <c r="L196" s="29"/>
      <c r="M196" s="6">
        <f>I196-K196</f>
        <v>24000</v>
      </c>
      <c r="N196" s="7">
        <f>IF(ISERROR(K196/I196),"",K196/I196)</f>
        <v>0.74468085106382975</v>
      </c>
      <c r="O196" s="12">
        <f>I196/E196</f>
        <v>1918.3673469387754</v>
      </c>
      <c r="P196" s="12">
        <f>K196/E196</f>
        <v>1428.5714285714287</v>
      </c>
      <c r="Q196" s="13">
        <v>4</v>
      </c>
      <c r="R196" s="13">
        <v>2</v>
      </c>
      <c r="S196" s="13" t="s">
        <v>51</v>
      </c>
      <c r="T196" s="8">
        <v>160</v>
      </c>
      <c r="U196" s="5"/>
      <c r="V196" s="5" t="s">
        <v>1916</v>
      </c>
      <c r="X196" s="23">
        <f>D196</f>
        <v>160.69999999999999</v>
      </c>
      <c r="Y196" s="21">
        <f>E196</f>
        <v>49</v>
      </c>
      <c r="Z196" s="28">
        <f>H196</f>
        <v>279</v>
      </c>
      <c r="AA196" s="6">
        <f>I196</f>
        <v>94000</v>
      </c>
      <c r="AB196" s="6">
        <f>K196</f>
        <v>70000</v>
      </c>
      <c r="AC196" s="6">
        <f t="shared" si="282"/>
        <v>24000</v>
      </c>
      <c r="AD196" s="7">
        <f t="shared" si="282"/>
        <v>0.74468085106382975</v>
      </c>
      <c r="AE196" s="12">
        <f t="shared" si="282"/>
        <v>1918.3673469387754</v>
      </c>
      <c r="AF196" s="13" t="str">
        <f>S196</f>
        <v>계</v>
      </c>
      <c r="AG196" s="13" t="str">
        <f>Q196&amp;"/"&amp;R196</f>
        <v>4/2</v>
      </c>
      <c r="AI196" s="32" t="str">
        <f t="shared" si="185"/>
        <v>샘우방</v>
      </c>
      <c r="AJ196" s="21">
        <f t="shared" si="283"/>
        <v>49</v>
      </c>
      <c r="AK196" s="13" t="str">
        <f>IF(AJ196="","",$AK$2)</f>
        <v>A-</v>
      </c>
      <c r="AL196" s="13"/>
      <c r="AM196" s="13"/>
      <c r="AN196" s="13"/>
      <c r="AO196" s="13" t="str">
        <f>IF(AJ196="","",$AO$2)</f>
        <v>C</v>
      </c>
      <c r="AP196" s="13" t="str">
        <f>IF(N196="","",IF(N196&gt;=$AP$1/100,"O","X"))</f>
        <v>X</v>
      </c>
      <c r="AQ196" s="13" t="str">
        <f>IF(I196="","",IF(I196&lt;=$AQ$1,"O","X"))</f>
        <v>X</v>
      </c>
      <c r="AR196" s="13" t="str">
        <f>IF(O196="","",IF(O196&lt;=$AR$1,"O","X"))</f>
        <v>X</v>
      </c>
      <c r="AS196" s="13" t="str">
        <f>IF(M196="","",IF(M196&lt;=$AS$1,"O","X"))</f>
        <v>X</v>
      </c>
      <c r="AT196" s="13" t="s">
        <v>32</v>
      </c>
      <c r="AU196" s="13" t="str">
        <f>IF(OR(F196="",AJ196=""),"",IF(AND((F196&lt;=85),(AJ196&gt;=15)),"O","X"))</f>
        <v>X</v>
      </c>
      <c r="AV196" s="13" t="str">
        <f>IF(C196="","",IF(C196&gt;=$AV$1,"O","X"))</f>
        <v>O</v>
      </c>
      <c r="AW196" s="13" t="str">
        <f>IF(AP196="","",IF(AND(AP196="O",AQ196="O",AS196="O",AU196="O",AV196="O"),"후보","X"))</f>
        <v>X</v>
      </c>
    </row>
    <row r="197" spans="1:49" x14ac:dyDescent="0.3">
      <c r="A197" s="5"/>
      <c r="B197" s="13"/>
      <c r="C197" s="9"/>
      <c r="D197" s="5"/>
      <c r="E197" s="18"/>
      <c r="F197" s="23"/>
      <c r="G197" s="5"/>
      <c r="H197" s="5"/>
      <c r="I197" s="5"/>
      <c r="J197" s="5"/>
      <c r="K197" s="5"/>
      <c r="L197" s="5"/>
      <c r="M197" s="5"/>
      <c r="N197" s="5"/>
      <c r="O197" s="12"/>
      <c r="P197" s="12"/>
      <c r="Q197" s="21"/>
      <c r="R197" s="21"/>
      <c r="S197" s="5"/>
      <c r="T197" s="59"/>
      <c r="U197" s="5"/>
      <c r="V197" s="5"/>
      <c r="X197" s="90" t="str">
        <f>$A$4&amp;" "&amp;A198&amp;"("&amp;B198&amp;","&amp;C198&amp;"^)"</f>
        <v>호계동 목련5단지('93.03,683^)</v>
      </c>
      <c r="Y197" s="91"/>
      <c r="Z197" s="91"/>
      <c r="AA197" s="91"/>
      <c r="AB197" s="91"/>
      <c r="AC197" s="91"/>
      <c r="AD197" s="91"/>
      <c r="AE197" s="91"/>
      <c r="AF197" s="91"/>
      <c r="AG197" s="92"/>
      <c r="AI197" s="32" t="str">
        <f t="shared" ref="AI197:AI239" si="284">IF(A197="","",A197)</f>
        <v/>
      </c>
      <c r="AJ197" s="33" t="str">
        <f t="shared" si="283"/>
        <v/>
      </c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</row>
    <row r="198" spans="1:49" x14ac:dyDescent="0.3">
      <c r="A198" s="5" t="s">
        <v>1917</v>
      </c>
      <c r="B198" s="14" t="s">
        <v>1409</v>
      </c>
      <c r="C198" s="25">
        <v>683</v>
      </c>
      <c r="D198" s="23">
        <v>54.3</v>
      </c>
      <c r="E198" s="21">
        <v>16</v>
      </c>
      <c r="F198" s="23">
        <v>41.9</v>
      </c>
      <c r="G198" s="24">
        <v>13</v>
      </c>
      <c r="H198" s="25">
        <v>523</v>
      </c>
      <c r="I198" s="29">
        <v>43000</v>
      </c>
      <c r="J198" s="29"/>
      <c r="K198" s="29">
        <v>22000</v>
      </c>
      <c r="L198" s="29"/>
      <c r="M198" s="6">
        <f>I198-K198</f>
        <v>21000</v>
      </c>
      <c r="N198" s="7">
        <f>IF(ISERROR(K198/I198),"",K198/I198)</f>
        <v>0.51162790697674421</v>
      </c>
      <c r="O198" s="12">
        <f>I198/E198</f>
        <v>2687.5</v>
      </c>
      <c r="P198" s="12">
        <f>K198/E198</f>
        <v>1375</v>
      </c>
      <c r="Q198" s="13">
        <v>2</v>
      </c>
      <c r="R198" s="13">
        <v>1</v>
      </c>
      <c r="S198" s="13" t="s">
        <v>1356</v>
      </c>
      <c r="T198" s="8">
        <v>54</v>
      </c>
      <c r="U198" s="5"/>
      <c r="V198" s="5" t="s">
        <v>1918</v>
      </c>
      <c r="X198" s="23">
        <f t="shared" ref="X198:Y200" si="285">D198</f>
        <v>54.3</v>
      </c>
      <c r="Y198" s="21">
        <f t="shared" si="285"/>
        <v>16</v>
      </c>
      <c r="Z198" s="28">
        <f t="shared" ref="Z198:AA200" si="286">H198</f>
        <v>523</v>
      </c>
      <c r="AA198" s="6">
        <f t="shared" si="286"/>
        <v>43000</v>
      </c>
      <c r="AB198" s="6">
        <f>K198</f>
        <v>22000</v>
      </c>
      <c r="AC198" s="6">
        <f t="shared" ref="AC198:AE200" si="287">M198</f>
        <v>21000</v>
      </c>
      <c r="AD198" s="7">
        <f t="shared" si="287"/>
        <v>0.51162790697674421</v>
      </c>
      <c r="AE198" s="12">
        <f t="shared" si="287"/>
        <v>2687.5</v>
      </c>
      <c r="AF198" s="13" t="str">
        <f>S198</f>
        <v>복</v>
      </c>
      <c r="AG198" s="13" t="str">
        <f>Q198&amp;"/"&amp;R198</f>
        <v>2/1</v>
      </c>
      <c r="AI198" s="32" t="str">
        <f t="shared" si="284"/>
        <v>목련5단지</v>
      </c>
      <c r="AJ198" s="21">
        <f t="shared" si="283"/>
        <v>16</v>
      </c>
      <c r="AK198" s="13" t="str">
        <f>IF(AJ198="","",$AK$2)</f>
        <v>A-</v>
      </c>
      <c r="AL198" s="13"/>
      <c r="AM198" s="13"/>
      <c r="AN198" s="13"/>
      <c r="AO198" s="13" t="str">
        <f>IF(AJ198="","",$AO$2)</f>
        <v>C</v>
      </c>
      <c r="AP198" s="13" t="str">
        <f>IF(N198="","",IF(N198&gt;=$AP$1/100,"O","X"))</f>
        <v>X</v>
      </c>
      <c r="AQ198" s="13" t="str">
        <f>IF(I198="","",IF(I198&lt;=$AQ$1,"O","X"))</f>
        <v>O</v>
      </c>
      <c r="AR198" s="13" t="str">
        <f>IF(O198="","",IF(O198&lt;=$AR$1,"O","X"))</f>
        <v>X</v>
      </c>
      <c r="AS198" s="13" t="str">
        <f>IF(M198="","",IF(M198&lt;=$AS$1,"O","X"))</f>
        <v>X</v>
      </c>
      <c r="AT198" s="13" t="s">
        <v>32</v>
      </c>
      <c r="AU198" s="13" t="str">
        <f>IF(OR(F198="",AJ198=""),"",IF(AND((F198&lt;=85),(AJ198&gt;=15)),"O","X"))</f>
        <v>O</v>
      </c>
      <c r="AV198" s="13" t="str">
        <f>IF(C198="","",IF(C198&gt;=$AV$1,"O","X"))</f>
        <v>O</v>
      </c>
      <c r="AW198" s="13" t="str">
        <f>IF(AP198="","",IF(AND(AP198="O",AQ198="O",AS198="O",AU198="O",AV198="O"),"후보","X"))</f>
        <v>X</v>
      </c>
    </row>
    <row r="199" spans="1:49" x14ac:dyDescent="0.3">
      <c r="A199" s="5" t="s">
        <v>1917</v>
      </c>
      <c r="B199" s="14" t="s">
        <v>1409</v>
      </c>
      <c r="C199" s="25">
        <v>683</v>
      </c>
      <c r="D199" s="23">
        <v>76.599999999999994</v>
      </c>
      <c r="E199" s="21">
        <v>23</v>
      </c>
      <c r="F199" s="23">
        <v>58.4</v>
      </c>
      <c r="G199" s="24">
        <v>18</v>
      </c>
      <c r="H199" s="25">
        <v>80</v>
      </c>
      <c r="I199" s="29">
        <v>56500</v>
      </c>
      <c r="J199" s="29"/>
      <c r="K199" s="29">
        <v>30000</v>
      </c>
      <c r="L199" s="29"/>
      <c r="M199" s="6">
        <f>I199-K199</f>
        <v>26500</v>
      </c>
      <c r="N199" s="7">
        <f>IF(ISERROR(K199/I199),"",K199/I199)</f>
        <v>0.53097345132743368</v>
      </c>
      <c r="O199" s="12">
        <f>I199/E199</f>
        <v>2456.521739130435</v>
      </c>
      <c r="P199" s="12">
        <f>K199/E199</f>
        <v>1304.3478260869565</v>
      </c>
      <c r="Q199" s="13">
        <v>2</v>
      </c>
      <c r="R199" s="13">
        <v>1</v>
      </c>
      <c r="S199" s="13" t="s">
        <v>1356</v>
      </c>
      <c r="T199" s="8">
        <v>76</v>
      </c>
      <c r="U199" s="5"/>
      <c r="V199" s="5" t="s">
        <v>1919</v>
      </c>
      <c r="X199" s="23">
        <f t="shared" si="285"/>
        <v>76.599999999999994</v>
      </c>
      <c r="Y199" s="21">
        <f t="shared" si="285"/>
        <v>23</v>
      </c>
      <c r="Z199" s="28">
        <f t="shared" si="286"/>
        <v>80</v>
      </c>
      <c r="AA199" s="6">
        <f t="shared" si="286"/>
        <v>56500</v>
      </c>
      <c r="AB199" s="6">
        <f>K199</f>
        <v>30000</v>
      </c>
      <c r="AC199" s="6">
        <f t="shared" si="287"/>
        <v>26500</v>
      </c>
      <c r="AD199" s="7">
        <f t="shared" si="287"/>
        <v>0.53097345132743368</v>
      </c>
      <c r="AE199" s="12">
        <f t="shared" si="287"/>
        <v>2456.521739130435</v>
      </c>
      <c r="AF199" s="13" t="str">
        <f>S199</f>
        <v>복</v>
      </c>
      <c r="AG199" s="13" t="str">
        <f>Q199&amp;"/"&amp;R199</f>
        <v>2/1</v>
      </c>
      <c r="AI199" s="32" t="str">
        <f t="shared" si="284"/>
        <v>목련5단지</v>
      </c>
      <c r="AJ199" s="21">
        <f t="shared" si="283"/>
        <v>23</v>
      </c>
      <c r="AK199" s="13" t="str">
        <f>IF(AJ199="","",$AK$2)</f>
        <v>A-</v>
      </c>
      <c r="AL199" s="13"/>
      <c r="AM199" s="13"/>
      <c r="AN199" s="13"/>
      <c r="AO199" s="13" t="str">
        <f>IF(AJ199="","",$AO$2)</f>
        <v>C</v>
      </c>
      <c r="AP199" s="13" t="str">
        <f>IF(N199="","",IF(N199&gt;=$AP$1/100,"O","X"))</f>
        <v>X</v>
      </c>
      <c r="AQ199" s="13" t="str">
        <f>IF(I199="","",IF(I199&lt;=$AQ$1,"O","X"))</f>
        <v>X</v>
      </c>
      <c r="AR199" s="13" t="str">
        <f>IF(O199="","",IF(O199&lt;=$AR$1,"O","X"))</f>
        <v>X</v>
      </c>
      <c r="AS199" s="13" t="str">
        <f>IF(M199="","",IF(M199&lt;=$AS$1,"O","X"))</f>
        <v>X</v>
      </c>
      <c r="AT199" s="13" t="s">
        <v>32</v>
      </c>
      <c r="AU199" s="13" t="str">
        <f>IF(OR(F199="",AJ199=""),"",IF(AND((F199&lt;=85),(AJ199&gt;=15)),"O","X"))</f>
        <v>O</v>
      </c>
      <c r="AV199" s="13" t="str">
        <f>IF(C199="","",IF(C199&gt;=$AV$1,"O","X"))</f>
        <v>O</v>
      </c>
      <c r="AW199" s="13" t="str">
        <f>IF(AP199="","",IF(AND(AP199="O",AQ199="O",AS199="O",AU199="O",AV199="O"),"후보","X"))</f>
        <v>X</v>
      </c>
    </row>
    <row r="200" spans="1:49" x14ac:dyDescent="0.3">
      <c r="A200" s="5" t="s">
        <v>1917</v>
      </c>
      <c r="B200" s="14" t="s">
        <v>1409</v>
      </c>
      <c r="C200" s="25">
        <v>683</v>
      </c>
      <c r="D200" s="23">
        <v>78.599999999999994</v>
      </c>
      <c r="E200" s="21">
        <v>24</v>
      </c>
      <c r="F200" s="23">
        <v>60</v>
      </c>
      <c r="G200" s="24">
        <v>18</v>
      </c>
      <c r="H200" s="25">
        <v>80</v>
      </c>
      <c r="I200" s="29">
        <v>59000</v>
      </c>
      <c r="J200" s="29"/>
      <c r="K200" s="29">
        <v>33000</v>
      </c>
      <c r="L200" s="29"/>
      <c r="M200" s="6">
        <f>I200-K200</f>
        <v>26000</v>
      </c>
      <c r="N200" s="7">
        <f>IF(ISERROR(K200/I200),"",K200/I200)</f>
        <v>0.55932203389830504</v>
      </c>
      <c r="O200" s="12">
        <f>I200/E200</f>
        <v>2458.3333333333335</v>
      </c>
      <c r="P200" s="12">
        <f>K200/E200</f>
        <v>1375</v>
      </c>
      <c r="Q200" s="13">
        <v>2</v>
      </c>
      <c r="R200" s="13">
        <v>1</v>
      </c>
      <c r="S200" s="13" t="s">
        <v>1356</v>
      </c>
      <c r="T200" s="8">
        <v>78</v>
      </c>
      <c r="U200" s="5"/>
      <c r="V200" s="5" t="s">
        <v>1920</v>
      </c>
      <c r="X200" s="23">
        <f t="shared" si="285"/>
        <v>78.599999999999994</v>
      </c>
      <c r="Y200" s="21">
        <f t="shared" si="285"/>
        <v>24</v>
      </c>
      <c r="Z200" s="28">
        <f t="shared" si="286"/>
        <v>80</v>
      </c>
      <c r="AA200" s="6">
        <f t="shared" si="286"/>
        <v>59000</v>
      </c>
      <c r="AB200" s="6">
        <f>K200</f>
        <v>33000</v>
      </c>
      <c r="AC200" s="6">
        <f t="shared" si="287"/>
        <v>26000</v>
      </c>
      <c r="AD200" s="7">
        <f t="shared" si="287"/>
        <v>0.55932203389830504</v>
      </c>
      <c r="AE200" s="12">
        <f t="shared" si="287"/>
        <v>2458.3333333333335</v>
      </c>
      <c r="AF200" s="13" t="str">
        <f>S200</f>
        <v>복</v>
      </c>
      <c r="AG200" s="13" t="str">
        <f>Q200&amp;"/"&amp;R200</f>
        <v>2/1</v>
      </c>
      <c r="AI200" s="32" t="str">
        <f t="shared" si="284"/>
        <v>목련5단지</v>
      </c>
      <c r="AJ200" s="21">
        <f t="shared" si="283"/>
        <v>24</v>
      </c>
      <c r="AK200" s="13" t="str">
        <f>IF(AJ200="","",$AK$2)</f>
        <v>A-</v>
      </c>
      <c r="AL200" s="13"/>
      <c r="AM200" s="13"/>
      <c r="AN200" s="13"/>
      <c r="AO200" s="13" t="str">
        <f>IF(AJ200="","",$AO$2)</f>
        <v>C</v>
      </c>
      <c r="AP200" s="13" t="str">
        <f>IF(N200="","",IF(N200&gt;=$AP$1/100,"O","X"))</f>
        <v>X</v>
      </c>
      <c r="AQ200" s="13" t="str">
        <f>IF(I200="","",IF(I200&lt;=$AQ$1,"O","X"))</f>
        <v>X</v>
      </c>
      <c r="AR200" s="13" t="str">
        <f>IF(O200="","",IF(O200&lt;=$AR$1,"O","X"))</f>
        <v>X</v>
      </c>
      <c r="AS200" s="13" t="str">
        <f>IF(M200="","",IF(M200&lt;=$AS$1,"O","X"))</f>
        <v>X</v>
      </c>
      <c r="AT200" s="13" t="s">
        <v>32</v>
      </c>
      <c r="AU200" s="13" t="str">
        <f>IF(OR(F200="",AJ200=""),"",IF(AND((F200&lt;=85),(AJ200&gt;=15)),"O","X"))</f>
        <v>O</v>
      </c>
      <c r="AV200" s="13" t="str">
        <f>IF(C200="","",IF(C200&gt;=$AV$1,"O","X"))</f>
        <v>O</v>
      </c>
      <c r="AW200" s="13" t="str">
        <f>IF(AP200="","",IF(AND(AP200="O",AQ200="O",AS200="O",AU200="O",AV200="O"),"후보","X"))</f>
        <v>X</v>
      </c>
    </row>
    <row r="201" spans="1:49" x14ac:dyDescent="0.3">
      <c r="A201" s="5"/>
      <c r="B201" s="13"/>
      <c r="C201" s="9"/>
      <c r="D201" s="5"/>
      <c r="E201" s="18"/>
      <c r="F201" s="23"/>
      <c r="G201" s="5"/>
      <c r="H201" s="5"/>
      <c r="I201" s="5"/>
      <c r="J201" s="5"/>
      <c r="K201" s="5"/>
      <c r="L201" s="5"/>
      <c r="M201" s="5"/>
      <c r="N201" s="5"/>
      <c r="O201" s="12"/>
      <c r="P201" s="12"/>
      <c r="Q201" s="21"/>
      <c r="R201" s="21"/>
      <c r="S201" s="5"/>
      <c r="T201" s="59"/>
      <c r="U201" s="5"/>
      <c r="V201" s="5"/>
      <c r="X201" s="90" t="str">
        <f>$A$4&amp;" "&amp;A202&amp;"("&amp;B202&amp;","&amp;C202&amp;"^)"</f>
        <v>호계동 한마음1단지('99.07,644^)</v>
      </c>
      <c r="Y201" s="91"/>
      <c r="Z201" s="91"/>
      <c r="AA201" s="91"/>
      <c r="AB201" s="91"/>
      <c r="AC201" s="91"/>
      <c r="AD201" s="91"/>
      <c r="AE201" s="91"/>
      <c r="AF201" s="91"/>
      <c r="AG201" s="92"/>
      <c r="AI201" s="32" t="str">
        <f t="shared" si="284"/>
        <v/>
      </c>
      <c r="AJ201" s="33" t="str">
        <f t="shared" si="283"/>
        <v/>
      </c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</row>
    <row r="202" spans="1:49" x14ac:dyDescent="0.3">
      <c r="A202" s="5" t="s">
        <v>1921</v>
      </c>
      <c r="B202" s="14" t="s">
        <v>1922</v>
      </c>
      <c r="C202" s="25">
        <v>644</v>
      </c>
      <c r="D202" s="23">
        <v>80.099999999999994</v>
      </c>
      <c r="E202" s="21">
        <v>24</v>
      </c>
      <c r="F202" s="23">
        <v>60</v>
      </c>
      <c r="G202" s="24">
        <v>18</v>
      </c>
      <c r="H202" s="25">
        <v>324</v>
      </c>
      <c r="I202" s="29">
        <v>48000</v>
      </c>
      <c r="J202" s="29"/>
      <c r="K202" s="29">
        <v>33000</v>
      </c>
      <c r="L202" s="29"/>
      <c r="M202" s="6">
        <f>I202-K202</f>
        <v>15000</v>
      </c>
      <c r="N202" s="7">
        <f>IF(ISERROR(K202/I202),"",K202/I202)</f>
        <v>0.6875</v>
      </c>
      <c r="O202" s="12">
        <f>I202/E202</f>
        <v>2000</v>
      </c>
      <c r="P202" s="12">
        <f>K202/E202</f>
        <v>1375</v>
      </c>
      <c r="Q202" s="13">
        <v>3</v>
      </c>
      <c r="R202" s="13">
        <v>1</v>
      </c>
      <c r="S202" s="13" t="s">
        <v>51</v>
      </c>
      <c r="T202" s="8">
        <v>80</v>
      </c>
      <c r="U202" s="5"/>
      <c r="V202" s="5" t="s">
        <v>1923</v>
      </c>
      <c r="X202" s="23">
        <f>D202</f>
        <v>80.099999999999994</v>
      </c>
      <c r="Y202" s="21">
        <f>E202</f>
        <v>24</v>
      </c>
      <c r="Z202" s="28">
        <f>H202</f>
        <v>324</v>
      </c>
      <c r="AA202" s="6">
        <f>I202</f>
        <v>48000</v>
      </c>
      <c r="AB202" s="6">
        <f>K202</f>
        <v>33000</v>
      </c>
      <c r="AC202" s="6">
        <f t="shared" ref="AC202:AE203" si="288">M202</f>
        <v>15000</v>
      </c>
      <c r="AD202" s="7">
        <f t="shared" si="288"/>
        <v>0.6875</v>
      </c>
      <c r="AE202" s="12">
        <f t="shared" si="288"/>
        <v>2000</v>
      </c>
      <c r="AF202" s="13" t="str">
        <f>S202</f>
        <v>계</v>
      </c>
      <c r="AG202" s="13" t="str">
        <f>Q202&amp;"/"&amp;R202</f>
        <v>3/1</v>
      </c>
      <c r="AI202" s="32" t="str">
        <f t="shared" si="284"/>
        <v>한마음1단지</v>
      </c>
      <c r="AJ202" s="21">
        <f t="shared" si="283"/>
        <v>24</v>
      </c>
      <c r="AK202" s="13" t="str">
        <f>IF(AJ202="","",$AK$2)</f>
        <v>A-</v>
      </c>
      <c r="AL202" s="13"/>
      <c r="AM202" s="13"/>
      <c r="AN202" s="13"/>
      <c r="AO202" s="13" t="str">
        <f>IF(AJ202="","",$AO$2)</f>
        <v>C</v>
      </c>
      <c r="AP202" s="13" t="str">
        <f>IF(N202="","",IF(N202&gt;=$AP$1/100,"O","X"))</f>
        <v>X</v>
      </c>
      <c r="AQ202" s="13" t="str">
        <f>IF(I202="","",IF(I202&lt;=$AQ$1,"O","X"))</f>
        <v>X</v>
      </c>
      <c r="AR202" s="13" t="str">
        <f>IF(O202="","",IF(O202&lt;=$AR$1,"O","X"))</f>
        <v>X</v>
      </c>
      <c r="AS202" s="13" t="str">
        <f>IF(M202="","",IF(M202&lt;=$AS$1,"O","X"))</f>
        <v>X</v>
      </c>
      <c r="AT202" s="13" t="s">
        <v>32</v>
      </c>
      <c r="AU202" s="13" t="str">
        <f>IF(OR(F202="",AJ202=""),"",IF(AND((F202&lt;=85),(AJ202&gt;=15)),"O","X"))</f>
        <v>O</v>
      </c>
      <c r="AV202" s="13" t="str">
        <f>IF(C202="","",IF(C202&gt;=$AV$1,"O","X"))</f>
        <v>O</v>
      </c>
      <c r="AW202" s="13" t="str">
        <f>IF(AP202="","",IF(AND(AP202="O",AQ202="O",AS202="O",AU202="O",AV202="O"),"후보","X"))</f>
        <v>X</v>
      </c>
    </row>
    <row r="203" spans="1:49" x14ac:dyDescent="0.3">
      <c r="A203" s="5" t="s">
        <v>1921</v>
      </c>
      <c r="B203" s="14" t="s">
        <v>1922</v>
      </c>
      <c r="C203" s="25">
        <v>644</v>
      </c>
      <c r="D203" s="23">
        <v>107.2</v>
      </c>
      <c r="E203" s="21">
        <v>32</v>
      </c>
      <c r="F203" s="23">
        <v>85</v>
      </c>
      <c r="G203" s="24">
        <v>26</v>
      </c>
      <c r="H203" s="25">
        <v>320</v>
      </c>
      <c r="I203" s="29">
        <v>59000</v>
      </c>
      <c r="J203" s="29"/>
      <c r="K203" s="29">
        <v>42000</v>
      </c>
      <c r="L203" s="29"/>
      <c r="M203" s="6">
        <f>I203-K203</f>
        <v>17000</v>
      </c>
      <c r="N203" s="7">
        <f>IF(ISERROR(K203/I203),"",K203/I203)</f>
        <v>0.71186440677966101</v>
      </c>
      <c r="O203" s="12">
        <f>I203/E203</f>
        <v>1843.75</v>
      </c>
      <c r="P203" s="12">
        <f>K203/E203</f>
        <v>1312.5</v>
      </c>
      <c r="Q203" s="13">
        <v>3</v>
      </c>
      <c r="R203" s="13">
        <v>2</v>
      </c>
      <c r="S203" s="13" t="s">
        <v>51</v>
      </c>
      <c r="T203" s="8">
        <v>107</v>
      </c>
      <c r="U203" s="5"/>
      <c r="V203" s="5" t="s">
        <v>1924</v>
      </c>
      <c r="X203" s="23">
        <f>D203</f>
        <v>107.2</v>
      </c>
      <c r="Y203" s="21">
        <f>E203</f>
        <v>32</v>
      </c>
      <c r="Z203" s="28">
        <f>H203</f>
        <v>320</v>
      </c>
      <c r="AA203" s="6">
        <f>I203</f>
        <v>59000</v>
      </c>
      <c r="AB203" s="6">
        <f>K203</f>
        <v>42000</v>
      </c>
      <c r="AC203" s="6">
        <f t="shared" si="288"/>
        <v>17000</v>
      </c>
      <c r="AD203" s="7">
        <f t="shared" si="288"/>
        <v>0.71186440677966101</v>
      </c>
      <c r="AE203" s="12">
        <f t="shared" si="288"/>
        <v>1843.75</v>
      </c>
      <c r="AF203" s="13" t="str">
        <f>S203</f>
        <v>계</v>
      </c>
      <c r="AG203" s="13" t="str">
        <f>Q203&amp;"/"&amp;R203</f>
        <v>3/2</v>
      </c>
      <c r="AI203" s="32" t="str">
        <f t="shared" si="284"/>
        <v>한마음1단지</v>
      </c>
      <c r="AJ203" s="21">
        <f t="shared" si="283"/>
        <v>32</v>
      </c>
      <c r="AK203" s="13" t="str">
        <f>IF(AJ203="","",$AK$2)</f>
        <v>A-</v>
      </c>
      <c r="AL203" s="13"/>
      <c r="AM203" s="13"/>
      <c r="AN203" s="13"/>
      <c r="AO203" s="13" t="str">
        <f>IF(AJ203="","",$AO$2)</f>
        <v>C</v>
      </c>
      <c r="AP203" s="13" t="str">
        <f>IF(N203="","",IF(N203&gt;=$AP$1/100,"O","X"))</f>
        <v>X</v>
      </c>
      <c r="AQ203" s="13" t="str">
        <f>IF(I203="","",IF(I203&lt;=$AQ$1,"O","X"))</f>
        <v>X</v>
      </c>
      <c r="AR203" s="13" t="str">
        <f>IF(O203="","",IF(O203&lt;=$AR$1,"O","X"))</f>
        <v>X</v>
      </c>
      <c r="AS203" s="13" t="str">
        <f>IF(M203="","",IF(M203&lt;=$AS$1,"O","X"))</f>
        <v>X</v>
      </c>
      <c r="AT203" s="13" t="s">
        <v>32</v>
      </c>
      <c r="AU203" s="13" t="str">
        <f>IF(OR(F203="",AJ203=""),"",IF(AND((F203&lt;=85),(AJ203&gt;=15)),"O","X"))</f>
        <v>O</v>
      </c>
      <c r="AV203" s="13" t="str">
        <f>IF(C203="","",IF(C203&gt;=$AV$1,"O","X"))</f>
        <v>O</v>
      </c>
      <c r="AW203" s="13" t="str">
        <f>IF(AP203="","",IF(AND(AP203="O",AQ203="O",AS203="O",AU203="O",AV203="O"),"후보","X"))</f>
        <v>X</v>
      </c>
    </row>
    <row r="204" spans="1:49" x14ac:dyDescent="0.3">
      <c r="A204" s="5"/>
      <c r="B204" s="13"/>
      <c r="C204" s="9"/>
      <c r="D204" s="5"/>
      <c r="E204" s="18"/>
      <c r="F204" s="23"/>
      <c r="G204" s="5"/>
      <c r="H204" s="5"/>
      <c r="I204" s="5"/>
      <c r="J204" s="5"/>
      <c r="K204" s="5"/>
      <c r="L204" s="5"/>
      <c r="M204" s="5"/>
      <c r="N204" s="5"/>
      <c r="O204" s="12"/>
      <c r="P204" s="12"/>
      <c r="Q204" s="21"/>
      <c r="R204" s="21"/>
      <c r="S204" s="5"/>
      <c r="T204" s="59"/>
      <c r="U204" s="5"/>
      <c r="V204" s="5"/>
      <c r="X204" s="90" t="str">
        <f>$A$4&amp;" "&amp;A205&amp;"("&amp;B205&amp;","&amp;C205&amp;"^)"</f>
        <v>호계동 호계효성('00.1,370^)</v>
      </c>
      <c r="Y204" s="91"/>
      <c r="Z204" s="91"/>
      <c r="AA204" s="91"/>
      <c r="AB204" s="91"/>
      <c r="AC204" s="91"/>
      <c r="AD204" s="91"/>
      <c r="AE204" s="91"/>
      <c r="AF204" s="91"/>
      <c r="AG204" s="92"/>
      <c r="AI204" s="32" t="str">
        <f t="shared" si="284"/>
        <v/>
      </c>
      <c r="AJ204" s="33" t="str">
        <f t="shared" si="283"/>
        <v/>
      </c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</row>
    <row r="205" spans="1:49" x14ac:dyDescent="0.3">
      <c r="A205" s="5" t="s">
        <v>1925</v>
      </c>
      <c r="B205" s="14" t="s">
        <v>1926</v>
      </c>
      <c r="C205" s="25">
        <v>370</v>
      </c>
      <c r="D205" s="23">
        <v>84</v>
      </c>
      <c r="E205" s="21">
        <v>25</v>
      </c>
      <c r="F205" s="23">
        <v>59.8</v>
      </c>
      <c r="G205" s="24">
        <v>18</v>
      </c>
      <c r="H205" s="25">
        <v>102</v>
      </c>
      <c r="I205" s="29">
        <v>40000</v>
      </c>
      <c r="J205" s="29"/>
      <c r="K205" s="29">
        <v>32000</v>
      </c>
      <c r="L205" s="29"/>
      <c r="M205" s="6">
        <f>I205-K205</f>
        <v>8000</v>
      </c>
      <c r="N205" s="7">
        <f>IF(ISERROR(K205/I205),"",K205/I205)</f>
        <v>0.8</v>
      </c>
      <c r="O205" s="12">
        <f>I205/E205</f>
        <v>1600</v>
      </c>
      <c r="P205" s="12">
        <f>K205/E205</f>
        <v>1280</v>
      </c>
      <c r="Q205" s="13">
        <v>2</v>
      </c>
      <c r="R205" s="13">
        <v>1</v>
      </c>
      <c r="S205" s="13" t="s">
        <v>1356</v>
      </c>
      <c r="T205" s="8">
        <v>83</v>
      </c>
      <c r="U205" s="5"/>
      <c r="V205" s="5" t="s">
        <v>1927</v>
      </c>
      <c r="X205" s="23">
        <f t="shared" ref="X205:Y207" si="289">D205</f>
        <v>84</v>
      </c>
      <c r="Y205" s="21">
        <f t="shared" si="289"/>
        <v>25</v>
      </c>
      <c r="Z205" s="28">
        <f t="shared" ref="Z205:AA207" si="290">H205</f>
        <v>102</v>
      </c>
      <c r="AA205" s="6">
        <f t="shared" si="290"/>
        <v>40000</v>
      </c>
      <c r="AB205" s="6">
        <f>K205</f>
        <v>32000</v>
      </c>
      <c r="AC205" s="6">
        <f t="shared" ref="AC205:AE207" si="291">M205</f>
        <v>8000</v>
      </c>
      <c r="AD205" s="7">
        <f t="shared" si="291"/>
        <v>0.8</v>
      </c>
      <c r="AE205" s="12">
        <f t="shared" si="291"/>
        <v>1600</v>
      </c>
      <c r="AF205" s="13" t="str">
        <f>S205</f>
        <v>복</v>
      </c>
      <c r="AG205" s="13" t="str">
        <f>Q205&amp;"/"&amp;R205</f>
        <v>2/1</v>
      </c>
      <c r="AI205" s="32" t="str">
        <f t="shared" si="284"/>
        <v>호계효성</v>
      </c>
      <c r="AJ205" s="21">
        <f t="shared" si="283"/>
        <v>25</v>
      </c>
      <c r="AK205" s="13" t="str">
        <f>IF(AJ205="","",$AK$2)</f>
        <v>A-</v>
      </c>
      <c r="AL205" s="13"/>
      <c r="AM205" s="13"/>
      <c r="AN205" s="13"/>
      <c r="AO205" s="13" t="str">
        <f>IF(AJ205="","",$AO$2)</f>
        <v>C</v>
      </c>
      <c r="AP205" s="13" t="str">
        <f>IF(N205="","",IF(N205&gt;=$AP$1/100,"O","X"))</f>
        <v>O</v>
      </c>
      <c r="AQ205" s="13" t="str">
        <f>IF(I205="","",IF(I205&lt;=$AQ$1,"O","X"))</f>
        <v>O</v>
      </c>
      <c r="AR205" s="13" t="str">
        <f>IF(O205="","",IF(O205&lt;=$AR$1,"O","X"))</f>
        <v>X</v>
      </c>
      <c r="AS205" s="13" t="str">
        <f>IF(M205="","",IF(M205&lt;=$AS$1,"O","X"))</f>
        <v>X</v>
      </c>
      <c r="AT205" s="13" t="s">
        <v>32</v>
      </c>
      <c r="AU205" s="13" t="str">
        <f>IF(OR(F205="",AJ205=""),"",IF(AND((F205&lt;=85),(AJ205&gt;=15)),"O","X"))</f>
        <v>O</v>
      </c>
      <c r="AV205" s="13" t="str">
        <f>IF(C205="","",IF(C205&gt;=$AV$1,"O","X"))</f>
        <v>O</v>
      </c>
      <c r="AW205" s="13" t="str">
        <f>IF(AP205="","",IF(AND(AP205="O",AQ205="O",AS205="O",AU205="O",AV205="O"),"후보","X"))</f>
        <v>X</v>
      </c>
    </row>
    <row r="206" spans="1:49" x14ac:dyDescent="0.3">
      <c r="A206" s="5" t="s">
        <v>1925</v>
      </c>
      <c r="B206" s="14" t="s">
        <v>1926</v>
      </c>
      <c r="C206" s="25">
        <v>370</v>
      </c>
      <c r="D206" s="23">
        <v>108.1</v>
      </c>
      <c r="E206" s="21">
        <v>33</v>
      </c>
      <c r="F206" s="23">
        <v>85</v>
      </c>
      <c r="G206" s="24">
        <v>26</v>
      </c>
      <c r="H206" s="25">
        <v>226</v>
      </c>
      <c r="I206" s="29">
        <v>52000</v>
      </c>
      <c r="J206" s="29"/>
      <c r="K206" s="29">
        <v>39000</v>
      </c>
      <c r="L206" s="29"/>
      <c r="M206" s="6">
        <f>I206-K206</f>
        <v>13000</v>
      </c>
      <c r="N206" s="7">
        <f>IF(ISERROR(K206/I206),"",K206/I206)</f>
        <v>0.75</v>
      </c>
      <c r="O206" s="12">
        <f>I206/E206</f>
        <v>1575.7575757575758</v>
      </c>
      <c r="P206" s="12">
        <f>K206/E206</f>
        <v>1181.8181818181818</v>
      </c>
      <c r="Q206" s="13">
        <v>3</v>
      </c>
      <c r="R206" s="13">
        <v>2</v>
      </c>
      <c r="S206" s="13" t="s">
        <v>51</v>
      </c>
      <c r="T206" s="8">
        <v>108</v>
      </c>
      <c r="U206" s="5"/>
      <c r="V206" s="5" t="s">
        <v>1928</v>
      </c>
      <c r="X206" s="23">
        <f t="shared" si="289"/>
        <v>108.1</v>
      </c>
      <c r="Y206" s="21">
        <f t="shared" si="289"/>
        <v>33</v>
      </c>
      <c r="Z206" s="28">
        <f t="shared" si="290"/>
        <v>226</v>
      </c>
      <c r="AA206" s="6">
        <f t="shared" si="290"/>
        <v>52000</v>
      </c>
      <c r="AB206" s="6">
        <f>K206</f>
        <v>39000</v>
      </c>
      <c r="AC206" s="6">
        <f t="shared" si="291"/>
        <v>13000</v>
      </c>
      <c r="AD206" s="7">
        <f t="shared" si="291"/>
        <v>0.75</v>
      </c>
      <c r="AE206" s="12">
        <f t="shared" si="291"/>
        <v>1575.7575757575758</v>
      </c>
      <c r="AF206" s="13" t="str">
        <f>S206</f>
        <v>계</v>
      </c>
      <c r="AG206" s="13" t="str">
        <f>Q206&amp;"/"&amp;R206</f>
        <v>3/2</v>
      </c>
      <c r="AI206" s="32" t="str">
        <f t="shared" si="284"/>
        <v>호계효성</v>
      </c>
      <c r="AJ206" s="21">
        <f t="shared" si="283"/>
        <v>33</v>
      </c>
      <c r="AK206" s="13" t="str">
        <f>IF(AJ206="","",$AK$2)</f>
        <v>A-</v>
      </c>
      <c r="AL206" s="13"/>
      <c r="AM206" s="13"/>
      <c r="AN206" s="13"/>
      <c r="AO206" s="13" t="str">
        <f>IF(AJ206="","",$AO$2)</f>
        <v>C</v>
      </c>
      <c r="AP206" s="13" t="str">
        <f>IF(N206="","",IF(N206&gt;=$AP$1/100,"O","X"))</f>
        <v>X</v>
      </c>
      <c r="AQ206" s="13" t="str">
        <f>IF(I206="","",IF(I206&lt;=$AQ$1,"O","X"))</f>
        <v>X</v>
      </c>
      <c r="AR206" s="13" t="str">
        <f>IF(O206="","",IF(O206&lt;=$AR$1,"O","X"))</f>
        <v>X</v>
      </c>
      <c r="AS206" s="13" t="str">
        <f>IF(M206="","",IF(M206&lt;=$AS$1,"O","X"))</f>
        <v>X</v>
      </c>
      <c r="AT206" s="13" t="s">
        <v>32</v>
      </c>
      <c r="AU206" s="13" t="str">
        <f>IF(OR(F206="",AJ206=""),"",IF(AND((F206&lt;=85),(AJ206&gt;=15)),"O","X"))</f>
        <v>O</v>
      </c>
      <c r="AV206" s="13" t="str">
        <f>IF(C206="","",IF(C206&gt;=$AV$1,"O","X"))</f>
        <v>O</v>
      </c>
      <c r="AW206" s="13" t="str">
        <f>IF(AP206="","",IF(AND(AP206="O",AQ206="O",AS206="O",AU206="O",AV206="O"),"후보","X"))</f>
        <v>X</v>
      </c>
    </row>
    <row r="207" spans="1:49" x14ac:dyDescent="0.3">
      <c r="A207" s="5" t="s">
        <v>1925</v>
      </c>
      <c r="B207" s="14" t="s">
        <v>1926</v>
      </c>
      <c r="C207" s="25">
        <v>370</v>
      </c>
      <c r="D207" s="23">
        <v>154.30000000000001</v>
      </c>
      <c r="E207" s="21">
        <v>47</v>
      </c>
      <c r="F207" s="23">
        <v>126.9</v>
      </c>
      <c r="G207" s="24">
        <v>38</v>
      </c>
      <c r="H207" s="25">
        <v>42</v>
      </c>
      <c r="I207" s="29">
        <v>63000</v>
      </c>
      <c r="J207" s="29"/>
      <c r="K207" s="29">
        <v>53000</v>
      </c>
      <c r="L207" s="29"/>
      <c r="M207" s="6">
        <f>I207-K207</f>
        <v>10000</v>
      </c>
      <c r="N207" s="7">
        <f>IF(ISERROR(K207/I207),"",K207/I207)</f>
        <v>0.84126984126984128</v>
      </c>
      <c r="O207" s="12">
        <f>I207/E207</f>
        <v>1340.4255319148936</v>
      </c>
      <c r="P207" s="12">
        <f>K207/E207</f>
        <v>1127.6595744680851</v>
      </c>
      <c r="Q207" s="13">
        <v>4</v>
      </c>
      <c r="R207" s="13">
        <v>2</v>
      </c>
      <c r="S207" s="13" t="s">
        <v>51</v>
      </c>
      <c r="T207" s="8">
        <v>154</v>
      </c>
      <c r="U207" s="5"/>
      <c r="V207" s="5" t="s">
        <v>1929</v>
      </c>
      <c r="X207" s="23">
        <f t="shared" si="289"/>
        <v>154.30000000000001</v>
      </c>
      <c r="Y207" s="21">
        <f t="shared" si="289"/>
        <v>47</v>
      </c>
      <c r="Z207" s="28">
        <f t="shared" si="290"/>
        <v>42</v>
      </c>
      <c r="AA207" s="6">
        <f t="shared" si="290"/>
        <v>63000</v>
      </c>
      <c r="AB207" s="6">
        <f>K207</f>
        <v>53000</v>
      </c>
      <c r="AC207" s="6">
        <f t="shared" si="291"/>
        <v>10000</v>
      </c>
      <c r="AD207" s="7">
        <f t="shared" si="291"/>
        <v>0.84126984126984128</v>
      </c>
      <c r="AE207" s="12">
        <f t="shared" si="291"/>
        <v>1340.4255319148936</v>
      </c>
      <c r="AF207" s="13" t="str">
        <f>S207</f>
        <v>계</v>
      </c>
      <c r="AG207" s="13" t="str">
        <f>Q207&amp;"/"&amp;R207</f>
        <v>4/2</v>
      </c>
      <c r="AI207" s="32" t="str">
        <f t="shared" si="284"/>
        <v>호계효성</v>
      </c>
      <c r="AJ207" s="21">
        <f t="shared" si="283"/>
        <v>47</v>
      </c>
      <c r="AK207" s="13" t="str">
        <f>IF(AJ207="","",$AK$2)</f>
        <v>A-</v>
      </c>
      <c r="AL207" s="13"/>
      <c r="AM207" s="13"/>
      <c r="AN207" s="13"/>
      <c r="AO207" s="13" t="str">
        <f>IF(AJ207="","",$AO$2)</f>
        <v>C</v>
      </c>
      <c r="AP207" s="13" t="str">
        <f>IF(N207="","",IF(N207&gt;=$AP$1/100,"O","X"))</f>
        <v>O</v>
      </c>
      <c r="AQ207" s="13" t="str">
        <f>IF(I207="","",IF(I207&lt;=$AQ$1,"O","X"))</f>
        <v>X</v>
      </c>
      <c r="AR207" s="13" t="str">
        <f>IF(O207="","",IF(O207&lt;=$AR$1,"O","X"))</f>
        <v>X</v>
      </c>
      <c r="AS207" s="13" t="str">
        <f>IF(M207="","",IF(M207&lt;=$AS$1,"O","X"))</f>
        <v>X</v>
      </c>
      <c r="AT207" s="13" t="s">
        <v>32</v>
      </c>
      <c r="AU207" s="13" t="str">
        <f>IF(OR(F207="",AJ207=""),"",IF(AND((F207&lt;=85),(AJ207&gt;=15)),"O","X"))</f>
        <v>X</v>
      </c>
      <c r="AV207" s="13" t="str">
        <f>IF(C207="","",IF(C207&gt;=$AV$1,"O","X"))</f>
        <v>O</v>
      </c>
      <c r="AW207" s="13" t="str">
        <f>IF(AP207="","",IF(AND(AP207="O",AQ207="O",AS207="O",AU207="O",AV207="O"),"후보","X"))</f>
        <v>X</v>
      </c>
    </row>
    <row r="208" spans="1:49" x14ac:dyDescent="0.3">
      <c r="A208" s="5"/>
      <c r="B208" s="13"/>
      <c r="C208" s="9"/>
      <c r="D208" s="5"/>
      <c r="E208" s="18"/>
      <c r="F208" s="23"/>
      <c r="G208" s="5"/>
      <c r="H208" s="5"/>
      <c r="I208" s="5"/>
      <c r="J208" s="5"/>
      <c r="K208" s="5"/>
      <c r="L208" s="5"/>
      <c r="M208" s="5"/>
      <c r="N208" s="5"/>
      <c r="O208" s="12"/>
      <c r="P208" s="12"/>
      <c r="Q208" s="21"/>
      <c r="R208" s="21"/>
      <c r="S208" s="5"/>
      <c r="T208" s="59"/>
      <c r="U208" s="5"/>
      <c r="V208" s="5"/>
      <c r="X208" s="90" t="str">
        <f>$A$4&amp;" "&amp;A209&amp;"("&amp;B209&amp;","&amp;C209&amp;"^)"</f>
        <v>호계동 한마음2단지('03.04,426^)</v>
      </c>
      <c r="Y208" s="91"/>
      <c r="Z208" s="91"/>
      <c r="AA208" s="91"/>
      <c r="AB208" s="91"/>
      <c r="AC208" s="91"/>
      <c r="AD208" s="91"/>
      <c r="AE208" s="91"/>
      <c r="AF208" s="91"/>
      <c r="AG208" s="92"/>
      <c r="AI208" s="32" t="str">
        <f t="shared" si="284"/>
        <v/>
      </c>
      <c r="AJ208" s="33" t="str">
        <f t="shared" si="283"/>
        <v/>
      </c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</row>
    <row r="209" spans="1:49" x14ac:dyDescent="0.3">
      <c r="A209" s="5" t="s">
        <v>1930</v>
      </c>
      <c r="B209" s="14" t="s">
        <v>1931</v>
      </c>
      <c r="C209" s="25">
        <v>426</v>
      </c>
      <c r="D209" s="23">
        <v>74.7</v>
      </c>
      <c r="E209" s="21">
        <v>23</v>
      </c>
      <c r="F209" s="23">
        <v>55.4</v>
      </c>
      <c r="G209" s="24">
        <v>17</v>
      </c>
      <c r="H209" s="25">
        <v>100</v>
      </c>
      <c r="I209" s="29">
        <v>48000</v>
      </c>
      <c r="J209" s="29"/>
      <c r="K209" s="29">
        <v>35000</v>
      </c>
      <c r="L209" s="29"/>
      <c r="M209" s="6">
        <f>I209-K209</f>
        <v>13000</v>
      </c>
      <c r="N209" s="7">
        <f>IF(ISERROR(K209/I209),"",K209/I209)</f>
        <v>0.72916666666666663</v>
      </c>
      <c r="O209" s="12">
        <f>I209/E209</f>
        <v>2086.9565217391305</v>
      </c>
      <c r="P209" s="12">
        <f>K209/E209</f>
        <v>1521.7391304347825</v>
      </c>
      <c r="Q209" s="13">
        <v>3</v>
      </c>
      <c r="R209" s="13">
        <v>1</v>
      </c>
      <c r="S209" s="13" t="s">
        <v>51</v>
      </c>
      <c r="T209" s="8" t="s">
        <v>281</v>
      </c>
      <c r="U209" s="5"/>
      <c r="V209" s="5" t="s">
        <v>1932</v>
      </c>
      <c r="X209" s="23">
        <f t="shared" ref="X209:Y213" si="292">D209</f>
        <v>74.7</v>
      </c>
      <c r="Y209" s="21">
        <f t="shared" si="292"/>
        <v>23</v>
      </c>
      <c r="Z209" s="28">
        <f t="shared" ref="Z209:AA213" si="293">H209</f>
        <v>100</v>
      </c>
      <c r="AA209" s="6">
        <f t="shared" si="293"/>
        <v>48000</v>
      </c>
      <c r="AB209" s="6">
        <f>K209</f>
        <v>35000</v>
      </c>
      <c r="AC209" s="6">
        <f t="shared" ref="AC209:AE213" si="294">M209</f>
        <v>13000</v>
      </c>
      <c r="AD209" s="7">
        <f t="shared" si="294"/>
        <v>0.72916666666666663</v>
      </c>
      <c r="AE209" s="12">
        <f t="shared" si="294"/>
        <v>2086.9565217391305</v>
      </c>
      <c r="AF209" s="13" t="str">
        <f>S209</f>
        <v>계</v>
      </c>
      <c r="AG209" s="13" t="str">
        <f>Q209&amp;"/"&amp;R209</f>
        <v>3/1</v>
      </c>
      <c r="AI209" s="32" t="str">
        <f t="shared" si="284"/>
        <v>한마음2단지</v>
      </c>
      <c r="AJ209" s="21">
        <f t="shared" si="283"/>
        <v>23</v>
      </c>
      <c r="AK209" s="13" t="str">
        <f>IF(AJ209="","",$AK$2)</f>
        <v>A-</v>
      </c>
      <c r="AL209" s="13"/>
      <c r="AM209" s="13"/>
      <c r="AN209" s="13"/>
      <c r="AO209" s="13" t="str">
        <f>IF(AJ209="","",$AO$2)</f>
        <v>C</v>
      </c>
      <c r="AP209" s="13" t="str">
        <f>IF(N209="","",IF(N209&gt;=$AP$1/100,"O","X"))</f>
        <v>X</v>
      </c>
      <c r="AQ209" s="13" t="str">
        <f>IF(I209="","",IF(I209&lt;=$AQ$1,"O","X"))</f>
        <v>X</v>
      </c>
      <c r="AR209" s="13" t="str">
        <f>IF(O209="","",IF(O209&lt;=$AR$1,"O","X"))</f>
        <v>X</v>
      </c>
      <c r="AS209" s="13" t="str">
        <f>IF(M209="","",IF(M209&lt;=$AS$1,"O","X"))</f>
        <v>X</v>
      </c>
      <c r="AT209" s="13" t="s">
        <v>32</v>
      </c>
      <c r="AU209" s="13" t="str">
        <f>IF(OR(F209="",AJ209=""),"",IF(AND((F209&lt;=85),(AJ209&gt;=15)),"O","X"))</f>
        <v>O</v>
      </c>
      <c r="AV209" s="13" t="str">
        <f>IF(C209="","",IF(C209&gt;=$AV$1,"O","X"))</f>
        <v>O</v>
      </c>
      <c r="AW209" s="13" t="str">
        <f>IF(AP209="","",IF(AND(AP209="O",AQ209="O",AS209="O",AU209="O",AV209="O"),"후보","X"))</f>
        <v>X</v>
      </c>
    </row>
    <row r="210" spans="1:49" x14ac:dyDescent="0.3">
      <c r="A210" s="5" t="s">
        <v>1930</v>
      </c>
      <c r="B210" s="14" t="s">
        <v>1931</v>
      </c>
      <c r="C210" s="25">
        <v>426</v>
      </c>
      <c r="D210" s="23">
        <v>74.7</v>
      </c>
      <c r="E210" s="21">
        <v>23</v>
      </c>
      <c r="F210" s="23">
        <v>55.4</v>
      </c>
      <c r="G210" s="24">
        <v>17</v>
      </c>
      <c r="H210" s="25">
        <v>35</v>
      </c>
      <c r="I210" s="29">
        <v>48000</v>
      </c>
      <c r="J210" s="29"/>
      <c r="K210" s="29">
        <v>35000</v>
      </c>
      <c r="L210" s="29"/>
      <c r="M210" s="6">
        <f>I210-K210</f>
        <v>13000</v>
      </c>
      <c r="N210" s="7">
        <f>IF(ISERROR(K210/I210),"",K210/I210)</f>
        <v>0.72916666666666663</v>
      </c>
      <c r="O210" s="12">
        <f>I210/E210</f>
        <v>2086.9565217391305</v>
      </c>
      <c r="P210" s="12">
        <f>K210/E210</f>
        <v>1521.7391304347825</v>
      </c>
      <c r="Q210" s="13">
        <v>3</v>
      </c>
      <c r="R210" s="13">
        <v>1</v>
      </c>
      <c r="S210" s="13" t="s">
        <v>51</v>
      </c>
      <c r="T210" s="8" t="s">
        <v>136</v>
      </c>
      <c r="U210" s="5"/>
      <c r="V210" s="5" t="s">
        <v>1932</v>
      </c>
      <c r="X210" s="23">
        <f t="shared" si="292"/>
        <v>74.7</v>
      </c>
      <c r="Y210" s="21">
        <f t="shared" si="292"/>
        <v>23</v>
      </c>
      <c r="Z210" s="28">
        <f t="shared" si="293"/>
        <v>35</v>
      </c>
      <c r="AA210" s="6">
        <f t="shared" si="293"/>
        <v>48000</v>
      </c>
      <c r="AB210" s="6">
        <f>K210</f>
        <v>35000</v>
      </c>
      <c r="AC210" s="6">
        <f t="shared" si="294"/>
        <v>13000</v>
      </c>
      <c r="AD210" s="7">
        <f t="shared" si="294"/>
        <v>0.72916666666666663</v>
      </c>
      <c r="AE210" s="12">
        <f t="shared" si="294"/>
        <v>2086.9565217391305</v>
      </c>
      <c r="AF210" s="13" t="str">
        <f>S210</f>
        <v>계</v>
      </c>
      <c r="AG210" s="13" t="str">
        <f>Q210&amp;"/"&amp;R210</f>
        <v>3/1</v>
      </c>
      <c r="AI210" s="32" t="str">
        <f t="shared" si="284"/>
        <v>한마음2단지</v>
      </c>
      <c r="AJ210" s="21">
        <f t="shared" si="283"/>
        <v>23</v>
      </c>
      <c r="AK210" s="13" t="str">
        <f>IF(AJ210="","",$AK$2)</f>
        <v>A-</v>
      </c>
      <c r="AL210" s="13"/>
      <c r="AM210" s="13"/>
      <c r="AN210" s="13"/>
      <c r="AO210" s="13" t="str">
        <f>IF(AJ210="","",$AO$2)</f>
        <v>C</v>
      </c>
      <c r="AP210" s="13" t="str">
        <f>IF(N210="","",IF(N210&gt;=$AP$1/100,"O","X"))</f>
        <v>X</v>
      </c>
      <c r="AQ210" s="13" t="str">
        <f>IF(I210="","",IF(I210&lt;=$AQ$1,"O","X"))</f>
        <v>X</v>
      </c>
      <c r="AR210" s="13" t="str">
        <f>IF(O210="","",IF(O210&lt;=$AR$1,"O","X"))</f>
        <v>X</v>
      </c>
      <c r="AS210" s="13" t="str">
        <f>IF(M210="","",IF(M210&lt;=$AS$1,"O","X"))</f>
        <v>X</v>
      </c>
      <c r="AT210" s="13" t="s">
        <v>32</v>
      </c>
      <c r="AU210" s="13" t="str">
        <f>IF(OR(F210="",AJ210=""),"",IF(AND((F210&lt;=85),(AJ210&gt;=15)),"O","X"))</f>
        <v>O</v>
      </c>
      <c r="AV210" s="13" t="str">
        <f>IF(C210="","",IF(C210&gt;=$AV$1,"O","X"))</f>
        <v>O</v>
      </c>
      <c r="AW210" s="13" t="str">
        <f>IF(AP210="","",IF(AND(AP210="O",AQ210="O",AS210="O",AU210="O",AV210="O"),"후보","X"))</f>
        <v>X</v>
      </c>
    </row>
    <row r="211" spans="1:49" x14ac:dyDescent="0.3">
      <c r="A211" s="5" t="s">
        <v>1930</v>
      </c>
      <c r="B211" s="14" t="s">
        <v>1931</v>
      </c>
      <c r="C211" s="25">
        <v>426</v>
      </c>
      <c r="D211" s="23">
        <v>74.7</v>
      </c>
      <c r="E211" s="21">
        <v>23</v>
      </c>
      <c r="F211" s="23">
        <v>55.4</v>
      </c>
      <c r="G211" s="24">
        <v>17</v>
      </c>
      <c r="H211" s="25">
        <v>15</v>
      </c>
      <c r="I211" s="29">
        <v>48000</v>
      </c>
      <c r="J211" s="29"/>
      <c r="K211" s="29">
        <v>35000</v>
      </c>
      <c r="L211" s="29"/>
      <c r="M211" s="6">
        <f>I211-K211</f>
        <v>13000</v>
      </c>
      <c r="N211" s="7">
        <f>IF(ISERROR(K211/I211),"",K211/I211)</f>
        <v>0.72916666666666663</v>
      </c>
      <c r="O211" s="12">
        <f>I211/E211</f>
        <v>2086.9565217391305</v>
      </c>
      <c r="P211" s="12">
        <f>K211/E211</f>
        <v>1521.7391304347825</v>
      </c>
      <c r="Q211" s="13">
        <v>3</v>
      </c>
      <c r="R211" s="13">
        <v>1</v>
      </c>
      <c r="S211" s="13" t="s">
        <v>51</v>
      </c>
      <c r="T211" s="8" t="s">
        <v>601</v>
      </c>
      <c r="U211" s="5"/>
      <c r="V211" s="5" t="s">
        <v>1932</v>
      </c>
      <c r="X211" s="23">
        <f t="shared" si="292"/>
        <v>74.7</v>
      </c>
      <c r="Y211" s="21">
        <f t="shared" si="292"/>
        <v>23</v>
      </c>
      <c r="Z211" s="28">
        <f t="shared" si="293"/>
        <v>15</v>
      </c>
      <c r="AA211" s="6">
        <f t="shared" si="293"/>
        <v>48000</v>
      </c>
      <c r="AB211" s="6">
        <f>K211</f>
        <v>35000</v>
      </c>
      <c r="AC211" s="6">
        <f t="shared" si="294"/>
        <v>13000</v>
      </c>
      <c r="AD211" s="7">
        <f t="shared" si="294"/>
        <v>0.72916666666666663</v>
      </c>
      <c r="AE211" s="12">
        <f t="shared" si="294"/>
        <v>2086.9565217391305</v>
      </c>
      <c r="AF211" s="13" t="str">
        <f>S211</f>
        <v>계</v>
      </c>
      <c r="AG211" s="13" t="str">
        <f>Q211&amp;"/"&amp;R211</f>
        <v>3/1</v>
      </c>
      <c r="AI211" s="32" t="str">
        <f t="shared" si="284"/>
        <v>한마음2단지</v>
      </c>
      <c r="AJ211" s="21">
        <f t="shared" si="283"/>
        <v>23</v>
      </c>
      <c r="AK211" s="13" t="str">
        <f>IF(AJ211="","",$AK$2)</f>
        <v>A-</v>
      </c>
      <c r="AL211" s="13"/>
      <c r="AM211" s="13"/>
      <c r="AN211" s="13"/>
      <c r="AO211" s="13" t="str">
        <f>IF(AJ211="","",$AO$2)</f>
        <v>C</v>
      </c>
      <c r="AP211" s="13" t="str">
        <f>IF(N211="","",IF(N211&gt;=$AP$1/100,"O","X"))</f>
        <v>X</v>
      </c>
      <c r="AQ211" s="13" t="str">
        <f>IF(I211="","",IF(I211&lt;=$AQ$1,"O","X"))</f>
        <v>X</v>
      </c>
      <c r="AR211" s="13" t="str">
        <f>IF(O211="","",IF(O211&lt;=$AR$1,"O","X"))</f>
        <v>X</v>
      </c>
      <c r="AS211" s="13" t="str">
        <f>IF(M211="","",IF(M211&lt;=$AS$1,"O","X"))</f>
        <v>X</v>
      </c>
      <c r="AT211" s="13" t="s">
        <v>32</v>
      </c>
      <c r="AU211" s="13" t="str">
        <f>IF(OR(F211="",AJ211=""),"",IF(AND((F211&lt;=85),(AJ211&gt;=15)),"O","X"))</f>
        <v>O</v>
      </c>
      <c r="AV211" s="13" t="str">
        <f>IF(C211="","",IF(C211&gt;=$AV$1,"O","X"))</f>
        <v>O</v>
      </c>
      <c r="AW211" s="13" t="str">
        <f>IF(AP211="","",IF(AND(AP211="O",AQ211="O",AS211="O",AU211="O",AV211="O"),"후보","X"))</f>
        <v>X</v>
      </c>
    </row>
    <row r="212" spans="1:49" x14ac:dyDescent="0.3">
      <c r="A212" s="5" t="s">
        <v>1930</v>
      </c>
      <c r="B212" s="14" t="s">
        <v>1931</v>
      </c>
      <c r="C212" s="25">
        <v>426</v>
      </c>
      <c r="D212" s="23">
        <v>98.8</v>
      </c>
      <c r="E212" s="21">
        <v>30</v>
      </c>
      <c r="F212" s="23">
        <v>79.5</v>
      </c>
      <c r="G212" s="24">
        <v>24</v>
      </c>
      <c r="H212" s="25">
        <v>238</v>
      </c>
      <c r="I212" s="29">
        <v>54000</v>
      </c>
      <c r="J212" s="29"/>
      <c r="K212" s="29">
        <v>44000</v>
      </c>
      <c r="L212" s="29"/>
      <c r="M212" s="6">
        <f>I212-K212</f>
        <v>10000</v>
      </c>
      <c r="N212" s="7">
        <f>IF(ISERROR(K212/I212),"",K212/I212)</f>
        <v>0.81481481481481477</v>
      </c>
      <c r="O212" s="12">
        <f>I212/E212</f>
        <v>1800</v>
      </c>
      <c r="P212" s="12">
        <f>K212/E212</f>
        <v>1466.6666666666667</v>
      </c>
      <c r="Q212" s="13">
        <v>3</v>
      </c>
      <c r="R212" s="13">
        <v>2</v>
      </c>
      <c r="S212" s="13" t="s">
        <v>51</v>
      </c>
      <c r="T212" s="8">
        <v>98</v>
      </c>
      <c r="U212" s="5"/>
      <c r="V212" s="5" t="s">
        <v>1933</v>
      </c>
      <c r="X212" s="23">
        <f t="shared" si="292"/>
        <v>98.8</v>
      </c>
      <c r="Y212" s="21">
        <f t="shared" si="292"/>
        <v>30</v>
      </c>
      <c r="Z212" s="28">
        <f t="shared" si="293"/>
        <v>238</v>
      </c>
      <c r="AA212" s="6">
        <f t="shared" si="293"/>
        <v>54000</v>
      </c>
      <c r="AB212" s="6">
        <f>K212</f>
        <v>44000</v>
      </c>
      <c r="AC212" s="6">
        <f t="shared" si="294"/>
        <v>10000</v>
      </c>
      <c r="AD212" s="7">
        <f t="shared" si="294"/>
        <v>0.81481481481481477</v>
      </c>
      <c r="AE212" s="12">
        <f t="shared" si="294"/>
        <v>1800</v>
      </c>
      <c r="AF212" s="13" t="str">
        <f>S212</f>
        <v>계</v>
      </c>
      <c r="AG212" s="13" t="str">
        <f>Q212&amp;"/"&amp;R212</f>
        <v>3/2</v>
      </c>
      <c r="AI212" s="32" t="str">
        <f t="shared" si="284"/>
        <v>한마음2단지</v>
      </c>
      <c r="AJ212" s="21">
        <f t="shared" si="283"/>
        <v>30</v>
      </c>
      <c r="AK212" s="13" t="str">
        <f>IF(AJ212="","",$AK$2)</f>
        <v>A-</v>
      </c>
      <c r="AL212" s="13"/>
      <c r="AM212" s="13"/>
      <c r="AN212" s="13"/>
      <c r="AO212" s="13" t="str">
        <f>IF(AJ212="","",$AO$2)</f>
        <v>C</v>
      </c>
      <c r="AP212" s="13" t="str">
        <f>IF(N212="","",IF(N212&gt;=$AP$1/100,"O","X"))</f>
        <v>O</v>
      </c>
      <c r="AQ212" s="13" t="str">
        <f>IF(I212="","",IF(I212&lt;=$AQ$1,"O","X"))</f>
        <v>X</v>
      </c>
      <c r="AR212" s="13" t="str">
        <f>IF(O212="","",IF(O212&lt;=$AR$1,"O","X"))</f>
        <v>X</v>
      </c>
      <c r="AS212" s="13" t="str">
        <f>IF(M212="","",IF(M212&lt;=$AS$1,"O","X"))</f>
        <v>X</v>
      </c>
      <c r="AT212" s="13" t="s">
        <v>32</v>
      </c>
      <c r="AU212" s="13" t="str">
        <f>IF(OR(F212="",AJ212=""),"",IF(AND((F212&lt;=85),(AJ212&gt;=15)),"O","X"))</f>
        <v>O</v>
      </c>
      <c r="AV212" s="13" t="str">
        <f>IF(C212="","",IF(C212&gt;=$AV$1,"O","X"))</f>
        <v>O</v>
      </c>
      <c r="AW212" s="13" t="str">
        <f>IF(AP212="","",IF(AND(AP212="O",AQ212="O",AS212="O",AU212="O",AV212="O"),"후보","X"))</f>
        <v>X</v>
      </c>
    </row>
    <row r="213" spans="1:49" x14ac:dyDescent="0.3">
      <c r="A213" s="5" t="s">
        <v>1930</v>
      </c>
      <c r="B213" s="14" t="s">
        <v>1931</v>
      </c>
      <c r="C213" s="25">
        <v>426</v>
      </c>
      <c r="D213" s="23">
        <v>129.69999999999999</v>
      </c>
      <c r="E213" s="21">
        <v>39</v>
      </c>
      <c r="F213" s="23">
        <v>108</v>
      </c>
      <c r="G213" s="24">
        <v>33</v>
      </c>
      <c r="H213" s="25">
        <v>38</v>
      </c>
      <c r="I213" s="29">
        <v>71900</v>
      </c>
      <c r="J213" s="29"/>
      <c r="K213" s="29">
        <v>50000</v>
      </c>
      <c r="L213" s="29"/>
      <c r="M213" s="6">
        <f>I213-K213</f>
        <v>21900</v>
      </c>
      <c r="N213" s="7">
        <f>IF(ISERROR(K213/I213),"",K213/I213)</f>
        <v>0.69541029207232263</v>
      </c>
      <c r="O213" s="12">
        <f>I213/E213</f>
        <v>1843.5897435897436</v>
      </c>
      <c r="P213" s="12">
        <f>K213/E213</f>
        <v>1282.051282051282</v>
      </c>
      <c r="Q213" s="13">
        <v>4</v>
      </c>
      <c r="R213" s="13">
        <v>2</v>
      </c>
      <c r="S213" s="13" t="s">
        <v>51</v>
      </c>
      <c r="T213" s="8">
        <v>129</v>
      </c>
      <c r="U213" s="5"/>
      <c r="V213" s="5" t="s">
        <v>1934</v>
      </c>
      <c r="X213" s="23">
        <f t="shared" si="292"/>
        <v>129.69999999999999</v>
      </c>
      <c r="Y213" s="21">
        <f t="shared" si="292"/>
        <v>39</v>
      </c>
      <c r="Z213" s="28">
        <f t="shared" si="293"/>
        <v>38</v>
      </c>
      <c r="AA213" s="6">
        <f t="shared" si="293"/>
        <v>71900</v>
      </c>
      <c r="AB213" s="6">
        <f>K213</f>
        <v>50000</v>
      </c>
      <c r="AC213" s="6">
        <f t="shared" si="294"/>
        <v>21900</v>
      </c>
      <c r="AD213" s="7">
        <f t="shared" si="294"/>
        <v>0.69541029207232263</v>
      </c>
      <c r="AE213" s="12">
        <f t="shared" si="294"/>
        <v>1843.5897435897436</v>
      </c>
      <c r="AF213" s="13" t="str">
        <f>S213</f>
        <v>계</v>
      </c>
      <c r="AG213" s="13" t="str">
        <f>Q213&amp;"/"&amp;R213</f>
        <v>4/2</v>
      </c>
      <c r="AI213" s="32" t="str">
        <f t="shared" si="284"/>
        <v>한마음2단지</v>
      </c>
      <c r="AJ213" s="21">
        <f t="shared" si="283"/>
        <v>39</v>
      </c>
      <c r="AK213" s="13" t="str">
        <f>IF(AJ213="","",$AK$2)</f>
        <v>A-</v>
      </c>
      <c r="AL213" s="13"/>
      <c r="AM213" s="13"/>
      <c r="AN213" s="13"/>
      <c r="AO213" s="13" t="str">
        <f>IF(AJ213="","",$AO$2)</f>
        <v>C</v>
      </c>
      <c r="AP213" s="13" t="str">
        <f>IF(N213="","",IF(N213&gt;=$AP$1/100,"O","X"))</f>
        <v>X</v>
      </c>
      <c r="AQ213" s="13" t="str">
        <f>IF(I213="","",IF(I213&lt;=$AQ$1,"O","X"))</f>
        <v>X</v>
      </c>
      <c r="AR213" s="13" t="str">
        <f>IF(O213="","",IF(O213&lt;=$AR$1,"O","X"))</f>
        <v>X</v>
      </c>
      <c r="AS213" s="13" t="str">
        <f>IF(M213="","",IF(M213&lt;=$AS$1,"O","X"))</f>
        <v>X</v>
      </c>
      <c r="AT213" s="13" t="s">
        <v>32</v>
      </c>
      <c r="AU213" s="13" t="str">
        <f>IF(OR(F213="",AJ213=""),"",IF(AND((F213&lt;=85),(AJ213&gt;=15)),"O","X"))</f>
        <v>X</v>
      </c>
      <c r="AV213" s="13" t="str">
        <f>IF(C213="","",IF(C213&gt;=$AV$1,"O","X"))</f>
        <v>O</v>
      </c>
      <c r="AW213" s="13" t="str">
        <f>IF(AP213="","",IF(AND(AP213="O",AQ213="O",AS213="O",AU213="O",AV213="O"),"후보","X"))</f>
        <v>X</v>
      </c>
    </row>
    <row r="214" spans="1:49" x14ac:dyDescent="0.3">
      <c r="A214" s="5"/>
      <c r="B214" s="13"/>
      <c r="C214" s="9"/>
      <c r="D214" s="5"/>
      <c r="E214" s="18"/>
      <c r="F214" s="23"/>
      <c r="G214" s="5"/>
      <c r="H214" s="5"/>
      <c r="I214" s="5"/>
      <c r="J214" s="5"/>
      <c r="K214" s="5"/>
      <c r="L214" s="5"/>
      <c r="M214" s="5"/>
      <c r="N214" s="5"/>
      <c r="O214" s="12"/>
      <c r="P214" s="12"/>
      <c r="Q214" s="21"/>
      <c r="R214" s="21"/>
      <c r="S214" s="5"/>
      <c r="T214" s="59"/>
      <c r="U214" s="5"/>
      <c r="V214" s="5"/>
      <c r="X214" s="90" t="str">
        <f>$A$4&amp;" "&amp;A215&amp;"("&amp;B215&amp;","&amp;C215&amp;"^)"</f>
        <v>호계동 호계현대홈타운1차('02.11,604^)</v>
      </c>
      <c r="Y214" s="91"/>
      <c r="Z214" s="91"/>
      <c r="AA214" s="91"/>
      <c r="AB214" s="91"/>
      <c r="AC214" s="91"/>
      <c r="AD214" s="91"/>
      <c r="AE214" s="91"/>
      <c r="AF214" s="91"/>
      <c r="AG214" s="92"/>
      <c r="AI214" s="32" t="str">
        <f t="shared" si="284"/>
        <v/>
      </c>
      <c r="AJ214" s="33" t="str">
        <f t="shared" si="283"/>
        <v/>
      </c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</row>
    <row r="215" spans="1:49" x14ac:dyDescent="0.3">
      <c r="A215" s="5" t="s">
        <v>1935</v>
      </c>
      <c r="B215" s="14" t="s">
        <v>1936</v>
      </c>
      <c r="C215" s="25">
        <v>604</v>
      </c>
      <c r="D215" s="23">
        <v>88.4</v>
      </c>
      <c r="E215" s="21">
        <v>27</v>
      </c>
      <c r="F215" s="23">
        <v>59.3</v>
      </c>
      <c r="G215" s="24">
        <v>18</v>
      </c>
      <c r="H215" s="25">
        <v>55</v>
      </c>
      <c r="I215" s="29">
        <v>56000</v>
      </c>
      <c r="J215" s="29"/>
      <c r="K215" s="29">
        <v>37000</v>
      </c>
      <c r="L215" s="29"/>
      <c r="M215" s="6">
        <f>I215-K215</f>
        <v>19000</v>
      </c>
      <c r="N215" s="7">
        <f>IF(ISERROR(K215/I215),"",K215/I215)</f>
        <v>0.6607142857142857</v>
      </c>
      <c r="O215" s="12">
        <f>I215/E215</f>
        <v>2074.0740740740739</v>
      </c>
      <c r="P215" s="12">
        <f>K215/E215</f>
        <v>1370.3703703703704</v>
      </c>
      <c r="Q215" s="13">
        <v>3</v>
      </c>
      <c r="R215" s="13">
        <v>2</v>
      </c>
      <c r="S215" s="13" t="s">
        <v>51</v>
      </c>
      <c r="T215" s="8">
        <v>88</v>
      </c>
      <c r="U215" s="5"/>
      <c r="V215" s="5" t="s">
        <v>1937</v>
      </c>
      <c r="X215" s="23">
        <f t="shared" ref="X215:Y218" si="295">D215</f>
        <v>88.4</v>
      </c>
      <c r="Y215" s="21">
        <f t="shared" si="295"/>
        <v>27</v>
      </c>
      <c r="Z215" s="28">
        <f t="shared" ref="Z215:AA218" si="296">H215</f>
        <v>55</v>
      </c>
      <c r="AA215" s="6">
        <f t="shared" si="296"/>
        <v>56000</v>
      </c>
      <c r="AB215" s="6">
        <f>K215</f>
        <v>37000</v>
      </c>
      <c r="AC215" s="6">
        <f t="shared" ref="AC215:AE218" si="297">M215</f>
        <v>19000</v>
      </c>
      <c r="AD215" s="7">
        <f t="shared" si="297"/>
        <v>0.6607142857142857</v>
      </c>
      <c r="AE215" s="12">
        <f t="shared" si="297"/>
        <v>2074.0740740740739</v>
      </c>
      <c r="AF215" s="13" t="str">
        <f>S215</f>
        <v>계</v>
      </c>
      <c r="AG215" s="13" t="str">
        <f>Q215&amp;"/"&amp;R215</f>
        <v>3/2</v>
      </c>
      <c r="AI215" s="32" t="str">
        <f t="shared" si="284"/>
        <v>호계현대홈타운1차</v>
      </c>
      <c r="AJ215" s="21">
        <f t="shared" si="283"/>
        <v>27</v>
      </c>
      <c r="AK215" s="13" t="str">
        <f>IF(AJ215="","",$AK$2)</f>
        <v>A-</v>
      </c>
      <c r="AL215" s="13"/>
      <c r="AM215" s="13"/>
      <c r="AN215" s="13"/>
      <c r="AO215" s="13" t="str">
        <f>IF(AJ215="","",$AO$2)</f>
        <v>C</v>
      </c>
      <c r="AP215" s="13" t="str">
        <f>IF(N215="","",IF(N215&gt;=$AP$1/100,"O","X"))</f>
        <v>X</v>
      </c>
      <c r="AQ215" s="13" t="str">
        <f>IF(I215="","",IF(I215&lt;=$AQ$1,"O","X"))</f>
        <v>X</v>
      </c>
      <c r="AR215" s="13" t="str">
        <f>IF(O215="","",IF(O215&lt;=$AR$1,"O","X"))</f>
        <v>X</v>
      </c>
      <c r="AS215" s="13" t="str">
        <f>IF(M215="","",IF(M215&lt;=$AS$1,"O","X"))</f>
        <v>X</v>
      </c>
      <c r="AT215" s="13" t="s">
        <v>32</v>
      </c>
      <c r="AU215" s="13" t="str">
        <f>IF(OR(F215="",AJ215=""),"",IF(AND((F215&lt;=85),(AJ215&gt;=15)),"O","X"))</f>
        <v>O</v>
      </c>
      <c r="AV215" s="13" t="str">
        <f>IF(C215="","",IF(C215&gt;=$AV$1,"O","X"))</f>
        <v>O</v>
      </c>
      <c r="AW215" s="13" t="str">
        <f>IF(AP215="","",IF(AND(AP215="O",AQ215="O",AS215="O",AU215="O",AV215="O"),"후보","X"))</f>
        <v>X</v>
      </c>
    </row>
    <row r="216" spans="1:49" x14ac:dyDescent="0.3">
      <c r="A216" s="5" t="s">
        <v>1935</v>
      </c>
      <c r="B216" s="14" t="s">
        <v>1936</v>
      </c>
      <c r="C216" s="25">
        <v>604</v>
      </c>
      <c r="D216" s="23">
        <v>118.2</v>
      </c>
      <c r="E216" s="21">
        <v>36</v>
      </c>
      <c r="F216" s="23">
        <v>74.3</v>
      </c>
      <c r="G216" s="24">
        <v>22</v>
      </c>
      <c r="H216" s="25">
        <v>18</v>
      </c>
      <c r="I216" s="29">
        <v>66750</v>
      </c>
      <c r="J216" s="29"/>
      <c r="K216" s="29">
        <v>45500</v>
      </c>
      <c r="L216" s="29"/>
      <c r="M216" s="6">
        <f>I216-K216</f>
        <v>21250</v>
      </c>
      <c r="N216" s="7">
        <f>IF(ISERROR(K216/I216),"",K216/I216)</f>
        <v>0.68164794007490637</v>
      </c>
      <c r="O216" s="12">
        <f>I216/E216</f>
        <v>1854.1666666666667</v>
      </c>
      <c r="P216" s="12">
        <f>K216/E216</f>
        <v>1263.8888888888889</v>
      </c>
      <c r="Q216" s="13">
        <v>3</v>
      </c>
      <c r="R216" s="13">
        <v>2</v>
      </c>
      <c r="S216" s="13" t="s">
        <v>51</v>
      </c>
      <c r="T216" s="8" t="s">
        <v>1271</v>
      </c>
      <c r="U216" s="5"/>
      <c r="V216" s="5" t="s">
        <v>1938</v>
      </c>
      <c r="X216" s="23">
        <f t="shared" si="295"/>
        <v>118.2</v>
      </c>
      <c r="Y216" s="21">
        <f t="shared" si="295"/>
        <v>36</v>
      </c>
      <c r="Z216" s="28">
        <f t="shared" si="296"/>
        <v>18</v>
      </c>
      <c r="AA216" s="6">
        <f t="shared" si="296"/>
        <v>66750</v>
      </c>
      <c r="AB216" s="6">
        <f>K216</f>
        <v>45500</v>
      </c>
      <c r="AC216" s="6">
        <f t="shared" si="297"/>
        <v>21250</v>
      </c>
      <c r="AD216" s="7">
        <f t="shared" si="297"/>
        <v>0.68164794007490637</v>
      </c>
      <c r="AE216" s="12">
        <f t="shared" si="297"/>
        <v>1854.1666666666667</v>
      </c>
      <c r="AF216" s="13" t="str">
        <f>S216</f>
        <v>계</v>
      </c>
      <c r="AG216" s="13" t="str">
        <f>Q216&amp;"/"&amp;R216</f>
        <v>3/2</v>
      </c>
      <c r="AI216" s="32" t="str">
        <f t="shared" si="284"/>
        <v>호계현대홈타운1차</v>
      </c>
      <c r="AJ216" s="21">
        <f t="shared" si="283"/>
        <v>36</v>
      </c>
      <c r="AK216" s="13" t="str">
        <f>IF(AJ216="","",$AK$2)</f>
        <v>A-</v>
      </c>
      <c r="AL216" s="13"/>
      <c r="AM216" s="13"/>
      <c r="AN216" s="13"/>
      <c r="AO216" s="13" t="str">
        <f>IF(AJ216="","",$AO$2)</f>
        <v>C</v>
      </c>
      <c r="AP216" s="13" t="str">
        <f>IF(N216="","",IF(N216&gt;=$AP$1/100,"O","X"))</f>
        <v>X</v>
      </c>
      <c r="AQ216" s="13" t="str">
        <f>IF(I216="","",IF(I216&lt;=$AQ$1,"O","X"))</f>
        <v>X</v>
      </c>
      <c r="AR216" s="13" t="str">
        <f>IF(O216="","",IF(O216&lt;=$AR$1,"O","X"))</f>
        <v>X</v>
      </c>
      <c r="AS216" s="13" t="str">
        <f>IF(M216="","",IF(M216&lt;=$AS$1,"O","X"))</f>
        <v>X</v>
      </c>
      <c r="AT216" s="13" t="s">
        <v>32</v>
      </c>
      <c r="AU216" s="13" t="str">
        <f>IF(OR(F216="",AJ216=""),"",IF(AND((F216&lt;=85),(AJ216&gt;=15)),"O","X"))</f>
        <v>O</v>
      </c>
      <c r="AV216" s="13" t="str">
        <f>IF(C216="","",IF(C216&gt;=$AV$1,"O","X"))</f>
        <v>O</v>
      </c>
      <c r="AW216" s="13" t="str">
        <f>IF(AP216="","",IF(AND(AP216="O",AQ216="O",AS216="O",AU216="O",AV216="O"),"후보","X"))</f>
        <v>X</v>
      </c>
    </row>
    <row r="217" spans="1:49" x14ac:dyDescent="0.3">
      <c r="A217" s="5" t="s">
        <v>1935</v>
      </c>
      <c r="B217" s="14" t="s">
        <v>1936</v>
      </c>
      <c r="C217" s="25">
        <v>604</v>
      </c>
      <c r="D217" s="23">
        <v>120.4</v>
      </c>
      <c r="E217" s="21">
        <v>36</v>
      </c>
      <c r="F217" s="23">
        <v>84.6</v>
      </c>
      <c r="G217" s="24">
        <v>26</v>
      </c>
      <c r="H217" s="25">
        <v>393</v>
      </c>
      <c r="I217" s="29">
        <v>69000</v>
      </c>
      <c r="J217" s="29"/>
      <c r="K217" s="29">
        <v>55000</v>
      </c>
      <c r="L217" s="29"/>
      <c r="M217" s="6">
        <f>I217-K217</f>
        <v>14000</v>
      </c>
      <c r="N217" s="7">
        <f>IF(ISERROR(K217/I217),"",K217/I217)</f>
        <v>0.79710144927536231</v>
      </c>
      <c r="O217" s="12">
        <f>I217/E217</f>
        <v>1916.6666666666667</v>
      </c>
      <c r="P217" s="12">
        <f>K217/E217</f>
        <v>1527.7777777777778</v>
      </c>
      <c r="Q217" s="13">
        <v>3</v>
      </c>
      <c r="R217" s="13">
        <v>2</v>
      </c>
      <c r="S217" s="13" t="s">
        <v>51</v>
      </c>
      <c r="T217" s="8" t="s">
        <v>1272</v>
      </c>
      <c r="U217" s="5"/>
      <c r="V217" s="5" t="s">
        <v>1939</v>
      </c>
      <c r="X217" s="23">
        <f t="shared" si="295"/>
        <v>120.4</v>
      </c>
      <c r="Y217" s="21">
        <f t="shared" si="295"/>
        <v>36</v>
      </c>
      <c r="Z217" s="28">
        <f t="shared" si="296"/>
        <v>393</v>
      </c>
      <c r="AA217" s="6">
        <f t="shared" si="296"/>
        <v>69000</v>
      </c>
      <c r="AB217" s="6">
        <f>K217</f>
        <v>55000</v>
      </c>
      <c r="AC217" s="6">
        <f t="shared" si="297"/>
        <v>14000</v>
      </c>
      <c r="AD217" s="7">
        <f t="shared" si="297"/>
        <v>0.79710144927536231</v>
      </c>
      <c r="AE217" s="12">
        <f t="shared" si="297"/>
        <v>1916.6666666666667</v>
      </c>
      <c r="AF217" s="13" t="str">
        <f>S217</f>
        <v>계</v>
      </c>
      <c r="AG217" s="13" t="str">
        <f>Q217&amp;"/"&amp;R217</f>
        <v>3/2</v>
      </c>
      <c r="AI217" s="32" t="str">
        <f t="shared" si="284"/>
        <v>호계현대홈타운1차</v>
      </c>
      <c r="AJ217" s="21">
        <f t="shared" si="283"/>
        <v>36</v>
      </c>
      <c r="AK217" s="13" t="str">
        <f>IF(AJ217="","",$AK$2)</f>
        <v>A-</v>
      </c>
      <c r="AL217" s="13"/>
      <c r="AM217" s="13"/>
      <c r="AN217" s="13"/>
      <c r="AO217" s="13" t="str">
        <f>IF(AJ217="","",$AO$2)</f>
        <v>C</v>
      </c>
      <c r="AP217" s="13" t="str">
        <f>IF(N217="","",IF(N217&gt;=$AP$1/100,"O","X"))</f>
        <v>X</v>
      </c>
      <c r="AQ217" s="13" t="str">
        <f>IF(I217="","",IF(I217&lt;=$AQ$1,"O","X"))</f>
        <v>X</v>
      </c>
      <c r="AR217" s="13" t="str">
        <f>IF(O217="","",IF(O217&lt;=$AR$1,"O","X"))</f>
        <v>X</v>
      </c>
      <c r="AS217" s="13" t="str">
        <f>IF(M217="","",IF(M217&lt;=$AS$1,"O","X"))</f>
        <v>X</v>
      </c>
      <c r="AT217" s="13" t="s">
        <v>32</v>
      </c>
      <c r="AU217" s="13" t="str">
        <f>IF(OR(F217="",AJ217=""),"",IF(AND((F217&lt;=85),(AJ217&gt;=15)),"O","X"))</f>
        <v>O</v>
      </c>
      <c r="AV217" s="13" t="str">
        <f>IF(C217="","",IF(C217&gt;=$AV$1,"O","X"))</f>
        <v>O</v>
      </c>
      <c r="AW217" s="13" t="str">
        <f>IF(AP217="","",IF(AND(AP217="O",AQ217="O",AS217="O",AU217="O",AV217="O"),"후보","X"))</f>
        <v>X</v>
      </c>
    </row>
    <row r="218" spans="1:49" x14ac:dyDescent="0.3">
      <c r="A218" s="5" t="s">
        <v>1935</v>
      </c>
      <c r="B218" s="14" t="s">
        <v>1936</v>
      </c>
      <c r="C218" s="25">
        <v>604</v>
      </c>
      <c r="D218" s="23">
        <v>155.19999999999999</v>
      </c>
      <c r="E218" s="21">
        <v>47</v>
      </c>
      <c r="F218" s="23">
        <v>113.7</v>
      </c>
      <c r="G218" s="24">
        <v>34</v>
      </c>
      <c r="H218" s="25">
        <v>138</v>
      </c>
      <c r="I218" s="29">
        <v>85000</v>
      </c>
      <c r="J218" s="29"/>
      <c r="K218" s="29">
        <v>62000</v>
      </c>
      <c r="L218" s="29"/>
      <c r="M218" s="6">
        <f>I218-K218</f>
        <v>23000</v>
      </c>
      <c r="N218" s="7">
        <f>IF(ISERROR(K218/I218),"",K218/I218)</f>
        <v>0.72941176470588232</v>
      </c>
      <c r="O218" s="12">
        <f>I218/E218</f>
        <v>1808.5106382978724</v>
      </c>
      <c r="P218" s="12">
        <f>K218/E218</f>
        <v>1319.1489361702127</v>
      </c>
      <c r="Q218" s="13">
        <v>4</v>
      </c>
      <c r="R218" s="13">
        <v>2</v>
      </c>
      <c r="S218" s="13" t="s">
        <v>51</v>
      </c>
      <c r="T218" s="8">
        <v>155</v>
      </c>
      <c r="U218" s="5"/>
      <c r="V218" s="5" t="s">
        <v>1940</v>
      </c>
      <c r="X218" s="23">
        <f t="shared" si="295"/>
        <v>155.19999999999999</v>
      </c>
      <c r="Y218" s="21">
        <f t="shared" si="295"/>
        <v>47</v>
      </c>
      <c r="Z218" s="28">
        <f t="shared" si="296"/>
        <v>138</v>
      </c>
      <c r="AA218" s="6">
        <f t="shared" si="296"/>
        <v>85000</v>
      </c>
      <c r="AB218" s="6">
        <f>K218</f>
        <v>62000</v>
      </c>
      <c r="AC218" s="6">
        <f t="shared" si="297"/>
        <v>23000</v>
      </c>
      <c r="AD218" s="7">
        <f t="shared" si="297"/>
        <v>0.72941176470588232</v>
      </c>
      <c r="AE218" s="12">
        <f t="shared" si="297"/>
        <v>1808.5106382978724</v>
      </c>
      <c r="AF218" s="13" t="str">
        <f>S218</f>
        <v>계</v>
      </c>
      <c r="AG218" s="13" t="str">
        <f>Q218&amp;"/"&amp;R218</f>
        <v>4/2</v>
      </c>
      <c r="AI218" s="32" t="str">
        <f t="shared" si="284"/>
        <v>호계현대홈타운1차</v>
      </c>
      <c r="AJ218" s="21">
        <f t="shared" si="283"/>
        <v>47</v>
      </c>
      <c r="AK218" s="13" t="str">
        <f>IF(AJ218="","",$AK$2)</f>
        <v>A-</v>
      </c>
      <c r="AL218" s="13"/>
      <c r="AM218" s="13"/>
      <c r="AN218" s="13"/>
      <c r="AO218" s="13" t="str">
        <f>IF(AJ218="","",$AO$2)</f>
        <v>C</v>
      </c>
      <c r="AP218" s="13" t="str">
        <f>IF(N218="","",IF(N218&gt;=$AP$1/100,"O","X"))</f>
        <v>X</v>
      </c>
      <c r="AQ218" s="13" t="str">
        <f>IF(I218="","",IF(I218&lt;=$AQ$1,"O","X"))</f>
        <v>X</v>
      </c>
      <c r="AR218" s="13" t="str">
        <f>IF(O218="","",IF(O218&lt;=$AR$1,"O","X"))</f>
        <v>X</v>
      </c>
      <c r="AS218" s="13" t="str">
        <f>IF(M218="","",IF(M218&lt;=$AS$1,"O","X"))</f>
        <v>X</v>
      </c>
      <c r="AT218" s="13" t="s">
        <v>32</v>
      </c>
      <c r="AU218" s="13" t="str">
        <f>IF(OR(F218="",AJ218=""),"",IF(AND((F218&lt;=85),(AJ218&gt;=15)),"O","X"))</f>
        <v>X</v>
      </c>
      <c r="AV218" s="13" t="str">
        <f>IF(C218="","",IF(C218&gt;=$AV$1,"O","X"))</f>
        <v>O</v>
      </c>
      <c r="AW218" s="13" t="str">
        <f>IF(AP218="","",IF(AND(AP218="O",AQ218="O",AS218="O",AU218="O",AV218="O"),"후보","X"))</f>
        <v>X</v>
      </c>
    </row>
    <row r="219" spans="1:49" x14ac:dyDescent="0.3">
      <c r="A219" s="5"/>
      <c r="B219" s="13"/>
      <c r="C219" s="9"/>
      <c r="D219" s="5"/>
      <c r="E219" s="18"/>
      <c r="F219" s="23"/>
      <c r="G219" s="5"/>
      <c r="H219" s="5"/>
      <c r="I219" s="5"/>
      <c r="J219" s="5"/>
      <c r="K219" s="5"/>
      <c r="L219" s="5"/>
      <c r="M219" s="5"/>
      <c r="N219" s="5"/>
      <c r="O219" s="12"/>
      <c r="P219" s="12"/>
      <c r="Q219" s="21"/>
      <c r="R219" s="21"/>
      <c r="S219" s="5"/>
      <c r="T219" s="59"/>
      <c r="U219" s="5"/>
      <c r="V219" s="5"/>
      <c r="X219" s="90" t="str">
        <f>$A$4&amp;" "&amp;A220&amp;"("&amp;B220&amp;","&amp;C220&amp;"^)"</f>
        <v>호계동 목련8단지('92.1,516^)</v>
      </c>
      <c r="Y219" s="91"/>
      <c r="Z219" s="91"/>
      <c r="AA219" s="91"/>
      <c r="AB219" s="91"/>
      <c r="AC219" s="91"/>
      <c r="AD219" s="91"/>
      <c r="AE219" s="91"/>
      <c r="AF219" s="91"/>
      <c r="AG219" s="92"/>
      <c r="AI219" s="32" t="str">
        <f t="shared" si="284"/>
        <v/>
      </c>
      <c r="AJ219" s="33" t="str">
        <f t="shared" si="283"/>
        <v/>
      </c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</row>
    <row r="220" spans="1:49" x14ac:dyDescent="0.3">
      <c r="A220" s="5" t="s">
        <v>1941</v>
      </c>
      <c r="B220" s="14" t="s">
        <v>1641</v>
      </c>
      <c r="C220" s="25">
        <v>516</v>
      </c>
      <c r="D220" s="23">
        <v>119.7</v>
      </c>
      <c r="E220" s="21">
        <v>36</v>
      </c>
      <c r="F220" s="23">
        <v>99</v>
      </c>
      <c r="G220" s="24">
        <v>30</v>
      </c>
      <c r="H220" s="25">
        <v>180</v>
      </c>
      <c r="I220" s="29">
        <v>105000</v>
      </c>
      <c r="J220" s="29"/>
      <c r="K220" s="29">
        <v>68000</v>
      </c>
      <c r="L220" s="29"/>
      <c r="M220" s="6">
        <f>I220-K220</f>
        <v>37000</v>
      </c>
      <c r="N220" s="7">
        <f>IF(ISERROR(K220/I220),"",K220/I220)</f>
        <v>0.64761904761904765</v>
      </c>
      <c r="O220" s="12">
        <f>I220/E220</f>
        <v>2916.6666666666665</v>
      </c>
      <c r="P220" s="12">
        <f>K220/E220</f>
        <v>1888.8888888888889</v>
      </c>
      <c r="Q220" s="13">
        <v>3</v>
      </c>
      <c r="R220" s="13">
        <v>2</v>
      </c>
      <c r="S220" s="13" t="s">
        <v>51</v>
      </c>
      <c r="T220" s="8">
        <v>119</v>
      </c>
      <c r="U220" s="5"/>
      <c r="V220" s="5" t="s">
        <v>1942</v>
      </c>
      <c r="X220" s="23">
        <f t="shared" ref="X220:Y222" si="298">D220</f>
        <v>119.7</v>
      </c>
      <c r="Y220" s="21">
        <f t="shared" si="298"/>
        <v>36</v>
      </c>
      <c r="Z220" s="28">
        <f t="shared" ref="Z220:AA222" si="299">H220</f>
        <v>180</v>
      </c>
      <c r="AA220" s="6">
        <f t="shared" si="299"/>
        <v>105000</v>
      </c>
      <c r="AB220" s="6">
        <f>K220</f>
        <v>68000</v>
      </c>
      <c r="AC220" s="6">
        <f t="shared" ref="AC220:AE222" si="300">M220</f>
        <v>37000</v>
      </c>
      <c r="AD220" s="7">
        <f t="shared" si="300"/>
        <v>0.64761904761904765</v>
      </c>
      <c r="AE220" s="12">
        <f t="shared" si="300"/>
        <v>2916.6666666666665</v>
      </c>
      <c r="AF220" s="13" t="str">
        <f>S220</f>
        <v>계</v>
      </c>
      <c r="AG220" s="13" t="str">
        <f>Q220&amp;"/"&amp;R220</f>
        <v>3/2</v>
      </c>
      <c r="AI220" s="32" t="str">
        <f t="shared" si="284"/>
        <v>목련8단지</v>
      </c>
      <c r="AJ220" s="21">
        <f t="shared" si="283"/>
        <v>36</v>
      </c>
      <c r="AK220" s="13" t="str">
        <f>IF(AJ220="","",$AK$2)</f>
        <v>A-</v>
      </c>
      <c r="AL220" s="13"/>
      <c r="AM220" s="13"/>
      <c r="AN220" s="13"/>
      <c r="AO220" s="13" t="str">
        <f>IF(AJ220="","",$AO$2)</f>
        <v>C</v>
      </c>
      <c r="AP220" s="13" t="str">
        <f>IF(N220="","",IF(N220&gt;=$AP$1/100,"O","X"))</f>
        <v>X</v>
      </c>
      <c r="AQ220" s="13" t="str">
        <f>IF(I220="","",IF(I220&lt;=$AQ$1,"O","X"))</f>
        <v>X</v>
      </c>
      <c r="AR220" s="13" t="str">
        <f>IF(O220="","",IF(O220&lt;=$AR$1,"O","X"))</f>
        <v>X</v>
      </c>
      <c r="AS220" s="13" t="str">
        <f>IF(M220="","",IF(M220&lt;=$AS$1,"O","X"))</f>
        <v>X</v>
      </c>
      <c r="AT220" s="13" t="s">
        <v>32</v>
      </c>
      <c r="AU220" s="13" t="str">
        <f>IF(OR(F220="",AJ220=""),"",IF(AND((F220&lt;=85),(AJ220&gt;=15)),"O","X"))</f>
        <v>X</v>
      </c>
      <c r="AV220" s="13" t="str">
        <f>IF(C220="","",IF(C220&gt;=$AV$1,"O","X"))</f>
        <v>O</v>
      </c>
      <c r="AW220" s="13" t="str">
        <f>IF(AP220="","",IF(AND(AP220="O",AQ220="O",AS220="O",AU220="O",AV220="O"),"후보","X"))</f>
        <v>X</v>
      </c>
    </row>
    <row r="221" spans="1:49" x14ac:dyDescent="0.3">
      <c r="A221" s="5" t="s">
        <v>1941</v>
      </c>
      <c r="B221" s="14" t="s">
        <v>1641</v>
      </c>
      <c r="C221" s="25">
        <v>516</v>
      </c>
      <c r="D221" s="23">
        <v>151.5</v>
      </c>
      <c r="E221" s="21">
        <v>46</v>
      </c>
      <c r="F221" s="23">
        <v>127.3</v>
      </c>
      <c r="G221" s="24">
        <v>39</v>
      </c>
      <c r="H221" s="25">
        <v>256</v>
      </c>
      <c r="I221" s="29">
        <v>115000</v>
      </c>
      <c r="J221" s="29"/>
      <c r="K221" s="29">
        <v>78000</v>
      </c>
      <c r="L221" s="29"/>
      <c r="M221" s="6">
        <f>I221-K221</f>
        <v>37000</v>
      </c>
      <c r="N221" s="7">
        <f>IF(ISERROR(K221/I221),"",K221/I221)</f>
        <v>0.67826086956521736</v>
      </c>
      <c r="O221" s="12">
        <f>I221/E221</f>
        <v>2500</v>
      </c>
      <c r="P221" s="12">
        <f>K221/E221</f>
        <v>1695.6521739130435</v>
      </c>
      <c r="Q221" s="13">
        <v>4</v>
      </c>
      <c r="R221" s="13">
        <v>2</v>
      </c>
      <c r="S221" s="13" t="s">
        <v>51</v>
      </c>
      <c r="T221" s="8">
        <v>151</v>
      </c>
      <c r="U221" s="5"/>
      <c r="V221" s="5" t="s">
        <v>1943</v>
      </c>
      <c r="X221" s="23">
        <f t="shared" si="298"/>
        <v>151.5</v>
      </c>
      <c r="Y221" s="21">
        <f t="shared" si="298"/>
        <v>46</v>
      </c>
      <c r="Z221" s="28">
        <f t="shared" si="299"/>
        <v>256</v>
      </c>
      <c r="AA221" s="6">
        <f t="shared" si="299"/>
        <v>115000</v>
      </c>
      <c r="AB221" s="6">
        <f>K221</f>
        <v>78000</v>
      </c>
      <c r="AC221" s="6">
        <f t="shared" si="300"/>
        <v>37000</v>
      </c>
      <c r="AD221" s="7">
        <f t="shared" si="300"/>
        <v>0.67826086956521736</v>
      </c>
      <c r="AE221" s="12">
        <f t="shared" si="300"/>
        <v>2500</v>
      </c>
      <c r="AF221" s="13" t="str">
        <f>S221</f>
        <v>계</v>
      </c>
      <c r="AG221" s="13" t="str">
        <f>Q221&amp;"/"&amp;R221</f>
        <v>4/2</v>
      </c>
      <c r="AI221" s="32" t="str">
        <f t="shared" si="284"/>
        <v>목련8단지</v>
      </c>
      <c r="AJ221" s="21">
        <f t="shared" si="283"/>
        <v>46</v>
      </c>
      <c r="AK221" s="13" t="str">
        <f>IF(AJ221="","",$AK$2)</f>
        <v>A-</v>
      </c>
      <c r="AL221" s="13"/>
      <c r="AM221" s="13"/>
      <c r="AN221" s="13"/>
      <c r="AO221" s="13" t="str">
        <f>IF(AJ221="","",$AO$2)</f>
        <v>C</v>
      </c>
      <c r="AP221" s="13" t="str">
        <f>IF(N221="","",IF(N221&gt;=$AP$1/100,"O","X"))</f>
        <v>X</v>
      </c>
      <c r="AQ221" s="13" t="str">
        <f>IF(I221="","",IF(I221&lt;=$AQ$1,"O","X"))</f>
        <v>X</v>
      </c>
      <c r="AR221" s="13" t="str">
        <f>IF(O221="","",IF(O221&lt;=$AR$1,"O","X"))</f>
        <v>X</v>
      </c>
      <c r="AS221" s="13" t="str">
        <f>IF(M221="","",IF(M221&lt;=$AS$1,"O","X"))</f>
        <v>X</v>
      </c>
      <c r="AT221" s="13" t="s">
        <v>32</v>
      </c>
      <c r="AU221" s="13" t="str">
        <f>IF(OR(F221="",AJ221=""),"",IF(AND((F221&lt;=85),(AJ221&gt;=15)),"O","X"))</f>
        <v>X</v>
      </c>
      <c r="AV221" s="13" t="str">
        <f>IF(C221="","",IF(C221&gt;=$AV$1,"O","X"))</f>
        <v>O</v>
      </c>
      <c r="AW221" s="13" t="str">
        <f>IF(AP221="","",IF(AND(AP221="O",AQ221="O",AS221="O",AU221="O",AV221="O"),"후보","X"))</f>
        <v>X</v>
      </c>
    </row>
    <row r="222" spans="1:49" x14ac:dyDescent="0.3">
      <c r="A222" s="5" t="s">
        <v>1941</v>
      </c>
      <c r="B222" s="14" t="s">
        <v>1641</v>
      </c>
      <c r="C222" s="25">
        <v>516</v>
      </c>
      <c r="D222" s="23">
        <v>195.4</v>
      </c>
      <c r="E222" s="21">
        <v>59</v>
      </c>
      <c r="F222" s="23">
        <v>164.4</v>
      </c>
      <c r="G222" s="24">
        <v>50</v>
      </c>
      <c r="H222" s="25">
        <v>80</v>
      </c>
      <c r="I222" s="29">
        <v>120000</v>
      </c>
      <c r="J222" s="29"/>
      <c r="K222" s="29">
        <v>83000</v>
      </c>
      <c r="L222" s="29"/>
      <c r="M222" s="6">
        <f>I222-K222</f>
        <v>37000</v>
      </c>
      <c r="N222" s="7">
        <f>IF(ISERROR(K222/I222),"",K222/I222)</f>
        <v>0.69166666666666665</v>
      </c>
      <c r="O222" s="12">
        <f>I222/E222</f>
        <v>2033.8983050847457</v>
      </c>
      <c r="P222" s="12">
        <f>K222/E222</f>
        <v>1406.7796610169491</v>
      </c>
      <c r="Q222" s="13">
        <v>5</v>
      </c>
      <c r="R222" s="13">
        <v>2</v>
      </c>
      <c r="S222" s="13" t="s">
        <v>51</v>
      </c>
      <c r="T222" s="8">
        <v>195</v>
      </c>
      <c r="U222" s="5"/>
      <c r="V222" s="5" t="s">
        <v>1944</v>
      </c>
      <c r="X222" s="23">
        <f t="shared" si="298"/>
        <v>195.4</v>
      </c>
      <c r="Y222" s="21">
        <f t="shared" si="298"/>
        <v>59</v>
      </c>
      <c r="Z222" s="28">
        <f t="shared" si="299"/>
        <v>80</v>
      </c>
      <c r="AA222" s="6">
        <f t="shared" si="299"/>
        <v>120000</v>
      </c>
      <c r="AB222" s="6">
        <f>K222</f>
        <v>83000</v>
      </c>
      <c r="AC222" s="6">
        <f t="shared" si="300"/>
        <v>37000</v>
      </c>
      <c r="AD222" s="7">
        <f t="shared" si="300"/>
        <v>0.69166666666666665</v>
      </c>
      <c r="AE222" s="12">
        <f t="shared" si="300"/>
        <v>2033.8983050847457</v>
      </c>
      <c r="AF222" s="13" t="str">
        <f>S222</f>
        <v>계</v>
      </c>
      <c r="AG222" s="13" t="str">
        <f>Q222&amp;"/"&amp;R222</f>
        <v>5/2</v>
      </c>
      <c r="AI222" s="32" t="str">
        <f t="shared" si="284"/>
        <v>목련8단지</v>
      </c>
      <c r="AJ222" s="21">
        <f t="shared" si="283"/>
        <v>59</v>
      </c>
      <c r="AK222" s="13" t="str">
        <f>IF(AJ222="","",$AK$2)</f>
        <v>A-</v>
      </c>
      <c r="AL222" s="13"/>
      <c r="AM222" s="13"/>
      <c r="AN222" s="13"/>
      <c r="AO222" s="13" t="str">
        <f>IF(AJ222="","",$AO$2)</f>
        <v>C</v>
      </c>
      <c r="AP222" s="13" t="str">
        <f>IF(N222="","",IF(N222&gt;=$AP$1/100,"O","X"))</f>
        <v>X</v>
      </c>
      <c r="AQ222" s="13" t="str">
        <f>IF(I222="","",IF(I222&lt;=$AQ$1,"O","X"))</f>
        <v>X</v>
      </c>
      <c r="AR222" s="13" t="str">
        <f>IF(O222="","",IF(O222&lt;=$AR$1,"O","X"))</f>
        <v>X</v>
      </c>
      <c r="AS222" s="13" t="str">
        <f>IF(M222="","",IF(M222&lt;=$AS$1,"O","X"))</f>
        <v>X</v>
      </c>
      <c r="AT222" s="13" t="s">
        <v>32</v>
      </c>
      <c r="AU222" s="13" t="str">
        <f>IF(OR(F222="",AJ222=""),"",IF(AND((F222&lt;=85),(AJ222&gt;=15)),"O","X"))</f>
        <v>X</v>
      </c>
      <c r="AV222" s="13" t="str">
        <f>IF(C222="","",IF(C222&gt;=$AV$1,"O","X"))</f>
        <v>O</v>
      </c>
      <c r="AW222" s="13" t="str">
        <f>IF(AP222="","",IF(AND(AP222="O",AQ222="O",AS222="O",AU222="O",AV222="O"),"후보","X"))</f>
        <v>X</v>
      </c>
    </row>
    <row r="223" spans="1:49" x14ac:dyDescent="0.3">
      <c r="A223" s="5"/>
      <c r="B223" s="13"/>
      <c r="C223" s="9"/>
      <c r="D223" s="5"/>
      <c r="E223" s="18"/>
      <c r="F223" s="23"/>
      <c r="G223" s="5"/>
      <c r="H223" s="5"/>
      <c r="I223" s="5"/>
      <c r="J223" s="5"/>
      <c r="K223" s="5"/>
      <c r="L223" s="5"/>
      <c r="M223" s="5"/>
      <c r="N223" s="5"/>
      <c r="O223" s="12"/>
      <c r="P223" s="12"/>
      <c r="Q223" s="21"/>
      <c r="R223" s="21"/>
      <c r="S223" s="5"/>
      <c r="T223" s="59"/>
      <c r="U223" s="5"/>
      <c r="V223" s="5"/>
      <c r="X223" s="90" t="str">
        <f>$A$4&amp;" "&amp;A224&amp;"("&amp;B224&amp;","&amp;C224&amp;"^)"</f>
        <v>호계동 무궁화진흥('92.09,321^)</v>
      </c>
      <c r="Y223" s="91"/>
      <c r="Z223" s="91"/>
      <c r="AA223" s="91"/>
      <c r="AB223" s="91"/>
      <c r="AC223" s="91"/>
      <c r="AD223" s="91"/>
      <c r="AE223" s="91"/>
      <c r="AF223" s="91"/>
      <c r="AG223" s="92"/>
      <c r="AI223" s="32" t="str">
        <f t="shared" si="284"/>
        <v/>
      </c>
      <c r="AJ223" s="33" t="str">
        <f t="shared" si="283"/>
        <v/>
      </c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</row>
    <row r="224" spans="1:49" x14ac:dyDescent="0.3">
      <c r="A224" s="5" t="s">
        <v>1945</v>
      </c>
      <c r="B224" s="14" t="s">
        <v>1649</v>
      </c>
      <c r="C224" s="25">
        <v>321</v>
      </c>
      <c r="D224" s="23">
        <v>74.900000000000006</v>
      </c>
      <c r="E224" s="21">
        <v>23</v>
      </c>
      <c r="F224" s="23">
        <v>56.8</v>
      </c>
      <c r="G224" s="24">
        <v>17</v>
      </c>
      <c r="H224" s="25">
        <v>75</v>
      </c>
      <c r="I224" s="29">
        <v>46000</v>
      </c>
      <c r="J224" s="29"/>
      <c r="K224" s="29">
        <v>29000</v>
      </c>
      <c r="L224" s="29"/>
      <c r="M224" s="6">
        <f>I224-K224</f>
        <v>17000</v>
      </c>
      <c r="N224" s="7">
        <f>IF(ISERROR(K224/I224),"",K224/I224)</f>
        <v>0.63043478260869568</v>
      </c>
      <c r="O224" s="12">
        <f>I224/E224</f>
        <v>2000</v>
      </c>
      <c r="P224" s="12">
        <f>K224/E224</f>
        <v>1260.8695652173913</v>
      </c>
      <c r="Q224" s="13">
        <v>2</v>
      </c>
      <c r="R224" s="13">
        <v>1</v>
      </c>
      <c r="S224" s="13" t="s">
        <v>1356</v>
      </c>
      <c r="T224" s="8">
        <v>74</v>
      </c>
      <c r="U224" s="5"/>
      <c r="V224" s="5" t="s">
        <v>1946</v>
      </c>
      <c r="X224" s="23">
        <f>D224</f>
        <v>74.900000000000006</v>
      </c>
      <c r="Y224" s="21">
        <f>E224</f>
        <v>23</v>
      </c>
      <c r="Z224" s="28">
        <f>H224</f>
        <v>75</v>
      </c>
      <c r="AA224" s="6">
        <f>I224</f>
        <v>46000</v>
      </c>
      <c r="AB224" s="6">
        <f>K224</f>
        <v>29000</v>
      </c>
      <c r="AC224" s="6">
        <f t="shared" ref="AC224:AE225" si="301">M224</f>
        <v>17000</v>
      </c>
      <c r="AD224" s="7">
        <f t="shared" si="301"/>
        <v>0.63043478260869568</v>
      </c>
      <c r="AE224" s="12">
        <f t="shared" si="301"/>
        <v>2000</v>
      </c>
      <c r="AF224" s="13" t="str">
        <f>S224</f>
        <v>복</v>
      </c>
      <c r="AG224" s="13" t="str">
        <f>Q224&amp;"/"&amp;R224</f>
        <v>2/1</v>
      </c>
      <c r="AI224" s="32" t="str">
        <f t="shared" si="284"/>
        <v>무궁화진흥</v>
      </c>
      <c r="AJ224" s="21">
        <f t="shared" si="283"/>
        <v>23</v>
      </c>
      <c r="AK224" s="13" t="str">
        <f>IF(AJ224="","",$AK$2)</f>
        <v>A-</v>
      </c>
      <c r="AL224" s="13"/>
      <c r="AM224" s="13"/>
      <c r="AN224" s="13"/>
      <c r="AO224" s="13" t="str">
        <f>IF(AJ224="","",$AO$2)</f>
        <v>C</v>
      </c>
      <c r="AP224" s="13" t="str">
        <f>IF(N224="","",IF(N224&gt;=$AP$1/100,"O","X"))</f>
        <v>X</v>
      </c>
      <c r="AQ224" s="13" t="str">
        <f>IF(I224="","",IF(I224&lt;=$AQ$1,"O","X"))</f>
        <v>X</v>
      </c>
      <c r="AR224" s="13" t="str">
        <f>IF(O224="","",IF(O224&lt;=$AR$1,"O","X"))</f>
        <v>X</v>
      </c>
      <c r="AS224" s="13" t="str">
        <f>IF(M224="","",IF(M224&lt;=$AS$1,"O","X"))</f>
        <v>X</v>
      </c>
      <c r="AT224" s="13" t="s">
        <v>32</v>
      </c>
      <c r="AU224" s="13" t="str">
        <f>IF(OR(F224="",AJ224=""),"",IF(AND((F224&lt;=85),(AJ224&gt;=15)),"O","X"))</f>
        <v>O</v>
      </c>
      <c r="AV224" s="13" t="str">
        <f>IF(C224="","",IF(C224&gt;=$AV$1,"O","X"))</f>
        <v>O</v>
      </c>
      <c r="AW224" s="13" t="str">
        <f>IF(AP224="","",IF(AND(AP224="O",AQ224="O",AS224="O",AU224="O",AV224="O"),"후보","X"))</f>
        <v>X</v>
      </c>
    </row>
    <row r="225" spans="1:49" x14ac:dyDescent="0.3">
      <c r="A225" s="5" t="s">
        <v>1945</v>
      </c>
      <c r="B225" s="14" t="s">
        <v>1649</v>
      </c>
      <c r="C225" s="25">
        <v>321</v>
      </c>
      <c r="D225" s="23">
        <v>103.7</v>
      </c>
      <c r="E225" s="21">
        <v>31</v>
      </c>
      <c r="F225" s="23">
        <v>84.6</v>
      </c>
      <c r="G225" s="24">
        <v>26</v>
      </c>
      <c r="H225" s="25">
        <v>246</v>
      </c>
      <c r="I225" s="29">
        <v>57000</v>
      </c>
      <c r="J225" s="29"/>
      <c r="K225" s="29">
        <v>49000</v>
      </c>
      <c r="L225" s="29"/>
      <c r="M225" s="6">
        <f>I225-K225</f>
        <v>8000</v>
      </c>
      <c r="N225" s="7">
        <f>IF(ISERROR(K225/I225),"",K225/I225)</f>
        <v>0.85964912280701755</v>
      </c>
      <c r="O225" s="12">
        <f>I225/E225</f>
        <v>1838.7096774193549</v>
      </c>
      <c r="P225" s="12">
        <f>K225/E225</f>
        <v>1580.6451612903227</v>
      </c>
      <c r="Q225" s="13">
        <v>3</v>
      </c>
      <c r="R225" s="13">
        <v>2</v>
      </c>
      <c r="S225" s="13" t="s">
        <v>51</v>
      </c>
      <c r="T225" s="8">
        <v>103</v>
      </c>
      <c r="U225" s="5"/>
      <c r="V225" s="5" t="s">
        <v>1947</v>
      </c>
      <c r="X225" s="23">
        <f>D225</f>
        <v>103.7</v>
      </c>
      <c r="Y225" s="21">
        <f>E225</f>
        <v>31</v>
      </c>
      <c r="Z225" s="28">
        <f>H225</f>
        <v>246</v>
      </c>
      <c r="AA225" s="6">
        <f>I225</f>
        <v>57000</v>
      </c>
      <c r="AB225" s="6">
        <f>K225</f>
        <v>49000</v>
      </c>
      <c r="AC225" s="6">
        <f t="shared" si="301"/>
        <v>8000</v>
      </c>
      <c r="AD225" s="7">
        <f t="shared" si="301"/>
        <v>0.85964912280701755</v>
      </c>
      <c r="AE225" s="12">
        <f t="shared" si="301"/>
        <v>1838.7096774193549</v>
      </c>
      <c r="AF225" s="13" t="str">
        <f>S225</f>
        <v>계</v>
      </c>
      <c r="AG225" s="13" t="str">
        <f>Q225&amp;"/"&amp;R225</f>
        <v>3/2</v>
      </c>
      <c r="AI225" s="32" t="str">
        <f t="shared" si="284"/>
        <v>무궁화진흥</v>
      </c>
      <c r="AJ225" s="21">
        <f t="shared" si="283"/>
        <v>31</v>
      </c>
      <c r="AK225" s="13" t="str">
        <f>IF(AJ225="","",$AK$2)</f>
        <v>A-</v>
      </c>
      <c r="AL225" s="13"/>
      <c r="AM225" s="13"/>
      <c r="AN225" s="13"/>
      <c r="AO225" s="13" t="str">
        <f>IF(AJ225="","",$AO$2)</f>
        <v>C</v>
      </c>
      <c r="AP225" s="13" t="str">
        <f>IF(N225="","",IF(N225&gt;=$AP$1/100,"O","X"))</f>
        <v>O</v>
      </c>
      <c r="AQ225" s="13" t="str">
        <f>IF(I225="","",IF(I225&lt;=$AQ$1,"O","X"))</f>
        <v>X</v>
      </c>
      <c r="AR225" s="13" t="str">
        <f>IF(O225="","",IF(O225&lt;=$AR$1,"O","X"))</f>
        <v>X</v>
      </c>
      <c r="AS225" s="13" t="str">
        <f>IF(M225="","",IF(M225&lt;=$AS$1,"O","X"))</f>
        <v>X</v>
      </c>
      <c r="AT225" s="13" t="s">
        <v>32</v>
      </c>
      <c r="AU225" s="13" t="str">
        <f>IF(OR(F225="",AJ225=""),"",IF(AND((F225&lt;=85),(AJ225&gt;=15)),"O","X"))</f>
        <v>O</v>
      </c>
      <c r="AV225" s="13" t="str">
        <f>IF(C225="","",IF(C225&gt;=$AV$1,"O","X"))</f>
        <v>O</v>
      </c>
      <c r="AW225" s="13" t="str">
        <f>IF(AP225="","",IF(AND(AP225="O",AQ225="O",AS225="O",AU225="O",AV225="O"),"후보","X"))</f>
        <v>X</v>
      </c>
    </row>
    <row r="226" spans="1:49" x14ac:dyDescent="0.3">
      <c r="A226" s="5"/>
      <c r="B226" s="13"/>
      <c r="C226" s="9"/>
      <c r="D226" s="5"/>
      <c r="E226" s="18"/>
      <c r="F226" s="23"/>
      <c r="G226" s="5"/>
      <c r="H226" s="5"/>
      <c r="I226" s="5"/>
      <c r="J226" s="5"/>
      <c r="K226" s="5"/>
      <c r="L226" s="5"/>
      <c r="M226" s="5"/>
      <c r="N226" s="5"/>
      <c r="O226" s="12"/>
      <c r="P226" s="12"/>
      <c r="Q226" s="21"/>
      <c r="R226" s="21"/>
      <c r="S226" s="5"/>
      <c r="T226" s="59"/>
      <c r="U226" s="5"/>
      <c r="V226" s="5"/>
      <c r="X226" s="90" t="str">
        <f>$A$4&amp;" "&amp;A227&amp;"("&amp;B227&amp;","&amp;C227&amp;"^)"</f>
        <v>호계동 무궁화효성,한양('92.12,800^)</v>
      </c>
      <c r="Y226" s="91"/>
      <c r="Z226" s="91"/>
      <c r="AA226" s="91"/>
      <c r="AB226" s="91"/>
      <c r="AC226" s="91"/>
      <c r="AD226" s="91"/>
      <c r="AE226" s="91"/>
      <c r="AF226" s="91"/>
      <c r="AG226" s="92"/>
      <c r="AI226" s="32" t="str">
        <f t="shared" si="284"/>
        <v/>
      </c>
      <c r="AJ226" s="33" t="str">
        <f t="shared" si="283"/>
        <v/>
      </c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</row>
    <row r="227" spans="1:49" x14ac:dyDescent="0.3">
      <c r="A227" s="5" t="s">
        <v>1948</v>
      </c>
      <c r="B227" s="14" t="s">
        <v>1914</v>
      </c>
      <c r="C227" s="25">
        <v>800</v>
      </c>
      <c r="D227" s="23">
        <v>78.8</v>
      </c>
      <c r="E227" s="21">
        <v>24</v>
      </c>
      <c r="F227" s="23">
        <v>59.4</v>
      </c>
      <c r="G227" s="24">
        <v>18</v>
      </c>
      <c r="H227" s="25">
        <v>100</v>
      </c>
      <c r="I227" s="29">
        <v>50000</v>
      </c>
      <c r="J227" s="29"/>
      <c r="K227" s="29">
        <v>37000</v>
      </c>
      <c r="L227" s="29"/>
      <c r="M227" s="6">
        <f>I227-K227</f>
        <v>13000</v>
      </c>
      <c r="N227" s="7">
        <f>IF(ISERROR(K227/I227),"",K227/I227)</f>
        <v>0.74</v>
      </c>
      <c r="O227" s="12">
        <f>I227/E227</f>
        <v>2083.3333333333335</v>
      </c>
      <c r="P227" s="12">
        <f>K227/E227</f>
        <v>1541.6666666666667</v>
      </c>
      <c r="Q227" s="13">
        <v>3</v>
      </c>
      <c r="R227" s="13">
        <v>1</v>
      </c>
      <c r="S227" s="13" t="s">
        <v>1356</v>
      </c>
      <c r="T227" s="8" t="s">
        <v>343</v>
      </c>
      <c r="U227" s="5"/>
      <c r="V227" s="5" t="s">
        <v>1949</v>
      </c>
      <c r="X227" s="23">
        <f t="shared" ref="X227:Y231" si="302">D227</f>
        <v>78.8</v>
      </c>
      <c r="Y227" s="21">
        <f t="shared" si="302"/>
        <v>24</v>
      </c>
      <c r="Z227" s="28">
        <f t="shared" ref="Z227:AA231" si="303">H227</f>
        <v>100</v>
      </c>
      <c r="AA227" s="6">
        <f t="shared" si="303"/>
        <v>50000</v>
      </c>
      <c r="AB227" s="6">
        <f>K227</f>
        <v>37000</v>
      </c>
      <c r="AC227" s="6">
        <f t="shared" ref="AC227:AE231" si="304">M227</f>
        <v>13000</v>
      </c>
      <c r="AD227" s="7">
        <f t="shared" si="304"/>
        <v>0.74</v>
      </c>
      <c r="AE227" s="12">
        <f t="shared" si="304"/>
        <v>2083.3333333333335</v>
      </c>
      <c r="AF227" s="13" t="str">
        <f>S227</f>
        <v>복</v>
      </c>
      <c r="AG227" s="13" t="str">
        <f>Q227&amp;"/"&amp;R227</f>
        <v>3/1</v>
      </c>
      <c r="AI227" s="32" t="str">
        <f t="shared" si="284"/>
        <v>무궁화효성,한양</v>
      </c>
      <c r="AJ227" s="21">
        <f t="shared" si="283"/>
        <v>24</v>
      </c>
      <c r="AK227" s="13" t="str">
        <f>IF(AJ227="","",$AK$2)</f>
        <v>A-</v>
      </c>
      <c r="AL227" s="13"/>
      <c r="AM227" s="13"/>
      <c r="AN227" s="13"/>
      <c r="AO227" s="13" t="str">
        <f>IF(AJ227="","",$AO$2)</f>
        <v>C</v>
      </c>
      <c r="AP227" s="13" t="str">
        <f>IF(N227="","",IF(N227&gt;=$AP$1/100,"O","X"))</f>
        <v>X</v>
      </c>
      <c r="AQ227" s="13" t="str">
        <f>IF(I227="","",IF(I227&lt;=$AQ$1,"O","X"))</f>
        <v>X</v>
      </c>
      <c r="AR227" s="13" t="str">
        <f>IF(O227="","",IF(O227&lt;=$AR$1,"O","X"))</f>
        <v>X</v>
      </c>
      <c r="AS227" s="13" t="str">
        <f>IF(M227="","",IF(M227&lt;=$AS$1,"O","X"))</f>
        <v>X</v>
      </c>
      <c r="AT227" s="13" t="s">
        <v>32</v>
      </c>
      <c r="AU227" s="13" t="str">
        <f>IF(OR(F227="",AJ227=""),"",IF(AND((F227&lt;=85),(AJ227&gt;=15)),"O","X"))</f>
        <v>O</v>
      </c>
      <c r="AV227" s="13" t="str">
        <f>IF(C227="","",IF(C227&gt;=$AV$1,"O","X"))</f>
        <v>O</v>
      </c>
      <c r="AW227" s="13" t="str">
        <f>IF(AP227="","",IF(AND(AP227="O",AQ227="O",AS227="O",AU227="O",AV227="O"),"후보","X"))</f>
        <v>X</v>
      </c>
    </row>
    <row r="228" spans="1:49" x14ac:dyDescent="0.3">
      <c r="A228" s="5" t="s">
        <v>1948</v>
      </c>
      <c r="B228" s="14" t="s">
        <v>1914</v>
      </c>
      <c r="C228" s="25">
        <v>800</v>
      </c>
      <c r="D228" s="23">
        <v>79.400000000000006</v>
      </c>
      <c r="E228" s="21">
        <v>24</v>
      </c>
      <c r="F228" s="23">
        <v>59.8</v>
      </c>
      <c r="G228" s="24">
        <v>18</v>
      </c>
      <c r="H228" s="25">
        <v>100</v>
      </c>
      <c r="I228" s="29">
        <v>53000</v>
      </c>
      <c r="J228" s="29"/>
      <c r="K228" s="29">
        <v>37000</v>
      </c>
      <c r="L228" s="29"/>
      <c r="M228" s="6">
        <f>I228-K228</f>
        <v>16000</v>
      </c>
      <c r="N228" s="7">
        <f>IF(ISERROR(K228/I228),"",K228/I228)</f>
        <v>0.69811320754716977</v>
      </c>
      <c r="O228" s="12">
        <f>I228/E228</f>
        <v>2208.3333333333335</v>
      </c>
      <c r="P228" s="12">
        <f>K228/E228</f>
        <v>1541.6666666666667</v>
      </c>
      <c r="Q228" s="13">
        <v>3</v>
      </c>
      <c r="R228" s="13">
        <v>1</v>
      </c>
      <c r="S228" s="13" t="s">
        <v>51</v>
      </c>
      <c r="T228" s="8" t="s">
        <v>163</v>
      </c>
      <c r="U228" s="5"/>
      <c r="V228" s="5" t="s">
        <v>1949</v>
      </c>
      <c r="X228" s="23">
        <f t="shared" si="302"/>
        <v>79.400000000000006</v>
      </c>
      <c r="Y228" s="21">
        <f t="shared" si="302"/>
        <v>24</v>
      </c>
      <c r="Z228" s="28">
        <f t="shared" si="303"/>
        <v>100</v>
      </c>
      <c r="AA228" s="6">
        <f t="shared" si="303"/>
        <v>53000</v>
      </c>
      <c r="AB228" s="6">
        <f>K228</f>
        <v>37000</v>
      </c>
      <c r="AC228" s="6">
        <f t="shared" si="304"/>
        <v>16000</v>
      </c>
      <c r="AD228" s="7">
        <f t="shared" si="304"/>
        <v>0.69811320754716977</v>
      </c>
      <c r="AE228" s="12">
        <f t="shared" si="304"/>
        <v>2208.3333333333335</v>
      </c>
      <c r="AF228" s="13" t="str">
        <f>S228</f>
        <v>계</v>
      </c>
      <c r="AG228" s="13" t="str">
        <f>Q228&amp;"/"&amp;R228</f>
        <v>3/1</v>
      </c>
      <c r="AI228" s="32" t="str">
        <f t="shared" si="284"/>
        <v>무궁화효성,한양</v>
      </c>
      <c r="AJ228" s="21">
        <f t="shared" si="283"/>
        <v>24</v>
      </c>
      <c r="AK228" s="13" t="str">
        <f>IF(AJ228="","",$AK$2)</f>
        <v>A-</v>
      </c>
      <c r="AL228" s="13"/>
      <c r="AM228" s="13"/>
      <c r="AN228" s="13"/>
      <c r="AO228" s="13" t="str">
        <f>IF(AJ228="","",$AO$2)</f>
        <v>C</v>
      </c>
      <c r="AP228" s="13" t="str">
        <f>IF(N228="","",IF(N228&gt;=$AP$1/100,"O","X"))</f>
        <v>X</v>
      </c>
      <c r="AQ228" s="13" t="str">
        <f>IF(I228="","",IF(I228&lt;=$AQ$1,"O","X"))</f>
        <v>X</v>
      </c>
      <c r="AR228" s="13" t="str">
        <f>IF(O228="","",IF(O228&lt;=$AR$1,"O","X"))</f>
        <v>X</v>
      </c>
      <c r="AS228" s="13" t="str">
        <f>IF(M228="","",IF(M228&lt;=$AS$1,"O","X"))</f>
        <v>X</v>
      </c>
      <c r="AT228" s="13" t="s">
        <v>32</v>
      </c>
      <c r="AU228" s="13" t="str">
        <f>IF(OR(F228="",AJ228=""),"",IF(AND((F228&lt;=85),(AJ228&gt;=15)),"O","X"))</f>
        <v>O</v>
      </c>
      <c r="AV228" s="13" t="str">
        <f>IF(C228="","",IF(C228&gt;=$AV$1,"O","X"))</f>
        <v>O</v>
      </c>
      <c r="AW228" s="13" t="str">
        <f>IF(AP228="","",IF(AND(AP228="O",AQ228="O",AS228="O",AU228="O",AV228="O"),"후보","X"))</f>
        <v>X</v>
      </c>
    </row>
    <row r="229" spans="1:49" x14ac:dyDescent="0.3">
      <c r="A229" s="5" t="s">
        <v>1948</v>
      </c>
      <c r="B229" s="14" t="s">
        <v>1914</v>
      </c>
      <c r="C229" s="25">
        <v>800</v>
      </c>
      <c r="D229" s="23">
        <v>100.3</v>
      </c>
      <c r="E229" s="21">
        <v>30</v>
      </c>
      <c r="F229" s="23">
        <v>79.099999999999994</v>
      </c>
      <c r="G229" s="24">
        <v>24</v>
      </c>
      <c r="H229" s="25">
        <v>8</v>
      </c>
      <c r="I229" s="29">
        <v>61000</v>
      </c>
      <c r="J229" s="29"/>
      <c r="K229" s="29">
        <v>40000</v>
      </c>
      <c r="L229" s="29"/>
      <c r="M229" s="6">
        <f>I229-K229</f>
        <v>21000</v>
      </c>
      <c r="N229" s="7">
        <f>IF(ISERROR(K229/I229),"",K229/I229)</f>
        <v>0.65573770491803274</v>
      </c>
      <c r="O229" s="12">
        <f>I229/E229</f>
        <v>2033.3333333333333</v>
      </c>
      <c r="P229" s="12">
        <f>K229/E229</f>
        <v>1333.3333333333333</v>
      </c>
      <c r="Q229" s="13">
        <v>3</v>
      </c>
      <c r="R229" s="13">
        <v>2</v>
      </c>
      <c r="S229" s="13" t="s">
        <v>51</v>
      </c>
      <c r="T229" s="8">
        <v>100</v>
      </c>
      <c r="U229" s="5"/>
      <c r="V229" s="5" t="s">
        <v>1950</v>
      </c>
      <c r="X229" s="23">
        <f t="shared" si="302"/>
        <v>100.3</v>
      </c>
      <c r="Y229" s="21">
        <f t="shared" si="302"/>
        <v>30</v>
      </c>
      <c r="Z229" s="28">
        <f t="shared" si="303"/>
        <v>8</v>
      </c>
      <c r="AA229" s="6">
        <f t="shared" si="303"/>
        <v>61000</v>
      </c>
      <c r="AB229" s="6">
        <f>K229</f>
        <v>40000</v>
      </c>
      <c r="AC229" s="6">
        <f t="shared" si="304"/>
        <v>21000</v>
      </c>
      <c r="AD229" s="7">
        <f t="shared" si="304"/>
        <v>0.65573770491803274</v>
      </c>
      <c r="AE229" s="12">
        <f t="shared" si="304"/>
        <v>2033.3333333333333</v>
      </c>
      <c r="AF229" s="13" t="str">
        <f>S229</f>
        <v>계</v>
      </c>
      <c r="AG229" s="13" t="str">
        <f>Q229&amp;"/"&amp;R229</f>
        <v>3/2</v>
      </c>
      <c r="AI229" s="32" t="str">
        <f t="shared" si="284"/>
        <v>무궁화효성,한양</v>
      </c>
      <c r="AJ229" s="21">
        <f t="shared" si="283"/>
        <v>30</v>
      </c>
      <c r="AK229" s="13" t="str">
        <f>IF(AJ229="","",$AK$2)</f>
        <v>A-</v>
      </c>
      <c r="AL229" s="13"/>
      <c r="AM229" s="13"/>
      <c r="AN229" s="13"/>
      <c r="AO229" s="13" t="str">
        <f>IF(AJ229="","",$AO$2)</f>
        <v>C</v>
      </c>
      <c r="AP229" s="13" t="str">
        <f>IF(N229="","",IF(N229&gt;=$AP$1/100,"O","X"))</f>
        <v>X</v>
      </c>
      <c r="AQ229" s="13" t="str">
        <f>IF(I229="","",IF(I229&lt;=$AQ$1,"O","X"))</f>
        <v>X</v>
      </c>
      <c r="AR229" s="13" t="str">
        <f>IF(O229="","",IF(O229&lt;=$AR$1,"O","X"))</f>
        <v>X</v>
      </c>
      <c r="AS229" s="13" t="str">
        <f>IF(M229="","",IF(M229&lt;=$AS$1,"O","X"))</f>
        <v>X</v>
      </c>
      <c r="AT229" s="13" t="s">
        <v>32</v>
      </c>
      <c r="AU229" s="13" t="str">
        <f>IF(OR(F229="",AJ229=""),"",IF(AND((F229&lt;=85),(AJ229&gt;=15)),"O","X"))</f>
        <v>O</v>
      </c>
      <c r="AV229" s="13" t="str">
        <f>IF(C229="","",IF(C229&gt;=$AV$1,"O","X"))</f>
        <v>O</v>
      </c>
      <c r="AW229" s="13" t="str">
        <f>IF(AP229="","",IF(AND(AP229="O",AQ229="O",AS229="O",AU229="O",AV229="O"),"후보","X"))</f>
        <v>X</v>
      </c>
    </row>
    <row r="230" spans="1:49" x14ac:dyDescent="0.3">
      <c r="A230" s="5" t="s">
        <v>1948</v>
      </c>
      <c r="B230" s="14" t="s">
        <v>1914</v>
      </c>
      <c r="C230" s="25">
        <v>800</v>
      </c>
      <c r="D230" s="23">
        <v>107.5</v>
      </c>
      <c r="E230" s="21">
        <v>33</v>
      </c>
      <c r="F230" s="23">
        <v>84.5</v>
      </c>
      <c r="G230" s="24">
        <v>26</v>
      </c>
      <c r="H230" s="25">
        <v>300</v>
      </c>
      <c r="I230" s="29">
        <v>69000</v>
      </c>
      <c r="J230" s="29"/>
      <c r="K230" s="29">
        <v>47000</v>
      </c>
      <c r="L230" s="29"/>
      <c r="M230" s="6">
        <f>I230-K230</f>
        <v>22000</v>
      </c>
      <c r="N230" s="7">
        <f>IF(ISERROR(K230/I230),"",K230/I230)</f>
        <v>0.6811594202898551</v>
      </c>
      <c r="O230" s="12">
        <f>I230/E230</f>
        <v>2090.909090909091</v>
      </c>
      <c r="P230" s="12">
        <f>K230/E230</f>
        <v>1424.2424242424242</v>
      </c>
      <c r="Q230" s="13">
        <v>3</v>
      </c>
      <c r="R230" s="13">
        <v>2</v>
      </c>
      <c r="S230" s="13" t="s">
        <v>51</v>
      </c>
      <c r="T230" s="8" t="s">
        <v>428</v>
      </c>
      <c r="U230" s="5"/>
      <c r="V230" s="5" t="s">
        <v>1951</v>
      </c>
      <c r="X230" s="23">
        <f t="shared" si="302"/>
        <v>107.5</v>
      </c>
      <c r="Y230" s="21">
        <f t="shared" si="302"/>
        <v>33</v>
      </c>
      <c r="Z230" s="28">
        <f t="shared" si="303"/>
        <v>300</v>
      </c>
      <c r="AA230" s="6">
        <f t="shared" si="303"/>
        <v>69000</v>
      </c>
      <c r="AB230" s="6">
        <f>K230</f>
        <v>47000</v>
      </c>
      <c r="AC230" s="6">
        <f t="shared" si="304"/>
        <v>22000</v>
      </c>
      <c r="AD230" s="7">
        <f t="shared" si="304"/>
        <v>0.6811594202898551</v>
      </c>
      <c r="AE230" s="12">
        <f t="shared" si="304"/>
        <v>2090.909090909091</v>
      </c>
      <c r="AF230" s="13" t="str">
        <f>S230</f>
        <v>계</v>
      </c>
      <c r="AG230" s="13" t="str">
        <f>Q230&amp;"/"&amp;R230</f>
        <v>3/2</v>
      </c>
      <c r="AI230" s="32" t="str">
        <f t="shared" si="284"/>
        <v>무궁화효성,한양</v>
      </c>
      <c r="AJ230" s="21">
        <f t="shared" si="283"/>
        <v>33</v>
      </c>
      <c r="AK230" s="13" t="str">
        <f>IF(AJ230="","",$AK$2)</f>
        <v>A-</v>
      </c>
      <c r="AL230" s="13"/>
      <c r="AM230" s="13"/>
      <c r="AN230" s="13"/>
      <c r="AO230" s="13" t="str">
        <f>IF(AJ230="","",$AO$2)</f>
        <v>C</v>
      </c>
      <c r="AP230" s="13" t="str">
        <f>IF(N230="","",IF(N230&gt;=$AP$1/100,"O","X"))</f>
        <v>X</v>
      </c>
      <c r="AQ230" s="13" t="str">
        <f>IF(I230="","",IF(I230&lt;=$AQ$1,"O","X"))</f>
        <v>X</v>
      </c>
      <c r="AR230" s="13" t="str">
        <f>IF(O230="","",IF(O230&lt;=$AR$1,"O","X"))</f>
        <v>X</v>
      </c>
      <c r="AS230" s="13" t="str">
        <f>IF(M230="","",IF(M230&lt;=$AS$1,"O","X"))</f>
        <v>X</v>
      </c>
      <c r="AT230" s="13" t="s">
        <v>32</v>
      </c>
      <c r="AU230" s="13" t="str">
        <f>IF(OR(F230="",AJ230=""),"",IF(AND((F230&lt;=85),(AJ230&gt;=15)),"O","X"))</f>
        <v>O</v>
      </c>
      <c r="AV230" s="13" t="str">
        <f>IF(C230="","",IF(C230&gt;=$AV$1,"O","X"))</f>
        <v>O</v>
      </c>
      <c r="AW230" s="13" t="str">
        <f>IF(AP230="","",IF(AND(AP230="O",AQ230="O",AS230="O",AU230="O",AV230="O"),"후보","X"))</f>
        <v>X</v>
      </c>
    </row>
    <row r="231" spans="1:49" x14ac:dyDescent="0.3">
      <c r="A231" s="5" t="s">
        <v>1948</v>
      </c>
      <c r="B231" s="14" t="s">
        <v>1914</v>
      </c>
      <c r="C231" s="25">
        <v>800</v>
      </c>
      <c r="D231" s="23">
        <v>107.7</v>
      </c>
      <c r="E231" s="21">
        <v>33</v>
      </c>
      <c r="F231" s="23">
        <v>84.9</v>
      </c>
      <c r="G231" s="24">
        <v>26</v>
      </c>
      <c r="H231" s="25">
        <v>292</v>
      </c>
      <c r="I231" s="29">
        <v>69000</v>
      </c>
      <c r="J231" s="29"/>
      <c r="K231" s="29">
        <v>44000</v>
      </c>
      <c r="L231" s="29"/>
      <c r="M231" s="6">
        <f>I231-K231</f>
        <v>25000</v>
      </c>
      <c r="N231" s="7">
        <f>IF(ISERROR(K231/I231),"",K231/I231)</f>
        <v>0.6376811594202898</v>
      </c>
      <c r="O231" s="12">
        <f>I231/E231</f>
        <v>2090.909090909091</v>
      </c>
      <c r="P231" s="12">
        <f>K231/E231</f>
        <v>1333.3333333333333</v>
      </c>
      <c r="Q231" s="13">
        <v>3</v>
      </c>
      <c r="R231" s="13">
        <v>2</v>
      </c>
      <c r="S231" s="13" t="s">
        <v>51</v>
      </c>
      <c r="T231" s="8" t="s">
        <v>427</v>
      </c>
      <c r="U231" s="5"/>
      <c r="V231" s="5" t="s">
        <v>1951</v>
      </c>
      <c r="X231" s="23">
        <f t="shared" si="302"/>
        <v>107.7</v>
      </c>
      <c r="Y231" s="21">
        <f t="shared" si="302"/>
        <v>33</v>
      </c>
      <c r="Z231" s="28">
        <f t="shared" si="303"/>
        <v>292</v>
      </c>
      <c r="AA231" s="6">
        <f t="shared" si="303"/>
        <v>69000</v>
      </c>
      <c r="AB231" s="6">
        <f>K231</f>
        <v>44000</v>
      </c>
      <c r="AC231" s="6">
        <f t="shared" si="304"/>
        <v>25000</v>
      </c>
      <c r="AD231" s="7">
        <f t="shared" si="304"/>
        <v>0.6376811594202898</v>
      </c>
      <c r="AE231" s="12">
        <f t="shared" si="304"/>
        <v>2090.909090909091</v>
      </c>
      <c r="AF231" s="13" t="str">
        <f>S231</f>
        <v>계</v>
      </c>
      <c r="AG231" s="13" t="str">
        <f>Q231&amp;"/"&amp;R231</f>
        <v>3/2</v>
      </c>
      <c r="AI231" s="32" t="str">
        <f t="shared" si="284"/>
        <v>무궁화효성,한양</v>
      </c>
      <c r="AJ231" s="21">
        <f t="shared" si="283"/>
        <v>33</v>
      </c>
      <c r="AK231" s="13" t="str">
        <f>IF(AJ231="","",$AK$2)</f>
        <v>A-</v>
      </c>
      <c r="AL231" s="13"/>
      <c r="AM231" s="13"/>
      <c r="AN231" s="13"/>
      <c r="AO231" s="13" t="str">
        <f>IF(AJ231="","",$AO$2)</f>
        <v>C</v>
      </c>
      <c r="AP231" s="13" t="str">
        <f>IF(N231="","",IF(N231&gt;=$AP$1/100,"O","X"))</f>
        <v>X</v>
      </c>
      <c r="AQ231" s="13" t="str">
        <f>IF(I231="","",IF(I231&lt;=$AQ$1,"O","X"))</f>
        <v>X</v>
      </c>
      <c r="AR231" s="13" t="str">
        <f>IF(O231="","",IF(O231&lt;=$AR$1,"O","X"))</f>
        <v>X</v>
      </c>
      <c r="AS231" s="13" t="str">
        <f>IF(M231="","",IF(M231&lt;=$AS$1,"O","X"))</f>
        <v>X</v>
      </c>
      <c r="AT231" s="13" t="s">
        <v>32</v>
      </c>
      <c r="AU231" s="13" t="str">
        <f>IF(OR(F231="",AJ231=""),"",IF(AND((F231&lt;=85),(AJ231&gt;=15)),"O","X"))</f>
        <v>O</v>
      </c>
      <c r="AV231" s="13" t="str">
        <f>IF(C231="","",IF(C231&gt;=$AV$1,"O","X"))</f>
        <v>O</v>
      </c>
      <c r="AW231" s="13" t="str">
        <f>IF(AP231="","",IF(AND(AP231="O",AQ231="O",AS231="O",AU231="O",AV231="O"),"후보","X"))</f>
        <v>X</v>
      </c>
    </row>
    <row r="232" spans="1:49" x14ac:dyDescent="0.3">
      <c r="A232" s="5"/>
      <c r="B232" s="13"/>
      <c r="C232" s="9"/>
      <c r="D232" s="5"/>
      <c r="E232" s="18"/>
      <c r="F232" s="23"/>
      <c r="G232" s="5"/>
      <c r="H232" s="5"/>
      <c r="I232" s="5"/>
      <c r="J232" s="5"/>
      <c r="K232" s="5"/>
      <c r="L232" s="5"/>
      <c r="M232" s="5"/>
      <c r="N232" s="5"/>
      <c r="O232" s="12"/>
      <c r="P232" s="12"/>
      <c r="Q232" s="21"/>
      <c r="R232" s="21"/>
      <c r="S232" s="5"/>
      <c r="T232" s="59"/>
      <c r="U232" s="5"/>
      <c r="V232" s="5"/>
      <c r="X232" s="90" t="str">
        <f>$A$4&amp;" "&amp;A233&amp;"("&amp;B233&amp;","&amp;C233&amp;"^)"</f>
        <v>호계동 샘마을임광('92.12,390^)</v>
      </c>
      <c r="Y232" s="91"/>
      <c r="Z232" s="91"/>
      <c r="AA232" s="91"/>
      <c r="AB232" s="91"/>
      <c r="AC232" s="91"/>
      <c r="AD232" s="91"/>
      <c r="AE232" s="91"/>
      <c r="AF232" s="91"/>
      <c r="AG232" s="92"/>
      <c r="AI232" s="32" t="str">
        <f t="shared" si="284"/>
        <v/>
      </c>
      <c r="AJ232" s="33" t="str">
        <f t="shared" si="283"/>
        <v/>
      </c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</row>
    <row r="233" spans="1:49" x14ac:dyDescent="0.3">
      <c r="A233" s="5" t="s">
        <v>1952</v>
      </c>
      <c r="B233" s="14" t="s">
        <v>1914</v>
      </c>
      <c r="C233" s="25">
        <v>390</v>
      </c>
      <c r="D233" s="23">
        <v>110</v>
      </c>
      <c r="E233" s="21">
        <v>33</v>
      </c>
      <c r="F233" s="23">
        <v>91.1</v>
      </c>
      <c r="G233" s="24">
        <v>28</v>
      </c>
      <c r="H233" s="25">
        <v>114</v>
      </c>
      <c r="I233" s="29">
        <v>75000</v>
      </c>
      <c r="J233" s="29"/>
      <c r="K233" s="29">
        <v>46000</v>
      </c>
      <c r="L233" s="29"/>
      <c r="M233" s="6">
        <f>I233-K233</f>
        <v>29000</v>
      </c>
      <c r="N233" s="7">
        <f>IF(ISERROR(K233/I233),"",K233/I233)</f>
        <v>0.61333333333333329</v>
      </c>
      <c r="O233" s="12">
        <f>I233/E233</f>
        <v>2272.7272727272725</v>
      </c>
      <c r="P233" s="12">
        <f>K233/E233</f>
        <v>1393.939393939394</v>
      </c>
      <c r="Q233" s="13">
        <v>3</v>
      </c>
      <c r="R233" s="13">
        <v>2</v>
      </c>
      <c r="S233" s="13" t="s">
        <v>51</v>
      </c>
      <c r="T233" s="8">
        <v>110</v>
      </c>
      <c r="U233" s="5"/>
      <c r="V233" s="5" t="s">
        <v>1953</v>
      </c>
      <c r="X233" s="23">
        <f t="shared" ref="X233:Y235" si="305">D233</f>
        <v>110</v>
      </c>
      <c r="Y233" s="21">
        <f t="shared" si="305"/>
        <v>33</v>
      </c>
      <c r="Z233" s="28">
        <f t="shared" ref="Z233:AA235" si="306">H233</f>
        <v>114</v>
      </c>
      <c r="AA233" s="6">
        <f t="shared" si="306"/>
        <v>75000</v>
      </c>
      <c r="AB233" s="6">
        <f>K233</f>
        <v>46000</v>
      </c>
      <c r="AC233" s="6">
        <f t="shared" ref="AC233:AE235" si="307">M233</f>
        <v>29000</v>
      </c>
      <c r="AD233" s="7">
        <f t="shared" si="307"/>
        <v>0.61333333333333329</v>
      </c>
      <c r="AE233" s="12">
        <f t="shared" si="307"/>
        <v>2272.7272727272725</v>
      </c>
      <c r="AF233" s="13" t="str">
        <f>S233</f>
        <v>계</v>
      </c>
      <c r="AG233" s="13" t="str">
        <f>Q233&amp;"/"&amp;R233</f>
        <v>3/2</v>
      </c>
      <c r="AI233" s="32" t="str">
        <f t="shared" si="284"/>
        <v>샘마을임광</v>
      </c>
      <c r="AJ233" s="21">
        <f t="shared" si="283"/>
        <v>33</v>
      </c>
      <c r="AK233" s="13" t="str">
        <f>IF(AJ233="","",$AK$2)</f>
        <v>A-</v>
      </c>
      <c r="AL233" s="13"/>
      <c r="AM233" s="13"/>
      <c r="AN233" s="13"/>
      <c r="AO233" s="13" t="str">
        <f>IF(AJ233="","",$AO$2)</f>
        <v>C</v>
      </c>
      <c r="AP233" s="13" t="str">
        <f>IF(N233="","",IF(N233&gt;=$AP$1/100,"O","X"))</f>
        <v>X</v>
      </c>
      <c r="AQ233" s="13" t="str">
        <f>IF(I233="","",IF(I233&lt;=$AQ$1,"O","X"))</f>
        <v>X</v>
      </c>
      <c r="AR233" s="13" t="str">
        <f>IF(O233="","",IF(O233&lt;=$AR$1,"O","X"))</f>
        <v>X</v>
      </c>
      <c r="AS233" s="13" t="str">
        <f>IF(M233="","",IF(M233&lt;=$AS$1,"O","X"))</f>
        <v>X</v>
      </c>
      <c r="AT233" s="13" t="s">
        <v>32</v>
      </c>
      <c r="AU233" s="13" t="str">
        <f>IF(OR(F233="",AJ233=""),"",IF(AND((F233&lt;=85),(AJ233&gt;=15)),"O","X"))</f>
        <v>X</v>
      </c>
      <c r="AV233" s="13" t="str">
        <f>IF(C233="","",IF(C233&gt;=$AV$1,"O","X"))</f>
        <v>O</v>
      </c>
      <c r="AW233" s="13" t="str">
        <f>IF(AP233="","",IF(AND(AP233="O",AQ233="O",AS233="O",AU233="O",AV233="O"),"후보","X"))</f>
        <v>X</v>
      </c>
    </row>
    <row r="234" spans="1:49" x14ac:dyDescent="0.3">
      <c r="A234" s="5" t="s">
        <v>1952</v>
      </c>
      <c r="B234" s="14" t="s">
        <v>1914</v>
      </c>
      <c r="C234" s="25">
        <v>390</v>
      </c>
      <c r="D234" s="23">
        <v>138.5</v>
      </c>
      <c r="E234" s="21">
        <v>42</v>
      </c>
      <c r="F234" s="23">
        <v>118.9</v>
      </c>
      <c r="G234" s="24">
        <v>36</v>
      </c>
      <c r="H234" s="25">
        <v>180</v>
      </c>
      <c r="I234" s="29">
        <v>88000</v>
      </c>
      <c r="J234" s="29"/>
      <c r="K234" s="29">
        <v>60000</v>
      </c>
      <c r="L234" s="29"/>
      <c r="M234" s="6">
        <f>I234-K234</f>
        <v>28000</v>
      </c>
      <c r="N234" s="7">
        <f>IF(ISERROR(K234/I234),"",K234/I234)</f>
        <v>0.68181818181818177</v>
      </c>
      <c r="O234" s="12">
        <f>I234/E234</f>
        <v>2095.2380952380954</v>
      </c>
      <c r="P234" s="12">
        <f>K234/E234</f>
        <v>1428.5714285714287</v>
      </c>
      <c r="Q234" s="13">
        <v>4</v>
      </c>
      <c r="R234" s="13">
        <v>2</v>
      </c>
      <c r="S234" s="13" t="s">
        <v>51</v>
      </c>
      <c r="T234" s="8">
        <v>138</v>
      </c>
      <c r="U234" s="5"/>
      <c r="V234" s="5" t="s">
        <v>1954</v>
      </c>
      <c r="X234" s="23">
        <f t="shared" si="305"/>
        <v>138.5</v>
      </c>
      <c r="Y234" s="21">
        <f t="shared" si="305"/>
        <v>42</v>
      </c>
      <c r="Z234" s="28">
        <f t="shared" si="306"/>
        <v>180</v>
      </c>
      <c r="AA234" s="6">
        <f t="shared" si="306"/>
        <v>88000</v>
      </c>
      <c r="AB234" s="6">
        <f>K234</f>
        <v>60000</v>
      </c>
      <c r="AC234" s="6">
        <f t="shared" si="307"/>
        <v>28000</v>
      </c>
      <c r="AD234" s="7">
        <f t="shared" si="307"/>
        <v>0.68181818181818177</v>
      </c>
      <c r="AE234" s="12">
        <f t="shared" si="307"/>
        <v>2095.2380952380954</v>
      </c>
      <c r="AF234" s="13" t="str">
        <f>S234</f>
        <v>계</v>
      </c>
      <c r="AG234" s="13" t="str">
        <f>Q234&amp;"/"&amp;R234</f>
        <v>4/2</v>
      </c>
      <c r="AI234" s="32" t="str">
        <f t="shared" si="284"/>
        <v>샘마을임광</v>
      </c>
      <c r="AJ234" s="21">
        <f t="shared" si="283"/>
        <v>42</v>
      </c>
      <c r="AK234" s="13" t="str">
        <f>IF(AJ234="","",$AK$2)</f>
        <v>A-</v>
      </c>
      <c r="AL234" s="13"/>
      <c r="AM234" s="13"/>
      <c r="AN234" s="13"/>
      <c r="AO234" s="13" t="str">
        <f>IF(AJ234="","",$AO$2)</f>
        <v>C</v>
      </c>
      <c r="AP234" s="13" t="str">
        <f>IF(N234="","",IF(N234&gt;=$AP$1/100,"O","X"))</f>
        <v>X</v>
      </c>
      <c r="AQ234" s="13" t="str">
        <f>IF(I234="","",IF(I234&lt;=$AQ$1,"O","X"))</f>
        <v>X</v>
      </c>
      <c r="AR234" s="13" t="str">
        <f>IF(O234="","",IF(O234&lt;=$AR$1,"O","X"))</f>
        <v>X</v>
      </c>
      <c r="AS234" s="13" t="str">
        <f>IF(M234="","",IF(M234&lt;=$AS$1,"O","X"))</f>
        <v>X</v>
      </c>
      <c r="AT234" s="13" t="s">
        <v>32</v>
      </c>
      <c r="AU234" s="13" t="str">
        <f>IF(OR(F234="",AJ234=""),"",IF(AND((F234&lt;=85),(AJ234&gt;=15)),"O","X"))</f>
        <v>X</v>
      </c>
      <c r="AV234" s="13" t="str">
        <f>IF(C234="","",IF(C234&gt;=$AV$1,"O","X"))</f>
        <v>O</v>
      </c>
      <c r="AW234" s="13" t="str">
        <f>IF(AP234="","",IF(AND(AP234="O",AQ234="O",AS234="O",AU234="O",AV234="O"),"후보","X"))</f>
        <v>X</v>
      </c>
    </row>
    <row r="235" spans="1:49" x14ac:dyDescent="0.3">
      <c r="A235" s="5" t="s">
        <v>1952</v>
      </c>
      <c r="B235" s="14" t="s">
        <v>1914</v>
      </c>
      <c r="C235" s="25">
        <v>390</v>
      </c>
      <c r="D235" s="23">
        <v>191.8</v>
      </c>
      <c r="E235" s="21">
        <v>58</v>
      </c>
      <c r="F235" s="23">
        <v>165.3</v>
      </c>
      <c r="G235" s="24">
        <v>50</v>
      </c>
      <c r="H235" s="25">
        <v>96</v>
      </c>
      <c r="I235" s="29">
        <v>103500</v>
      </c>
      <c r="J235" s="29"/>
      <c r="K235" s="29">
        <v>74000</v>
      </c>
      <c r="L235" s="29"/>
      <c r="M235" s="6">
        <f>I235-K235</f>
        <v>29500</v>
      </c>
      <c r="N235" s="7">
        <f>IF(ISERROR(K235/I235),"",K235/I235)</f>
        <v>0.71497584541062797</v>
      </c>
      <c r="O235" s="12">
        <f>I235/E235</f>
        <v>1784.4827586206898</v>
      </c>
      <c r="P235" s="12">
        <f>K235/E235</f>
        <v>1275.8620689655172</v>
      </c>
      <c r="Q235" s="13">
        <v>5</v>
      </c>
      <c r="R235" s="13">
        <v>2</v>
      </c>
      <c r="S235" s="13" t="s">
        <v>51</v>
      </c>
      <c r="T235" s="8">
        <v>191</v>
      </c>
      <c r="U235" s="5"/>
      <c r="V235" s="5" t="s">
        <v>1955</v>
      </c>
      <c r="X235" s="23">
        <f t="shared" si="305"/>
        <v>191.8</v>
      </c>
      <c r="Y235" s="21">
        <f t="shared" si="305"/>
        <v>58</v>
      </c>
      <c r="Z235" s="28">
        <f t="shared" si="306"/>
        <v>96</v>
      </c>
      <c r="AA235" s="6">
        <f t="shared" si="306"/>
        <v>103500</v>
      </c>
      <c r="AB235" s="6">
        <f>K235</f>
        <v>74000</v>
      </c>
      <c r="AC235" s="6">
        <f t="shared" si="307"/>
        <v>29500</v>
      </c>
      <c r="AD235" s="7">
        <f t="shared" si="307"/>
        <v>0.71497584541062797</v>
      </c>
      <c r="AE235" s="12">
        <f t="shared" si="307"/>
        <v>1784.4827586206898</v>
      </c>
      <c r="AF235" s="13" t="str">
        <f>S235</f>
        <v>계</v>
      </c>
      <c r="AG235" s="13" t="str">
        <f>Q235&amp;"/"&amp;R235</f>
        <v>5/2</v>
      </c>
      <c r="AI235" s="32" t="str">
        <f t="shared" si="284"/>
        <v>샘마을임광</v>
      </c>
      <c r="AJ235" s="21">
        <f t="shared" si="283"/>
        <v>58</v>
      </c>
      <c r="AK235" s="13" t="str">
        <f>IF(AJ235="","",$AK$2)</f>
        <v>A-</v>
      </c>
      <c r="AL235" s="13"/>
      <c r="AM235" s="13"/>
      <c r="AN235" s="13"/>
      <c r="AO235" s="13" t="str">
        <f>IF(AJ235="","",$AO$2)</f>
        <v>C</v>
      </c>
      <c r="AP235" s="13" t="str">
        <f>IF(N235="","",IF(N235&gt;=$AP$1/100,"O","X"))</f>
        <v>X</v>
      </c>
      <c r="AQ235" s="13" t="str">
        <f>IF(I235="","",IF(I235&lt;=$AQ$1,"O","X"))</f>
        <v>X</v>
      </c>
      <c r="AR235" s="13" t="str">
        <f>IF(O235="","",IF(O235&lt;=$AR$1,"O","X"))</f>
        <v>X</v>
      </c>
      <c r="AS235" s="13" t="str">
        <f>IF(M235="","",IF(M235&lt;=$AS$1,"O","X"))</f>
        <v>X</v>
      </c>
      <c r="AT235" s="13" t="s">
        <v>32</v>
      </c>
      <c r="AU235" s="13" t="str">
        <f>IF(OR(F235="",AJ235=""),"",IF(AND((F235&lt;=85),(AJ235&gt;=15)),"O","X"))</f>
        <v>X</v>
      </c>
      <c r="AV235" s="13" t="str">
        <f>IF(C235="","",IF(C235&gt;=$AV$1,"O","X"))</f>
        <v>O</v>
      </c>
      <c r="AW235" s="13" t="str">
        <f>IF(AP235="","",IF(AND(AP235="O",AQ235="O",AS235="O",AU235="O",AV235="O"),"후보","X"))</f>
        <v>X</v>
      </c>
    </row>
    <row r="236" spans="1:49" x14ac:dyDescent="0.3">
      <c r="A236" s="5"/>
      <c r="B236" s="13"/>
      <c r="C236" s="9"/>
      <c r="D236" s="5"/>
      <c r="E236" s="18"/>
      <c r="F236" s="23"/>
      <c r="G236" s="5"/>
      <c r="H236" s="5"/>
      <c r="I236" s="5"/>
      <c r="J236" s="5"/>
      <c r="K236" s="5"/>
      <c r="L236" s="5"/>
      <c r="M236" s="5"/>
      <c r="N236" s="5"/>
      <c r="O236" s="12"/>
      <c r="P236" s="12"/>
      <c r="Q236" s="21"/>
      <c r="R236" s="21"/>
      <c r="S236" s="5"/>
      <c r="T236" s="59"/>
      <c r="U236" s="5"/>
      <c r="V236" s="5"/>
      <c r="X236" s="90" t="str">
        <f>$A$4&amp;" "&amp;A237&amp;"("&amp;B237&amp;","&amp;C237&amp;"^)"</f>
        <v>호계동 호계럭키('92.12,794^)</v>
      </c>
      <c r="Y236" s="91"/>
      <c r="Z236" s="91"/>
      <c r="AA236" s="91"/>
      <c r="AB236" s="91"/>
      <c r="AC236" s="91"/>
      <c r="AD236" s="91"/>
      <c r="AE236" s="91"/>
      <c r="AF236" s="91"/>
      <c r="AG236" s="92"/>
      <c r="AI236" s="32" t="str">
        <f t="shared" si="284"/>
        <v/>
      </c>
      <c r="AJ236" s="33" t="str">
        <f t="shared" si="283"/>
        <v/>
      </c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</row>
    <row r="237" spans="1:49" x14ac:dyDescent="0.3">
      <c r="A237" s="5" t="s">
        <v>1956</v>
      </c>
      <c r="B237" s="14" t="s">
        <v>1914</v>
      </c>
      <c r="C237" s="25">
        <v>794</v>
      </c>
      <c r="D237" s="23">
        <v>100.9</v>
      </c>
      <c r="E237" s="21">
        <v>31</v>
      </c>
      <c r="F237" s="23">
        <v>84.8</v>
      </c>
      <c r="G237" s="24">
        <v>26</v>
      </c>
      <c r="H237" s="25">
        <v>450</v>
      </c>
      <c r="I237" s="29">
        <v>60000</v>
      </c>
      <c r="J237" s="29"/>
      <c r="K237" s="29">
        <v>35000</v>
      </c>
      <c r="L237" s="29"/>
      <c r="M237" s="6">
        <f>I237-K237</f>
        <v>25000</v>
      </c>
      <c r="N237" s="7">
        <f>IF(ISERROR(K237/I237),"",K237/I237)</f>
        <v>0.58333333333333337</v>
      </c>
      <c r="O237" s="12">
        <f>I237/E237</f>
        <v>1935.483870967742</v>
      </c>
      <c r="P237" s="12">
        <f>K237/E237</f>
        <v>1129.0322580645161</v>
      </c>
      <c r="Q237" s="13">
        <v>3</v>
      </c>
      <c r="R237" s="13">
        <v>2</v>
      </c>
      <c r="S237" s="13" t="s">
        <v>51</v>
      </c>
      <c r="T237" s="8" t="s">
        <v>579</v>
      </c>
      <c r="U237" s="5"/>
      <c r="V237" s="5" t="s">
        <v>1957</v>
      </c>
      <c r="X237" s="23">
        <f t="shared" ref="X237:Y239" si="308">D237</f>
        <v>100.9</v>
      </c>
      <c r="Y237" s="21">
        <f t="shared" si="308"/>
        <v>31</v>
      </c>
      <c r="Z237" s="28">
        <f t="shared" ref="Z237:AA239" si="309">H237</f>
        <v>450</v>
      </c>
      <c r="AA237" s="6">
        <f t="shared" si="309"/>
        <v>60000</v>
      </c>
      <c r="AB237" s="6">
        <f>K237</f>
        <v>35000</v>
      </c>
      <c r="AC237" s="6">
        <f t="shared" ref="AC237:AE239" si="310">M237</f>
        <v>25000</v>
      </c>
      <c r="AD237" s="7">
        <f t="shared" si="310"/>
        <v>0.58333333333333337</v>
      </c>
      <c r="AE237" s="12">
        <f t="shared" si="310"/>
        <v>1935.483870967742</v>
      </c>
      <c r="AF237" s="13" t="str">
        <f>S237</f>
        <v>계</v>
      </c>
      <c r="AG237" s="13" t="str">
        <f>Q237&amp;"/"&amp;R237</f>
        <v>3/2</v>
      </c>
      <c r="AI237" s="32" t="str">
        <f t="shared" si="284"/>
        <v>호계럭키</v>
      </c>
      <c r="AJ237" s="21">
        <f t="shared" si="283"/>
        <v>31</v>
      </c>
      <c r="AK237" s="13" t="str">
        <f>IF(AJ237="","",$AK$2)</f>
        <v>A-</v>
      </c>
      <c r="AL237" s="13"/>
      <c r="AM237" s="13"/>
      <c r="AN237" s="13"/>
      <c r="AO237" s="13" t="str">
        <f>IF(AJ237="","",$AO$2)</f>
        <v>C</v>
      </c>
      <c r="AP237" s="13" t="str">
        <f>IF(N237="","",IF(N237&gt;=$AP$1/100,"O","X"))</f>
        <v>X</v>
      </c>
      <c r="AQ237" s="13" t="str">
        <f>IF(I237="","",IF(I237&lt;=$AQ$1,"O","X"))</f>
        <v>X</v>
      </c>
      <c r="AR237" s="13" t="str">
        <f>IF(O237="","",IF(O237&lt;=$AR$1,"O","X"))</f>
        <v>X</v>
      </c>
      <c r="AS237" s="13" t="str">
        <f>IF(M237="","",IF(M237&lt;=$AS$1,"O","X"))</f>
        <v>X</v>
      </c>
      <c r="AT237" s="13" t="s">
        <v>32</v>
      </c>
      <c r="AU237" s="13" t="str">
        <f>IF(OR(F237="",AJ237=""),"",IF(AND((F237&lt;=85),(AJ237&gt;=15)),"O","X"))</f>
        <v>O</v>
      </c>
      <c r="AV237" s="13" t="str">
        <f>IF(C237="","",IF(C237&gt;=$AV$1,"O","X"))</f>
        <v>O</v>
      </c>
      <c r="AW237" s="13" t="str">
        <f>IF(AP237="","",IF(AND(AP237="O",AQ237="O",AS237="O",AU237="O",AV237="O"),"후보","X"))</f>
        <v>X</v>
      </c>
    </row>
    <row r="238" spans="1:49" x14ac:dyDescent="0.3">
      <c r="A238" s="5" t="s">
        <v>1956</v>
      </c>
      <c r="B238" s="14" t="s">
        <v>1914</v>
      </c>
      <c r="C238" s="25">
        <v>794</v>
      </c>
      <c r="D238" s="23">
        <v>103.8</v>
      </c>
      <c r="E238" s="21">
        <v>31</v>
      </c>
      <c r="F238" s="23">
        <v>84.8</v>
      </c>
      <c r="G238" s="24">
        <v>26</v>
      </c>
      <c r="H238" s="25">
        <v>104</v>
      </c>
      <c r="I238" s="29">
        <v>61000</v>
      </c>
      <c r="J238" s="29"/>
      <c r="K238" s="29">
        <v>37000</v>
      </c>
      <c r="L238" s="29"/>
      <c r="M238" s="6">
        <f>I238-K238</f>
        <v>24000</v>
      </c>
      <c r="N238" s="7">
        <f>IF(ISERROR(K238/I238),"",K238/I238)</f>
        <v>0.60655737704918034</v>
      </c>
      <c r="O238" s="12">
        <f>I238/E238</f>
        <v>1967.741935483871</v>
      </c>
      <c r="P238" s="12">
        <f>K238/E238</f>
        <v>1193.5483870967741</v>
      </c>
      <c r="Q238" s="13">
        <v>3</v>
      </c>
      <c r="R238" s="13">
        <v>2</v>
      </c>
      <c r="S238" s="13" t="s">
        <v>51</v>
      </c>
      <c r="T238" s="8" t="s">
        <v>1315</v>
      </c>
      <c r="U238" s="5"/>
      <c r="V238" s="5" t="s">
        <v>1958</v>
      </c>
      <c r="X238" s="23">
        <f t="shared" si="308"/>
        <v>103.8</v>
      </c>
      <c r="Y238" s="21">
        <f t="shared" si="308"/>
        <v>31</v>
      </c>
      <c r="Z238" s="28">
        <f t="shared" si="309"/>
        <v>104</v>
      </c>
      <c r="AA238" s="6">
        <f t="shared" si="309"/>
        <v>61000</v>
      </c>
      <c r="AB238" s="6">
        <f>K238</f>
        <v>37000</v>
      </c>
      <c r="AC238" s="6">
        <f t="shared" si="310"/>
        <v>24000</v>
      </c>
      <c r="AD238" s="7">
        <f t="shared" si="310"/>
        <v>0.60655737704918034</v>
      </c>
      <c r="AE238" s="12">
        <f t="shared" si="310"/>
        <v>1967.741935483871</v>
      </c>
      <c r="AF238" s="13" t="str">
        <f>S238</f>
        <v>계</v>
      </c>
      <c r="AG238" s="13" t="str">
        <f>Q238&amp;"/"&amp;R238</f>
        <v>3/2</v>
      </c>
      <c r="AI238" s="32" t="str">
        <f t="shared" si="284"/>
        <v>호계럭키</v>
      </c>
      <c r="AJ238" s="21">
        <f t="shared" si="283"/>
        <v>31</v>
      </c>
      <c r="AK238" s="13" t="str">
        <f>IF(AJ238="","",$AK$2)</f>
        <v>A-</v>
      </c>
      <c r="AL238" s="13"/>
      <c r="AM238" s="13"/>
      <c r="AN238" s="13"/>
      <c r="AO238" s="13" t="str">
        <f>IF(AJ238="","",$AO$2)</f>
        <v>C</v>
      </c>
      <c r="AP238" s="13" t="str">
        <f>IF(N238="","",IF(N238&gt;=$AP$1/100,"O","X"))</f>
        <v>X</v>
      </c>
      <c r="AQ238" s="13" t="str">
        <f>IF(I238="","",IF(I238&lt;=$AQ$1,"O","X"))</f>
        <v>X</v>
      </c>
      <c r="AR238" s="13" t="str">
        <f>IF(O238="","",IF(O238&lt;=$AR$1,"O","X"))</f>
        <v>X</v>
      </c>
      <c r="AS238" s="13" t="str">
        <f>IF(M238="","",IF(M238&lt;=$AS$1,"O","X"))</f>
        <v>X</v>
      </c>
      <c r="AT238" s="13" t="s">
        <v>32</v>
      </c>
      <c r="AU238" s="13" t="str">
        <f>IF(OR(F238="",AJ238=""),"",IF(AND((F238&lt;=85),(AJ238&gt;=15)),"O","X"))</f>
        <v>O</v>
      </c>
      <c r="AV238" s="13" t="str">
        <f>IF(C238="","",IF(C238&gt;=$AV$1,"O","X"))</f>
        <v>O</v>
      </c>
      <c r="AW238" s="13" t="str">
        <f>IF(AP238="","",IF(AND(AP238="O",AQ238="O",AS238="O",AU238="O",AV238="O"),"후보","X"))</f>
        <v>X</v>
      </c>
    </row>
    <row r="239" spans="1:49" x14ac:dyDescent="0.3">
      <c r="A239" s="5" t="s">
        <v>1956</v>
      </c>
      <c r="B239" s="14" t="s">
        <v>1914</v>
      </c>
      <c r="C239" s="25">
        <v>794</v>
      </c>
      <c r="D239" s="23">
        <v>148.80000000000001</v>
      </c>
      <c r="E239" s="21">
        <v>45</v>
      </c>
      <c r="F239" s="23">
        <v>127.6</v>
      </c>
      <c r="G239" s="24">
        <v>39</v>
      </c>
      <c r="H239" s="25">
        <v>240</v>
      </c>
      <c r="I239" s="29">
        <v>82000</v>
      </c>
      <c r="J239" s="29"/>
      <c r="K239" s="29">
        <v>46000</v>
      </c>
      <c r="L239" s="29"/>
      <c r="M239" s="6">
        <f>I239-K239</f>
        <v>36000</v>
      </c>
      <c r="N239" s="7">
        <f>IF(ISERROR(K239/I239),"",K239/I239)</f>
        <v>0.56097560975609762</v>
      </c>
      <c r="O239" s="12">
        <f>I239/E239</f>
        <v>1822.2222222222222</v>
      </c>
      <c r="P239" s="12">
        <f>K239/E239</f>
        <v>1022.2222222222222</v>
      </c>
      <c r="Q239" s="13">
        <v>4</v>
      </c>
      <c r="R239" s="13">
        <v>2</v>
      </c>
      <c r="S239" s="13" t="s">
        <v>51</v>
      </c>
      <c r="T239" s="8">
        <v>148</v>
      </c>
      <c r="U239" s="5"/>
      <c r="V239" s="5" t="s">
        <v>1959</v>
      </c>
      <c r="X239" s="23">
        <f t="shared" si="308"/>
        <v>148.80000000000001</v>
      </c>
      <c r="Y239" s="21">
        <f t="shared" si="308"/>
        <v>45</v>
      </c>
      <c r="Z239" s="28">
        <f t="shared" si="309"/>
        <v>240</v>
      </c>
      <c r="AA239" s="6">
        <f t="shared" si="309"/>
        <v>82000</v>
      </c>
      <c r="AB239" s="6">
        <f>K239</f>
        <v>46000</v>
      </c>
      <c r="AC239" s="6">
        <f t="shared" si="310"/>
        <v>36000</v>
      </c>
      <c r="AD239" s="7">
        <f t="shared" si="310"/>
        <v>0.56097560975609762</v>
      </c>
      <c r="AE239" s="12">
        <f t="shared" si="310"/>
        <v>1822.2222222222222</v>
      </c>
      <c r="AF239" s="13" t="str">
        <f>S239</f>
        <v>계</v>
      </c>
      <c r="AG239" s="13" t="str">
        <f>Q239&amp;"/"&amp;R239</f>
        <v>4/2</v>
      </c>
      <c r="AI239" s="32" t="str">
        <f t="shared" si="284"/>
        <v>호계럭키</v>
      </c>
      <c r="AJ239" s="21">
        <f t="shared" si="283"/>
        <v>45</v>
      </c>
      <c r="AK239" s="13" t="str">
        <f>IF(AJ239="","",$AK$2)</f>
        <v>A-</v>
      </c>
      <c r="AL239" s="13"/>
      <c r="AM239" s="13"/>
      <c r="AN239" s="13"/>
      <c r="AO239" s="13" t="str">
        <f>IF(AJ239="","",$AO$2)</f>
        <v>C</v>
      </c>
      <c r="AP239" s="13" t="str">
        <f>IF(N239="","",IF(N239&gt;=$AP$1/100,"O","X"))</f>
        <v>X</v>
      </c>
      <c r="AQ239" s="13" t="str">
        <f>IF(I239="","",IF(I239&lt;=$AQ$1,"O","X"))</f>
        <v>X</v>
      </c>
      <c r="AR239" s="13" t="str">
        <f>IF(O239="","",IF(O239&lt;=$AR$1,"O","X"))</f>
        <v>X</v>
      </c>
      <c r="AS239" s="13" t="str">
        <f>IF(M239="","",IF(M239&lt;=$AS$1,"O","X"))</f>
        <v>X</v>
      </c>
      <c r="AT239" s="13" t="s">
        <v>32</v>
      </c>
      <c r="AU239" s="13" t="str">
        <f>IF(OR(F239="",AJ239=""),"",IF(AND((F239&lt;=85),(AJ239&gt;=15)),"O","X"))</f>
        <v>X</v>
      </c>
      <c r="AV239" s="13" t="str">
        <f>IF(C239="","",IF(C239&gt;=$AV$1,"O","X"))</f>
        <v>O</v>
      </c>
      <c r="AW239" s="13" t="str">
        <f>IF(AP239="","",IF(AND(AP239="O",AQ239="O",AS239="O",AU239="O",AV239="O"),"후보","X"))</f>
        <v>X</v>
      </c>
    </row>
  </sheetData>
  <mergeCells count="1">
    <mergeCell ref="AK1:AO1"/>
  </mergeCells>
  <phoneticPr fontId="2" type="noConversion"/>
  <conditionalFormatting sqref="AW4:AW6">
    <cfRule type="expression" dxfId="3673" priority="3887">
      <formula>AW4="X"</formula>
    </cfRule>
    <cfRule type="expression" dxfId="3672" priority="3888">
      <formula>AW4="후보"</formula>
    </cfRule>
  </conditionalFormatting>
  <conditionalFormatting sqref="AA2:AA6">
    <cfRule type="colorScale" priority="38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3671" priority="3884" operator="greaterThan">
      <formula>0.9</formula>
    </cfRule>
    <cfRule type="cellIs" dxfId="3670" priority="3885" operator="greaterThan">
      <formula>0.85</formula>
    </cfRule>
  </conditionalFormatting>
  <conditionalFormatting sqref="N1:N2">
    <cfRule type="cellIs" dxfId="3669" priority="3882" operator="greaterThan">
      <formula>0.9</formula>
    </cfRule>
    <cfRule type="cellIs" dxfId="3668" priority="3883" operator="greaterThan">
      <formula>0.85</formula>
    </cfRule>
  </conditionalFormatting>
  <conditionalFormatting sqref="N6">
    <cfRule type="cellIs" dxfId="3667" priority="3880" operator="greaterThan">
      <formula>0.9</formula>
    </cfRule>
    <cfRule type="cellIs" dxfId="3666" priority="3881" operator="greaterThan">
      <formula>0.85</formula>
    </cfRule>
  </conditionalFormatting>
  <conditionalFormatting sqref="E6">
    <cfRule type="expression" dxfId="3665" priority="3876">
      <formula>AND(IF(OR($Q6=1,$Q6=2),1,0),IF($E6&lt;=20,1,0))</formula>
    </cfRule>
    <cfRule type="expression" dxfId="3664" priority="3877">
      <formula>AND(IF($Q6=2,1,0),IF($E6&lt;30,1,0))</formula>
    </cfRule>
    <cfRule type="expression" dxfId="3663" priority="3878">
      <formula>AND(IF($Q6=3,1,0),IF($E6&lt;30,1,0))</formula>
    </cfRule>
    <cfRule type="expression" dxfId="3662" priority="3879">
      <formula>AND(IF($Q6=3,1,IF($Q6=4,1,0)),IF($F6&lt;=85,1,0))</formula>
    </cfRule>
  </conditionalFormatting>
  <conditionalFormatting sqref="Y6">
    <cfRule type="expression" dxfId="3661" priority="3872">
      <formula>AND(IF(OR($Q6=1,$Q6=2),1,0),IF($Y6&lt;=20,1,0))</formula>
    </cfRule>
    <cfRule type="expression" dxfId="3660" priority="3873">
      <formula>AND(IF($Q6=2,1,0),IF($Y6&lt;30,1,0))</formula>
    </cfRule>
    <cfRule type="expression" dxfId="3659" priority="3874">
      <formula>AND(IF($Q6=3,1,0),IF($Y6&lt;30,1,0))</formula>
    </cfRule>
    <cfRule type="expression" dxfId="3658" priority="3875">
      <formula>AND(IF($Q6=3,1,IF($Q6=4,1,0)),IF($F6&lt;=85,1,0))</formula>
    </cfRule>
  </conditionalFormatting>
  <conditionalFormatting sqref="AJ6">
    <cfRule type="expression" dxfId="3657" priority="3868">
      <formula>AND(IF(OR($Q6=1,$Q6=2),1,0),IF($Y6&lt;=20,1,0))</formula>
    </cfRule>
    <cfRule type="expression" dxfId="3656" priority="3869">
      <formula>AND(IF($Q6=2,1,0),IF($Y6&lt;30,1,0))</formula>
    </cfRule>
    <cfRule type="expression" dxfId="3655" priority="3870">
      <formula>AND(IF($Q6=3,1,0),IF($Y6&lt;30,1,0))</formula>
    </cfRule>
    <cfRule type="expression" dxfId="3654" priority="3871">
      <formula>AND(IF($Q6=3,1,IF($Q6=4,1,0)),IF($F6&lt;=85,1,0))</formula>
    </cfRule>
  </conditionalFormatting>
  <conditionalFormatting sqref="AW7">
    <cfRule type="expression" dxfId="3653" priority="3866">
      <formula>AW7="X"</formula>
    </cfRule>
    <cfRule type="expression" dxfId="3652" priority="3867">
      <formula>AW7="후보"</formula>
    </cfRule>
  </conditionalFormatting>
  <conditionalFormatting sqref="AA7">
    <cfRule type="colorScale" priority="38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3651" priority="3863" operator="greaterThan">
      <formula>0.9</formula>
    </cfRule>
    <cfRule type="cellIs" dxfId="3650" priority="3864" operator="greaterThan">
      <formula>0.85</formula>
    </cfRule>
  </conditionalFormatting>
  <conditionalFormatting sqref="N7">
    <cfRule type="cellIs" dxfId="3649" priority="3861" operator="greaterThan">
      <formula>0.9</formula>
    </cfRule>
    <cfRule type="cellIs" dxfId="3648" priority="3862" operator="greaterThan">
      <formula>0.85</formula>
    </cfRule>
  </conditionalFormatting>
  <conditionalFormatting sqref="E7">
    <cfRule type="expression" dxfId="3647" priority="3857">
      <formula>AND(IF(OR($Q7=1,$Q7=2),1,0),IF($E7&lt;=20,1,0))</formula>
    </cfRule>
    <cfRule type="expression" dxfId="3646" priority="3858">
      <formula>AND(IF($Q7=2,1,0),IF($E7&lt;30,1,0))</formula>
    </cfRule>
    <cfRule type="expression" dxfId="3645" priority="3859">
      <formula>AND(IF($Q7=3,1,0),IF($E7&lt;30,1,0))</formula>
    </cfRule>
    <cfRule type="expression" dxfId="3644" priority="3860">
      <formula>AND(IF($Q7=3,1,IF($Q7=4,1,0)),IF($F7&lt;=85,1,0))</formula>
    </cfRule>
  </conditionalFormatting>
  <conditionalFormatting sqref="Y7">
    <cfRule type="expression" dxfId="3643" priority="3853">
      <formula>AND(IF(OR($Q7=1,$Q7=2),1,0),IF($Y7&lt;=20,1,0))</formula>
    </cfRule>
    <cfRule type="expression" dxfId="3642" priority="3854">
      <formula>AND(IF($Q7=2,1,0),IF($Y7&lt;30,1,0))</formula>
    </cfRule>
    <cfRule type="expression" dxfId="3641" priority="3855">
      <formula>AND(IF($Q7=3,1,0),IF($Y7&lt;30,1,0))</formula>
    </cfRule>
    <cfRule type="expression" dxfId="3640" priority="3856">
      <formula>AND(IF($Q7=3,1,IF($Q7=4,1,0)),IF($F7&lt;=85,1,0))</formula>
    </cfRule>
  </conditionalFormatting>
  <conditionalFormatting sqref="AJ7">
    <cfRule type="expression" dxfId="3639" priority="3849">
      <formula>AND(IF(OR($Q7=1,$Q7=2),1,0),IF($Y7&lt;=20,1,0))</formula>
    </cfRule>
    <cfRule type="expression" dxfId="3638" priority="3850">
      <formula>AND(IF($Q7=2,1,0),IF($Y7&lt;30,1,0))</formula>
    </cfRule>
    <cfRule type="expression" dxfId="3637" priority="3851">
      <formula>AND(IF($Q7=3,1,0),IF($Y7&lt;30,1,0))</formula>
    </cfRule>
    <cfRule type="expression" dxfId="3636" priority="3852">
      <formula>AND(IF($Q7=3,1,IF($Q7=4,1,0)),IF($F7&lt;=85,1,0))</formula>
    </cfRule>
  </conditionalFormatting>
  <conditionalFormatting sqref="AW8">
    <cfRule type="expression" dxfId="3635" priority="3847">
      <formula>AW8="X"</formula>
    </cfRule>
    <cfRule type="expression" dxfId="3634" priority="3848">
      <formula>AW8="후보"</formula>
    </cfRule>
  </conditionalFormatting>
  <conditionalFormatting sqref="AA8">
    <cfRule type="colorScale" priority="38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3633" priority="3844" operator="greaterThan">
      <formula>0.9</formula>
    </cfRule>
    <cfRule type="cellIs" dxfId="3632" priority="3845" operator="greaterThan">
      <formula>0.85</formula>
    </cfRule>
  </conditionalFormatting>
  <conditionalFormatting sqref="N8">
    <cfRule type="cellIs" dxfId="3631" priority="3842" operator="greaterThan">
      <formula>0.9</formula>
    </cfRule>
    <cfRule type="cellIs" dxfId="3630" priority="3843" operator="greaterThan">
      <formula>0.85</formula>
    </cfRule>
  </conditionalFormatting>
  <conditionalFormatting sqref="E8">
    <cfRule type="expression" dxfId="3629" priority="3838">
      <formula>AND(IF(OR($Q8=1,$Q8=2),1,0),IF($E8&lt;=20,1,0))</formula>
    </cfRule>
    <cfRule type="expression" dxfId="3628" priority="3839">
      <formula>AND(IF($Q8=2,1,0),IF($E8&lt;30,1,0))</formula>
    </cfRule>
    <cfRule type="expression" dxfId="3627" priority="3840">
      <formula>AND(IF($Q8=3,1,0),IF($E8&lt;30,1,0))</formula>
    </cfRule>
    <cfRule type="expression" dxfId="3626" priority="3841">
      <formula>AND(IF($Q8=3,1,IF($Q8=4,1,0)),IF($F8&lt;=85,1,0))</formula>
    </cfRule>
  </conditionalFormatting>
  <conditionalFormatting sqref="Y8">
    <cfRule type="expression" dxfId="3625" priority="3834">
      <formula>AND(IF(OR($Q8=1,$Q8=2),1,0),IF($Y8&lt;=20,1,0))</formula>
    </cfRule>
    <cfRule type="expression" dxfId="3624" priority="3835">
      <formula>AND(IF($Q8=2,1,0),IF($Y8&lt;30,1,0))</formula>
    </cfRule>
    <cfRule type="expression" dxfId="3623" priority="3836">
      <formula>AND(IF($Q8=3,1,0),IF($Y8&lt;30,1,0))</formula>
    </cfRule>
    <cfRule type="expression" dxfId="3622" priority="3837">
      <formula>AND(IF($Q8=3,1,IF($Q8=4,1,0)),IF($F8&lt;=85,1,0))</formula>
    </cfRule>
  </conditionalFormatting>
  <conditionalFormatting sqref="AJ8">
    <cfRule type="expression" dxfId="3621" priority="3830">
      <formula>AND(IF(OR($Q8=1,$Q8=2),1,0),IF($Y8&lt;=20,1,0))</formula>
    </cfRule>
    <cfRule type="expression" dxfId="3620" priority="3831">
      <formula>AND(IF($Q8=2,1,0),IF($Y8&lt;30,1,0))</formula>
    </cfRule>
    <cfRule type="expression" dxfId="3619" priority="3832">
      <formula>AND(IF($Q8=3,1,0),IF($Y8&lt;30,1,0))</formula>
    </cfRule>
    <cfRule type="expression" dxfId="3618" priority="3833">
      <formula>AND(IF($Q8=3,1,IF($Q8=4,1,0)),IF($F8&lt;=85,1,0))</formula>
    </cfRule>
  </conditionalFormatting>
  <conditionalFormatting sqref="AW9">
    <cfRule type="expression" dxfId="3617" priority="3828">
      <formula>AW9="X"</formula>
    </cfRule>
    <cfRule type="expression" dxfId="3616" priority="3829">
      <formula>AW9="후보"</formula>
    </cfRule>
  </conditionalFormatting>
  <conditionalFormatting sqref="AA9">
    <cfRule type="colorScale" priority="38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 N9">
    <cfRule type="cellIs" dxfId="3615" priority="3825" operator="greaterThan">
      <formula>0.9</formula>
    </cfRule>
    <cfRule type="cellIs" dxfId="3614" priority="3826" operator="greaterThan">
      <formula>0.85</formula>
    </cfRule>
  </conditionalFormatting>
  <conditionalFormatting sqref="AW10">
    <cfRule type="expression" dxfId="3613" priority="3823">
      <formula>AW10="X"</formula>
    </cfRule>
    <cfRule type="expression" dxfId="3612" priority="3824">
      <formula>AW10="후보"</formula>
    </cfRule>
  </conditionalFormatting>
  <conditionalFormatting sqref="AA10">
    <cfRule type="colorScale" priority="38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3611" priority="3820" operator="greaterThan">
      <formula>0.9</formula>
    </cfRule>
    <cfRule type="cellIs" dxfId="3610" priority="3821" operator="greaterThan">
      <formula>0.85</formula>
    </cfRule>
  </conditionalFormatting>
  <conditionalFormatting sqref="N10">
    <cfRule type="cellIs" dxfId="3609" priority="3818" operator="greaterThan">
      <formula>0.9</formula>
    </cfRule>
    <cfRule type="cellIs" dxfId="3608" priority="3819" operator="greaterThan">
      <formula>0.85</formula>
    </cfRule>
  </conditionalFormatting>
  <conditionalFormatting sqref="E10">
    <cfRule type="expression" dxfId="3607" priority="3814">
      <formula>AND(IF(OR($Q10=1,$Q10=2),1,0),IF($E10&lt;=20,1,0))</formula>
    </cfRule>
    <cfRule type="expression" dxfId="3606" priority="3815">
      <formula>AND(IF($Q10=2,1,0),IF($E10&lt;30,1,0))</formula>
    </cfRule>
    <cfRule type="expression" dxfId="3605" priority="3816">
      <formula>AND(IF($Q10=3,1,0),IF($E10&lt;30,1,0))</formula>
    </cfRule>
    <cfRule type="expression" dxfId="3604" priority="3817">
      <formula>AND(IF($Q10=3,1,IF($Q10=4,1,0)),IF($F10&lt;=85,1,0))</formula>
    </cfRule>
  </conditionalFormatting>
  <conditionalFormatting sqref="Y10">
    <cfRule type="expression" dxfId="3603" priority="3810">
      <formula>AND(IF(OR($Q10=1,$Q10=2),1,0),IF($Y10&lt;=20,1,0))</formula>
    </cfRule>
    <cfRule type="expression" dxfId="3602" priority="3811">
      <formula>AND(IF($Q10=2,1,0),IF($Y10&lt;30,1,0))</formula>
    </cfRule>
    <cfRule type="expression" dxfId="3601" priority="3812">
      <formula>AND(IF($Q10=3,1,0),IF($Y10&lt;30,1,0))</formula>
    </cfRule>
    <cfRule type="expression" dxfId="3600" priority="3813">
      <formula>AND(IF($Q10=3,1,IF($Q10=4,1,0)),IF($F10&lt;=85,1,0))</formula>
    </cfRule>
  </conditionalFormatting>
  <conditionalFormatting sqref="AJ10">
    <cfRule type="expression" dxfId="3599" priority="3806">
      <formula>AND(IF(OR($Q10=1,$Q10=2),1,0),IF($Y10&lt;=20,1,0))</formula>
    </cfRule>
    <cfRule type="expression" dxfId="3598" priority="3807">
      <formula>AND(IF($Q10=2,1,0),IF($Y10&lt;30,1,0))</formula>
    </cfRule>
    <cfRule type="expression" dxfId="3597" priority="3808">
      <formula>AND(IF($Q10=3,1,0),IF($Y10&lt;30,1,0))</formula>
    </cfRule>
    <cfRule type="expression" dxfId="3596" priority="3809">
      <formula>AND(IF($Q10=3,1,IF($Q10=4,1,0)),IF($F10&lt;=85,1,0))</formula>
    </cfRule>
  </conditionalFormatting>
  <conditionalFormatting sqref="AW11">
    <cfRule type="expression" dxfId="3595" priority="3804">
      <formula>AW11="X"</formula>
    </cfRule>
    <cfRule type="expression" dxfId="3594" priority="3805">
      <formula>AW11="후보"</formula>
    </cfRule>
  </conditionalFormatting>
  <conditionalFormatting sqref="AA11">
    <cfRule type="colorScale" priority="38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3593" priority="3801" operator="greaterThan">
      <formula>0.9</formula>
    </cfRule>
    <cfRule type="cellIs" dxfId="3592" priority="3802" operator="greaterThan">
      <formula>0.85</formula>
    </cfRule>
  </conditionalFormatting>
  <conditionalFormatting sqref="N11">
    <cfRule type="cellIs" dxfId="3591" priority="3799" operator="greaterThan">
      <formula>0.9</formula>
    </cfRule>
    <cfRule type="cellIs" dxfId="3590" priority="3800" operator="greaterThan">
      <formula>0.85</formula>
    </cfRule>
  </conditionalFormatting>
  <conditionalFormatting sqref="E11">
    <cfRule type="expression" dxfId="3589" priority="3795">
      <formula>AND(IF(OR($Q11=1,$Q11=2),1,0),IF($E11&lt;=20,1,0))</formula>
    </cfRule>
    <cfRule type="expression" dxfId="3588" priority="3796">
      <formula>AND(IF($Q11=2,1,0),IF($E11&lt;30,1,0))</formula>
    </cfRule>
    <cfRule type="expression" dxfId="3587" priority="3797">
      <formula>AND(IF($Q11=3,1,0),IF($E11&lt;30,1,0))</formula>
    </cfRule>
    <cfRule type="expression" dxfId="3586" priority="3798">
      <formula>AND(IF($Q11=3,1,IF($Q11=4,1,0)),IF($F11&lt;=85,1,0))</formula>
    </cfRule>
  </conditionalFormatting>
  <conditionalFormatting sqref="Y11">
    <cfRule type="expression" dxfId="3585" priority="3791">
      <formula>AND(IF(OR($Q11=1,$Q11=2),1,0),IF($Y11&lt;=20,1,0))</formula>
    </cfRule>
    <cfRule type="expression" dxfId="3584" priority="3792">
      <formula>AND(IF($Q11=2,1,0),IF($Y11&lt;30,1,0))</formula>
    </cfRule>
    <cfRule type="expression" dxfId="3583" priority="3793">
      <formula>AND(IF($Q11=3,1,0),IF($Y11&lt;30,1,0))</formula>
    </cfRule>
    <cfRule type="expression" dxfId="3582" priority="3794">
      <formula>AND(IF($Q11=3,1,IF($Q11=4,1,0)),IF($F11&lt;=85,1,0))</formula>
    </cfRule>
  </conditionalFormatting>
  <conditionalFormatting sqref="AJ11">
    <cfRule type="expression" dxfId="3581" priority="3787">
      <formula>AND(IF(OR($Q11=1,$Q11=2),1,0),IF($Y11&lt;=20,1,0))</formula>
    </cfRule>
    <cfRule type="expression" dxfId="3580" priority="3788">
      <formula>AND(IF($Q11=2,1,0),IF($Y11&lt;30,1,0))</formula>
    </cfRule>
    <cfRule type="expression" dxfId="3579" priority="3789">
      <formula>AND(IF($Q11=3,1,0),IF($Y11&lt;30,1,0))</formula>
    </cfRule>
    <cfRule type="expression" dxfId="3578" priority="3790">
      <formula>AND(IF($Q11=3,1,IF($Q11=4,1,0)),IF($F11&lt;=85,1,0))</formula>
    </cfRule>
  </conditionalFormatting>
  <conditionalFormatting sqref="AW12">
    <cfRule type="expression" dxfId="3577" priority="3785">
      <formula>AW12="X"</formula>
    </cfRule>
    <cfRule type="expression" dxfId="3576" priority="3786">
      <formula>AW12="후보"</formula>
    </cfRule>
  </conditionalFormatting>
  <conditionalFormatting sqref="AA12">
    <cfRule type="colorScale" priority="37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3575" priority="3782" operator="greaterThan">
      <formula>0.9</formula>
    </cfRule>
    <cfRule type="cellIs" dxfId="3574" priority="3783" operator="greaterThan">
      <formula>0.85</formula>
    </cfRule>
  </conditionalFormatting>
  <conditionalFormatting sqref="N12">
    <cfRule type="cellIs" dxfId="3573" priority="3780" operator="greaterThan">
      <formula>0.9</formula>
    </cfRule>
    <cfRule type="cellIs" dxfId="3572" priority="3781" operator="greaterThan">
      <formula>0.85</formula>
    </cfRule>
  </conditionalFormatting>
  <conditionalFormatting sqref="E12">
    <cfRule type="expression" dxfId="3571" priority="3776">
      <formula>AND(IF(OR($Q12=1,$Q12=2),1,0),IF($E12&lt;=20,1,0))</formula>
    </cfRule>
    <cfRule type="expression" dxfId="3570" priority="3777">
      <formula>AND(IF($Q12=2,1,0),IF($E12&lt;30,1,0))</formula>
    </cfRule>
    <cfRule type="expression" dxfId="3569" priority="3778">
      <formula>AND(IF($Q12=3,1,0),IF($E12&lt;30,1,0))</formula>
    </cfRule>
    <cfRule type="expression" dxfId="3568" priority="3779">
      <formula>AND(IF($Q12=3,1,IF($Q12=4,1,0)),IF($F12&lt;=85,1,0))</formula>
    </cfRule>
  </conditionalFormatting>
  <conditionalFormatting sqref="Y12">
    <cfRule type="expression" dxfId="3567" priority="3772">
      <formula>AND(IF(OR($Q12=1,$Q12=2),1,0),IF($Y12&lt;=20,1,0))</formula>
    </cfRule>
    <cfRule type="expression" dxfId="3566" priority="3773">
      <formula>AND(IF($Q12=2,1,0),IF($Y12&lt;30,1,0))</formula>
    </cfRule>
    <cfRule type="expression" dxfId="3565" priority="3774">
      <formula>AND(IF($Q12=3,1,0),IF($Y12&lt;30,1,0))</formula>
    </cfRule>
    <cfRule type="expression" dxfId="3564" priority="3775">
      <formula>AND(IF($Q12=3,1,IF($Q12=4,1,0)),IF($F12&lt;=85,1,0))</formula>
    </cfRule>
  </conditionalFormatting>
  <conditionalFormatting sqref="AJ12">
    <cfRule type="expression" dxfId="3563" priority="3768">
      <formula>AND(IF(OR($Q12=1,$Q12=2),1,0),IF($Y12&lt;=20,1,0))</formula>
    </cfRule>
    <cfRule type="expression" dxfId="3562" priority="3769">
      <formula>AND(IF($Q12=2,1,0),IF($Y12&lt;30,1,0))</formula>
    </cfRule>
    <cfRule type="expression" dxfId="3561" priority="3770">
      <formula>AND(IF($Q12=3,1,0),IF($Y12&lt;30,1,0))</formula>
    </cfRule>
    <cfRule type="expression" dxfId="3560" priority="3771">
      <formula>AND(IF($Q12=3,1,IF($Q12=4,1,0)),IF($F12&lt;=85,1,0))</formula>
    </cfRule>
  </conditionalFormatting>
  <conditionalFormatting sqref="AW13">
    <cfRule type="expression" dxfId="3559" priority="3766">
      <formula>AW13="X"</formula>
    </cfRule>
    <cfRule type="expression" dxfId="3558" priority="3767">
      <formula>AW13="후보"</formula>
    </cfRule>
  </conditionalFormatting>
  <conditionalFormatting sqref="AA13">
    <cfRule type="colorScale" priority="37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3557" priority="3763" operator="greaterThan">
      <formula>0.9</formula>
    </cfRule>
    <cfRule type="cellIs" dxfId="3556" priority="3764" operator="greaterThan">
      <formula>0.85</formula>
    </cfRule>
  </conditionalFormatting>
  <conditionalFormatting sqref="N13">
    <cfRule type="cellIs" dxfId="3555" priority="3761" operator="greaterThan">
      <formula>0.9</formula>
    </cfRule>
    <cfRule type="cellIs" dxfId="3554" priority="3762" operator="greaterThan">
      <formula>0.85</formula>
    </cfRule>
  </conditionalFormatting>
  <conditionalFormatting sqref="E13">
    <cfRule type="expression" dxfId="3553" priority="3757">
      <formula>AND(IF(OR($Q13=1,$Q13=2),1,0),IF($E13&lt;=20,1,0))</formula>
    </cfRule>
    <cfRule type="expression" dxfId="3552" priority="3758">
      <formula>AND(IF($Q13=2,1,0),IF($E13&lt;30,1,0))</formula>
    </cfRule>
    <cfRule type="expression" dxfId="3551" priority="3759">
      <formula>AND(IF($Q13=3,1,0),IF($E13&lt;30,1,0))</formula>
    </cfRule>
    <cfRule type="expression" dxfId="3550" priority="3760">
      <formula>AND(IF($Q13=3,1,IF($Q13=4,1,0)),IF($F13&lt;=85,1,0))</formula>
    </cfRule>
  </conditionalFormatting>
  <conditionalFormatting sqref="Y13">
    <cfRule type="expression" dxfId="3549" priority="3753">
      <formula>AND(IF(OR($Q13=1,$Q13=2),1,0),IF($Y13&lt;=20,1,0))</formula>
    </cfRule>
    <cfRule type="expression" dxfId="3548" priority="3754">
      <formula>AND(IF($Q13=2,1,0),IF($Y13&lt;30,1,0))</formula>
    </cfRule>
    <cfRule type="expression" dxfId="3547" priority="3755">
      <formula>AND(IF($Q13=3,1,0),IF($Y13&lt;30,1,0))</formula>
    </cfRule>
    <cfRule type="expression" dxfId="3546" priority="3756">
      <formula>AND(IF($Q13=3,1,IF($Q13=4,1,0)),IF($F13&lt;=85,1,0))</formula>
    </cfRule>
  </conditionalFormatting>
  <conditionalFormatting sqref="AJ13">
    <cfRule type="expression" dxfId="3545" priority="3749">
      <formula>AND(IF(OR($Q13=1,$Q13=2),1,0),IF($Y13&lt;=20,1,0))</formula>
    </cfRule>
    <cfRule type="expression" dxfId="3544" priority="3750">
      <formula>AND(IF($Q13=2,1,0),IF($Y13&lt;30,1,0))</formula>
    </cfRule>
    <cfRule type="expression" dxfId="3543" priority="3751">
      <formula>AND(IF($Q13=3,1,0),IF($Y13&lt;30,1,0))</formula>
    </cfRule>
    <cfRule type="expression" dxfId="3542" priority="3752">
      <formula>AND(IF($Q13=3,1,IF($Q13=4,1,0)),IF($F13&lt;=85,1,0))</formula>
    </cfRule>
  </conditionalFormatting>
  <conditionalFormatting sqref="AW14">
    <cfRule type="expression" dxfId="3541" priority="3747">
      <formula>AW14="X"</formula>
    </cfRule>
    <cfRule type="expression" dxfId="3540" priority="3748">
      <formula>AW14="후보"</formula>
    </cfRule>
  </conditionalFormatting>
  <conditionalFormatting sqref="AA14">
    <cfRule type="colorScale" priority="37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 N14">
    <cfRule type="cellIs" dxfId="3539" priority="3744" operator="greaterThan">
      <formula>0.9</formula>
    </cfRule>
    <cfRule type="cellIs" dxfId="3538" priority="3745" operator="greaterThan">
      <formula>0.85</formula>
    </cfRule>
  </conditionalFormatting>
  <conditionalFormatting sqref="AW15">
    <cfRule type="expression" dxfId="3537" priority="3742">
      <formula>AW15="X"</formula>
    </cfRule>
    <cfRule type="expression" dxfId="3536" priority="3743">
      <formula>AW15="후보"</formula>
    </cfRule>
  </conditionalFormatting>
  <conditionalFormatting sqref="AA15">
    <cfRule type="colorScale" priority="3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3535" priority="3739" operator="greaterThan">
      <formula>0.9</formula>
    </cfRule>
    <cfRule type="cellIs" dxfId="3534" priority="3740" operator="greaterThan">
      <formula>0.85</formula>
    </cfRule>
  </conditionalFormatting>
  <conditionalFormatting sqref="N15">
    <cfRule type="cellIs" dxfId="3533" priority="3737" operator="greaterThan">
      <formula>0.9</formula>
    </cfRule>
    <cfRule type="cellIs" dxfId="3532" priority="3738" operator="greaterThan">
      <formula>0.85</formula>
    </cfRule>
  </conditionalFormatting>
  <conditionalFormatting sqref="E15">
    <cfRule type="expression" dxfId="3531" priority="3733">
      <formula>AND(IF(OR($Q15=1,$Q15=2),1,0),IF($E15&lt;=20,1,0))</formula>
    </cfRule>
    <cfRule type="expression" dxfId="3530" priority="3734">
      <formula>AND(IF($Q15=2,1,0),IF($E15&lt;30,1,0))</formula>
    </cfRule>
    <cfRule type="expression" dxfId="3529" priority="3735">
      <formula>AND(IF($Q15=3,1,0),IF($E15&lt;30,1,0))</formula>
    </cfRule>
    <cfRule type="expression" dxfId="3528" priority="3736">
      <formula>AND(IF($Q15=3,1,IF($Q15=4,1,0)),IF($F15&lt;=85,1,0))</formula>
    </cfRule>
  </conditionalFormatting>
  <conditionalFormatting sqref="Y15">
    <cfRule type="expression" dxfId="3527" priority="3729">
      <formula>AND(IF(OR($Q15=1,$Q15=2),1,0),IF($Y15&lt;=20,1,0))</formula>
    </cfRule>
    <cfRule type="expression" dxfId="3526" priority="3730">
      <formula>AND(IF($Q15=2,1,0),IF($Y15&lt;30,1,0))</formula>
    </cfRule>
    <cfRule type="expression" dxfId="3525" priority="3731">
      <formula>AND(IF($Q15=3,1,0),IF($Y15&lt;30,1,0))</formula>
    </cfRule>
    <cfRule type="expression" dxfId="3524" priority="3732">
      <formula>AND(IF($Q15=3,1,IF($Q15=4,1,0)),IF($F15&lt;=85,1,0))</formula>
    </cfRule>
  </conditionalFormatting>
  <conditionalFormatting sqref="AJ15">
    <cfRule type="expression" dxfId="3523" priority="3725">
      <formula>AND(IF(OR($Q15=1,$Q15=2),1,0),IF($Y15&lt;=20,1,0))</formula>
    </cfRule>
    <cfRule type="expression" dxfId="3522" priority="3726">
      <formula>AND(IF($Q15=2,1,0),IF($Y15&lt;30,1,0))</formula>
    </cfRule>
    <cfRule type="expression" dxfId="3521" priority="3727">
      <formula>AND(IF($Q15=3,1,0),IF($Y15&lt;30,1,0))</formula>
    </cfRule>
    <cfRule type="expression" dxfId="3520" priority="3728">
      <formula>AND(IF($Q15=3,1,IF($Q15=4,1,0)),IF($F15&lt;=85,1,0))</formula>
    </cfRule>
  </conditionalFormatting>
  <conditionalFormatting sqref="AW16">
    <cfRule type="expression" dxfId="3519" priority="3723">
      <formula>AW16="X"</formula>
    </cfRule>
    <cfRule type="expression" dxfId="3518" priority="3724">
      <formula>AW16="후보"</formula>
    </cfRule>
  </conditionalFormatting>
  <conditionalFormatting sqref="AA16">
    <cfRule type="colorScale" priority="37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3517" priority="3720" operator="greaterThan">
      <formula>0.9</formula>
    </cfRule>
    <cfRule type="cellIs" dxfId="3516" priority="3721" operator="greaterThan">
      <formula>0.85</formula>
    </cfRule>
  </conditionalFormatting>
  <conditionalFormatting sqref="N16">
    <cfRule type="cellIs" dxfId="3515" priority="3718" operator="greaterThan">
      <formula>0.9</formula>
    </cfRule>
    <cfRule type="cellIs" dxfId="3514" priority="3719" operator="greaterThan">
      <formula>0.85</formula>
    </cfRule>
  </conditionalFormatting>
  <conditionalFormatting sqref="E16">
    <cfRule type="expression" dxfId="3513" priority="3714">
      <formula>AND(IF(OR($Q16=1,$Q16=2),1,0),IF($E16&lt;=20,1,0))</formula>
    </cfRule>
    <cfRule type="expression" dxfId="3512" priority="3715">
      <formula>AND(IF($Q16=2,1,0),IF($E16&lt;30,1,0))</formula>
    </cfRule>
    <cfRule type="expression" dxfId="3511" priority="3716">
      <formula>AND(IF($Q16=3,1,0),IF($E16&lt;30,1,0))</formula>
    </cfRule>
    <cfRule type="expression" dxfId="3510" priority="3717">
      <formula>AND(IF($Q16=3,1,IF($Q16=4,1,0)),IF($F16&lt;=85,1,0))</formula>
    </cfRule>
  </conditionalFormatting>
  <conditionalFormatting sqref="Y16">
    <cfRule type="expression" dxfId="3509" priority="3710">
      <formula>AND(IF(OR($Q16=1,$Q16=2),1,0),IF($Y16&lt;=20,1,0))</formula>
    </cfRule>
    <cfRule type="expression" dxfId="3508" priority="3711">
      <formula>AND(IF($Q16=2,1,0),IF($Y16&lt;30,1,0))</formula>
    </cfRule>
    <cfRule type="expression" dxfId="3507" priority="3712">
      <formula>AND(IF($Q16=3,1,0),IF($Y16&lt;30,1,0))</formula>
    </cfRule>
    <cfRule type="expression" dxfId="3506" priority="3713">
      <formula>AND(IF($Q16=3,1,IF($Q16=4,1,0)),IF($F16&lt;=85,1,0))</formula>
    </cfRule>
  </conditionalFormatting>
  <conditionalFormatting sqref="AJ16">
    <cfRule type="expression" dxfId="3505" priority="3706">
      <formula>AND(IF(OR($Q16=1,$Q16=2),1,0),IF($Y16&lt;=20,1,0))</formula>
    </cfRule>
    <cfRule type="expression" dxfId="3504" priority="3707">
      <formula>AND(IF($Q16=2,1,0),IF($Y16&lt;30,1,0))</formula>
    </cfRule>
    <cfRule type="expression" dxfId="3503" priority="3708">
      <formula>AND(IF($Q16=3,1,0),IF($Y16&lt;30,1,0))</formula>
    </cfRule>
    <cfRule type="expression" dxfId="3502" priority="3709">
      <formula>AND(IF($Q16=3,1,IF($Q16=4,1,0)),IF($F16&lt;=85,1,0))</formula>
    </cfRule>
  </conditionalFormatting>
  <conditionalFormatting sqref="AW17">
    <cfRule type="expression" dxfId="3501" priority="3704">
      <formula>AW17="X"</formula>
    </cfRule>
    <cfRule type="expression" dxfId="3500" priority="3705">
      <formula>AW17="후보"</formula>
    </cfRule>
  </conditionalFormatting>
  <conditionalFormatting sqref="AA17">
    <cfRule type="colorScale" priority="37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3499" priority="3701" operator="greaterThan">
      <formula>0.9</formula>
    </cfRule>
    <cfRule type="cellIs" dxfId="3498" priority="3702" operator="greaterThan">
      <formula>0.85</formula>
    </cfRule>
  </conditionalFormatting>
  <conditionalFormatting sqref="N17">
    <cfRule type="cellIs" dxfId="3497" priority="3699" operator="greaterThan">
      <formula>0.9</formula>
    </cfRule>
    <cfRule type="cellIs" dxfId="3496" priority="3700" operator="greaterThan">
      <formula>0.85</formula>
    </cfRule>
  </conditionalFormatting>
  <conditionalFormatting sqref="E17">
    <cfRule type="expression" dxfId="3495" priority="3695">
      <formula>AND(IF(OR($Q17=1,$Q17=2),1,0),IF($E17&lt;=20,1,0))</formula>
    </cfRule>
    <cfRule type="expression" dxfId="3494" priority="3696">
      <formula>AND(IF($Q17=2,1,0),IF($E17&lt;30,1,0))</formula>
    </cfRule>
    <cfRule type="expression" dxfId="3493" priority="3697">
      <formula>AND(IF($Q17=3,1,0),IF($E17&lt;30,1,0))</formula>
    </cfRule>
    <cfRule type="expression" dxfId="3492" priority="3698">
      <formula>AND(IF($Q17=3,1,IF($Q17=4,1,0)),IF($F17&lt;=85,1,0))</formula>
    </cfRule>
  </conditionalFormatting>
  <conditionalFormatting sqref="Y17">
    <cfRule type="expression" dxfId="3491" priority="3691">
      <formula>AND(IF(OR($Q17=1,$Q17=2),1,0),IF($Y17&lt;=20,1,0))</formula>
    </cfRule>
    <cfRule type="expression" dxfId="3490" priority="3692">
      <formula>AND(IF($Q17=2,1,0),IF($Y17&lt;30,1,0))</formula>
    </cfRule>
    <cfRule type="expression" dxfId="3489" priority="3693">
      <formula>AND(IF($Q17=3,1,0),IF($Y17&lt;30,1,0))</formula>
    </cfRule>
    <cfRule type="expression" dxfId="3488" priority="3694">
      <formula>AND(IF($Q17=3,1,IF($Q17=4,1,0)),IF($F17&lt;=85,1,0))</formula>
    </cfRule>
  </conditionalFormatting>
  <conditionalFormatting sqref="AJ17">
    <cfRule type="expression" dxfId="3487" priority="3687">
      <formula>AND(IF(OR($Q17=1,$Q17=2),1,0),IF($Y17&lt;=20,1,0))</formula>
    </cfRule>
    <cfRule type="expression" dxfId="3486" priority="3688">
      <formula>AND(IF($Q17=2,1,0),IF($Y17&lt;30,1,0))</formula>
    </cfRule>
    <cfRule type="expression" dxfId="3485" priority="3689">
      <formula>AND(IF($Q17=3,1,0),IF($Y17&lt;30,1,0))</formula>
    </cfRule>
    <cfRule type="expression" dxfId="3484" priority="3690">
      <formula>AND(IF($Q17=3,1,IF($Q17=4,1,0)),IF($F17&lt;=85,1,0))</formula>
    </cfRule>
  </conditionalFormatting>
  <conditionalFormatting sqref="AW18">
    <cfRule type="expression" dxfId="3483" priority="3685">
      <formula>AW18="X"</formula>
    </cfRule>
    <cfRule type="expression" dxfId="3482" priority="3686">
      <formula>AW18="후보"</formula>
    </cfRule>
  </conditionalFormatting>
  <conditionalFormatting sqref="AA18">
    <cfRule type="colorScale" priority="36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3481" priority="3682" operator="greaterThan">
      <formula>0.9</formula>
    </cfRule>
    <cfRule type="cellIs" dxfId="3480" priority="3683" operator="greaterThan">
      <formula>0.85</formula>
    </cfRule>
  </conditionalFormatting>
  <conditionalFormatting sqref="N18">
    <cfRule type="cellIs" dxfId="3479" priority="3680" operator="greaterThan">
      <formula>0.9</formula>
    </cfRule>
    <cfRule type="cellIs" dxfId="3478" priority="3681" operator="greaterThan">
      <formula>0.85</formula>
    </cfRule>
  </conditionalFormatting>
  <conditionalFormatting sqref="E18">
    <cfRule type="expression" dxfId="3477" priority="3676">
      <formula>AND(IF(OR($Q18=1,$Q18=2),1,0),IF($E18&lt;=20,1,0))</formula>
    </cfRule>
    <cfRule type="expression" dxfId="3476" priority="3677">
      <formula>AND(IF($Q18=2,1,0),IF($E18&lt;30,1,0))</formula>
    </cfRule>
    <cfRule type="expression" dxfId="3475" priority="3678">
      <formula>AND(IF($Q18=3,1,0),IF($E18&lt;30,1,0))</formula>
    </cfRule>
    <cfRule type="expression" dxfId="3474" priority="3679">
      <formula>AND(IF($Q18=3,1,IF($Q18=4,1,0)),IF($F18&lt;=85,1,0))</formula>
    </cfRule>
  </conditionalFormatting>
  <conditionalFormatting sqref="Y18">
    <cfRule type="expression" dxfId="3473" priority="3672">
      <formula>AND(IF(OR($Q18=1,$Q18=2),1,0),IF($Y18&lt;=20,1,0))</formula>
    </cfRule>
    <cfRule type="expression" dxfId="3472" priority="3673">
      <formula>AND(IF($Q18=2,1,0),IF($Y18&lt;30,1,0))</formula>
    </cfRule>
    <cfRule type="expression" dxfId="3471" priority="3674">
      <formula>AND(IF($Q18=3,1,0),IF($Y18&lt;30,1,0))</formula>
    </cfRule>
    <cfRule type="expression" dxfId="3470" priority="3675">
      <formula>AND(IF($Q18=3,1,IF($Q18=4,1,0)),IF($F18&lt;=85,1,0))</formula>
    </cfRule>
  </conditionalFormatting>
  <conditionalFormatting sqref="AJ18">
    <cfRule type="expression" dxfId="3469" priority="3668">
      <formula>AND(IF(OR($Q18=1,$Q18=2),1,0),IF($Y18&lt;=20,1,0))</formula>
    </cfRule>
    <cfRule type="expression" dxfId="3468" priority="3669">
      <formula>AND(IF($Q18=2,1,0),IF($Y18&lt;30,1,0))</formula>
    </cfRule>
    <cfRule type="expression" dxfId="3467" priority="3670">
      <formula>AND(IF($Q18=3,1,0),IF($Y18&lt;30,1,0))</formula>
    </cfRule>
    <cfRule type="expression" dxfId="3466" priority="3671">
      <formula>AND(IF($Q18=3,1,IF($Q18=4,1,0)),IF($F18&lt;=85,1,0))</formula>
    </cfRule>
  </conditionalFormatting>
  <conditionalFormatting sqref="AW19">
    <cfRule type="expression" dxfId="3465" priority="3666">
      <formula>AW19="X"</formula>
    </cfRule>
    <cfRule type="expression" dxfId="3464" priority="3667">
      <formula>AW19="후보"</formula>
    </cfRule>
  </conditionalFormatting>
  <conditionalFormatting sqref="AA19">
    <cfRule type="colorScale" priority="36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 N19">
    <cfRule type="cellIs" dxfId="3463" priority="3663" operator="greaterThan">
      <formula>0.9</formula>
    </cfRule>
    <cfRule type="cellIs" dxfId="3462" priority="3664" operator="greaterThan">
      <formula>0.85</formula>
    </cfRule>
  </conditionalFormatting>
  <conditionalFormatting sqref="AW20">
    <cfRule type="expression" dxfId="3461" priority="3661">
      <formula>AW20="X"</formula>
    </cfRule>
    <cfRule type="expression" dxfId="3460" priority="3662">
      <formula>AW20="후보"</formula>
    </cfRule>
  </conditionalFormatting>
  <conditionalFormatting sqref="AA20">
    <cfRule type="colorScale" priority="3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">
    <cfRule type="cellIs" dxfId="3459" priority="3658" operator="greaterThan">
      <formula>0.9</formula>
    </cfRule>
    <cfRule type="cellIs" dxfId="3458" priority="3659" operator="greaterThan">
      <formula>0.85</formula>
    </cfRule>
  </conditionalFormatting>
  <conditionalFormatting sqref="N20">
    <cfRule type="cellIs" dxfId="3457" priority="3656" operator="greaterThan">
      <formula>0.9</formula>
    </cfRule>
    <cfRule type="cellIs" dxfId="3456" priority="3657" operator="greaterThan">
      <formula>0.85</formula>
    </cfRule>
  </conditionalFormatting>
  <conditionalFormatting sqref="E20">
    <cfRule type="expression" dxfId="3455" priority="3652">
      <formula>AND(IF(OR($Q20=1,$Q20=2),1,0),IF($E20&lt;=20,1,0))</formula>
    </cfRule>
    <cfRule type="expression" dxfId="3454" priority="3653">
      <formula>AND(IF($Q20=2,1,0),IF($E20&lt;30,1,0))</formula>
    </cfRule>
    <cfRule type="expression" dxfId="3453" priority="3654">
      <formula>AND(IF($Q20=3,1,0),IF($E20&lt;30,1,0))</formula>
    </cfRule>
    <cfRule type="expression" dxfId="3452" priority="3655">
      <formula>AND(IF($Q20=3,1,IF($Q20=4,1,0)),IF($F20&lt;=85,1,0))</formula>
    </cfRule>
  </conditionalFormatting>
  <conditionalFormatting sqref="Y20">
    <cfRule type="expression" dxfId="3451" priority="3648">
      <formula>AND(IF(OR($Q20=1,$Q20=2),1,0),IF($Y20&lt;=20,1,0))</formula>
    </cfRule>
    <cfRule type="expression" dxfId="3450" priority="3649">
      <formula>AND(IF($Q20=2,1,0),IF($Y20&lt;30,1,0))</formula>
    </cfRule>
    <cfRule type="expression" dxfId="3449" priority="3650">
      <formula>AND(IF($Q20=3,1,0),IF($Y20&lt;30,1,0))</formula>
    </cfRule>
    <cfRule type="expression" dxfId="3448" priority="3651">
      <formula>AND(IF($Q20=3,1,IF($Q20=4,1,0)),IF($F20&lt;=85,1,0))</formula>
    </cfRule>
  </conditionalFormatting>
  <conditionalFormatting sqref="AJ20">
    <cfRule type="expression" dxfId="3447" priority="3644">
      <formula>AND(IF(OR($Q20=1,$Q20=2),1,0),IF($Y20&lt;=20,1,0))</formula>
    </cfRule>
    <cfRule type="expression" dxfId="3446" priority="3645">
      <formula>AND(IF($Q20=2,1,0),IF($Y20&lt;30,1,0))</formula>
    </cfRule>
    <cfRule type="expression" dxfId="3445" priority="3646">
      <formula>AND(IF($Q20=3,1,0),IF($Y20&lt;30,1,0))</formula>
    </cfRule>
    <cfRule type="expression" dxfId="3444" priority="3647">
      <formula>AND(IF($Q20=3,1,IF($Q20=4,1,0)),IF($F20&lt;=85,1,0))</formula>
    </cfRule>
  </conditionalFormatting>
  <conditionalFormatting sqref="AW21">
    <cfRule type="expression" dxfId="3443" priority="3642">
      <formula>AW21="X"</formula>
    </cfRule>
    <cfRule type="expression" dxfId="3442" priority="3643">
      <formula>AW21="후보"</formula>
    </cfRule>
  </conditionalFormatting>
  <conditionalFormatting sqref="AA21">
    <cfRule type="colorScale" priority="36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3441" priority="3639" operator="greaterThan">
      <formula>0.9</formula>
    </cfRule>
    <cfRule type="cellIs" dxfId="3440" priority="3640" operator="greaterThan">
      <formula>0.85</formula>
    </cfRule>
  </conditionalFormatting>
  <conditionalFormatting sqref="N21">
    <cfRule type="cellIs" dxfId="3439" priority="3637" operator="greaterThan">
      <formula>0.9</formula>
    </cfRule>
    <cfRule type="cellIs" dxfId="3438" priority="3638" operator="greaterThan">
      <formula>0.85</formula>
    </cfRule>
  </conditionalFormatting>
  <conditionalFormatting sqref="E21">
    <cfRule type="expression" dxfId="3437" priority="3633">
      <formula>AND(IF(OR($Q21=1,$Q21=2),1,0),IF($E21&lt;=20,1,0))</formula>
    </cfRule>
    <cfRule type="expression" dxfId="3436" priority="3634">
      <formula>AND(IF($Q21=2,1,0),IF($E21&lt;30,1,0))</formula>
    </cfRule>
    <cfRule type="expression" dxfId="3435" priority="3635">
      <formula>AND(IF($Q21=3,1,0),IF($E21&lt;30,1,0))</formula>
    </cfRule>
    <cfRule type="expression" dxfId="3434" priority="3636">
      <formula>AND(IF($Q21=3,1,IF($Q21=4,1,0)),IF($F21&lt;=85,1,0))</formula>
    </cfRule>
  </conditionalFormatting>
  <conditionalFormatting sqref="Y21">
    <cfRule type="expression" dxfId="3433" priority="3629">
      <formula>AND(IF(OR($Q21=1,$Q21=2),1,0),IF($Y21&lt;=20,1,0))</formula>
    </cfRule>
    <cfRule type="expression" dxfId="3432" priority="3630">
      <formula>AND(IF($Q21=2,1,0),IF($Y21&lt;30,1,0))</formula>
    </cfRule>
    <cfRule type="expression" dxfId="3431" priority="3631">
      <formula>AND(IF($Q21=3,1,0),IF($Y21&lt;30,1,0))</formula>
    </cfRule>
    <cfRule type="expression" dxfId="3430" priority="3632">
      <formula>AND(IF($Q21=3,1,IF($Q21=4,1,0)),IF($F21&lt;=85,1,0))</formula>
    </cfRule>
  </conditionalFormatting>
  <conditionalFormatting sqref="AJ21">
    <cfRule type="expression" dxfId="3429" priority="3625">
      <formula>AND(IF(OR($Q21=1,$Q21=2),1,0),IF($Y21&lt;=20,1,0))</formula>
    </cfRule>
    <cfRule type="expression" dxfId="3428" priority="3626">
      <formula>AND(IF($Q21=2,1,0),IF($Y21&lt;30,1,0))</formula>
    </cfRule>
    <cfRule type="expression" dxfId="3427" priority="3627">
      <formula>AND(IF($Q21=3,1,0),IF($Y21&lt;30,1,0))</formula>
    </cfRule>
    <cfRule type="expression" dxfId="3426" priority="3628">
      <formula>AND(IF($Q21=3,1,IF($Q21=4,1,0)),IF($F21&lt;=85,1,0))</formula>
    </cfRule>
  </conditionalFormatting>
  <conditionalFormatting sqref="AW22">
    <cfRule type="expression" dxfId="3425" priority="3623">
      <formula>AW22="X"</formula>
    </cfRule>
    <cfRule type="expression" dxfId="3424" priority="3624">
      <formula>AW22="후보"</formula>
    </cfRule>
  </conditionalFormatting>
  <conditionalFormatting sqref="AA22">
    <cfRule type="colorScale" priority="36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">
    <cfRule type="cellIs" dxfId="3423" priority="3620" operator="greaterThan">
      <formula>0.9</formula>
    </cfRule>
    <cfRule type="cellIs" dxfId="3422" priority="3621" operator="greaterThan">
      <formula>0.85</formula>
    </cfRule>
  </conditionalFormatting>
  <conditionalFormatting sqref="N22">
    <cfRule type="cellIs" dxfId="3421" priority="3618" operator="greaterThan">
      <formula>0.9</formula>
    </cfRule>
    <cfRule type="cellIs" dxfId="3420" priority="3619" operator="greaterThan">
      <formula>0.85</formula>
    </cfRule>
  </conditionalFormatting>
  <conditionalFormatting sqref="E22">
    <cfRule type="expression" dxfId="3419" priority="3614">
      <formula>AND(IF(OR($Q22=1,$Q22=2),1,0),IF($E22&lt;=20,1,0))</formula>
    </cfRule>
    <cfRule type="expression" dxfId="3418" priority="3615">
      <formula>AND(IF($Q22=2,1,0),IF($E22&lt;30,1,0))</formula>
    </cfRule>
    <cfRule type="expression" dxfId="3417" priority="3616">
      <formula>AND(IF($Q22=3,1,0),IF($E22&lt;30,1,0))</formula>
    </cfRule>
    <cfRule type="expression" dxfId="3416" priority="3617">
      <formula>AND(IF($Q22=3,1,IF($Q22=4,1,0)),IF($F22&lt;=85,1,0))</formula>
    </cfRule>
  </conditionalFormatting>
  <conditionalFormatting sqref="Y22">
    <cfRule type="expression" dxfId="3415" priority="3610">
      <formula>AND(IF(OR($Q22=1,$Q22=2),1,0),IF($Y22&lt;=20,1,0))</formula>
    </cfRule>
    <cfRule type="expression" dxfId="3414" priority="3611">
      <formula>AND(IF($Q22=2,1,0),IF($Y22&lt;30,1,0))</formula>
    </cfRule>
    <cfRule type="expression" dxfId="3413" priority="3612">
      <formula>AND(IF($Q22=3,1,0),IF($Y22&lt;30,1,0))</formula>
    </cfRule>
    <cfRule type="expression" dxfId="3412" priority="3613">
      <formula>AND(IF($Q22=3,1,IF($Q22=4,1,0)),IF($F22&lt;=85,1,0))</formula>
    </cfRule>
  </conditionalFormatting>
  <conditionalFormatting sqref="AJ22">
    <cfRule type="expression" dxfId="3411" priority="3606">
      <formula>AND(IF(OR($Q22=1,$Q22=2),1,0),IF($Y22&lt;=20,1,0))</formula>
    </cfRule>
    <cfRule type="expression" dxfId="3410" priority="3607">
      <formula>AND(IF($Q22=2,1,0),IF($Y22&lt;30,1,0))</formula>
    </cfRule>
    <cfRule type="expression" dxfId="3409" priority="3608">
      <formula>AND(IF($Q22=3,1,0),IF($Y22&lt;30,1,0))</formula>
    </cfRule>
    <cfRule type="expression" dxfId="3408" priority="3609">
      <formula>AND(IF($Q22=3,1,IF($Q22=4,1,0)),IF($F22&lt;=85,1,0))</formula>
    </cfRule>
  </conditionalFormatting>
  <conditionalFormatting sqref="AW23">
    <cfRule type="expression" dxfId="3407" priority="3604">
      <formula>AW23="X"</formula>
    </cfRule>
    <cfRule type="expression" dxfId="3406" priority="3605">
      <formula>AW23="후보"</formula>
    </cfRule>
  </conditionalFormatting>
  <conditionalFormatting sqref="AA23">
    <cfRule type="colorScale" priority="36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 N23">
    <cfRule type="cellIs" dxfId="3405" priority="3601" operator="greaterThan">
      <formula>0.9</formula>
    </cfRule>
    <cfRule type="cellIs" dxfId="3404" priority="3602" operator="greaterThan">
      <formula>0.85</formula>
    </cfRule>
  </conditionalFormatting>
  <conditionalFormatting sqref="AW24">
    <cfRule type="expression" dxfId="3403" priority="3599">
      <formula>AW24="X"</formula>
    </cfRule>
    <cfRule type="expression" dxfId="3402" priority="3600">
      <formula>AW24="후보"</formula>
    </cfRule>
  </conditionalFormatting>
  <conditionalFormatting sqref="AA24">
    <cfRule type="colorScale" priority="3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3401" priority="3596" operator="greaterThan">
      <formula>0.9</formula>
    </cfRule>
    <cfRule type="cellIs" dxfId="3400" priority="3597" operator="greaterThan">
      <formula>0.85</formula>
    </cfRule>
  </conditionalFormatting>
  <conditionalFormatting sqref="N24">
    <cfRule type="cellIs" dxfId="3399" priority="3594" operator="greaterThan">
      <formula>0.9</formula>
    </cfRule>
    <cfRule type="cellIs" dxfId="3398" priority="3595" operator="greaterThan">
      <formula>0.85</formula>
    </cfRule>
  </conditionalFormatting>
  <conditionalFormatting sqref="E24">
    <cfRule type="expression" dxfId="3397" priority="3590">
      <formula>AND(IF(OR($Q24=1,$Q24=2),1,0),IF($E24&lt;=20,1,0))</formula>
    </cfRule>
    <cfRule type="expression" dxfId="3396" priority="3591">
      <formula>AND(IF($Q24=2,1,0),IF($E24&lt;30,1,0))</formula>
    </cfRule>
    <cfRule type="expression" dxfId="3395" priority="3592">
      <formula>AND(IF($Q24=3,1,0),IF($E24&lt;30,1,0))</formula>
    </cfRule>
    <cfRule type="expression" dxfId="3394" priority="3593">
      <formula>AND(IF($Q24=3,1,IF($Q24=4,1,0)),IF($F24&lt;=85,1,0))</formula>
    </cfRule>
  </conditionalFormatting>
  <conditionalFormatting sqref="Y24">
    <cfRule type="expression" dxfId="3393" priority="3586">
      <formula>AND(IF(OR($Q24=1,$Q24=2),1,0),IF($Y24&lt;=20,1,0))</formula>
    </cfRule>
    <cfRule type="expression" dxfId="3392" priority="3587">
      <formula>AND(IF($Q24=2,1,0),IF($Y24&lt;30,1,0))</formula>
    </cfRule>
    <cfRule type="expression" dxfId="3391" priority="3588">
      <formula>AND(IF($Q24=3,1,0),IF($Y24&lt;30,1,0))</formula>
    </cfRule>
    <cfRule type="expression" dxfId="3390" priority="3589">
      <formula>AND(IF($Q24=3,1,IF($Q24=4,1,0)),IF($F24&lt;=85,1,0))</formula>
    </cfRule>
  </conditionalFormatting>
  <conditionalFormatting sqref="AJ24">
    <cfRule type="expression" dxfId="3389" priority="3582">
      <formula>AND(IF(OR($Q24=1,$Q24=2),1,0),IF($Y24&lt;=20,1,0))</formula>
    </cfRule>
    <cfRule type="expression" dxfId="3388" priority="3583">
      <formula>AND(IF($Q24=2,1,0),IF($Y24&lt;30,1,0))</formula>
    </cfRule>
    <cfRule type="expression" dxfId="3387" priority="3584">
      <formula>AND(IF($Q24=3,1,0),IF($Y24&lt;30,1,0))</formula>
    </cfRule>
    <cfRule type="expression" dxfId="3386" priority="3585">
      <formula>AND(IF($Q24=3,1,IF($Q24=4,1,0)),IF($F24&lt;=85,1,0))</formula>
    </cfRule>
  </conditionalFormatting>
  <conditionalFormatting sqref="AW25">
    <cfRule type="expression" dxfId="3385" priority="3580">
      <formula>AW25="X"</formula>
    </cfRule>
    <cfRule type="expression" dxfId="3384" priority="3581">
      <formula>AW25="후보"</formula>
    </cfRule>
  </conditionalFormatting>
  <conditionalFormatting sqref="AA25">
    <cfRule type="colorScale" priority="3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3383" priority="3577" operator="greaterThan">
      <formula>0.9</formula>
    </cfRule>
    <cfRule type="cellIs" dxfId="3382" priority="3578" operator="greaterThan">
      <formula>0.85</formula>
    </cfRule>
  </conditionalFormatting>
  <conditionalFormatting sqref="N25">
    <cfRule type="cellIs" dxfId="3381" priority="3575" operator="greaterThan">
      <formula>0.9</formula>
    </cfRule>
    <cfRule type="cellIs" dxfId="3380" priority="3576" operator="greaterThan">
      <formula>0.85</formula>
    </cfRule>
  </conditionalFormatting>
  <conditionalFormatting sqref="E25">
    <cfRule type="expression" dxfId="3379" priority="3571">
      <formula>AND(IF(OR($Q25=1,$Q25=2),1,0),IF($E25&lt;=20,1,0))</formula>
    </cfRule>
    <cfRule type="expression" dxfId="3378" priority="3572">
      <formula>AND(IF($Q25=2,1,0),IF($E25&lt;30,1,0))</formula>
    </cfRule>
    <cfRule type="expression" dxfId="3377" priority="3573">
      <formula>AND(IF($Q25=3,1,0),IF($E25&lt;30,1,0))</formula>
    </cfRule>
    <cfRule type="expression" dxfId="3376" priority="3574">
      <formula>AND(IF($Q25=3,1,IF($Q25=4,1,0)),IF($F25&lt;=85,1,0))</formula>
    </cfRule>
  </conditionalFormatting>
  <conditionalFormatting sqref="Y25">
    <cfRule type="expression" dxfId="3375" priority="3567">
      <formula>AND(IF(OR($Q25=1,$Q25=2),1,0),IF($Y25&lt;=20,1,0))</formula>
    </cfRule>
    <cfRule type="expression" dxfId="3374" priority="3568">
      <formula>AND(IF($Q25=2,1,0),IF($Y25&lt;30,1,0))</formula>
    </cfRule>
    <cfRule type="expression" dxfId="3373" priority="3569">
      <formula>AND(IF($Q25=3,1,0),IF($Y25&lt;30,1,0))</formula>
    </cfRule>
    <cfRule type="expression" dxfId="3372" priority="3570">
      <formula>AND(IF($Q25=3,1,IF($Q25=4,1,0)),IF($F25&lt;=85,1,0))</formula>
    </cfRule>
  </conditionalFormatting>
  <conditionalFormatting sqref="AJ25">
    <cfRule type="expression" dxfId="3371" priority="3563">
      <formula>AND(IF(OR($Q25=1,$Q25=2),1,0),IF($Y25&lt;=20,1,0))</formula>
    </cfRule>
    <cfRule type="expression" dxfId="3370" priority="3564">
      <formula>AND(IF($Q25=2,1,0),IF($Y25&lt;30,1,0))</formula>
    </cfRule>
    <cfRule type="expression" dxfId="3369" priority="3565">
      <formula>AND(IF($Q25=3,1,0),IF($Y25&lt;30,1,0))</formula>
    </cfRule>
    <cfRule type="expression" dxfId="3368" priority="3566">
      <formula>AND(IF($Q25=3,1,IF($Q25=4,1,0)),IF($F25&lt;=85,1,0))</formula>
    </cfRule>
  </conditionalFormatting>
  <conditionalFormatting sqref="AW26">
    <cfRule type="expression" dxfId="3367" priority="3561">
      <formula>AW26="X"</formula>
    </cfRule>
    <cfRule type="expression" dxfId="3366" priority="3562">
      <formula>AW26="후보"</formula>
    </cfRule>
  </conditionalFormatting>
  <conditionalFormatting sqref="AA26">
    <cfRule type="colorScale" priority="3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3365" priority="3558" operator="greaterThan">
      <formula>0.9</formula>
    </cfRule>
    <cfRule type="cellIs" dxfId="3364" priority="3559" operator="greaterThan">
      <formula>0.85</formula>
    </cfRule>
  </conditionalFormatting>
  <conditionalFormatting sqref="N26">
    <cfRule type="cellIs" dxfId="3363" priority="3556" operator="greaterThan">
      <formula>0.9</formula>
    </cfRule>
    <cfRule type="cellIs" dxfId="3362" priority="3557" operator="greaterThan">
      <formula>0.85</formula>
    </cfRule>
  </conditionalFormatting>
  <conditionalFormatting sqref="E26">
    <cfRule type="expression" dxfId="3361" priority="3552">
      <formula>AND(IF(OR($Q26=1,$Q26=2),1,0),IF($E26&lt;=20,1,0))</formula>
    </cfRule>
    <cfRule type="expression" dxfId="3360" priority="3553">
      <formula>AND(IF($Q26=2,1,0),IF($E26&lt;30,1,0))</formula>
    </cfRule>
    <cfRule type="expression" dxfId="3359" priority="3554">
      <formula>AND(IF($Q26=3,1,0),IF($E26&lt;30,1,0))</formula>
    </cfRule>
    <cfRule type="expression" dxfId="3358" priority="3555">
      <formula>AND(IF($Q26=3,1,IF($Q26=4,1,0)),IF($F26&lt;=85,1,0))</formula>
    </cfRule>
  </conditionalFormatting>
  <conditionalFormatting sqref="Y26">
    <cfRule type="expression" dxfId="3357" priority="3548">
      <formula>AND(IF(OR($Q26=1,$Q26=2),1,0),IF($Y26&lt;=20,1,0))</formula>
    </cfRule>
    <cfRule type="expression" dxfId="3356" priority="3549">
      <formula>AND(IF($Q26=2,1,0),IF($Y26&lt;30,1,0))</formula>
    </cfRule>
    <cfRule type="expression" dxfId="3355" priority="3550">
      <formula>AND(IF($Q26=3,1,0),IF($Y26&lt;30,1,0))</formula>
    </cfRule>
    <cfRule type="expression" dxfId="3354" priority="3551">
      <formula>AND(IF($Q26=3,1,IF($Q26=4,1,0)),IF($F26&lt;=85,1,0))</formula>
    </cfRule>
  </conditionalFormatting>
  <conditionalFormatting sqref="AJ26">
    <cfRule type="expression" dxfId="3353" priority="3544">
      <formula>AND(IF(OR($Q26=1,$Q26=2),1,0),IF($Y26&lt;=20,1,0))</formula>
    </cfRule>
    <cfRule type="expression" dxfId="3352" priority="3545">
      <formula>AND(IF($Q26=2,1,0),IF($Y26&lt;30,1,0))</formula>
    </cfRule>
    <cfRule type="expression" dxfId="3351" priority="3546">
      <formula>AND(IF($Q26=3,1,0),IF($Y26&lt;30,1,0))</formula>
    </cfRule>
    <cfRule type="expression" dxfId="3350" priority="3547">
      <formula>AND(IF($Q26=3,1,IF($Q26=4,1,0)),IF($F26&lt;=85,1,0))</formula>
    </cfRule>
  </conditionalFormatting>
  <conditionalFormatting sqref="AW27">
    <cfRule type="expression" dxfId="3349" priority="3542">
      <formula>AW27="X"</formula>
    </cfRule>
    <cfRule type="expression" dxfId="3348" priority="3543">
      <formula>AW27="후보"</formula>
    </cfRule>
  </conditionalFormatting>
  <conditionalFormatting sqref="AA27">
    <cfRule type="colorScale" priority="3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 N27">
    <cfRule type="cellIs" dxfId="3347" priority="3539" operator="greaterThan">
      <formula>0.9</formula>
    </cfRule>
    <cfRule type="cellIs" dxfId="3346" priority="3540" operator="greaterThan">
      <formula>0.85</formula>
    </cfRule>
  </conditionalFormatting>
  <conditionalFormatting sqref="AW28">
    <cfRule type="expression" dxfId="3345" priority="3537">
      <formula>AW28="X"</formula>
    </cfRule>
    <cfRule type="expression" dxfId="3344" priority="3538">
      <formula>AW28="후보"</formula>
    </cfRule>
  </conditionalFormatting>
  <conditionalFormatting sqref="AA28">
    <cfRule type="colorScale" priority="3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3343" priority="3534" operator="greaterThan">
      <formula>0.9</formula>
    </cfRule>
    <cfRule type="cellIs" dxfId="3342" priority="3535" operator="greaterThan">
      <formula>0.85</formula>
    </cfRule>
  </conditionalFormatting>
  <conditionalFormatting sqref="N28">
    <cfRule type="cellIs" dxfId="3341" priority="3532" operator="greaterThan">
      <formula>0.9</formula>
    </cfRule>
    <cfRule type="cellIs" dxfId="3340" priority="3533" operator="greaterThan">
      <formula>0.85</formula>
    </cfRule>
  </conditionalFormatting>
  <conditionalFormatting sqref="E28">
    <cfRule type="expression" dxfId="3339" priority="3528">
      <formula>AND(IF(OR($Q28=1,$Q28=2),1,0),IF($E28&lt;=20,1,0))</formula>
    </cfRule>
    <cfRule type="expression" dxfId="3338" priority="3529">
      <formula>AND(IF($Q28=2,1,0),IF($E28&lt;30,1,0))</formula>
    </cfRule>
    <cfRule type="expression" dxfId="3337" priority="3530">
      <formula>AND(IF($Q28=3,1,0),IF($E28&lt;30,1,0))</formula>
    </cfRule>
    <cfRule type="expression" dxfId="3336" priority="3531">
      <formula>AND(IF($Q28=3,1,IF($Q28=4,1,0)),IF($F28&lt;=85,1,0))</formula>
    </cfRule>
  </conditionalFormatting>
  <conditionalFormatting sqref="Y28">
    <cfRule type="expression" dxfId="3335" priority="3524">
      <formula>AND(IF(OR($Q28=1,$Q28=2),1,0),IF($Y28&lt;=20,1,0))</formula>
    </cfRule>
    <cfRule type="expression" dxfId="3334" priority="3525">
      <formula>AND(IF($Q28=2,1,0),IF($Y28&lt;30,1,0))</formula>
    </cfRule>
    <cfRule type="expression" dxfId="3333" priority="3526">
      <formula>AND(IF($Q28=3,1,0),IF($Y28&lt;30,1,0))</formula>
    </cfRule>
    <cfRule type="expression" dxfId="3332" priority="3527">
      <formula>AND(IF($Q28=3,1,IF($Q28=4,1,0)),IF($F28&lt;=85,1,0))</formula>
    </cfRule>
  </conditionalFormatting>
  <conditionalFormatting sqref="AJ28">
    <cfRule type="expression" dxfId="3331" priority="3520">
      <formula>AND(IF(OR($Q28=1,$Q28=2),1,0),IF($Y28&lt;=20,1,0))</formula>
    </cfRule>
    <cfRule type="expression" dxfId="3330" priority="3521">
      <formula>AND(IF($Q28=2,1,0),IF($Y28&lt;30,1,0))</formula>
    </cfRule>
    <cfRule type="expression" dxfId="3329" priority="3522">
      <formula>AND(IF($Q28=3,1,0),IF($Y28&lt;30,1,0))</formula>
    </cfRule>
    <cfRule type="expression" dxfId="3328" priority="3523">
      <formula>AND(IF($Q28=3,1,IF($Q28=4,1,0)),IF($F28&lt;=85,1,0))</formula>
    </cfRule>
  </conditionalFormatting>
  <conditionalFormatting sqref="AW29">
    <cfRule type="expression" dxfId="3327" priority="3518">
      <formula>AW29="X"</formula>
    </cfRule>
    <cfRule type="expression" dxfId="3326" priority="3519">
      <formula>AW29="후보"</formula>
    </cfRule>
  </conditionalFormatting>
  <conditionalFormatting sqref="AA29">
    <cfRule type="colorScale" priority="3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">
    <cfRule type="cellIs" dxfId="3325" priority="3515" operator="greaterThan">
      <formula>0.9</formula>
    </cfRule>
    <cfRule type="cellIs" dxfId="3324" priority="3516" operator="greaterThan">
      <formula>0.85</formula>
    </cfRule>
  </conditionalFormatting>
  <conditionalFormatting sqref="N29">
    <cfRule type="cellIs" dxfId="3323" priority="3513" operator="greaterThan">
      <formula>0.9</formula>
    </cfRule>
    <cfRule type="cellIs" dxfId="3322" priority="3514" operator="greaterThan">
      <formula>0.85</formula>
    </cfRule>
  </conditionalFormatting>
  <conditionalFormatting sqref="E29">
    <cfRule type="expression" dxfId="3321" priority="3509">
      <formula>AND(IF(OR($Q29=1,$Q29=2),1,0),IF($E29&lt;=20,1,0))</formula>
    </cfRule>
    <cfRule type="expression" dxfId="3320" priority="3510">
      <formula>AND(IF($Q29=2,1,0),IF($E29&lt;30,1,0))</formula>
    </cfRule>
    <cfRule type="expression" dxfId="3319" priority="3511">
      <formula>AND(IF($Q29=3,1,0),IF($E29&lt;30,1,0))</formula>
    </cfRule>
    <cfRule type="expression" dxfId="3318" priority="3512">
      <formula>AND(IF($Q29=3,1,IF($Q29=4,1,0)),IF($F29&lt;=85,1,0))</formula>
    </cfRule>
  </conditionalFormatting>
  <conditionalFormatting sqref="Y29">
    <cfRule type="expression" dxfId="3317" priority="3505">
      <formula>AND(IF(OR($Q29=1,$Q29=2),1,0),IF($Y29&lt;=20,1,0))</formula>
    </cfRule>
    <cfRule type="expression" dxfId="3316" priority="3506">
      <formula>AND(IF($Q29=2,1,0),IF($Y29&lt;30,1,0))</formula>
    </cfRule>
    <cfRule type="expression" dxfId="3315" priority="3507">
      <formula>AND(IF($Q29=3,1,0),IF($Y29&lt;30,1,0))</formula>
    </cfRule>
    <cfRule type="expression" dxfId="3314" priority="3508">
      <formula>AND(IF($Q29=3,1,IF($Q29=4,1,0)),IF($F29&lt;=85,1,0))</formula>
    </cfRule>
  </conditionalFormatting>
  <conditionalFormatting sqref="AJ29">
    <cfRule type="expression" dxfId="3313" priority="3501">
      <formula>AND(IF(OR($Q29=1,$Q29=2),1,0),IF($Y29&lt;=20,1,0))</formula>
    </cfRule>
    <cfRule type="expression" dxfId="3312" priority="3502">
      <formula>AND(IF($Q29=2,1,0),IF($Y29&lt;30,1,0))</formula>
    </cfRule>
    <cfRule type="expression" dxfId="3311" priority="3503">
      <formula>AND(IF($Q29=3,1,0),IF($Y29&lt;30,1,0))</formula>
    </cfRule>
    <cfRule type="expression" dxfId="3310" priority="3504">
      <formula>AND(IF($Q29=3,1,IF($Q29=4,1,0)),IF($F29&lt;=85,1,0))</formula>
    </cfRule>
  </conditionalFormatting>
  <conditionalFormatting sqref="AW30">
    <cfRule type="expression" dxfId="3309" priority="3499">
      <formula>AW30="X"</formula>
    </cfRule>
    <cfRule type="expression" dxfId="3308" priority="3500">
      <formula>AW30="후보"</formula>
    </cfRule>
  </conditionalFormatting>
  <conditionalFormatting sqref="AA30">
    <cfRule type="colorScale" priority="3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3307" priority="3496" operator="greaterThan">
      <formula>0.9</formula>
    </cfRule>
    <cfRule type="cellIs" dxfId="3306" priority="3497" operator="greaterThan">
      <formula>0.85</formula>
    </cfRule>
  </conditionalFormatting>
  <conditionalFormatting sqref="N30">
    <cfRule type="cellIs" dxfId="3305" priority="3494" operator="greaterThan">
      <formula>0.9</formula>
    </cfRule>
    <cfRule type="cellIs" dxfId="3304" priority="3495" operator="greaterThan">
      <formula>0.85</formula>
    </cfRule>
  </conditionalFormatting>
  <conditionalFormatting sqref="E30">
    <cfRule type="expression" dxfId="3303" priority="3490">
      <formula>AND(IF(OR($Q30=1,$Q30=2),1,0),IF($E30&lt;=20,1,0))</formula>
    </cfRule>
    <cfRule type="expression" dxfId="3302" priority="3491">
      <formula>AND(IF($Q30=2,1,0),IF($E30&lt;30,1,0))</formula>
    </cfRule>
    <cfRule type="expression" dxfId="3301" priority="3492">
      <formula>AND(IF($Q30=3,1,0),IF($E30&lt;30,1,0))</formula>
    </cfRule>
    <cfRule type="expression" dxfId="3300" priority="3493">
      <formula>AND(IF($Q30=3,1,IF($Q30=4,1,0)),IF($F30&lt;=85,1,0))</formula>
    </cfRule>
  </conditionalFormatting>
  <conditionalFormatting sqref="Y30">
    <cfRule type="expression" dxfId="3299" priority="3486">
      <formula>AND(IF(OR($Q30=1,$Q30=2),1,0),IF($Y30&lt;=20,1,0))</formula>
    </cfRule>
    <cfRule type="expression" dxfId="3298" priority="3487">
      <formula>AND(IF($Q30=2,1,0),IF($Y30&lt;30,1,0))</formula>
    </cfRule>
    <cfRule type="expression" dxfId="3297" priority="3488">
      <formula>AND(IF($Q30=3,1,0),IF($Y30&lt;30,1,0))</formula>
    </cfRule>
    <cfRule type="expression" dxfId="3296" priority="3489">
      <formula>AND(IF($Q30=3,1,IF($Q30=4,1,0)),IF($F30&lt;=85,1,0))</formula>
    </cfRule>
  </conditionalFormatting>
  <conditionalFormatting sqref="AJ30">
    <cfRule type="expression" dxfId="3295" priority="3482">
      <formula>AND(IF(OR($Q30=1,$Q30=2),1,0),IF($Y30&lt;=20,1,0))</formula>
    </cfRule>
    <cfRule type="expression" dxfId="3294" priority="3483">
      <formula>AND(IF($Q30=2,1,0),IF($Y30&lt;30,1,0))</formula>
    </cfRule>
    <cfRule type="expression" dxfId="3293" priority="3484">
      <formula>AND(IF($Q30=3,1,0),IF($Y30&lt;30,1,0))</formula>
    </cfRule>
    <cfRule type="expression" dxfId="3292" priority="3485">
      <formula>AND(IF($Q30=3,1,IF($Q30=4,1,0)),IF($F30&lt;=85,1,0))</formula>
    </cfRule>
  </conditionalFormatting>
  <conditionalFormatting sqref="AW31">
    <cfRule type="expression" dxfId="3291" priority="3480">
      <formula>AW31="X"</formula>
    </cfRule>
    <cfRule type="expression" dxfId="3290" priority="3481">
      <formula>AW31="후보"</formula>
    </cfRule>
  </conditionalFormatting>
  <conditionalFormatting sqref="AA31">
    <cfRule type="colorScale" priority="3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 N31">
    <cfRule type="cellIs" dxfId="3289" priority="3477" operator="greaterThan">
      <formula>0.9</formula>
    </cfRule>
    <cfRule type="cellIs" dxfId="3288" priority="3478" operator="greaterThan">
      <formula>0.85</formula>
    </cfRule>
  </conditionalFormatting>
  <conditionalFormatting sqref="AW32">
    <cfRule type="expression" dxfId="3287" priority="3475">
      <formula>AW32="X"</formula>
    </cfRule>
    <cfRule type="expression" dxfId="3286" priority="3476">
      <formula>AW32="후보"</formula>
    </cfRule>
  </conditionalFormatting>
  <conditionalFormatting sqref="AA32">
    <cfRule type="colorScale" priority="34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3285" priority="3472" operator="greaterThan">
      <formula>0.9</formula>
    </cfRule>
    <cfRule type="cellIs" dxfId="3284" priority="3473" operator="greaterThan">
      <formula>0.85</formula>
    </cfRule>
  </conditionalFormatting>
  <conditionalFormatting sqref="N32">
    <cfRule type="cellIs" dxfId="3283" priority="3470" operator="greaterThan">
      <formula>0.9</formula>
    </cfRule>
    <cfRule type="cellIs" dxfId="3282" priority="3471" operator="greaterThan">
      <formula>0.85</formula>
    </cfRule>
  </conditionalFormatting>
  <conditionalFormatting sqref="E32">
    <cfRule type="expression" dxfId="3281" priority="3466">
      <formula>AND(IF(OR($Q32=1,$Q32=2),1,0),IF($E32&lt;=20,1,0))</formula>
    </cfRule>
    <cfRule type="expression" dxfId="3280" priority="3467">
      <formula>AND(IF($Q32=2,1,0),IF($E32&lt;30,1,0))</formula>
    </cfRule>
    <cfRule type="expression" dxfId="3279" priority="3468">
      <formula>AND(IF($Q32=3,1,0),IF($E32&lt;30,1,0))</formula>
    </cfRule>
    <cfRule type="expression" dxfId="3278" priority="3469">
      <formula>AND(IF($Q32=3,1,IF($Q32=4,1,0)),IF($F32&lt;=85,1,0))</formula>
    </cfRule>
  </conditionalFormatting>
  <conditionalFormatting sqref="Y32">
    <cfRule type="expression" dxfId="3277" priority="3462">
      <formula>AND(IF(OR($Q32=1,$Q32=2),1,0),IF($Y32&lt;=20,1,0))</formula>
    </cfRule>
    <cfRule type="expression" dxfId="3276" priority="3463">
      <formula>AND(IF($Q32=2,1,0),IF($Y32&lt;30,1,0))</formula>
    </cfRule>
    <cfRule type="expression" dxfId="3275" priority="3464">
      <formula>AND(IF($Q32=3,1,0),IF($Y32&lt;30,1,0))</formula>
    </cfRule>
    <cfRule type="expression" dxfId="3274" priority="3465">
      <formula>AND(IF($Q32=3,1,IF($Q32=4,1,0)),IF($F32&lt;=85,1,0))</formula>
    </cfRule>
  </conditionalFormatting>
  <conditionalFormatting sqref="AJ32">
    <cfRule type="expression" dxfId="3273" priority="3458">
      <formula>AND(IF(OR($Q32=1,$Q32=2),1,0),IF($Y32&lt;=20,1,0))</formula>
    </cfRule>
    <cfRule type="expression" dxfId="3272" priority="3459">
      <formula>AND(IF($Q32=2,1,0),IF($Y32&lt;30,1,0))</formula>
    </cfRule>
    <cfRule type="expression" dxfId="3271" priority="3460">
      <formula>AND(IF($Q32=3,1,0),IF($Y32&lt;30,1,0))</formula>
    </cfRule>
    <cfRule type="expression" dxfId="3270" priority="3461">
      <formula>AND(IF($Q32=3,1,IF($Q32=4,1,0)),IF($F32&lt;=85,1,0))</formula>
    </cfRule>
  </conditionalFormatting>
  <conditionalFormatting sqref="AW33">
    <cfRule type="expression" dxfId="3269" priority="3456">
      <formula>AW33="X"</formula>
    </cfRule>
    <cfRule type="expression" dxfId="3268" priority="3457">
      <formula>AW33="후보"</formula>
    </cfRule>
  </conditionalFormatting>
  <conditionalFormatting sqref="AA33">
    <cfRule type="colorScale" priority="34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3267" priority="3453" operator="greaterThan">
      <formula>0.9</formula>
    </cfRule>
    <cfRule type="cellIs" dxfId="3266" priority="3454" operator="greaterThan">
      <formula>0.85</formula>
    </cfRule>
  </conditionalFormatting>
  <conditionalFormatting sqref="N33">
    <cfRule type="cellIs" dxfId="3265" priority="3451" operator="greaterThan">
      <formula>0.9</formula>
    </cfRule>
    <cfRule type="cellIs" dxfId="3264" priority="3452" operator="greaterThan">
      <formula>0.85</formula>
    </cfRule>
  </conditionalFormatting>
  <conditionalFormatting sqref="E33">
    <cfRule type="expression" dxfId="3263" priority="3447">
      <formula>AND(IF(OR($Q33=1,$Q33=2),1,0),IF($E33&lt;=20,1,0))</formula>
    </cfRule>
    <cfRule type="expression" dxfId="3262" priority="3448">
      <formula>AND(IF($Q33=2,1,0),IF($E33&lt;30,1,0))</formula>
    </cfRule>
    <cfRule type="expression" dxfId="3261" priority="3449">
      <formula>AND(IF($Q33=3,1,0),IF($E33&lt;30,1,0))</formula>
    </cfRule>
    <cfRule type="expression" dxfId="3260" priority="3450">
      <formula>AND(IF($Q33=3,1,IF($Q33=4,1,0)),IF($F33&lt;=85,1,0))</formula>
    </cfRule>
  </conditionalFormatting>
  <conditionalFormatting sqref="Y33">
    <cfRule type="expression" dxfId="3259" priority="3443">
      <formula>AND(IF(OR($Q33=1,$Q33=2),1,0),IF($Y33&lt;=20,1,0))</formula>
    </cfRule>
    <cfRule type="expression" dxfId="3258" priority="3444">
      <formula>AND(IF($Q33=2,1,0),IF($Y33&lt;30,1,0))</formula>
    </cfRule>
    <cfRule type="expression" dxfId="3257" priority="3445">
      <formula>AND(IF($Q33=3,1,0),IF($Y33&lt;30,1,0))</formula>
    </cfRule>
    <cfRule type="expression" dxfId="3256" priority="3446">
      <formula>AND(IF($Q33=3,1,IF($Q33=4,1,0)),IF($F33&lt;=85,1,0))</formula>
    </cfRule>
  </conditionalFormatting>
  <conditionalFormatting sqref="AJ33">
    <cfRule type="expression" dxfId="3255" priority="3439">
      <formula>AND(IF(OR($Q33=1,$Q33=2),1,0),IF($Y33&lt;=20,1,0))</formula>
    </cfRule>
    <cfRule type="expression" dxfId="3254" priority="3440">
      <formula>AND(IF($Q33=2,1,0),IF($Y33&lt;30,1,0))</formula>
    </cfRule>
    <cfRule type="expression" dxfId="3253" priority="3441">
      <formula>AND(IF($Q33=3,1,0),IF($Y33&lt;30,1,0))</formula>
    </cfRule>
    <cfRule type="expression" dxfId="3252" priority="3442">
      <formula>AND(IF($Q33=3,1,IF($Q33=4,1,0)),IF($F33&lt;=85,1,0))</formula>
    </cfRule>
  </conditionalFormatting>
  <conditionalFormatting sqref="AW34">
    <cfRule type="expression" dxfId="3251" priority="3437">
      <formula>AW34="X"</formula>
    </cfRule>
    <cfRule type="expression" dxfId="3250" priority="3438">
      <formula>AW34="후보"</formula>
    </cfRule>
  </conditionalFormatting>
  <conditionalFormatting sqref="AA34">
    <cfRule type="colorScale" priority="34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3249" priority="3434" operator="greaterThan">
      <formula>0.9</formula>
    </cfRule>
    <cfRule type="cellIs" dxfId="3248" priority="3435" operator="greaterThan">
      <formula>0.85</formula>
    </cfRule>
  </conditionalFormatting>
  <conditionalFormatting sqref="N34">
    <cfRule type="cellIs" dxfId="3247" priority="3432" operator="greaterThan">
      <formula>0.9</formula>
    </cfRule>
    <cfRule type="cellIs" dxfId="3246" priority="3433" operator="greaterThan">
      <formula>0.85</formula>
    </cfRule>
  </conditionalFormatting>
  <conditionalFormatting sqref="E34">
    <cfRule type="expression" dxfId="3245" priority="3428">
      <formula>AND(IF(OR($Q34=1,$Q34=2),1,0),IF($E34&lt;=20,1,0))</formula>
    </cfRule>
    <cfRule type="expression" dxfId="3244" priority="3429">
      <formula>AND(IF($Q34=2,1,0),IF($E34&lt;30,1,0))</formula>
    </cfRule>
    <cfRule type="expression" dxfId="3243" priority="3430">
      <formula>AND(IF($Q34=3,1,0),IF($E34&lt;30,1,0))</formula>
    </cfRule>
    <cfRule type="expression" dxfId="3242" priority="3431">
      <formula>AND(IF($Q34=3,1,IF($Q34=4,1,0)),IF($F34&lt;=85,1,0))</formula>
    </cfRule>
  </conditionalFormatting>
  <conditionalFormatting sqref="Y34">
    <cfRule type="expression" dxfId="3241" priority="3424">
      <formula>AND(IF(OR($Q34=1,$Q34=2),1,0),IF($Y34&lt;=20,1,0))</formula>
    </cfRule>
    <cfRule type="expression" dxfId="3240" priority="3425">
      <formula>AND(IF($Q34=2,1,0),IF($Y34&lt;30,1,0))</formula>
    </cfRule>
    <cfRule type="expression" dxfId="3239" priority="3426">
      <formula>AND(IF($Q34=3,1,0),IF($Y34&lt;30,1,0))</formula>
    </cfRule>
    <cfRule type="expression" dxfId="3238" priority="3427">
      <formula>AND(IF($Q34=3,1,IF($Q34=4,1,0)),IF($F34&lt;=85,1,0))</formula>
    </cfRule>
  </conditionalFormatting>
  <conditionalFormatting sqref="AJ34">
    <cfRule type="expression" dxfId="3237" priority="3420">
      <formula>AND(IF(OR($Q34=1,$Q34=2),1,0),IF($Y34&lt;=20,1,0))</formula>
    </cfRule>
    <cfRule type="expression" dxfId="3236" priority="3421">
      <formula>AND(IF($Q34=2,1,0),IF($Y34&lt;30,1,0))</formula>
    </cfRule>
    <cfRule type="expression" dxfId="3235" priority="3422">
      <formula>AND(IF($Q34=3,1,0),IF($Y34&lt;30,1,0))</formula>
    </cfRule>
    <cfRule type="expression" dxfId="3234" priority="3423">
      <formula>AND(IF($Q34=3,1,IF($Q34=4,1,0)),IF($F34&lt;=85,1,0))</formula>
    </cfRule>
  </conditionalFormatting>
  <conditionalFormatting sqref="AW35">
    <cfRule type="expression" dxfId="3233" priority="3418">
      <formula>AW35="X"</formula>
    </cfRule>
    <cfRule type="expression" dxfId="3232" priority="3419">
      <formula>AW35="후보"</formula>
    </cfRule>
  </conditionalFormatting>
  <conditionalFormatting sqref="AA35">
    <cfRule type="colorScale" priority="34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 N35">
    <cfRule type="cellIs" dxfId="3231" priority="3415" operator="greaterThan">
      <formula>0.9</formula>
    </cfRule>
    <cfRule type="cellIs" dxfId="3230" priority="3416" operator="greaterThan">
      <formula>0.85</formula>
    </cfRule>
  </conditionalFormatting>
  <conditionalFormatting sqref="AW36">
    <cfRule type="expression" dxfId="3229" priority="3413">
      <formula>AW36="X"</formula>
    </cfRule>
    <cfRule type="expression" dxfId="3228" priority="3414">
      <formula>AW36="후보"</formula>
    </cfRule>
  </conditionalFormatting>
  <conditionalFormatting sqref="AA36">
    <cfRule type="colorScale" priority="34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3227" priority="3410" operator="greaterThan">
      <formula>0.9</formula>
    </cfRule>
    <cfRule type="cellIs" dxfId="3226" priority="3411" operator="greaterThan">
      <formula>0.85</formula>
    </cfRule>
  </conditionalFormatting>
  <conditionalFormatting sqref="N36">
    <cfRule type="cellIs" dxfId="3225" priority="3408" operator="greaterThan">
      <formula>0.9</formula>
    </cfRule>
    <cfRule type="cellIs" dxfId="3224" priority="3409" operator="greaterThan">
      <formula>0.85</formula>
    </cfRule>
  </conditionalFormatting>
  <conditionalFormatting sqref="E36">
    <cfRule type="expression" dxfId="3223" priority="3404">
      <formula>AND(IF(OR($Q36=1,$Q36=2),1,0),IF($E36&lt;=20,1,0))</formula>
    </cfRule>
    <cfRule type="expression" dxfId="3222" priority="3405">
      <formula>AND(IF($Q36=2,1,0),IF($E36&lt;30,1,0))</formula>
    </cfRule>
    <cfRule type="expression" dxfId="3221" priority="3406">
      <formula>AND(IF($Q36=3,1,0),IF($E36&lt;30,1,0))</formula>
    </cfRule>
    <cfRule type="expression" dxfId="3220" priority="3407">
      <formula>AND(IF($Q36=3,1,IF($Q36=4,1,0)),IF($F36&lt;=85,1,0))</formula>
    </cfRule>
  </conditionalFormatting>
  <conditionalFormatting sqref="Y36">
    <cfRule type="expression" dxfId="3219" priority="3400">
      <formula>AND(IF(OR($Q36=1,$Q36=2),1,0),IF($Y36&lt;=20,1,0))</formula>
    </cfRule>
    <cfRule type="expression" dxfId="3218" priority="3401">
      <formula>AND(IF($Q36=2,1,0),IF($Y36&lt;30,1,0))</formula>
    </cfRule>
    <cfRule type="expression" dxfId="3217" priority="3402">
      <formula>AND(IF($Q36=3,1,0),IF($Y36&lt;30,1,0))</formula>
    </cfRule>
    <cfRule type="expression" dxfId="3216" priority="3403">
      <formula>AND(IF($Q36=3,1,IF($Q36=4,1,0)),IF($F36&lt;=85,1,0))</formula>
    </cfRule>
  </conditionalFormatting>
  <conditionalFormatting sqref="AJ36">
    <cfRule type="expression" dxfId="3215" priority="3396">
      <formula>AND(IF(OR($Q36=1,$Q36=2),1,0),IF($Y36&lt;=20,1,0))</formula>
    </cfRule>
    <cfRule type="expression" dxfId="3214" priority="3397">
      <formula>AND(IF($Q36=2,1,0),IF($Y36&lt;30,1,0))</formula>
    </cfRule>
    <cfRule type="expression" dxfId="3213" priority="3398">
      <formula>AND(IF($Q36=3,1,0),IF($Y36&lt;30,1,0))</formula>
    </cfRule>
    <cfRule type="expression" dxfId="3212" priority="3399">
      <formula>AND(IF($Q36=3,1,IF($Q36=4,1,0)),IF($F36&lt;=85,1,0))</formula>
    </cfRule>
  </conditionalFormatting>
  <conditionalFormatting sqref="AW37">
    <cfRule type="expression" dxfId="3211" priority="3394">
      <formula>AW37="X"</formula>
    </cfRule>
    <cfRule type="expression" dxfId="3210" priority="3395">
      <formula>AW37="후보"</formula>
    </cfRule>
  </conditionalFormatting>
  <conditionalFormatting sqref="AA37">
    <cfRule type="colorScale" priority="33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">
    <cfRule type="cellIs" dxfId="3209" priority="3391" operator="greaterThan">
      <formula>0.9</formula>
    </cfRule>
    <cfRule type="cellIs" dxfId="3208" priority="3392" operator="greaterThan">
      <formula>0.85</formula>
    </cfRule>
  </conditionalFormatting>
  <conditionalFormatting sqref="N37">
    <cfRule type="cellIs" dxfId="3207" priority="3389" operator="greaterThan">
      <formula>0.9</formula>
    </cfRule>
    <cfRule type="cellIs" dxfId="3206" priority="3390" operator="greaterThan">
      <formula>0.85</formula>
    </cfRule>
  </conditionalFormatting>
  <conditionalFormatting sqref="E37">
    <cfRule type="expression" dxfId="3205" priority="3385">
      <formula>AND(IF(OR($Q37=1,$Q37=2),1,0),IF($E37&lt;=20,1,0))</formula>
    </cfRule>
    <cfRule type="expression" dxfId="3204" priority="3386">
      <formula>AND(IF($Q37=2,1,0),IF($E37&lt;30,1,0))</formula>
    </cfRule>
    <cfRule type="expression" dxfId="3203" priority="3387">
      <formula>AND(IF($Q37=3,1,0),IF($E37&lt;30,1,0))</formula>
    </cfRule>
    <cfRule type="expression" dxfId="3202" priority="3388">
      <formula>AND(IF($Q37=3,1,IF($Q37=4,1,0)),IF($F37&lt;=85,1,0))</formula>
    </cfRule>
  </conditionalFormatting>
  <conditionalFormatting sqref="Y37">
    <cfRule type="expression" dxfId="3201" priority="3381">
      <formula>AND(IF(OR($Q37=1,$Q37=2),1,0),IF($Y37&lt;=20,1,0))</formula>
    </cfRule>
    <cfRule type="expression" dxfId="3200" priority="3382">
      <formula>AND(IF($Q37=2,1,0),IF($Y37&lt;30,1,0))</formula>
    </cfRule>
    <cfRule type="expression" dxfId="3199" priority="3383">
      <formula>AND(IF($Q37=3,1,0),IF($Y37&lt;30,1,0))</formula>
    </cfRule>
    <cfRule type="expression" dxfId="3198" priority="3384">
      <formula>AND(IF($Q37=3,1,IF($Q37=4,1,0)),IF($F37&lt;=85,1,0))</formula>
    </cfRule>
  </conditionalFormatting>
  <conditionalFormatting sqref="AJ37">
    <cfRule type="expression" dxfId="3197" priority="3377">
      <formula>AND(IF(OR($Q37=1,$Q37=2),1,0),IF($Y37&lt;=20,1,0))</formula>
    </cfRule>
    <cfRule type="expression" dxfId="3196" priority="3378">
      <formula>AND(IF($Q37=2,1,0),IF($Y37&lt;30,1,0))</formula>
    </cfRule>
    <cfRule type="expression" dxfId="3195" priority="3379">
      <formula>AND(IF($Q37=3,1,0),IF($Y37&lt;30,1,0))</formula>
    </cfRule>
    <cfRule type="expression" dxfId="3194" priority="3380">
      <formula>AND(IF($Q37=3,1,IF($Q37=4,1,0)),IF($F37&lt;=85,1,0))</formula>
    </cfRule>
  </conditionalFormatting>
  <conditionalFormatting sqref="AW38">
    <cfRule type="expression" dxfId="3193" priority="3375">
      <formula>AW38="X"</formula>
    </cfRule>
    <cfRule type="expression" dxfId="3192" priority="3376">
      <formula>AW38="후보"</formula>
    </cfRule>
  </conditionalFormatting>
  <conditionalFormatting sqref="AA38">
    <cfRule type="colorScale" priority="33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3191" priority="3372" operator="greaterThan">
      <formula>0.9</formula>
    </cfRule>
    <cfRule type="cellIs" dxfId="3190" priority="3373" operator="greaterThan">
      <formula>0.85</formula>
    </cfRule>
  </conditionalFormatting>
  <conditionalFormatting sqref="N38">
    <cfRule type="cellIs" dxfId="3189" priority="3370" operator="greaterThan">
      <formula>0.9</formula>
    </cfRule>
    <cfRule type="cellIs" dxfId="3188" priority="3371" operator="greaterThan">
      <formula>0.85</formula>
    </cfRule>
  </conditionalFormatting>
  <conditionalFormatting sqref="E38">
    <cfRule type="expression" dxfId="3187" priority="3366">
      <formula>AND(IF(OR($Q38=1,$Q38=2),1,0),IF($E38&lt;=20,1,0))</formula>
    </cfRule>
    <cfRule type="expression" dxfId="3186" priority="3367">
      <formula>AND(IF($Q38=2,1,0),IF($E38&lt;30,1,0))</formula>
    </cfRule>
    <cfRule type="expression" dxfId="3185" priority="3368">
      <formula>AND(IF($Q38=3,1,0),IF($E38&lt;30,1,0))</formula>
    </cfRule>
    <cfRule type="expression" dxfId="3184" priority="3369">
      <formula>AND(IF($Q38=3,1,IF($Q38=4,1,0)),IF($F38&lt;=85,1,0))</formula>
    </cfRule>
  </conditionalFormatting>
  <conditionalFormatting sqref="Y38">
    <cfRule type="expression" dxfId="3183" priority="3362">
      <formula>AND(IF(OR($Q38=1,$Q38=2),1,0),IF($Y38&lt;=20,1,0))</formula>
    </cfRule>
    <cfRule type="expression" dxfId="3182" priority="3363">
      <formula>AND(IF($Q38=2,1,0),IF($Y38&lt;30,1,0))</formula>
    </cfRule>
    <cfRule type="expression" dxfId="3181" priority="3364">
      <formula>AND(IF($Q38=3,1,0),IF($Y38&lt;30,1,0))</formula>
    </cfRule>
    <cfRule type="expression" dxfId="3180" priority="3365">
      <formula>AND(IF($Q38=3,1,IF($Q38=4,1,0)),IF($F38&lt;=85,1,0))</formula>
    </cfRule>
  </conditionalFormatting>
  <conditionalFormatting sqref="AJ38">
    <cfRule type="expression" dxfId="3179" priority="3358">
      <formula>AND(IF(OR($Q38=1,$Q38=2),1,0),IF($Y38&lt;=20,1,0))</formula>
    </cfRule>
    <cfRule type="expression" dxfId="3178" priority="3359">
      <formula>AND(IF($Q38=2,1,0),IF($Y38&lt;30,1,0))</formula>
    </cfRule>
    <cfRule type="expression" dxfId="3177" priority="3360">
      <formula>AND(IF($Q38=3,1,0),IF($Y38&lt;30,1,0))</formula>
    </cfRule>
    <cfRule type="expression" dxfId="3176" priority="3361">
      <formula>AND(IF($Q38=3,1,IF($Q38=4,1,0)),IF($F38&lt;=85,1,0))</formula>
    </cfRule>
  </conditionalFormatting>
  <conditionalFormatting sqref="AW39">
    <cfRule type="expression" dxfId="3175" priority="3356">
      <formula>AW39="X"</formula>
    </cfRule>
    <cfRule type="expression" dxfId="3174" priority="3357">
      <formula>AW39="후보"</formula>
    </cfRule>
  </conditionalFormatting>
  <conditionalFormatting sqref="AA39">
    <cfRule type="colorScale" priority="33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3173" priority="3353" operator="greaterThan">
      <formula>0.9</formula>
    </cfRule>
    <cfRule type="cellIs" dxfId="3172" priority="3354" operator="greaterThan">
      <formula>0.85</formula>
    </cfRule>
  </conditionalFormatting>
  <conditionalFormatting sqref="N39">
    <cfRule type="cellIs" dxfId="3171" priority="3351" operator="greaterThan">
      <formula>0.9</formula>
    </cfRule>
    <cfRule type="cellIs" dxfId="3170" priority="3352" operator="greaterThan">
      <formula>0.85</formula>
    </cfRule>
  </conditionalFormatting>
  <conditionalFormatting sqref="E39">
    <cfRule type="expression" dxfId="3169" priority="3347">
      <formula>AND(IF(OR($Q39=1,$Q39=2),1,0),IF($E39&lt;=20,1,0))</formula>
    </cfRule>
    <cfRule type="expression" dxfId="3168" priority="3348">
      <formula>AND(IF($Q39=2,1,0),IF($E39&lt;30,1,0))</formula>
    </cfRule>
    <cfRule type="expression" dxfId="3167" priority="3349">
      <formula>AND(IF($Q39=3,1,0),IF($E39&lt;30,1,0))</formula>
    </cfRule>
    <cfRule type="expression" dxfId="3166" priority="3350">
      <formula>AND(IF($Q39=3,1,IF($Q39=4,1,0)),IF($F39&lt;=85,1,0))</formula>
    </cfRule>
  </conditionalFormatting>
  <conditionalFormatting sqref="Y39">
    <cfRule type="expression" dxfId="3165" priority="3343">
      <formula>AND(IF(OR($Q39=1,$Q39=2),1,0),IF($Y39&lt;=20,1,0))</formula>
    </cfRule>
    <cfRule type="expression" dxfId="3164" priority="3344">
      <formula>AND(IF($Q39=2,1,0),IF($Y39&lt;30,1,0))</formula>
    </cfRule>
    <cfRule type="expression" dxfId="3163" priority="3345">
      <formula>AND(IF($Q39=3,1,0),IF($Y39&lt;30,1,0))</formula>
    </cfRule>
    <cfRule type="expression" dxfId="3162" priority="3346">
      <formula>AND(IF($Q39=3,1,IF($Q39=4,1,0)),IF($F39&lt;=85,1,0))</formula>
    </cfRule>
  </conditionalFormatting>
  <conditionalFormatting sqref="AJ39">
    <cfRule type="expression" dxfId="3161" priority="3339">
      <formula>AND(IF(OR($Q39=1,$Q39=2),1,0),IF($Y39&lt;=20,1,0))</formula>
    </cfRule>
    <cfRule type="expression" dxfId="3160" priority="3340">
      <formula>AND(IF($Q39=2,1,0),IF($Y39&lt;30,1,0))</formula>
    </cfRule>
    <cfRule type="expression" dxfId="3159" priority="3341">
      <formula>AND(IF($Q39=3,1,0),IF($Y39&lt;30,1,0))</formula>
    </cfRule>
    <cfRule type="expression" dxfId="3158" priority="3342">
      <formula>AND(IF($Q39=3,1,IF($Q39=4,1,0)),IF($F39&lt;=85,1,0))</formula>
    </cfRule>
  </conditionalFormatting>
  <conditionalFormatting sqref="AW40">
    <cfRule type="expression" dxfId="3157" priority="3337">
      <formula>AW40="X"</formula>
    </cfRule>
    <cfRule type="expression" dxfId="3156" priority="3338">
      <formula>AW40="후보"</formula>
    </cfRule>
  </conditionalFormatting>
  <conditionalFormatting sqref="AA40">
    <cfRule type="colorScale" priority="33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 N40">
    <cfRule type="cellIs" dxfId="3155" priority="3334" operator="greaterThan">
      <formula>0.9</formula>
    </cfRule>
    <cfRule type="cellIs" dxfId="3154" priority="3335" operator="greaterThan">
      <formula>0.85</formula>
    </cfRule>
  </conditionalFormatting>
  <conditionalFormatting sqref="AW41">
    <cfRule type="expression" dxfId="3153" priority="3332">
      <formula>AW41="X"</formula>
    </cfRule>
    <cfRule type="expression" dxfId="3152" priority="3333">
      <formula>AW41="후보"</formula>
    </cfRule>
  </conditionalFormatting>
  <conditionalFormatting sqref="AA41">
    <cfRule type="colorScale" priority="33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3151" priority="3329" operator="greaterThan">
      <formula>0.9</formula>
    </cfRule>
    <cfRule type="cellIs" dxfId="3150" priority="3330" operator="greaterThan">
      <formula>0.85</formula>
    </cfRule>
  </conditionalFormatting>
  <conditionalFormatting sqref="N41">
    <cfRule type="cellIs" dxfId="3149" priority="3327" operator="greaterThan">
      <formula>0.9</formula>
    </cfRule>
    <cfRule type="cellIs" dxfId="3148" priority="3328" operator="greaterThan">
      <formula>0.85</formula>
    </cfRule>
  </conditionalFormatting>
  <conditionalFormatting sqref="E41">
    <cfRule type="expression" dxfId="3147" priority="3323">
      <formula>AND(IF(OR($Q41=1,$Q41=2),1,0),IF($E41&lt;=20,1,0))</formula>
    </cfRule>
    <cfRule type="expression" dxfId="3146" priority="3324">
      <formula>AND(IF($Q41=2,1,0),IF($E41&lt;30,1,0))</formula>
    </cfRule>
    <cfRule type="expression" dxfId="3145" priority="3325">
      <formula>AND(IF($Q41=3,1,0),IF($E41&lt;30,1,0))</formula>
    </cfRule>
    <cfRule type="expression" dxfId="3144" priority="3326">
      <formula>AND(IF($Q41=3,1,IF($Q41=4,1,0)),IF($F41&lt;=85,1,0))</formula>
    </cfRule>
  </conditionalFormatting>
  <conditionalFormatting sqref="Y41">
    <cfRule type="expression" dxfId="3143" priority="3319">
      <formula>AND(IF(OR($Q41=1,$Q41=2),1,0),IF($Y41&lt;=20,1,0))</formula>
    </cfRule>
    <cfRule type="expression" dxfId="3142" priority="3320">
      <formula>AND(IF($Q41=2,1,0),IF($Y41&lt;30,1,0))</formula>
    </cfRule>
    <cfRule type="expression" dxfId="3141" priority="3321">
      <formula>AND(IF($Q41=3,1,0),IF($Y41&lt;30,1,0))</formula>
    </cfRule>
    <cfRule type="expression" dxfId="3140" priority="3322">
      <formula>AND(IF($Q41=3,1,IF($Q41=4,1,0)),IF($F41&lt;=85,1,0))</formula>
    </cfRule>
  </conditionalFormatting>
  <conditionalFormatting sqref="AJ41">
    <cfRule type="expression" dxfId="3139" priority="3315">
      <formula>AND(IF(OR($Q41=1,$Q41=2),1,0),IF($Y41&lt;=20,1,0))</formula>
    </cfRule>
    <cfRule type="expression" dxfId="3138" priority="3316">
      <formula>AND(IF($Q41=2,1,0),IF($Y41&lt;30,1,0))</formula>
    </cfRule>
    <cfRule type="expression" dxfId="3137" priority="3317">
      <formula>AND(IF($Q41=3,1,0),IF($Y41&lt;30,1,0))</formula>
    </cfRule>
    <cfRule type="expression" dxfId="3136" priority="3318">
      <formula>AND(IF($Q41=3,1,IF($Q41=4,1,0)),IF($F41&lt;=85,1,0))</formula>
    </cfRule>
  </conditionalFormatting>
  <conditionalFormatting sqref="AW42">
    <cfRule type="expression" dxfId="3135" priority="3313">
      <formula>AW42="X"</formula>
    </cfRule>
    <cfRule type="expression" dxfId="3134" priority="3314">
      <formula>AW42="후보"</formula>
    </cfRule>
  </conditionalFormatting>
  <conditionalFormatting sqref="AA42">
    <cfRule type="colorScale" priority="33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3133" priority="3310" operator="greaterThan">
      <formula>0.9</formula>
    </cfRule>
    <cfRule type="cellIs" dxfId="3132" priority="3311" operator="greaterThan">
      <formula>0.85</formula>
    </cfRule>
  </conditionalFormatting>
  <conditionalFormatting sqref="N42">
    <cfRule type="cellIs" dxfId="3131" priority="3308" operator="greaterThan">
      <formula>0.9</formula>
    </cfRule>
    <cfRule type="cellIs" dxfId="3130" priority="3309" operator="greaterThan">
      <formula>0.85</formula>
    </cfRule>
  </conditionalFormatting>
  <conditionalFormatting sqref="E42">
    <cfRule type="expression" dxfId="3129" priority="3304">
      <formula>AND(IF(OR($Q42=1,$Q42=2),1,0),IF($E42&lt;=20,1,0))</formula>
    </cfRule>
    <cfRule type="expression" dxfId="3128" priority="3305">
      <formula>AND(IF($Q42=2,1,0),IF($E42&lt;30,1,0))</formula>
    </cfRule>
    <cfRule type="expression" dxfId="3127" priority="3306">
      <formula>AND(IF($Q42=3,1,0),IF($E42&lt;30,1,0))</formula>
    </cfRule>
    <cfRule type="expression" dxfId="3126" priority="3307">
      <formula>AND(IF($Q42=3,1,IF($Q42=4,1,0)),IF($F42&lt;=85,1,0))</formula>
    </cfRule>
  </conditionalFormatting>
  <conditionalFormatting sqref="Y42">
    <cfRule type="expression" dxfId="3125" priority="3300">
      <formula>AND(IF(OR($Q42=1,$Q42=2),1,0),IF($Y42&lt;=20,1,0))</formula>
    </cfRule>
    <cfRule type="expression" dxfId="3124" priority="3301">
      <formula>AND(IF($Q42=2,1,0),IF($Y42&lt;30,1,0))</formula>
    </cfRule>
    <cfRule type="expression" dxfId="3123" priority="3302">
      <formula>AND(IF($Q42=3,1,0),IF($Y42&lt;30,1,0))</formula>
    </cfRule>
    <cfRule type="expression" dxfId="3122" priority="3303">
      <formula>AND(IF($Q42=3,1,IF($Q42=4,1,0)),IF($F42&lt;=85,1,0))</formula>
    </cfRule>
  </conditionalFormatting>
  <conditionalFormatting sqref="AJ42">
    <cfRule type="expression" dxfId="3121" priority="3296">
      <formula>AND(IF(OR($Q42=1,$Q42=2),1,0),IF($Y42&lt;=20,1,0))</formula>
    </cfRule>
    <cfRule type="expression" dxfId="3120" priority="3297">
      <formula>AND(IF($Q42=2,1,0),IF($Y42&lt;30,1,0))</formula>
    </cfRule>
    <cfRule type="expression" dxfId="3119" priority="3298">
      <formula>AND(IF($Q42=3,1,0),IF($Y42&lt;30,1,0))</formula>
    </cfRule>
    <cfRule type="expression" dxfId="3118" priority="3299">
      <formula>AND(IF($Q42=3,1,IF($Q42=4,1,0)),IF($F42&lt;=85,1,0))</formula>
    </cfRule>
  </conditionalFormatting>
  <conditionalFormatting sqref="AW43">
    <cfRule type="expression" dxfId="3117" priority="3294">
      <formula>AW43="X"</formula>
    </cfRule>
    <cfRule type="expression" dxfId="3116" priority="3295">
      <formula>AW43="후보"</formula>
    </cfRule>
  </conditionalFormatting>
  <conditionalFormatting sqref="AA43">
    <cfRule type="colorScale" priority="32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3115" priority="3291" operator="greaterThan">
      <formula>0.9</formula>
    </cfRule>
    <cfRule type="cellIs" dxfId="3114" priority="3292" operator="greaterThan">
      <formula>0.85</formula>
    </cfRule>
  </conditionalFormatting>
  <conditionalFormatting sqref="N43">
    <cfRule type="cellIs" dxfId="3113" priority="3289" operator="greaterThan">
      <formula>0.9</formula>
    </cfRule>
    <cfRule type="cellIs" dxfId="3112" priority="3290" operator="greaterThan">
      <formula>0.85</formula>
    </cfRule>
  </conditionalFormatting>
  <conditionalFormatting sqref="E43">
    <cfRule type="expression" dxfId="3111" priority="3285">
      <formula>AND(IF(OR($Q43=1,$Q43=2),1,0),IF($E43&lt;=20,1,0))</formula>
    </cfRule>
    <cfRule type="expression" dxfId="3110" priority="3286">
      <formula>AND(IF($Q43=2,1,0),IF($E43&lt;30,1,0))</formula>
    </cfRule>
    <cfRule type="expression" dxfId="3109" priority="3287">
      <formula>AND(IF($Q43=3,1,0),IF($E43&lt;30,1,0))</formula>
    </cfRule>
    <cfRule type="expression" dxfId="3108" priority="3288">
      <formula>AND(IF($Q43=3,1,IF($Q43=4,1,0)),IF($F43&lt;=85,1,0))</formula>
    </cfRule>
  </conditionalFormatting>
  <conditionalFormatting sqref="Y43">
    <cfRule type="expression" dxfId="3107" priority="3281">
      <formula>AND(IF(OR($Q43=1,$Q43=2),1,0),IF($Y43&lt;=20,1,0))</formula>
    </cfRule>
    <cfRule type="expression" dxfId="3106" priority="3282">
      <formula>AND(IF($Q43=2,1,0),IF($Y43&lt;30,1,0))</formula>
    </cfRule>
    <cfRule type="expression" dxfId="3105" priority="3283">
      <formula>AND(IF($Q43=3,1,0),IF($Y43&lt;30,1,0))</formula>
    </cfRule>
    <cfRule type="expression" dxfId="3104" priority="3284">
      <formula>AND(IF($Q43=3,1,IF($Q43=4,1,0)),IF($F43&lt;=85,1,0))</formula>
    </cfRule>
  </conditionalFormatting>
  <conditionalFormatting sqref="AJ43">
    <cfRule type="expression" dxfId="3103" priority="3277">
      <formula>AND(IF(OR($Q43=1,$Q43=2),1,0),IF($Y43&lt;=20,1,0))</formula>
    </cfRule>
    <cfRule type="expression" dxfId="3102" priority="3278">
      <formula>AND(IF($Q43=2,1,0),IF($Y43&lt;30,1,0))</formula>
    </cfRule>
    <cfRule type="expression" dxfId="3101" priority="3279">
      <formula>AND(IF($Q43=3,1,0),IF($Y43&lt;30,1,0))</formula>
    </cfRule>
    <cfRule type="expression" dxfId="3100" priority="3280">
      <formula>AND(IF($Q43=3,1,IF($Q43=4,1,0)),IF($F43&lt;=85,1,0))</formula>
    </cfRule>
  </conditionalFormatting>
  <conditionalFormatting sqref="AW44">
    <cfRule type="expression" dxfId="3099" priority="3275">
      <formula>AW44="X"</formula>
    </cfRule>
    <cfRule type="expression" dxfId="3098" priority="3276">
      <formula>AW44="후보"</formula>
    </cfRule>
  </conditionalFormatting>
  <conditionalFormatting sqref="AA44">
    <cfRule type="colorScale" priority="32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3097" priority="3272" operator="greaterThan">
      <formula>0.9</formula>
    </cfRule>
    <cfRule type="cellIs" dxfId="3096" priority="3273" operator="greaterThan">
      <formula>0.85</formula>
    </cfRule>
  </conditionalFormatting>
  <conditionalFormatting sqref="N44">
    <cfRule type="cellIs" dxfId="3095" priority="3270" operator="greaterThan">
      <formula>0.9</formula>
    </cfRule>
    <cfRule type="cellIs" dxfId="3094" priority="3271" operator="greaterThan">
      <formula>0.85</formula>
    </cfRule>
  </conditionalFormatting>
  <conditionalFormatting sqref="E44">
    <cfRule type="expression" dxfId="3093" priority="3266">
      <formula>AND(IF(OR($Q44=1,$Q44=2),1,0),IF($E44&lt;=20,1,0))</formula>
    </cfRule>
    <cfRule type="expression" dxfId="3092" priority="3267">
      <formula>AND(IF($Q44=2,1,0),IF($E44&lt;30,1,0))</formula>
    </cfRule>
    <cfRule type="expression" dxfId="3091" priority="3268">
      <formula>AND(IF($Q44=3,1,0),IF($E44&lt;30,1,0))</formula>
    </cfRule>
    <cfRule type="expression" dxfId="3090" priority="3269">
      <formula>AND(IF($Q44=3,1,IF($Q44=4,1,0)),IF($F44&lt;=85,1,0))</formula>
    </cfRule>
  </conditionalFormatting>
  <conditionalFormatting sqref="Y44">
    <cfRule type="expression" dxfId="3089" priority="3262">
      <formula>AND(IF(OR($Q44=1,$Q44=2),1,0),IF($Y44&lt;=20,1,0))</formula>
    </cfRule>
    <cfRule type="expression" dxfId="3088" priority="3263">
      <formula>AND(IF($Q44=2,1,0),IF($Y44&lt;30,1,0))</formula>
    </cfRule>
    <cfRule type="expression" dxfId="3087" priority="3264">
      <formula>AND(IF($Q44=3,1,0),IF($Y44&lt;30,1,0))</formula>
    </cfRule>
    <cfRule type="expression" dxfId="3086" priority="3265">
      <formula>AND(IF($Q44=3,1,IF($Q44=4,1,0)),IF($F44&lt;=85,1,0))</formula>
    </cfRule>
  </conditionalFormatting>
  <conditionalFormatting sqref="AJ44">
    <cfRule type="expression" dxfId="3085" priority="3258">
      <formula>AND(IF(OR($Q44=1,$Q44=2),1,0),IF($Y44&lt;=20,1,0))</formula>
    </cfRule>
    <cfRule type="expression" dxfId="3084" priority="3259">
      <formula>AND(IF($Q44=2,1,0),IF($Y44&lt;30,1,0))</formula>
    </cfRule>
    <cfRule type="expression" dxfId="3083" priority="3260">
      <formula>AND(IF($Q44=3,1,0),IF($Y44&lt;30,1,0))</formula>
    </cfRule>
    <cfRule type="expression" dxfId="3082" priority="3261">
      <formula>AND(IF($Q44=3,1,IF($Q44=4,1,0)),IF($F44&lt;=85,1,0))</formula>
    </cfRule>
  </conditionalFormatting>
  <conditionalFormatting sqref="AW45">
    <cfRule type="expression" dxfId="3081" priority="3256">
      <formula>AW45="X"</formula>
    </cfRule>
    <cfRule type="expression" dxfId="3080" priority="3257">
      <formula>AW45="후보"</formula>
    </cfRule>
  </conditionalFormatting>
  <conditionalFormatting sqref="AA45">
    <cfRule type="colorScale" priority="32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3079" priority="3253" operator="greaterThan">
      <formula>0.9</formula>
    </cfRule>
    <cfRule type="cellIs" dxfId="3078" priority="3254" operator="greaterThan">
      <formula>0.85</formula>
    </cfRule>
  </conditionalFormatting>
  <conditionalFormatting sqref="N45">
    <cfRule type="cellIs" dxfId="3077" priority="3251" operator="greaterThan">
      <formula>0.9</formula>
    </cfRule>
    <cfRule type="cellIs" dxfId="3076" priority="3252" operator="greaterThan">
      <formula>0.85</formula>
    </cfRule>
  </conditionalFormatting>
  <conditionalFormatting sqref="E45">
    <cfRule type="expression" dxfId="3075" priority="3247">
      <formula>AND(IF(OR($Q45=1,$Q45=2),1,0),IF($E45&lt;=20,1,0))</formula>
    </cfRule>
    <cfRule type="expression" dxfId="3074" priority="3248">
      <formula>AND(IF($Q45=2,1,0),IF($E45&lt;30,1,0))</formula>
    </cfRule>
    <cfRule type="expression" dxfId="3073" priority="3249">
      <formula>AND(IF($Q45=3,1,0),IF($E45&lt;30,1,0))</formula>
    </cfRule>
    <cfRule type="expression" dxfId="3072" priority="3250">
      <formula>AND(IF($Q45=3,1,IF($Q45=4,1,0)),IF($F45&lt;=85,1,0))</formula>
    </cfRule>
  </conditionalFormatting>
  <conditionalFormatting sqref="Y45">
    <cfRule type="expression" dxfId="3071" priority="3243">
      <formula>AND(IF(OR($Q45=1,$Q45=2),1,0),IF($Y45&lt;=20,1,0))</formula>
    </cfRule>
    <cfRule type="expression" dxfId="3070" priority="3244">
      <formula>AND(IF($Q45=2,1,0),IF($Y45&lt;30,1,0))</formula>
    </cfRule>
    <cfRule type="expression" dxfId="3069" priority="3245">
      <formula>AND(IF($Q45=3,1,0),IF($Y45&lt;30,1,0))</formula>
    </cfRule>
    <cfRule type="expression" dxfId="3068" priority="3246">
      <formula>AND(IF($Q45=3,1,IF($Q45=4,1,0)),IF($F45&lt;=85,1,0))</formula>
    </cfRule>
  </conditionalFormatting>
  <conditionalFormatting sqref="AJ45">
    <cfRule type="expression" dxfId="3067" priority="3239">
      <formula>AND(IF(OR($Q45=1,$Q45=2),1,0),IF($Y45&lt;=20,1,0))</formula>
    </cfRule>
    <cfRule type="expression" dxfId="3066" priority="3240">
      <formula>AND(IF($Q45=2,1,0),IF($Y45&lt;30,1,0))</formula>
    </cfRule>
    <cfRule type="expression" dxfId="3065" priority="3241">
      <formula>AND(IF($Q45=3,1,0),IF($Y45&lt;30,1,0))</formula>
    </cfRule>
    <cfRule type="expression" dxfId="3064" priority="3242">
      <formula>AND(IF($Q45=3,1,IF($Q45=4,1,0)),IF($F45&lt;=85,1,0))</formula>
    </cfRule>
  </conditionalFormatting>
  <conditionalFormatting sqref="AW46">
    <cfRule type="expression" dxfId="3063" priority="3237">
      <formula>AW46="X"</formula>
    </cfRule>
    <cfRule type="expression" dxfId="3062" priority="3238">
      <formula>AW46="후보"</formula>
    </cfRule>
  </conditionalFormatting>
  <conditionalFormatting sqref="AA46">
    <cfRule type="colorScale" priority="32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3061" priority="3234" operator="greaterThan">
      <formula>0.9</formula>
    </cfRule>
    <cfRule type="cellIs" dxfId="3060" priority="3235" operator="greaterThan">
      <formula>0.85</formula>
    </cfRule>
  </conditionalFormatting>
  <conditionalFormatting sqref="N46">
    <cfRule type="cellIs" dxfId="3059" priority="3232" operator="greaterThan">
      <formula>0.9</formula>
    </cfRule>
    <cfRule type="cellIs" dxfId="3058" priority="3233" operator="greaterThan">
      <formula>0.85</formula>
    </cfRule>
  </conditionalFormatting>
  <conditionalFormatting sqref="E46">
    <cfRule type="expression" dxfId="3057" priority="3228">
      <formula>AND(IF(OR($Q46=1,$Q46=2),1,0),IF($E46&lt;=20,1,0))</formula>
    </cfRule>
    <cfRule type="expression" dxfId="3056" priority="3229">
      <formula>AND(IF($Q46=2,1,0),IF($E46&lt;30,1,0))</formula>
    </cfRule>
    <cfRule type="expression" dxfId="3055" priority="3230">
      <formula>AND(IF($Q46=3,1,0),IF($E46&lt;30,1,0))</formula>
    </cfRule>
    <cfRule type="expression" dxfId="3054" priority="3231">
      <formula>AND(IF($Q46=3,1,IF($Q46=4,1,0)),IF($F46&lt;=85,1,0))</formula>
    </cfRule>
  </conditionalFormatting>
  <conditionalFormatting sqref="Y46">
    <cfRule type="expression" dxfId="3053" priority="3224">
      <formula>AND(IF(OR($Q46=1,$Q46=2),1,0),IF($Y46&lt;=20,1,0))</formula>
    </cfRule>
    <cfRule type="expression" dxfId="3052" priority="3225">
      <formula>AND(IF($Q46=2,1,0),IF($Y46&lt;30,1,0))</formula>
    </cfRule>
    <cfRule type="expression" dxfId="3051" priority="3226">
      <formula>AND(IF($Q46=3,1,0),IF($Y46&lt;30,1,0))</formula>
    </cfRule>
    <cfRule type="expression" dxfId="3050" priority="3227">
      <formula>AND(IF($Q46=3,1,IF($Q46=4,1,0)),IF($F46&lt;=85,1,0))</formula>
    </cfRule>
  </conditionalFormatting>
  <conditionalFormatting sqref="AJ46">
    <cfRule type="expression" dxfId="3049" priority="3220">
      <formula>AND(IF(OR($Q46=1,$Q46=2),1,0),IF($Y46&lt;=20,1,0))</formula>
    </cfRule>
    <cfRule type="expression" dxfId="3048" priority="3221">
      <formula>AND(IF($Q46=2,1,0),IF($Y46&lt;30,1,0))</formula>
    </cfRule>
    <cfRule type="expression" dxfId="3047" priority="3222">
      <formula>AND(IF($Q46=3,1,0),IF($Y46&lt;30,1,0))</formula>
    </cfRule>
    <cfRule type="expression" dxfId="3046" priority="3223">
      <formula>AND(IF($Q46=3,1,IF($Q46=4,1,0)),IF($F46&lt;=85,1,0))</formula>
    </cfRule>
  </conditionalFormatting>
  <conditionalFormatting sqref="AW47">
    <cfRule type="expression" dxfId="3045" priority="3218">
      <formula>AW47="X"</formula>
    </cfRule>
    <cfRule type="expression" dxfId="3044" priority="3219">
      <formula>AW47="후보"</formula>
    </cfRule>
  </conditionalFormatting>
  <conditionalFormatting sqref="AA47">
    <cfRule type="colorScale" priority="3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3043" priority="3215" operator="greaterThan">
      <formula>0.9</formula>
    </cfRule>
    <cfRule type="cellIs" dxfId="3042" priority="3216" operator="greaterThan">
      <formula>0.85</formula>
    </cfRule>
  </conditionalFormatting>
  <conditionalFormatting sqref="N47">
    <cfRule type="cellIs" dxfId="3041" priority="3213" operator="greaterThan">
      <formula>0.9</formula>
    </cfRule>
    <cfRule type="cellIs" dxfId="3040" priority="3214" operator="greaterThan">
      <formula>0.85</formula>
    </cfRule>
  </conditionalFormatting>
  <conditionalFormatting sqref="E47">
    <cfRule type="expression" dxfId="3039" priority="3209">
      <formula>AND(IF(OR($Q47=1,$Q47=2),1,0),IF($E47&lt;=20,1,0))</formula>
    </cfRule>
    <cfRule type="expression" dxfId="3038" priority="3210">
      <formula>AND(IF($Q47=2,1,0),IF($E47&lt;30,1,0))</formula>
    </cfRule>
    <cfRule type="expression" dxfId="3037" priority="3211">
      <formula>AND(IF($Q47=3,1,0),IF($E47&lt;30,1,0))</formula>
    </cfRule>
    <cfRule type="expression" dxfId="3036" priority="3212">
      <formula>AND(IF($Q47=3,1,IF($Q47=4,1,0)),IF($F47&lt;=85,1,0))</formula>
    </cfRule>
  </conditionalFormatting>
  <conditionalFormatting sqref="Y47">
    <cfRule type="expression" dxfId="3035" priority="3205">
      <formula>AND(IF(OR($Q47=1,$Q47=2),1,0),IF($Y47&lt;=20,1,0))</formula>
    </cfRule>
    <cfRule type="expression" dxfId="3034" priority="3206">
      <formula>AND(IF($Q47=2,1,0),IF($Y47&lt;30,1,0))</formula>
    </cfRule>
    <cfRule type="expression" dxfId="3033" priority="3207">
      <formula>AND(IF($Q47=3,1,0),IF($Y47&lt;30,1,0))</formula>
    </cfRule>
    <cfRule type="expression" dxfId="3032" priority="3208">
      <formula>AND(IF($Q47=3,1,IF($Q47=4,1,0)),IF($F47&lt;=85,1,0))</formula>
    </cfRule>
  </conditionalFormatting>
  <conditionalFormatting sqref="AJ47">
    <cfRule type="expression" dxfId="3031" priority="3201">
      <formula>AND(IF(OR($Q47=1,$Q47=2),1,0),IF($Y47&lt;=20,1,0))</formula>
    </cfRule>
    <cfRule type="expression" dxfId="3030" priority="3202">
      <formula>AND(IF($Q47=2,1,0),IF($Y47&lt;30,1,0))</formula>
    </cfRule>
    <cfRule type="expression" dxfId="3029" priority="3203">
      <formula>AND(IF($Q47=3,1,0),IF($Y47&lt;30,1,0))</formula>
    </cfRule>
    <cfRule type="expression" dxfId="3028" priority="3204">
      <formula>AND(IF($Q47=3,1,IF($Q47=4,1,0)),IF($F47&lt;=85,1,0))</formula>
    </cfRule>
  </conditionalFormatting>
  <conditionalFormatting sqref="AW48">
    <cfRule type="expression" dxfId="3027" priority="3199">
      <formula>AW48="X"</formula>
    </cfRule>
    <cfRule type="expression" dxfId="3026" priority="3200">
      <formula>AW48="후보"</formula>
    </cfRule>
  </conditionalFormatting>
  <conditionalFormatting sqref="AA48">
    <cfRule type="colorScale" priority="3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">
    <cfRule type="cellIs" dxfId="3025" priority="3196" operator="greaterThan">
      <formula>0.9</formula>
    </cfRule>
    <cfRule type="cellIs" dxfId="3024" priority="3197" operator="greaterThan">
      <formula>0.85</formula>
    </cfRule>
  </conditionalFormatting>
  <conditionalFormatting sqref="N48">
    <cfRule type="cellIs" dxfId="3023" priority="3194" operator="greaterThan">
      <formula>0.9</formula>
    </cfRule>
    <cfRule type="cellIs" dxfId="3022" priority="3195" operator="greaterThan">
      <formula>0.85</formula>
    </cfRule>
  </conditionalFormatting>
  <conditionalFormatting sqref="E48">
    <cfRule type="expression" dxfId="3021" priority="3190">
      <formula>AND(IF(OR($Q48=1,$Q48=2),1,0),IF($E48&lt;=20,1,0))</formula>
    </cfRule>
    <cfRule type="expression" dxfId="3020" priority="3191">
      <formula>AND(IF($Q48=2,1,0),IF($E48&lt;30,1,0))</formula>
    </cfRule>
    <cfRule type="expression" dxfId="3019" priority="3192">
      <formula>AND(IF($Q48=3,1,0),IF($E48&lt;30,1,0))</formula>
    </cfRule>
    <cfRule type="expression" dxfId="3018" priority="3193">
      <formula>AND(IF($Q48=3,1,IF($Q48=4,1,0)),IF($F48&lt;=85,1,0))</formula>
    </cfRule>
  </conditionalFormatting>
  <conditionalFormatting sqref="Y48">
    <cfRule type="expression" dxfId="3017" priority="3186">
      <formula>AND(IF(OR($Q48=1,$Q48=2),1,0),IF($Y48&lt;=20,1,0))</formula>
    </cfRule>
    <cfRule type="expression" dxfId="3016" priority="3187">
      <formula>AND(IF($Q48=2,1,0),IF($Y48&lt;30,1,0))</formula>
    </cfRule>
    <cfRule type="expression" dxfId="3015" priority="3188">
      <formula>AND(IF($Q48=3,1,0),IF($Y48&lt;30,1,0))</formula>
    </cfRule>
    <cfRule type="expression" dxfId="3014" priority="3189">
      <formula>AND(IF($Q48=3,1,IF($Q48=4,1,0)),IF($F48&lt;=85,1,0))</formula>
    </cfRule>
  </conditionalFormatting>
  <conditionalFormatting sqref="AJ48">
    <cfRule type="expression" dxfId="3013" priority="3182">
      <formula>AND(IF(OR($Q48=1,$Q48=2),1,0),IF($Y48&lt;=20,1,0))</formula>
    </cfRule>
    <cfRule type="expression" dxfId="3012" priority="3183">
      <formula>AND(IF($Q48=2,1,0),IF($Y48&lt;30,1,0))</formula>
    </cfRule>
    <cfRule type="expression" dxfId="3011" priority="3184">
      <formula>AND(IF($Q48=3,1,0),IF($Y48&lt;30,1,0))</formula>
    </cfRule>
    <cfRule type="expression" dxfId="3010" priority="3185">
      <formula>AND(IF($Q48=3,1,IF($Q48=4,1,0)),IF($F48&lt;=85,1,0))</formula>
    </cfRule>
  </conditionalFormatting>
  <conditionalFormatting sqref="AW49">
    <cfRule type="expression" dxfId="3009" priority="3180">
      <formula>AW49="X"</formula>
    </cfRule>
    <cfRule type="expression" dxfId="3008" priority="3181">
      <formula>AW49="후보"</formula>
    </cfRule>
  </conditionalFormatting>
  <conditionalFormatting sqref="AA49">
    <cfRule type="colorScale" priority="31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3007" priority="3177" operator="greaterThan">
      <formula>0.9</formula>
    </cfRule>
    <cfRule type="cellIs" dxfId="3006" priority="3178" operator="greaterThan">
      <formula>0.85</formula>
    </cfRule>
  </conditionalFormatting>
  <conditionalFormatting sqref="N49">
    <cfRule type="cellIs" dxfId="3005" priority="3175" operator="greaterThan">
      <formula>0.9</formula>
    </cfRule>
    <cfRule type="cellIs" dxfId="3004" priority="3176" operator="greaterThan">
      <formula>0.85</formula>
    </cfRule>
  </conditionalFormatting>
  <conditionalFormatting sqref="E49">
    <cfRule type="expression" dxfId="3003" priority="3171">
      <formula>AND(IF(OR($Q49=1,$Q49=2),1,0),IF($E49&lt;=20,1,0))</formula>
    </cfRule>
    <cfRule type="expression" dxfId="3002" priority="3172">
      <formula>AND(IF($Q49=2,1,0),IF($E49&lt;30,1,0))</formula>
    </cfRule>
    <cfRule type="expression" dxfId="3001" priority="3173">
      <formula>AND(IF($Q49=3,1,0),IF($E49&lt;30,1,0))</formula>
    </cfRule>
    <cfRule type="expression" dxfId="3000" priority="3174">
      <formula>AND(IF($Q49=3,1,IF($Q49=4,1,0)),IF($F49&lt;=85,1,0))</formula>
    </cfRule>
  </conditionalFormatting>
  <conditionalFormatting sqref="Y49">
    <cfRule type="expression" dxfId="2999" priority="3167">
      <formula>AND(IF(OR($Q49=1,$Q49=2),1,0),IF($Y49&lt;=20,1,0))</formula>
    </cfRule>
    <cfRule type="expression" dxfId="2998" priority="3168">
      <formula>AND(IF($Q49=2,1,0),IF($Y49&lt;30,1,0))</formula>
    </cfRule>
    <cfRule type="expression" dxfId="2997" priority="3169">
      <formula>AND(IF($Q49=3,1,0),IF($Y49&lt;30,1,0))</formula>
    </cfRule>
    <cfRule type="expression" dxfId="2996" priority="3170">
      <formula>AND(IF($Q49=3,1,IF($Q49=4,1,0)),IF($F49&lt;=85,1,0))</formula>
    </cfRule>
  </conditionalFormatting>
  <conditionalFormatting sqref="AJ49">
    <cfRule type="expression" dxfId="2995" priority="3163">
      <formula>AND(IF(OR($Q49=1,$Q49=2),1,0),IF($Y49&lt;=20,1,0))</formula>
    </cfRule>
    <cfRule type="expression" dxfId="2994" priority="3164">
      <formula>AND(IF($Q49=2,1,0),IF($Y49&lt;30,1,0))</formula>
    </cfRule>
    <cfRule type="expression" dxfId="2993" priority="3165">
      <formula>AND(IF($Q49=3,1,0),IF($Y49&lt;30,1,0))</formula>
    </cfRule>
    <cfRule type="expression" dxfId="2992" priority="3166">
      <formula>AND(IF($Q49=3,1,IF($Q49=4,1,0)),IF($F49&lt;=85,1,0))</formula>
    </cfRule>
  </conditionalFormatting>
  <conditionalFormatting sqref="AW50">
    <cfRule type="expression" dxfId="2991" priority="3161">
      <formula>AW50="X"</formula>
    </cfRule>
    <cfRule type="expression" dxfId="2990" priority="3162">
      <formula>AW50="후보"</formula>
    </cfRule>
  </conditionalFormatting>
  <conditionalFormatting sqref="AA50">
    <cfRule type="colorScale" priority="3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 N50">
    <cfRule type="cellIs" dxfId="2989" priority="3158" operator="greaterThan">
      <formula>0.9</formula>
    </cfRule>
    <cfRule type="cellIs" dxfId="2988" priority="3159" operator="greaterThan">
      <formula>0.85</formula>
    </cfRule>
  </conditionalFormatting>
  <conditionalFormatting sqref="AW51">
    <cfRule type="expression" dxfId="2987" priority="3156">
      <formula>AW51="X"</formula>
    </cfRule>
    <cfRule type="expression" dxfId="2986" priority="3157">
      <formula>AW51="후보"</formula>
    </cfRule>
  </conditionalFormatting>
  <conditionalFormatting sqref="AA51">
    <cfRule type="colorScale" priority="31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2985" priority="3153" operator="greaterThan">
      <formula>0.9</formula>
    </cfRule>
    <cfRule type="cellIs" dxfId="2984" priority="3154" operator="greaterThan">
      <formula>0.85</formula>
    </cfRule>
  </conditionalFormatting>
  <conditionalFormatting sqref="N51">
    <cfRule type="cellIs" dxfId="2983" priority="3151" operator="greaterThan">
      <formula>0.9</formula>
    </cfRule>
    <cfRule type="cellIs" dxfId="2982" priority="3152" operator="greaterThan">
      <formula>0.85</formula>
    </cfRule>
  </conditionalFormatting>
  <conditionalFormatting sqref="E51">
    <cfRule type="expression" dxfId="2981" priority="3147">
      <formula>AND(IF(OR($Q51=1,$Q51=2),1,0),IF($E51&lt;=20,1,0))</formula>
    </cfRule>
    <cfRule type="expression" dxfId="2980" priority="3148">
      <formula>AND(IF($Q51=2,1,0),IF($E51&lt;30,1,0))</formula>
    </cfRule>
    <cfRule type="expression" dxfId="2979" priority="3149">
      <formula>AND(IF($Q51=3,1,0),IF($E51&lt;30,1,0))</formula>
    </cfRule>
    <cfRule type="expression" dxfId="2978" priority="3150">
      <formula>AND(IF($Q51=3,1,IF($Q51=4,1,0)),IF($F51&lt;=85,1,0))</formula>
    </cfRule>
  </conditionalFormatting>
  <conditionalFormatting sqref="Y51">
    <cfRule type="expression" dxfId="2977" priority="3143">
      <formula>AND(IF(OR($Q51=1,$Q51=2),1,0),IF($Y51&lt;=20,1,0))</formula>
    </cfRule>
    <cfRule type="expression" dxfId="2976" priority="3144">
      <formula>AND(IF($Q51=2,1,0),IF($Y51&lt;30,1,0))</formula>
    </cfRule>
    <cfRule type="expression" dxfId="2975" priority="3145">
      <formula>AND(IF($Q51=3,1,0),IF($Y51&lt;30,1,0))</formula>
    </cfRule>
    <cfRule type="expression" dxfId="2974" priority="3146">
      <formula>AND(IF($Q51=3,1,IF($Q51=4,1,0)),IF($F51&lt;=85,1,0))</formula>
    </cfRule>
  </conditionalFormatting>
  <conditionalFormatting sqref="AJ51">
    <cfRule type="expression" dxfId="2973" priority="3139">
      <formula>AND(IF(OR($Q51=1,$Q51=2),1,0),IF($Y51&lt;=20,1,0))</formula>
    </cfRule>
    <cfRule type="expression" dxfId="2972" priority="3140">
      <formula>AND(IF($Q51=2,1,0),IF($Y51&lt;30,1,0))</formula>
    </cfRule>
    <cfRule type="expression" dxfId="2971" priority="3141">
      <formula>AND(IF($Q51=3,1,0),IF($Y51&lt;30,1,0))</formula>
    </cfRule>
    <cfRule type="expression" dxfId="2970" priority="3142">
      <formula>AND(IF($Q51=3,1,IF($Q51=4,1,0)),IF($F51&lt;=85,1,0))</formula>
    </cfRule>
  </conditionalFormatting>
  <conditionalFormatting sqref="AW52">
    <cfRule type="expression" dxfId="2969" priority="3137">
      <formula>AW52="X"</formula>
    </cfRule>
    <cfRule type="expression" dxfId="2968" priority="3138">
      <formula>AW52="후보"</formula>
    </cfRule>
  </conditionalFormatting>
  <conditionalFormatting sqref="AA52">
    <cfRule type="colorScale" priority="31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2967" priority="3134" operator="greaterThan">
      <formula>0.9</formula>
    </cfRule>
    <cfRule type="cellIs" dxfId="2966" priority="3135" operator="greaterThan">
      <formula>0.85</formula>
    </cfRule>
  </conditionalFormatting>
  <conditionalFormatting sqref="N52">
    <cfRule type="cellIs" dxfId="2965" priority="3132" operator="greaterThan">
      <formula>0.9</formula>
    </cfRule>
    <cfRule type="cellIs" dxfId="2964" priority="3133" operator="greaterThan">
      <formula>0.85</formula>
    </cfRule>
  </conditionalFormatting>
  <conditionalFormatting sqref="E52">
    <cfRule type="expression" dxfId="2963" priority="3128">
      <formula>AND(IF(OR($Q52=1,$Q52=2),1,0),IF($E52&lt;=20,1,0))</formula>
    </cfRule>
    <cfRule type="expression" dxfId="2962" priority="3129">
      <formula>AND(IF($Q52=2,1,0),IF($E52&lt;30,1,0))</formula>
    </cfRule>
    <cfRule type="expression" dxfId="2961" priority="3130">
      <formula>AND(IF($Q52=3,1,0),IF($E52&lt;30,1,0))</formula>
    </cfRule>
    <cfRule type="expression" dxfId="2960" priority="3131">
      <formula>AND(IF($Q52=3,1,IF($Q52=4,1,0)),IF($F52&lt;=85,1,0))</formula>
    </cfRule>
  </conditionalFormatting>
  <conditionalFormatting sqref="Y52">
    <cfRule type="expression" dxfId="2959" priority="3124">
      <formula>AND(IF(OR($Q52=1,$Q52=2),1,0),IF($Y52&lt;=20,1,0))</formula>
    </cfRule>
    <cfRule type="expression" dxfId="2958" priority="3125">
      <formula>AND(IF($Q52=2,1,0),IF($Y52&lt;30,1,0))</formula>
    </cfRule>
    <cfRule type="expression" dxfId="2957" priority="3126">
      <formula>AND(IF($Q52=3,1,0),IF($Y52&lt;30,1,0))</formula>
    </cfRule>
    <cfRule type="expression" dxfId="2956" priority="3127">
      <formula>AND(IF($Q52=3,1,IF($Q52=4,1,0)),IF($F52&lt;=85,1,0))</formula>
    </cfRule>
  </conditionalFormatting>
  <conditionalFormatting sqref="AJ52">
    <cfRule type="expression" dxfId="2955" priority="3120">
      <formula>AND(IF(OR($Q52=1,$Q52=2),1,0),IF($Y52&lt;=20,1,0))</formula>
    </cfRule>
    <cfRule type="expression" dxfId="2954" priority="3121">
      <formula>AND(IF($Q52=2,1,0),IF($Y52&lt;30,1,0))</formula>
    </cfRule>
    <cfRule type="expression" dxfId="2953" priority="3122">
      <formula>AND(IF($Q52=3,1,0),IF($Y52&lt;30,1,0))</formula>
    </cfRule>
    <cfRule type="expression" dxfId="2952" priority="3123">
      <formula>AND(IF($Q52=3,1,IF($Q52=4,1,0)),IF($F52&lt;=85,1,0))</formula>
    </cfRule>
  </conditionalFormatting>
  <conditionalFormatting sqref="AW53">
    <cfRule type="expression" dxfId="2951" priority="3118">
      <formula>AW53="X"</formula>
    </cfRule>
    <cfRule type="expression" dxfId="2950" priority="3119">
      <formula>AW53="후보"</formula>
    </cfRule>
  </conditionalFormatting>
  <conditionalFormatting sqref="AA53">
    <cfRule type="colorScale" priority="3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2949" priority="3115" operator="greaterThan">
      <formula>0.9</formula>
    </cfRule>
    <cfRule type="cellIs" dxfId="2948" priority="3116" operator="greaterThan">
      <formula>0.85</formula>
    </cfRule>
  </conditionalFormatting>
  <conditionalFormatting sqref="N53">
    <cfRule type="cellIs" dxfId="2947" priority="3113" operator="greaterThan">
      <formula>0.9</formula>
    </cfRule>
    <cfRule type="cellIs" dxfId="2946" priority="3114" operator="greaterThan">
      <formula>0.85</formula>
    </cfRule>
  </conditionalFormatting>
  <conditionalFormatting sqref="E53">
    <cfRule type="expression" dxfId="2945" priority="3109">
      <formula>AND(IF(OR($Q53=1,$Q53=2),1,0),IF($E53&lt;=20,1,0))</formula>
    </cfRule>
    <cfRule type="expression" dxfId="2944" priority="3110">
      <formula>AND(IF($Q53=2,1,0),IF($E53&lt;30,1,0))</formula>
    </cfRule>
    <cfRule type="expression" dxfId="2943" priority="3111">
      <formula>AND(IF($Q53=3,1,0),IF($E53&lt;30,1,0))</formula>
    </cfRule>
    <cfRule type="expression" dxfId="2942" priority="3112">
      <formula>AND(IF($Q53=3,1,IF($Q53=4,1,0)),IF($F53&lt;=85,1,0))</formula>
    </cfRule>
  </conditionalFormatting>
  <conditionalFormatting sqref="Y53">
    <cfRule type="expression" dxfId="2941" priority="3105">
      <formula>AND(IF(OR($Q53=1,$Q53=2),1,0),IF($Y53&lt;=20,1,0))</formula>
    </cfRule>
    <cfRule type="expression" dxfId="2940" priority="3106">
      <formula>AND(IF($Q53=2,1,0),IF($Y53&lt;30,1,0))</formula>
    </cfRule>
    <cfRule type="expression" dxfId="2939" priority="3107">
      <formula>AND(IF($Q53=3,1,0),IF($Y53&lt;30,1,0))</formula>
    </cfRule>
    <cfRule type="expression" dxfId="2938" priority="3108">
      <formula>AND(IF($Q53=3,1,IF($Q53=4,1,0)),IF($F53&lt;=85,1,0))</formula>
    </cfRule>
  </conditionalFormatting>
  <conditionalFormatting sqref="AJ53">
    <cfRule type="expression" dxfId="2937" priority="3101">
      <formula>AND(IF(OR($Q53=1,$Q53=2),1,0),IF($Y53&lt;=20,1,0))</formula>
    </cfRule>
    <cfRule type="expression" dxfId="2936" priority="3102">
      <formula>AND(IF($Q53=2,1,0),IF($Y53&lt;30,1,0))</formula>
    </cfRule>
    <cfRule type="expression" dxfId="2935" priority="3103">
      <formula>AND(IF($Q53=3,1,0),IF($Y53&lt;30,1,0))</formula>
    </cfRule>
    <cfRule type="expression" dxfId="2934" priority="3104">
      <formula>AND(IF($Q53=3,1,IF($Q53=4,1,0)),IF($F53&lt;=85,1,0))</formula>
    </cfRule>
  </conditionalFormatting>
  <conditionalFormatting sqref="AW54">
    <cfRule type="expression" dxfId="2933" priority="3099">
      <formula>AW54="X"</formula>
    </cfRule>
    <cfRule type="expression" dxfId="2932" priority="3100">
      <formula>AW54="후보"</formula>
    </cfRule>
  </conditionalFormatting>
  <conditionalFormatting sqref="AA54">
    <cfRule type="colorScale" priority="30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">
    <cfRule type="cellIs" dxfId="2931" priority="3096" operator="greaterThan">
      <formula>0.9</formula>
    </cfRule>
    <cfRule type="cellIs" dxfId="2930" priority="3097" operator="greaterThan">
      <formula>0.85</formula>
    </cfRule>
  </conditionalFormatting>
  <conditionalFormatting sqref="N54">
    <cfRule type="cellIs" dxfId="2929" priority="3094" operator="greaterThan">
      <formula>0.9</formula>
    </cfRule>
    <cfRule type="cellIs" dxfId="2928" priority="3095" operator="greaterThan">
      <formula>0.85</formula>
    </cfRule>
  </conditionalFormatting>
  <conditionalFormatting sqref="E54">
    <cfRule type="expression" dxfId="2927" priority="3090">
      <formula>AND(IF(OR($Q54=1,$Q54=2),1,0),IF($E54&lt;=20,1,0))</formula>
    </cfRule>
    <cfRule type="expression" dxfId="2926" priority="3091">
      <formula>AND(IF($Q54=2,1,0),IF($E54&lt;30,1,0))</formula>
    </cfRule>
    <cfRule type="expression" dxfId="2925" priority="3092">
      <formula>AND(IF($Q54=3,1,0),IF($E54&lt;30,1,0))</formula>
    </cfRule>
    <cfRule type="expression" dxfId="2924" priority="3093">
      <formula>AND(IF($Q54=3,1,IF($Q54=4,1,0)),IF($F54&lt;=85,1,0))</formula>
    </cfRule>
  </conditionalFormatting>
  <conditionalFormatting sqref="Y54">
    <cfRule type="expression" dxfId="2923" priority="3086">
      <formula>AND(IF(OR($Q54=1,$Q54=2),1,0),IF($Y54&lt;=20,1,0))</formula>
    </cfRule>
    <cfRule type="expression" dxfId="2922" priority="3087">
      <formula>AND(IF($Q54=2,1,0),IF($Y54&lt;30,1,0))</formula>
    </cfRule>
    <cfRule type="expression" dxfId="2921" priority="3088">
      <formula>AND(IF($Q54=3,1,0),IF($Y54&lt;30,1,0))</formula>
    </cfRule>
    <cfRule type="expression" dxfId="2920" priority="3089">
      <formula>AND(IF($Q54=3,1,IF($Q54=4,1,0)),IF($F54&lt;=85,1,0))</formula>
    </cfRule>
  </conditionalFormatting>
  <conditionalFormatting sqref="AJ54">
    <cfRule type="expression" dxfId="2919" priority="3082">
      <formula>AND(IF(OR($Q54=1,$Q54=2),1,0),IF($Y54&lt;=20,1,0))</formula>
    </cfRule>
    <cfRule type="expression" dxfId="2918" priority="3083">
      <formula>AND(IF($Q54=2,1,0),IF($Y54&lt;30,1,0))</formula>
    </cfRule>
    <cfRule type="expression" dxfId="2917" priority="3084">
      <formula>AND(IF($Q54=3,1,0),IF($Y54&lt;30,1,0))</formula>
    </cfRule>
    <cfRule type="expression" dxfId="2916" priority="3085">
      <formula>AND(IF($Q54=3,1,IF($Q54=4,1,0)),IF($F54&lt;=85,1,0))</formula>
    </cfRule>
  </conditionalFormatting>
  <conditionalFormatting sqref="AW55">
    <cfRule type="expression" dxfId="2915" priority="3080">
      <formula>AW55="X"</formula>
    </cfRule>
    <cfRule type="expression" dxfId="2914" priority="3081">
      <formula>AW55="후보"</formula>
    </cfRule>
  </conditionalFormatting>
  <conditionalFormatting sqref="AA55">
    <cfRule type="colorScale" priority="30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">
    <cfRule type="cellIs" dxfId="2913" priority="3077" operator="greaterThan">
      <formula>0.9</formula>
    </cfRule>
    <cfRule type="cellIs" dxfId="2912" priority="3078" operator="greaterThan">
      <formula>0.85</formula>
    </cfRule>
  </conditionalFormatting>
  <conditionalFormatting sqref="N55">
    <cfRule type="cellIs" dxfId="2911" priority="3075" operator="greaterThan">
      <formula>0.9</formula>
    </cfRule>
    <cfRule type="cellIs" dxfId="2910" priority="3076" operator="greaterThan">
      <formula>0.85</formula>
    </cfRule>
  </conditionalFormatting>
  <conditionalFormatting sqref="E55">
    <cfRule type="expression" dxfId="2909" priority="3071">
      <formula>AND(IF(OR($Q55=1,$Q55=2),1,0),IF($E55&lt;=20,1,0))</formula>
    </cfRule>
    <cfRule type="expression" dxfId="2908" priority="3072">
      <formula>AND(IF($Q55=2,1,0),IF($E55&lt;30,1,0))</formula>
    </cfRule>
    <cfRule type="expression" dxfId="2907" priority="3073">
      <formula>AND(IF($Q55=3,1,0),IF($E55&lt;30,1,0))</formula>
    </cfRule>
    <cfRule type="expression" dxfId="2906" priority="3074">
      <formula>AND(IF($Q55=3,1,IF($Q55=4,1,0)),IF($F55&lt;=85,1,0))</formula>
    </cfRule>
  </conditionalFormatting>
  <conditionalFormatting sqref="Y55">
    <cfRule type="expression" dxfId="2905" priority="3067">
      <formula>AND(IF(OR($Q55=1,$Q55=2),1,0),IF($Y55&lt;=20,1,0))</formula>
    </cfRule>
    <cfRule type="expression" dxfId="2904" priority="3068">
      <formula>AND(IF($Q55=2,1,0),IF($Y55&lt;30,1,0))</formula>
    </cfRule>
    <cfRule type="expression" dxfId="2903" priority="3069">
      <formula>AND(IF($Q55=3,1,0),IF($Y55&lt;30,1,0))</formula>
    </cfRule>
    <cfRule type="expression" dxfId="2902" priority="3070">
      <formula>AND(IF($Q55=3,1,IF($Q55=4,1,0)),IF($F55&lt;=85,1,0))</formula>
    </cfRule>
  </conditionalFormatting>
  <conditionalFormatting sqref="AJ55">
    <cfRule type="expression" dxfId="2901" priority="3063">
      <formula>AND(IF(OR($Q55=1,$Q55=2),1,0),IF($Y55&lt;=20,1,0))</formula>
    </cfRule>
    <cfRule type="expression" dxfId="2900" priority="3064">
      <formula>AND(IF($Q55=2,1,0),IF($Y55&lt;30,1,0))</formula>
    </cfRule>
    <cfRule type="expression" dxfId="2899" priority="3065">
      <formula>AND(IF($Q55=3,1,0),IF($Y55&lt;30,1,0))</formula>
    </cfRule>
    <cfRule type="expression" dxfId="2898" priority="3066">
      <formula>AND(IF($Q55=3,1,IF($Q55=4,1,0)),IF($F55&lt;=85,1,0))</formula>
    </cfRule>
  </conditionalFormatting>
  <conditionalFormatting sqref="AW56">
    <cfRule type="expression" dxfId="2897" priority="3061">
      <formula>AW56="X"</formula>
    </cfRule>
    <cfRule type="expression" dxfId="2896" priority="3062">
      <formula>AW56="후보"</formula>
    </cfRule>
  </conditionalFormatting>
  <conditionalFormatting sqref="AA56">
    <cfRule type="colorScale" priority="30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2895" priority="3058" operator="greaterThan">
      <formula>0.9</formula>
    </cfRule>
    <cfRule type="cellIs" dxfId="2894" priority="3059" operator="greaterThan">
      <formula>0.85</formula>
    </cfRule>
  </conditionalFormatting>
  <conditionalFormatting sqref="N56">
    <cfRule type="cellIs" dxfId="2893" priority="3056" operator="greaterThan">
      <formula>0.9</formula>
    </cfRule>
    <cfRule type="cellIs" dxfId="2892" priority="3057" operator="greaterThan">
      <formula>0.85</formula>
    </cfRule>
  </conditionalFormatting>
  <conditionalFormatting sqref="E56">
    <cfRule type="expression" dxfId="2891" priority="3052">
      <formula>AND(IF(OR($Q56=1,$Q56=2),1,0),IF($E56&lt;=20,1,0))</formula>
    </cfRule>
    <cfRule type="expression" dxfId="2890" priority="3053">
      <formula>AND(IF($Q56=2,1,0),IF($E56&lt;30,1,0))</formula>
    </cfRule>
    <cfRule type="expression" dxfId="2889" priority="3054">
      <formula>AND(IF($Q56=3,1,0),IF($E56&lt;30,1,0))</formula>
    </cfRule>
    <cfRule type="expression" dxfId="2888" priority="3055">
      <formula>AND(IF($Q56=3,1,IF($Q56=4,1,0)),IF($F56&lt;=85,1,0))</formula>
    </cfRule>
  </conditionalFormatting>
  <conditionalFormatting sqref="Y56">
    <cfRule type="expression" dxfId="2887" priority="3048">
      <formula>AND(IF(OR($Q56=1,$Q56=2),1,0),IF($Y56&lt;=20,1,0))</formula>
    </cfRule>
    <cfRule type="expression" dxfId="2886" priority="3049">
      <formula>AND(IF($Q56=2,1,0),IF($Y56&lt;30,1,0))</formula>
    </cfRule>
    <cfRule type="expression" dxfId="2885" priority="3050">
      <formula>AND(IF($Q56=3,1,0),IF($Y56&lt;30,1,0))</formula>
    </cfRule>
    <cfRule type="expression" dxfId="2884" priority="3051">
      <formula>AND(IF($Q56=3,1,IF($Q56=4,1,0)),IF($F56&lt;=85,1,0))</formula>
    </cfRule>
  </conditionalFormatting>
  <conditionalFormatting sqref="AJ56">
    <cfRule type="expression" dxfId="2883" priority="3044">
      <formula>AND(IF(OR($Q56=1,$Q56=2),1,0),IF($Y56&lt;=20,1,0))</formula>
    </cfRule>
    <cfRule type="expression" dxfId="2882" priority="3045">
      <formula>AND(IF($Q56=2,1,0),IF($Y56&lt;30,1,0))</formula>
    </cfRule>
    <cfRule type="expression" dxfId="2881" priority="3046">
      <formula>AND(IF($Q56=3,1,0),IF($Y56&lt;30,1,0))</formula>
    </cfRule>
    <cfRule type="expression" dxfId="2880" priority="3047">
      <formula>AND(IF($Q56=3,1,IF($Q56=4,1,0)),IF($F56&lt;=85,1,0))</formula>
    </cfRule>
  </conditionalFormatting>
  <conditionalFormatting sqref="AW57">
    <cfRule type="expression" dxfId="2879" priority="3042">
      <formula>AW57="X"</formula>
    </cfRule>
    <cfRule type="expression" dxfId="2878" priority="3043">
      <formula>AW57="후보"</formula>
    </cfRule>
  </conditionalFormatting>
  <conditionalFormatting sqref="AA57">
    <cfRule type="colorScale" priority="30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 N57">
    <cfRule type="cellIs" dxfId="2877" priority="3039" operator="greaterThan">
      <formula>0.9</formula>
    </cfRule>
    <cfRule type="cellIs" dxfId="2876" priority="3040" operator="greaterThan">
      <formula>0.85</formula>
    </cfRule>
  </conditionalFormatting>
  <conditionalFormatting sqref="AW58">
    <cfRule type="expression" dxfId="2875" priority="3037">
      <formula>AW58="X"</formula>
    </cfRule>
    <cfRule type="expression" dxfId="2874" priority="3038">
      <formula>AW58="후보"</formula>
    </cfRule>
  </conditionalFormatting>
  <conditionalFormatting sqref="AA58">
    <cfRule type="colorScale" priority="30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">
    <cfRule type="cellIs" dxfId="2873" priority="3034" operator="greaterThan">
      <formula>0.9</formula>
    </cfRule>
    <cfRule type="cellIs" dxfId="2872" priority="3035" operator="greaterThan">
      <formula>0.85</formula>
    </cfRule>
  </conditionalFormatting>
  <conditionalFormatting sqref="N58">
    <cfRule type="cellIs" dxfId="2871" priority="3032" operator="greaterThan">
      <formula>0.9</formula>
    </cfRule>
    <cfRule type="cellIs" dxfId="2870" priority="3033" operator="greaterThan">
      <formula>0.85</formula>
    </cfRule>
  </conditionalFormatting>
  <conditionalFormatting sqref="E58">
    <cfRule type="expression" dxfId="2869" priority="3028">
      <formula>AND(IF(OR($Q58=1,$Q58=2),1,0),IF($E58&lt;=20,1,0))</formula>
    </cfRule>
    <cfRule type="expression" dxfId="2868" priority="3029">
      <formula>AND(IF($Q58=2,1,0),IF($E58&lt;30,1,0))</formula>
    </cfRule>
    <cfRule type="expression" dxfId="2867" priority="3030">
      <formula>AND(IF($Q58=3,1,0),IF($E58&lt;30,1,0))</formula>
    </cfRule>
    <cfRule type="expression" dxfId="2866" priority="3031">
      <formula>AND(IF($Q58=3,1,IF($Q58=4,1,0)),IF($F58&lt;=85,1,0))</formula>
    </cfRule>
  </conditionalFormatting>
  <conditionalFormatting sqref="Y58">
    <cfRule type="expression" dxfId="2865" priority="3024">
      <formula>AND(IF(OR($Q58=1,$Q58=2),1,0),IF($Y58&lt;=20,1,0))</formula>
    </cfRule>
    <cfRule type="expression" dxfId="2864" priority="3025">
      <formula>AND(IF($Q58=2,1,0),IF($Y58&lt;30,1,0))</formula>
    </cfRule>
    <cfRule type="expression" dxfId="2863" priority="3026">
      <formula>AND(IF($Q58=3,1,0),IF($Y58&lt;30,1,0))</formula>
    </cfRule>
    <cfRule type="expression" dxfId="2862" priority="3027">
      <formula>AND(IF($Q58=3,1,IF($Q58=4,1,0)),IF($F58&lt;=85,1,0))</formula>
    </cfRule>
  </conditionalFormatting>
  <conditionalFormatting sqref="AJ58">
    <cfRule type="expression" dxfId="2861" priority="3020">
      <formula>AND(IF(OR($Q58=1,$Q58=2),1,0),IF($Y58&lt;=20,1,0))</formula>
    </cfRule>
    <cfRule type="expression" dxfId="2860" priority="3021">
      <formula>AND(IF($Q58=2,1,0),IF($Y58&lt;30,1,0))</formula>
    </cfRule>
    <cfRule type="expression" dxfId="2859" priority="3022">
      <formula>AND(IF($Q58=3,1,0),IF($Y58&lt;30,1,0))</formula>
    </cfRule>
    <cfRule type="expression" dxfId="2858" priority="3023">
      <formula>AND(IF($Q58=3,1,IF($Q58=4,1,0)),IF($F58&lt;=85,1,0))</formula>
    </cfRule>
  </conditionalFormatting>
  <conditionalFormatting sqref="AW59">
    <cfRule type="expression" dxfId="2857" priority="3018">
      <formula>AW59="X"</formula>
    </cfRule>
    <cfRule type="expression" dxfId="2856" priority="3019">
      <formula>AW59="후보"</formula>
    </cfRule>
  </conditionalFormatting>
  <conditionalFormatting sqref="AA59">
    <cfRule type="colorScale" priority="30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2855" priority="3015" operator="greaterThan">
      <formula>0.9</formula>
    </cfRule>
    <cfRule type="cellIs" dxfId="2854" priority="3016" operator="greaterThan">
      <formula>0.85</formula>
    </cfRule>
  </conditionalFormatting>
  <conditionalFormatting sqref="N59">
    <cfRule type="cellIs" dxfId="2853" priority="3013" operator="greaterThan">
      <formula>0.9</formula>
    </cfRule>
    <cfRule type="cellIs" dxfId="2852" priority="3014" operator="greaterThan">
      <formula>0.85</formula>
    </cfRule>
  </conditionalFormatting>
  <conditionalFormatting sqref="E59">
    <cfRule type="expression" dxfId="2851" priority="3009">
      <formula>AND(IF(OR($Q59=1,$Q59=2),1,0),IF($E59&lt;=20,1,0))</formula>
    </cfRule>
    <cfRule type="expression" dxfId="2850" priority="3010">
      <formula>AND(IF($Q59=2,1,0),IF($E59&lt;30,1,0))</formula>
    </cfRule>
    <cfRule type="expression" dxfId="2849" priority="3011">
      <formula>AND(IF($Q59=3,1,0),IF($E59&lt;30,1,0))</formula>
    </cfRule>
    <cfRule type="expression" dxfId="2848" priority="3012">
      <formula>AND(IF($Q59=3,1,IF($Q59=4,1,0)),IF($F59&lt;=85,1,0))</formula>
    </cfRule>
  </conditionalFormatting>
  <conditionalFormatting sqref="Y59">
    <cfRule type="expression" dxfId="2847" priority="3005">
      <formula>AND(IF(OR($Q59=1,$Q59=2),1,0),IF($Y59&lt;=20,1,0))</formula>
    </cfRule>
    <cfRule type="expression" dxfId="2846" priority="3006">
      <formula>AND(IF($Q59=2,1,0),IF($Y59&lt;30,1,0))</formula>
    </cfRule>
    <cfRule type="expression" dxfId="2845" priority="3007">
      <formula>AND(IF($Q59=3,1,0),IF($Y59&lt;30,1,0))</formula>
    </cfRule>
    <cfRule type="expression" dxfId="2844" priority="3008">
      <formula>AND(IF($Q59=3,1,IF($Q59=4,1,0)),IF($F59&lt;=85,1,0))</formula>
    </cfRule>
  </conditionalFormatting>
  <conditionalFormatting sqref="AJ59">
    <cfRule type="expression" dxfId="2843" priority="3001">
      <formula>AND(IF(OR($Q59=1,$Q59=2),1,0),IF($Y59&lt;=20,1,0))</formula>
    </cfRule>
    <cfRule type="expression" dxfId="2842" priority="3002">
      <formula>AND(IF($Q59=2,1,0),IF($Y59&lt;30,1,0))</formula>
    </cfRule>
    <cfRule type="expression" dxfId="2841" priority="3003">
      <formula>AND(IF($Q59=3,1,0),IF($Y59&lt;30,1,0))</formula>
    </cfRule>
    <cfRule type="expression" dxfId="2840" priority="3004">
      <formula>AND(IF($Q59=3,1,IF($Q59=4,1,0)),IF($F59&lt;=85,1,0))</formula>
    </cfRule>
  </conditionalFormatting>
  <conditionalFormatting sqref="AW60">
    <cfRule type="expression" dxfId="2839" priority="2999">
      <formula>AW60="X"</formula>
    </cfRule>
    <cfRule type="expression" dxfId="2838" priority="3000">
      <formula>AW60="후보"</formula>
    </cfRule>
  </conditionalFormatting>
  <conditionalFormatting sqref="AA60">
    <cfRule type="colorScale" priority="29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2837" priority="2996" operator="greaterThan">
      <formula>0.9</formula>
    </cfRule>
    <cfRule type="cellIs" dxfId="2836" priority="2997" operator="greaterThan">
      <formula>0.85</formula>
    </cfRule>
  </conditionalFormatting>
  <conditionalFormatting sqref="N60">
    <cfRule type="cellIs" dxfId="2835" priority="2994" operator="greaterThan">
      <formula>0.9</formula>
    </cfRule>
    <cfRule type="cellIs" dxfId="2834" priority="2995" operator="greaterThan">
      <formula>0.85</formula>
    </cfRule>
  </conditionalFormatting>
  <conditionalFormatting sqref="E60">
    <cfRule type="expression" dxfId="2833" priority="2990">
      <formula>AND(IF(OR($Q60=1,$Q60=2),1,0),IF($E60&lt;=20,1,0))</formula>
    </cfRule>
    <cfRule type="expression" dxfId="2832" priority="2991">
      <formula>AND(IF($Q60=2,1,0),IF($E60&lt;30,1,0))</formula>
    </cfRule>
    <cfRule type="expression" dxfId="2831" priority="2992">
      <formula>AND(IF($Q60=3,1,0),IF($E60&lt;30,1,0))</formula>
    </cfRule>
    <cfRule type="expression" dxfId="2830" priority="2993">
      <formula>AND(IF($Q60=3,1,IF($Q60=4,1,0)),IF($F60&lt;=85,1,0))</formula>
    </cfRule>
  </conditionalFormatting>
  <conditionalFormatting sqref="Y60">
    <cfRule type="expression" dxfId="2829" priority="2986">
      <formula>AND(IF(OR($Q60=1,$Q60=2),1,0),IF($Y60&lt;=20,1,0))</formula>
    </cfRule>
    <cfRule type="expression" dxfId="2828" priority="2987">
      <formula>AND(IF($Q60=2,1,0),IF($Y60&lt;30,1,0))</formula>
    </cfRule>
    <cfRule type="expression" dxfId="2827" priority="2988">
      <formula>AND(IF($Q60=3,1,0),IF($Y60&lt;30,1,0))</formula>
    </cfRule>
    <cfRule type="expression" dxfId="2826" priority="2989">
      <formula>AND(IF($Q60=3,1,IF($Q60=4,1,0)),IF($F60&lt;=85,1,0))</formula>
    </cfRule>
  </conditionalFormatting>
  <conditionalFormatting sqref="AJ60">
    <cfRule type="expression" dxfId="2825" priority="2982">
      <formula>AND(IF(OR($Q60=1,$Q60=2),1,0),IF($Y60&lt;=20,1,0))</formula>
    </cfRule>
    <cfRule type="expression" dxfId="2824" priority="2983">
      <formula>AND(IF($Q60=2,1,0),IF($Y60&lt;30,1,0))</formula>
    </cfRule>
    <cfRule type="expression" dxfId="2823" priority="2984">
      <formula>AND(IF($Q60=3,1,0),IF($Y60&lt;30,1,0))</formula>
    </cfRule>
    <cfRule type="expression" dxfId="2822" priority="2985">
      <formula>AND(IF($Q60=3,1,IF($Q60=4,1,0)),IF($F60&lt;=85,1,0))</formula>
    </cfRule>
  </conditionalFormatting>
  <conditionalFormatting sqref="AW61">
    <cfRule type="expression" dxfId="2821" priority="2980">
      <formula>AW61="X"</formula>
    </cfRule>
    <cfRule type="expression" dxfId="2820" priority="2981">
      <formula>AW61="후보"</formula>
    </cfRule>
  </conditionalFormatting>
  <conditionalFormatting sqref="AA61">
    <cfRule type="colorScale" priority="29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2819" priority="2977" operator="greaterThan">
      <formula>0.9</formula>
    </cfRule>
    <cfRule type="cellIs" dxfId="2818" priority="2978" operator="greaterThan">
      <formula>0.85</formula>
    </cfRule>
  </conditionalFormatting>
  <conditionalFormatting sqref="N61">
    <cfRule type="cellIs" dxfId="2817" priority="2975" operator="greaterThan">
      <formula>0.9</formula>
    </cfRule>
    <cfRule type="cellIs" dxfId="2816" priority="2976" operator="greaterThan">
      <formula>0.85</formula>
    </cfRule>
  </conditionalFormatting>
  <conditionalFormatting sqref="E61">
    <cfRule type="expression" dxfId="2815" priority="2971">
      <formula>AND(IF(OR($Q61=1,$Q61=2),1,0),IF($E61&lt;=20,1,0))</formula>
    </cfRule>
    <cfRule type="expression" dxfId="2814" priority="2972">
      <formula>AND(IF($Q61=2,1,0),IF($E61&lt;30,1,0))</formula>
    </cfRule>
    <cfRule type="expression" dxfId="2813" priority="2973">
      <formula>AND(IF($Q61=3,1,0),IF($E61&lt;30,1,0))</formula>
    </cfRule>
    <cfRule type="expression" dxfId="2812" priority="2974">
      <formula>AND(IF($Q61=3,1,IF($Q61=4,1,0)),IF($F61&lt;=85,1,0))</formula>
    </cfRule>
  </conditionalFormatting>
  <conditionalFormatting sqref="Y61">
    <cfRule type="expression" dxfId="2811" priority="2967">
      <formula>AND(IF(OR($Q61=1,$Q61=2),1,0),IF($Y61&lt;=20,1,0))</formula>
    </cfRule>
    <cfRule type="expression" dxfId="2810" priority="2968">
      <formula>AND(IF($Q61=2,1,0),IF($Y61&lt;30,1,0))</formula>
    </cfRule>
    <cfRule type="expression" dxfId="2809" priority="2969">
      <formula>AND(IF($Q61=3,1,0),IF($Y61&lt;30,1,0))</formula>
    </cfRule>
    <cfRule type="expression" dxfId="2808" priority="2970">
      <formula>AND(IF($Q61=3,1,IF($Q61=4,1,0)),IF($F61&lt;=85,1,0))</formula>
    </cfRule>
  </conditionalFormatting>
  <conditionalFormatting sqref="AJ61">
    <cfRule type="expression" dxfId="2807" priority="2963">
      <formula>AND(IF(OR($Q61=1,$Q61=2),1,0),IF($Y61&lt;=20,1,0))</formula>
    </cfRule>
    <cfRule type="expression" dxfId="2806" priority="2964">
      <formula>AND(IF($Q61=2,1,0),IF($Y61&lt;30,1,0))</formula>
    </cfRule>
    <cfRule type="expression" dxfId="2805" priority="2965">
      <formula>AND(IF($Q61=3,1,0),IF($Y61&lt;30,1,0))</formula>
    </cfRule>
    <cfRule type="expression" dxfId="2804" priority="2966">
      <formula>AND(IF($Q61=3,1,IF($Q61=4,1,0)),IF($F61&lt;=85,1,0))</formula>
    </cfRule>
  </conditionalFormatting>
  <conditionalFormatting sqref="AW62">
    <cfRule type="expression" dxfId="2803" priority="2961">
      <formula>AW62="X"</formula>
    </cfRule>
    <cfRule type="expression" dxfId="2802" priority="2962">
      <formula>AW62="후보"</formula>
    </cfRule>
  </conditionalFormatting>
  <conditionalFormatting sqref="AA62">
    <cfRule type="colorScale" priority="29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2801" priority="2958" operator="greaterThan">
      <formula>0.9</formula>
    </cfRule>
    <cfRule type="cellIs" dxfId="2800" priority="2959" operator="greaterThan">
      <formula>0.85</formula>
    </cfRule>
  </conditionalFormatting>
  <conditionalFormatting sqref="N62">
    <cfRule type="cellIs" dxfId="2799" priority="2956" operator="greaterThan">
      <formula>0.9</formula>
    </cfRule>
    <cfRule type="cellIs" dxfId="2798" priority="2957" operator="greaterThan">
      <formula>0.85</formula>
    </cfRule>
  </conditionalFormatting>
  <conditionalFormatting sqref="E62">
    <cfRule type="expression" dxfId="2797" priority="2952">
      <formula>AND(IF(OR($Q62=1,$Q62=2),1,0),IF($E62&lt;=20,1,0))</formula>
    </cfRule>
    <cfRule type="expression" dxfId="2796" priority="2953">
      <formula>AND(IF($Q62=2,1,0),IF($E62&lt;30,1,0))</formula>
    </cfRule>
    <cfRule type="expression" dxfId="2795" priority="2954">
      <formula>AND(IF($Q62=3,1,0),IF($E62&lt;30,1,0))</formula>
    </cfRule>
    <cfRule type="expression" dxfId="2794" priority="2955">
      <formula>AND(IF($Q62=3,1,IF($Q62=4,1,0)),IF($F62&lt;=85,1,0))</formula>
    </cfRule>
  </conditionalFormatting>
  <conditionalFormatting sqref="Y62">
    <cfRule type="expression" dxfId="2793" priority="2948">
      <formula>AND(IF(OR($Q62=1,$Q62=2),1,0),IF($Y62&lt;=20,1,0))</formula>
    </cfRule>
    <cfRule type="expression" dxfId="2792" priority="2949">
      <formula>AND(IF($Q62=2,1,0),IF($Y62&lt;30,1,0))</formula>
    </cfRule>
    <cfRule type="expression" dxfId="2791" priority="2950">
      <formula>AND(IF($Q62=3,1,0),IF($Y62&lt;30,1,0))</formula>
    </cfRule>
    <cfRule type="expression" dxfId="2790" priority="2951">
      <formula>AND(IF($Q62=3,1,IF($Q62=4,1,0)),IF($F62&lt;=85,1,0))</formula>
    </cfRule>
  </conditionalFormatting>
  <conditionalFormatting sqref="AJ62">
    <cfRule type="expression" dxfId="2789" priority="2944">
      <formula>AND(IF(OR($Q62=1,$Q62=2),1,0),IF($Y62&lt;=20,1,0))</formula>
    </cfRule>
    <cfRule type="expression" dxfId="2788" priority="2945">
      <formula>AND(IF($Q62=2,1,0),IF($Y62&lt;30,1,0))</formula>
    </cfRule>
    <cfRule type="expression" dxfId="2787" priority="2946">
      <formula>AND(IF($Q62=3,1,0),IF($Y62&lt;30,1,0))</formula>
    </cfRule>
    <cfRule type="expression" dxfId="2786" priority="2947">
      <formula>AND(IF($Q62=3,1,IF($Q62=4,1,0)),IF($F62&lt;=85,1,0))</formula>
    </cfRule>
  </conditionalFormatting>
  <conditionalFormatting sqref="AW63">
    <cfRule type="expression" dxfId="2785" priority="2942">
      <formula>AW63="X"</formula>
    </cfRule>
    <cfRule type="expression" dxfId="2784" priority="2943">
      <formula>AW63="후보"</formula>
    </cfRule>
  </conditionalFormatting>
  <conditionalFormatting sqref="AA63">
    <cfRule type="colorScale" priority="29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2783" priority="2939" operator="greaterThan">
      <formula>0.9</formula>
    </cfRule>
    <cfRule type="cellIs" dxfId="2782" priority="2940" operator="greaterThan">
      <formula>0.85</formula>
    </cfRule>
  </conditionalFormatting>
  <conditionalFormatting sqref="N63">
    <cfRule type="cellIs" dxfId="2781" priority="2937" operator="greaterThan">
      <formula>0.9</formula>
    </cfRule>
    <cfRule type="cellIs" dxfId="2780" priority="2938" operator="greaterThan">
      <formula>0.85</formula>
    </cfRule>
  </conditionalFormatting>
  <conditionalFormatting sqref="E63">
    <cfRule type="expression" dxfId="2779" priority="2933">
      <formula>AND(IF(OR($Q63=1,$Q63=2),1,0),IF($E63&lt;=20,1,0))</formula>
    </cfRule>
    <cfRule type="expression" dxfId="2778" priority="2934">
      <formula>AND(IF($Q63=2,1,0),IF($E63&lt;30,1,0))</formula>
    </cfRule>
    <cfRule type="expression" dxfId="2777" priority="2935">
      <formula>AND(IF($Q63=3,1,0),IF($E63&lt;30,1,0))</formula>
    </cfRule>
    <cfRule type="expression" dxfId="2776" priority="2936">
      <formula>AND(IF($Q63=3,1,IF($Q63=4,1,0)),IF($F63&lt;=85,1,0))</formula>
    </cfRule>
  </conditionalFormatting>
  <conditionalFormatting sqref="Y63">
    <cfRule type="expression" dxfId="2775" priority="2929">
      <formula>AND(IF(OR($Q63=1,$Q63=2),1,0),IF($Y63&lt;=20,1,0))</formula>
    </cfRule>
    <cfRule type="expression" dxfId="2774" priority="2930">
      <formula>AND(IF($Q63=2,1,0),IF($Y63&lt;30,1,0))</formula>
    </cfRule>
    <cfRule type="expression" dxfId="2773" priority="2931">
      <formula>AND(IF($Q63=3,1,0),IF($Y63&lt;30,1,0))</formula>
    </cfRule>
    <cfRule type="expression" dxfId="2772" priority="2932">
      <formula>AND(IF($Q63=3,1,IF($Q63=4,1,0)),IF($F63&lt;=85,1,0))</formula>
    </cfRule>
  </conditionalFormatting>
  <conditionalFormatting sqref="AJ63">
    <cfRule type="expression" dxfId="2771" priority="2925">
      <formula>AND(IF(OR($Q63=1,$Q63=2),1,0),IF($Y63&lt;=20,1,0))</formula>
    </cfRule>
    <cfRule type="expression" dxfId="2770" priority="2926">
      <formula>AND(IF($Q63=2,1,0),IF($Y63&lt;30,1,0))</formula>
    </cfRule>
    <cfRule type="expression" dxfId="2769" priority="2927">
      <formula>AND(IF($Q63=3,1,0),IF($Y63&lt;30,1,0))</formula>
    </cfRule>
    <cfRule type="expression" dxfId="2768" priority="2928">
      <formula>AND(IF($Q63=3,1,IF($Q63=4,1,0)),IF($F63&lt;=85,1,0))</formula>
    </cfRule>
  </conditionalFormatting>
  <conditionalFormatting sqref="AW64">
    <cfRule type="expression" dxfId="2767" priority="2923">
      <formula>AW64="X"</formula>
    </cfRule>
    <cfRule type="expression" dxfId="2766" priority="2924">
      <formula>AW64="후보"</formula>
    </cfRule>
  </conditionalFormatting>
  <conditionalFormatting sqref="AA64">
    <cfRule type="colorScale" priority="29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 N64">
    <cfRule type="cellIs" dxfId="2765" priority="2920" operator="greaterThan">
      <formula>0.9</formula>
    </cfRule>
    <cfRule type="cellIs" dxfId="2764" priority="2921" operator="greaterThan">
      <formula>0.85</formula>
    </cfRule>
  </conditionalFormatting>
  <conditionalFormatting sqref="AW65">
    <cfRule type="expression" dxfId="2763" priority="2918">
      <formula>AW65="X"</formula>
    </cfRule>
    <cfRule type="expression" dxfId="2762" priority="2919">
      <formula>AW65="후보"</formula>
    </cfRule>
  </conditionalFormatting>
  <conditionalFormatting sqref="AA65">
    <cfRule type="colorScale" priority="29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2761" priority="2915" operator="greaterThan">
      <formula>0.9</formula>
    </cfRule>
    <cfRule type="cellIs" dxfId="2760" priority="2916" operator="greaterThan">
      <formula>0.85</formula>
    </cfRule>
  </conditionalFormatting>
  <conditionalFormatting sqref="N65">
    <cfRule type="cellIs" dxfId="2759" priority="2913" operator="greaterThan">
      <formula>0.9</formula>
    </cfRule>
    <cfRule type="cellIs" dxfId="2758" priority="2914" operator="greaterThan">
      <formula>0.85</formula>
    </cfRule>
  </conditionalFormatting>
  <conditionalFormatting sqref="E65">
    <cfRule type="expression" dxfId="2757" priority="2909">
      <formula>AND(IF(OR($Q65=1,$Q65=2),1,0),IF($E65&lt;=20,1,0))</formula>
    </cfRule>
    <cfRule type="expression" dxfId="2756" priority="2910">
      <formula>AND(IF($Q65=2,1,0),IF($E65&lt;30,1,0))</formula>
    </cfRule>
    <cfRule type="expression" dxfId="2755" priority="2911">
      <formula>AND(IF($Q65=3,1,0),IF($E65&lt;30,1,0))</formula>
    </cfRule>
    <cfRule type="expression" dxfId="2754" priority="2912">
      <formula>AND(IF($Q65=3,1,IF($Q65=4,1,0)),IF($F65&lt;=85,1,0))</formula>
    </cfRule>
  </conditionalFormatting>
  <conditionalFormatting sqref="Y65">
    <cfRule type="expression" dxfId="2753" priority="2905">
      <formula>AND(IF(OR($Q65=1,$Q65=2),1,0),IF($Y65&lt;=20,1,0))</formula>
    </cfRule>
    <cfRule type="expression" dxfId="2752" priority="2906">
      <formula>AND(IF($Q65=2,1,0),IF($Y65&lt;30,1,0))</formula>
    </cfRule>
    <cfRule type="expression" dxfId="2751" priority="2907">
      <formula>AND(IF($Q65=3,1,0),IF($Y65&lt;30,1,0))</formula>
    </cfRule>
    <cfRule type="expression" dxfId="2750" priority="2908">
      <formula>AND(IF($Q65=3,1,IF($Q65=4,1,0)),IF($F65&lt;=85,1,0))</formula>
    </cfRule>
  </conditionalFormatting>
  <conditionalFormatting sqref="AJ65">
    <cfRule type="expression" dxfId="2749" priority="2901">
      <formula>AND(IF(OR($Q65=1,$Q65=2),1,0),IF($Y65&lt;=20,1,0))</formula>
    </cfRule>
    <cfRule type="expression" dxfId="2748" priority="2902">
      <formula>AND(IF($Q65=2,1,0),IF($Y65&lt;30,1,0))</formula>
    </cfRule>
    <cfRule type="expression" dxfId="2747" priority="2903">
      <formula>AND(IF($Q65=3,1,0),IF($Y65&lt;30,1,0))</formula>
    </cfRule>
    <cfRule type="expression" dxfId="2746" priority="2904">
      <formula>AND(IF($Q65=3,1,IF($Q65=4,1,0)),IF($F65&lt;=85,1,0))</formula>
    </cfRule>
  </conditionalFormatting>
  <conditionalFormatting sqref="AW66">
    <cfRule type="expression" dxfId="2745" priority="2899">
      <formula>AW66="X"</formula>
    </cfRule>
    <cfRule type="expression" dxfId="2744" priority="2900">
      <formula>AW66="후보"</formula>
    </cfRule>
  </conditionalFormatting>
  <conditionalFormatting sqref="AA66">
    <cfRule type="colorScale" priority="28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2743" priority="2896" operator="greaterThan">
      <formula>0.9</formula>
    </cfRule>
    <cfRule type="cellIs" dxfId="2742" priority="2897" operator="greaterThan">
      <formula>0.85</formula>
    </cfRule>
  </conditionalFormatting>
  <conditionalFormatting sqref="N66">
    <cfRule type="cellIs" dxfId="2741" priority="2894" operator="greaterThan">
      <formula>0.9</formula>
    </cfRule>
    <cfRule type="cellIs" dxfId="2740" priority="2895" operator="greaterThan">
      <formula>0.85</formula>
    </cfRule>
  </conditionalFormatting>
  <conditionalFormatting sqref="E66">
    <cfRule type="expression" dxfId="2739" priority="2890">
      <formula>AND(IF(OR($Q66=1,$Q66=2),1,0),IF($E66&lt;=20,1,0))</formula>
    </cfRule>
    <cfRule type="expression" dxfId="2738" priority="2891">
      <formula>AND(IF($Q66=2,1,0),IF($E66&lt;30,1,0))</formula>
    </cfRule>
    <cfRule type="expression" dxfId="2737" priority="2892">
      <formula>AND(IF($Q66=3,1,0),IF($E66&lt;30,1,0))</formula>
    </cfRule>
    <cfRule type="expression" dxfId="2736" priority="2893">
      <formula>AND(IF($Q66=3,1,IF($Q66=4,1,0)),IF($F66&lt;=85,1,0))</formula>
    </cfRule>
  </conditionalFormatting>
  <conditionalFormatting sqref="Y66">
    <cfRule type="expression" dxfId="2735" priority="2886">
      <formula>AND(IF(OR($Q66=1,$Q66=2),1,0),IF($Y66&lt;=20,1,0))</formula>
    </cfRule>
    <cfRule type="expression" dxfId="2734" priority="2887">
      <formula>AND(IF($Q66=2,1,0),IF($Y66&lt;30,1,0))</formula>
    </cfRule>
    <cfRule type="expression" dxfId="2733" priority="2888">
      <formula>AND(IF($Q66=3,1,0),IF($Y66&lt;30,1,0))</formula>
    </cfRule>
    <cfRule type="expression" dxfId="2732" priority="2889">
      <formula>AND(IF($Q66=3,1,IF($Q66=4,1,0)),IF($F66&lt;=85,1,0))</formula>
    </cfRule>
  </conditionalFormatting>
  <conditionalFormatting sqref="AJ66">
    <cfRule type="expression" dxfId="2731" priority="2882">
      <formula>AND(IF(OR($Q66=1,$Q66=2),1,0),IF($Y66&lt;=20,1,0))</formula>
    </cfRule>
    <cfRule type="expression" dxfId="2730" priority="2883">
      <formula>AND(IF($Q66=2,1,0),IF($Y66&lt;30,1,0))</formula>
    </cfRule>
    <cfRule type="expression" dxfId="2729" priority="2884">
      <formula>AND(IF($Q66=3,1,0),IF($Y66&lt;30,1,0))</formula>
    </cfRule>
    <cfRule type="expression" dxfId="2728" priority="2885">
      <formula>AND(IF($Q66=3,1,IF($Q66=4,1,0)),IF($F66&lt;=85,1,0))</formula>
    </cfRule>
  </conditionalFormatting>
  <conditionalFormatting sqref="AW67">
    <cfRule type="expression" dxfId="2727" priority="2880">
      <formula>AW67="X"</formula>
    </cfRule>
    <cfRule type="expression" dxfId="2726" priority="2881">
      <formula>AW67="후보"</formula>
    </cfRule>
  </conditionalFormatting>
  <conditionalFormatting sqref="AA67">
    <cfRule type="colorScale" priority="28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2725" priority="2877" operator="greaterThan">
      <formula>0.9</formula>
    </cfRule>
    <cfRule type="cellIs" dxfId="2724" priority="2878" operator="greaterThan">
      <formula>0.85</formula>
    </cfRule>
  </conditionalFormatting>
  <conditionalFormatting sqref="N67">
    <cfRule type="cellIs" dxfId="2723" priority="2875" operator="greaterThan">
      <formula>0.9</formula>
    </cfRule>
    <cfRule type="cellIs" dxfId="2722" priority="2876" operator="greaterThan">
      <formula>0.85</formula>
    </cfRule>
  </conditionalFormatting>
  <conditionalFormatting sqref="E67">
    <cfRule type="expression" dxfId="2721" priority="2871">
      <formula>AND(IF(OR($Q67=1,$Q67=2),1,0),IF($E67&lt;=20,1,0))</formula>
    </cfRule>
    <cfRule type="expression" dxfId="2720" priority="2872">
      <formula>AND(IF($Q67=2,1,0),IF($E67&lt;30,1,0))</formula>
    </cfRule>
    <cfRule type="expression" dxfId="2719" priority="2873">
      <formula>AND(IF($Q67=3,1,0),IF($E67&lt;30,1,0))</formula>
    </cfRule>
    <cfRule type="expression" dxfId="2718" priority="2874">
      <formula>AND(IF($Q67=3,1,IF($Q67=4,1,0)),IF($F67&lt;=85,1,0))</formula>
    </cfRule>
  </conditionalFormatting>
  <conditionalFormatting sqref="Y67">
    <cfRule type="expression" dxfId="2717" priority="2867">
      <formula>AND(IF(OR($Q67=1,$Q67=2),1,0),IF($Y67&lt;=20,1,0))</formula>
    </cfRule>
    <cfRule type="expression" dxfId="2716" priority="2868">
      <formula>AND(IF($Q67=2,1,0),IF($Y67&lt;30,1,0))</formula>
    </cfRule>
    <cfRule type="expression" dxfId="2715" priority="2869">
      <formula>AND(IF($Q67=3,1,0),IF($Y67&lt;30,1,0))</formula>
    </cfRule>
    <cfRule type="expression" dxfId="2714" priority="2870">
      <formula>AND(IF($Q67=3,1,IF($Q67=4,1,0)),IF($F67&lt;=85,1,0))</formula>
    </cfRule>
  </conditionalFormatting>
  <conditionalFormatting sqref="AJ67">
    <cfRule type="expression" dxfId="2713" priority="2863">
      <formula>AND(IF(OR($Q67=1,$Q67=2),1,0),IF($Y67&lt;=20,1,0))</formula>
    </cfRule>
    <cfRule type="expression" dxfId="2712" priority="2864">
      <formula>AND(IF($Q67=2,1,0),IF($Y67&lt;30,1,0))</formula>
    </cfRule>
    <cfRule type="expression" dxfId="2711" priority="2865">
      <formula>AND(IF($Q67=3,1,0),IF($Y67&lt;30,1,0))</formula>
    </cfRule>
    <cfRule type="expression" dxfId="2710" priority="2866">
      <formula>AND(IF($Q67=3,1,IF($Q67=4,1,0)),IF($F67&lt;=85,1,0))</formula>
    </cfRule>
  </conditionalFormatting>
  <conditionalFormatting sqref="AW68">
    <cfRule type="expression" dxfId="2709" priority="2861">
      <formula>AW68="X"</formula>
    </cfRule>
    <cfRule type="expression" dxfId="2708" priority="2862">
      <formula>AW68="후보"</formula>
    </cfRule>
  </conditionalFormatting>
  <conditionalFormatting sqref="AA68">
    <cfRule type="colorScale" priority="28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 N68">
    <cfRule type="cellIs" dxfId="2707" priority="2858" operator="greaterThan">
      <formula>0.9</formula>
    </cfRule>
    <cfRule type="cellIs" dxfId="2706" priority="2859" operator="greaterThan">
      <formula>0.85</formula>
    </cfRule>
  </conditionalFormatting>
  <conditionalFormatting sqref="AW69">
    <cfRule type="expression" dxfId="2705" priority="2856">
      <formula>AW69="X"</formula>
    </cfRule>
    <cfRule type="expression" dxfId="2704" priority="2857">
      <formula>AW69="후보"</formula>
    </cfRule>
  </conditionalFormatting>
  <conditionalFormatting sqref="AA69">
    <cfRule type="colorScale" priority="28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">
    <cfRule type="cellIs" dxfId="2703" priority="2853" operator="greaterThan">
      <formula>0.9</formula>
    </cfRule>
    <cfRule type="cellIs" dxfId="2702" priority="2854" operator="greaterThan">
      <formula>0.85</formula>
    </cfRule>
  </conditionalFormatting>
  <conditionalFormatting sqref="N69">
    <cfRule type="cellIs" dxfId="2701" priority="2851" operator="greaterThan">
      <formula>0.9</formula>
    </cfRule>
    <cfRule type="cellIs" dxfId="2700" priority="2852" operator="greaterThan">
      <formula>0.85</formula>
    </cfRule>
  </conditionalFormatting>
  <conditionalFormatting sqref="E69">
    <cfRule type="expression" dxfId="2699" priority="2847">
      <formula>AND(IF(OR($Q69=1,$Q69=2),1,0),IF($E69&lt;=20,1,0))</formula>
    </cfRule>
    <cfRule type="expression" dxfId="2698" priority="2848">
      <formula>AND(IF($Q69=2,1,0),IF($E69&lt;30,1,0))</formula>
    </cfRule>
    <cfRule type="expression" dxfId="2697" priority="2849">
      <formula>AND(IF($Q69=3,1,0),IF($E69&lt;30,1,0))</formula>
    </cfRule>
    <cfRule type="expression" dxfId="2696" priority="2850">
      <formula>AND(IF($Q69=3,1,IF($Q69=4,1,0)),IF($F69&lt;=85,1,0))</formula>
    </cfRule>
  </conditionalFormatting>
  <conditionalFormatting sqref="Y69">
    <cfRule type="expression" dxfId="2695" priority="2843">
      <formula>AND(IF(OR($Q69=1,$Q69=2),1,0),IF($Y69&lt;=20,1,0))</formula>
    </cfRule>
    <cfRule type="expression" dxfId="2694" priority="2844">
      <formula>AND(IF($Q69=2,1,0),IF($Y69&lt;30,1,0))</formula>
    </cfRule>
    <cfRule type="expression" dxfId="2693" priority="2845">
      <formula>AND(IF($Q69=3,1,0),IF($Y69&lt;30,1,0))</formula>
    </cfRule>
    <cfRule type="expression" dxfId="2692" priority="2846">
      <formula>AND(IF($Q69=3,1,IF($Q69=4,1,0)),IF($F69&lt;=85,1,0))</formula>
    </cfRule>
  </conditionalFormatting>
  <conditionalFormatting sqref="AJ69">
    <cfRule type="expression" dxfId="2691" priority="2839">
      <formula>AND(IF(OR($Q69=1,$Q69=2),1,0),IF($Y69&lt;=20,1,0))</formula>
    </cfRule>
    <cfRule type="expression" dxfId="2690" priority="2840">
      <formula>AND(IF($Q69=2,1,0),IF($Y69&lt;30,1,0))</formula>
    </cfRule>
    <cfRule type="expression" dxfId="2689" priority="2841">
      <formula>AND(IF($Q69=3,1,0),IF($Y69&lt;30,1,0))</formula>
    </cfRule>
    <cfRule type="expression" dxfId="2688" priority="2842">
      <formula>AND(IF($Q69=3,1,IF($Q69=4,1,0)),IF($F69&lt;=85,1,0))</formula>
    </cfRule>
  </conditionalFormatting>
  <conditionalFormatting sqref="AW70">
    <cfRule type="expression" dxfId="2687" priority="2837">
      <formula>AW70="X"</formula>
    </cfRule>
    <cfRule type="expression" dxfId="2686" priority="2838">
      <formula>AW70="후보"</formula>
    </cfRule>
  </conditionalFormatting>
  <conditionalFormatting sqref="AA70">
    <cfRule type="colorScale" priority="28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2685" priority="2834" operator="greaterThan">
      <formula>0.9</formula>
    </cfRule>
    <cfRule type="cellIs" dxfId="2684" priority="2835" operator="greaterThan">
      <formula>0.85</formula>
    </cfRule>
  </conditionalFormatting>
  <conditionalFormatting sqref="N70">
    <cfRule type="cellIs" dxfId="2683" priority="2832" operator="greaterThan">
      <formula>0.9</formula>
    </cfRule>
    <cfRule type="cellIs" dxfId="2682" priority="2833" operator="greaterThan">
      <formula>0.85</formula>
    </cfRule>
  </conditionalFormatting>
  <conditionalFormatting sqref="E70">
    <cfRule type="expression" dxfId="2681" priority="2828">
      <formula>AND(IF(OR($Q70=1,$Q70=2),1,0),IF($E70&lt;=20,1,0))</formula>
    </cfRule>
    <cfRule type="expression" dxfId="2680" priority="2829">
      <formula>AND(IF($Q70=2,1,0),IF($E70&lt;30,1,0))</formula>
    </cfRule>
    <cfRule type="expression" dxfId="2679" priority="2830">
      <formula>AND(IF($Q70=3,1,0),IF($E70&lt;30,1,0))</formula>
    </cfRule>
    <cfRule type="expression" dxfId="2678" priority="2831">
      <formula>AND(IF($Q70=3,1,IF($Q70=4,1,0)),IF($F70&lt;=85,1,0))</formula>
    </cfRule>
  </conditionalFormatting>
  <conditionalFormatting sqref="Y70">
    <cfRule type="expression" dxfId="2677" priority="2824">
      <formula>AND(IF(OR($Q70=1,$Q70=2),1,0),IF($Y70&lt;=20,1,0))</formula>
    </cfRule>
    <cfRule type="expression" dxfId="2676" priority="2825">
      <formula>AND(IF($Q70=2,1,0),IF($Y70&lt;30,1,0))</formula>
    </cfRule>
    <cfRule type="expression" dxfId="2675" priority="2826">
      <formula>AND(IF($Q70=3,1,0),IF($Y70&lt;30,1,0))</formula>
    </cfRule>
    <cfRule type="expression" dxfId="2674" priority="2827">
      <formula>AND(IF($Q70=3,1,IF($Q70=4,1,0)),IF($F70&lt;=85,1,0))</formula>
    </cfRule>
  </conditionalFormatting>
  <conditionalFormatting sqref="AJ70">
    <cfRule type="expression" dxfId="2673" priority="2820">
      <formula>AND(IF(OR($Q70=1,$Q70=2),1,0),IF($Y70&lt;=20,1,0))</formula>
    </cfRule>
    <cfRule type="expression" dxfId="2672" priority="2821">
      <formula>AND(IF($Q70=2,1,0),IF($Y70&lt;30,1,0))</formula>
    </cfRule>
    <cfRule type="expression" dxfId="2671" priority="2822">
      <formula>AND(IF($Q70=3,1,0),IF($Y70&lt;30,1,0))</formula>
    </cfRule>
    <cfRule type="expression" dxfId="2670" priority="2823">
      <formula>AND(IF($Q70=3,1,IF($Q70=4,1,0)),IF($F70&lt;=85,1,0))</formula>
    </cfRule>
  </conditionalFormatting>
  <conditionalFormatting sqref="AW71">
    <cfRule type="expression" dxfId="2669" priority="2818">
      <formula>AW71="X"</formula>
    </cfRule>
    <cfRule type="expression" dxfId="2668" priority="2819">
      <formula>AW71="후보"</formula>
    </cfRule>
  </conditionalFormatting>
  <conditionalFormatting sqref="AA71">
    <cfRule type="colorScale" priority="28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2667" priority="2815" operator="greaterThan">
      <formula>0.9</formula>
    </cfRule>
    <cfRule type="cellIs" dxfId="2666" priority="2816" operator="greaterThan">
      <formula>0.85</formula>
    </cfRule>
  </conditionalFormatting>
  <conditionalFormatting sqref="N71">
    <cfRule type="cellIs" dxfId="2665" priority="2813" operator="greaterThan">
      <formula>0.9</formula>
    </cfRule>
    <cfRule type="cellIs" dxfId="2664" priority="2814" operator="greaterThan">
      <formula>0.85</formula>
    </cfRule>
  </conditionalFormatting>
  <conditionalFormatting sqref="E71">
    <cfRule type="expression" dxfId="2663" priority="2809">
      <formula>AND(IF(OR($Q71=1,$Q71=2),1,0),IF($E71&lt;=20,1,0))</formula>
    </cfRule>
    <cfRule type="expression" dxfId="2662" priority="2810">
      <formula>AND(IF($Q71=2,1,0),IF($E71&lt;30,1,0))</formula>
    </cfRule>
    <cfRule type="expression" dxfId="2661" priority="2811">
      <formula>AND(IF($Q71=3,1,0),IF($E71&lt;30,1,0))</formula>
    </cfRule>
    <cfRule type="expression" dxfId="2660" priority="2812">
      <formula>AND(IF($Q71=3,1,IF($Q71=4,1,0)),IF($F71&lt;=85,1,0))</formula>
    </cfRule>
  </conditionalFormatting>
  <conditionalFormatting sqref="Y71">
    <cfRule type="expression" dxfId="2659" priority="2805">
      <formula>AND(IF(OR($Q71=1,$Q71=2),1,0),IF($Y71&lt;=20,1,0))</formula>
    </cfRule>
    <cfRule type="expression" dxfId="2658" priority="2806">
      <formula>AND(IF($Q71=2,1,0),IF($Y71&lt;30,1,0))</formula>
    </cfRule>
    <cfRule type="expression" dxfId="2657" priority="2807">
      <formula>AND(IF($Q71=3,1,0),IF($Y71&lt;30,1,0))</formula>
    </cfRule>
    <cfRule type="expression" dxfId="2656" priority="2808">
      <formula>AND(IF($Q71=3,1,IF($Q71=4,1,0)),IF($F71&lt;=85,1,0))</formula>
    </cfRule>
  </conditionalFormatting>
  <conditionalFormatting sqref="AJ71">
    <cfRule type="expression" dxfId="2655" priority="2801">
      <formula>AND(IF(OR($Q71=1,$Q71=2),1,0),IF($Y71&lt;=20,1,0))</formula>
    </cfRule>
    <cfRule type="expression" dxfId="2654" priority="2802">
      <formula>AND(IF($Q71=2,1,0),IF($Y71&lt;30,1,0))</formula>
    </cfRule>
    <cfRule type="expression" dxfId="2653" priority="2803">
      <formula>AND(IF($Q71=3,1,0),IF($Y71&lt;30,1,0))</formula>
    </cfRule>
    <cfRule type="expression" dxfId="2652" priority="2804">
      <formula>AND(IF($Q71=3,1,IF($Q71=4,1,0)),IF($F71&lt;=85,1,0))</formula>
    </cfRule>
  </conditionalFormatting>
  <conditionalFormatting sqref="AW72">
    <cfRule type="expression" dxfId="2651" priority="2799">
      <formula>AW72="X"</formula>
    </cfRule>
    <cfRule type="expression" dxfId="2650" priority="2800">
      <formula>AW72="후보"</formula>
    </cfRule>
  </conditionalFormatting>
  <conditionalFormatting sqref="AA72">
    <cfRule type="colorScale" priority="27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2649" priority="2796" operator="greaterThan">
      <formula>0.9</formula>
    </cfRule>
    <cfRule type="cellIs" dxfId="2648" priority="2797" operator="greaterThan">
      <formula>0.85</formula>
    </cfRule>
  </conditionalFormatting>
  <conditionalFormatting sqref="N72">
    <cfRule type="cellIs" dxfId="2647" priority="2794" operator="greaterThan">
      <formula>0.9</formula>
    </cfRule>
    <cfRule type="cellIs" dxfId="2646" priority="2795" operator="greaterThan">
      <formula>0.85</formula>
    </cfRule>
  </conditionalFormatting>
  <conditionalFormatting sqref="E72">
    <cfRule type="expression" dxfId="2645" priority="2790">
      <formula>AND(IF(OR($Q72=1,$Q72=2),1,0),IF($E72&lt;=20,1,0))</formula>
    </cfRule>
    <cfRule type="expression" dxfId="2644" priority="2791">
      <formula>AND(IF($Q72=2,1,0),IF($E72&lt;30,1,0))</formula>
    </cfRule>
    <cfRule type="expression" dxfId="2643" priority="2792">
      <formula>AND(IF($Q72=3,1,0),IF($E72&lt;30,1,0))</formula>
    </cfRule>
    <cfRule type="expression" dxfId="2642" priority="2793">
      <formula>AND(IF($Q72=3,1,IF($Q72=4,1,0)),IF($F72&lt;=85,1,0))</formula>
    </cfRule>
  </conditionalFormatting>
  <conditionalFormatting sqref="Y72">
    <cfRule type="expression" dxfId="2641" priority="2786">
      <formula>AND(IF(OR($Q72=1,$Q72=2),1,0),IF($Y72&lt;=20,1,0))</formula>
    </cfRule>
    <cfRule type="expression" dxfId="2640" priority="2787">
      <formula>AND(IF($Q72=2,1,0),IF($Y72&lt;30,1,0))</formula>
    </cfRule>
    <cfRule type="expression" dxfId="2639" priority="2788">
      <formula>AND(IF($Q72=3,1,0),IF($Y72&lt;30,1,0))</formula>
    </cfRule>
    <cfRule type="expression" dxfId="2638" priority="2789">
      <formula>AND(IF($Q72=3,1,IF($Q72=4,1,0)),IF($F72&lt;=85,1,0))</formula>
    </cfRule>
  </conditionalFormatting>
  <conditionalFormatting sqref="AJ72">
    <cfRule type="expression" dxfId="2637" priority="2782">
      <formula>AND(IF(OR($Q72=1,$Q72=2),1,0),IF($Y72&lt;=20,1,0))</formula>
    </cfRule>
    <cfRule type="expression" dxfId="2636" priority="2783">
      <formula>AND(IF($Q72=2,1,0),IF($Y72&lt;30,1,0))</formula>
    </cfRule>
    <cfRule type="expression" dxfId="2635" priority="2784">
      <formula>AND(IF($Q72=3,1,0),IF($Y72&lt;30,1,0))</formula>
    </cfRule>
    <cfRule type="expression" dxfId="2634" priority="2785">
      <formula>AND(IF($Q72=3,1,IF($Q72=4,1,0)),IF($F72&lt;=85,1,0))</formula>
    </cfRule>
  </conditionalFormatting>
  <conditionalFormatting sqref="AW73">
    <cfRule type="expression" dxfId="2633" priority="2780">
      <formula>AW73="X"</formula>
    </cfRule>
    <cfRule type="expression" dxfId="2632" priority="2781">
      <formula>AW73="후보"</formula>
    </cfRule>
  </conditionalFormatting>
  <conditionalFormatting sqref="AA73">
    <cfRule type="colorScale" priority="27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2631" priority="2777" operator="greaterThan">
      <formula>0.9</formula>
    </cfRule>
    <cfRule type="cellIs" dxfId="2630" priority="2778" operator="greaterThan">
      <formula>0.85</formula>
    </cfRule>
  </conditionalFormatting>
  <conditionalFormatting sqref="N73">
    <cfRule type="cellIs" dxfId="2629" priority="2775" operator="greaterThan">
      <formula>0.9</formula>
    </cfRule>
    <cfRule type="cellIs" dxfId="2628" priority="2776" operator="greaterThan">
      <formula>0.85</formula>
    </cfRule>
  </conditionalFormatting>
  <conditionalFormatting sqref="E73">
    <cfRule type="expression" dxfId="2627" priority="2771">
      <formula>AND(IF(OR($Q73=1,$Q73=2),1,0),IF($E73&lt;=20,1,0))</formula>
    </cfRule>
    <cfRule type="expression" dxfId="2626" priority="2772">
      <formula>AND(IF($Q73=2,1,0),IF($E73&lt;30,1,0))</formula>
    </cfRule>
    <cfRule type="expression" dxfId="2625" priority="2773">
      <formula>AND(IF($Q73=3,1,0),IF($E73&lt;30,1,0))</formula>
    </cfRule>
    <cfRule type="expression" dxfId="2624" priority="2774">
      <formula>AND(IF($Q73=3,1,IF($Q73=4,1,0)),IF($F73&lt;=85,1,0))</formula>
    </cfRule>
  </conditionalFormatting>
  <conditionalFormatting sqref="Y73">
    <cfRule type="expression" dxfId="2623" priority="2767">
      <formula>AND(IF(OR($Q73=1,$Q73=2),1,0),IF($Y73&lt;=20,1,0))</formula>
    </cfRule>
    <cfRule type="expression" dxfId="2622" priority="2768">
      <formula>AND(IF($Q73=2,1,0),IF($Y73&lt;30,1,0))</formula>
    </cfRule>
    <cfRule type="expression" dxfId="2621" priority="2769">
      <formula>AND(IF($Q73=3,1,0),IF($Y73&lt;30,1,0))</formula>
    </cfRule>
    <cfRule type="expression" dxfId="2620" priority="2770">
      <formula>AND(IF($Q73=3,1,IF($Q73=4,1,0)),IF($F73&lt;=85,1,0))</formula>
    </cfRule>
  </conditionalFormatting>
  <conditionalFormatting sqref="AJ73">
    <cfRule type="expression" dxfId="2619" priority="2763">
      <formula>AND(IF(OR($Q73=1,$Q73=2),1,0),IF($Y73&lt;=20,1,0))</formula>
    </cfRule>
    <cfRule type="expression" dxfId="2618" priority="2764">
      <formula>AND(IF($Q73=2,1,0),IF($Y73&lt;30,1,0))</formula>
    </cfRule>
    <cfRule type="expression" dxfId="2617" priority="2765">
      <formula>AND(IF($Q73=3,1,0),IF($Y73&lt;30,1,0))</formula>
    </cfRule>
    <cfRule type="expression" dxfId="2616" priority="2766">
      <formula>AND(IF($Q73=3,1,IF($Q73=4,1,0)),IF($F73&lt;=85,1,0))</formula>
    </cfRule>
  </conditionalFormatting>
  <conditionalFormatting sqref="AW74">
    <cfRule type="expression" dxfId="2615" priority="2761">
      <formula>AW74="X"</formula>
    </cfRule>
    <cfRule type="expression" dxfId="2614" priority="2762">
      <formula>AW74="후보"</formula>
    </cfRule>
  </conditionalFormatting>
  <conditionalFormatting sqref="AA74">
    <cfRule type="colorScale" priority="27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2613" priority="2758" operator="greaterThan">
      <formula>0.9</formula>
    </cfRule>
    <cfRule type="cellIs" dxfId="2612" priority="2759" operator="greaterThan">
      <formula>0.85</formula>
    </cfRule>
  </conditionalFormatting>
  <conditionalFormatting sqref="N74">
    <cfRule type="cellIs" dxfId="2611" priority="2756" operator="greaterThan">
      <formula>0.9</formula>
    </cfRule>
    <cfRule type="cellIs" dxfId="2610" priority="2757" operator="greaterThan">
      <formula>0.85</formula>
    </cfRule>
  </conditionalFormatting>
  <conditionalFormatting sqref="E74">
    <cfRule type="expression" dxfId="2609" priority="2752">
      <formula>AND(IF(OR($Q74=1,$Q74=2),1,0),IF($E74&lt;=20,1,0))</formula>
    </cfRule>
    <cfRule type="expression" dxfId="2608" priority="2753">
      <formula>AND(IF($Q74=2,1,0),IF($E74&lt;30,1,0))</formula>
    </cfRule>
    <cfRule type="expression" dxfId="2607" priority="2754">
      <formula>AND(IF($Q74=3,1,0),IF($E74&lt;30,1,0))</formula>
    </cfRule>
    <cfRule type="expression" dxfId="2606" priority="2755">
      <formula>AND(IF($Q74=3,1,IF($Q74=4,1,0)),IF($F74&lt;=85,1,0))</formula>
    </cfRule>
  </conditionalFormatting>
  <conditionalFormatting sqref="Y74">
    <cfRule type="expression" dxfId="2605" priority="2748">
      <formula>AND(IF(OR($Q74=1,$Q74=2),1,0),IF($Y74&lt;=20,1,0))</formula>
    </cfRule>
    <cfRule type="expression" dxfId="2604" priority="2749">
      <formula>AND(IF($Q74=2,1,0),IF($Y74&lt;30,1,0))</formula>
    </cfRule>
    <cfRule type="expression" dxfId="2603" priority="2750">
      <formula>AND(IF($Q74=3,1,0),IF($Y74&lt;30,1,0))</formula>
    </cfRule>
    <cfRule type="expression" dxfId="2602" priority="2751">
      <formula>AND(IF($Q74=3,1,IF($Q74=4,1,0)),IF($F74&lt;=85,1,0))</formula>
    </cfRule>
  </conditionalFormatting>
  <conditionalFormatting sqref="AJ74">
    <cfRule type="expression" dxfId="2601" priority="2744">
      <formula>AND(IF(OR($Q74=1,$Q74=2),1,0),IF($Y74&lt;=20,1,0))</formula>
    </cfRule>
    <cfRule type="expression" dxfId="2600" priority="2745">
      <formula>AND(IF($Q74=2,1,0),IF($Y74&lt;30,1,0))</formula>
    </cfRule>
    <cfRule type="expression" dxfId="2599" priority="2746">
      <formula>AND(IF($Q74=3,1,0),IF($Y74&lt;30,1,0))</formula>
    </cfRule>
    <cfRule type="expression" dxfId="2598" priority="2747">
      <formula>AND(IF($Q74=3,1,IF($Q74=4,1,0)),IF($F74&lt;=85,1,0))</formula>
    </cfRule>
  </conditionalFormatting>
  <conditionalFormatting sqref="AW75">
    <cfRule type="expression" dxfId="2597" priority="2742">
      <formula>AW75="X"</formula>
    </cfRule>
    <cfRule type="expression" dxfId="2596" priority="2743">
      <formula>AW75="후보"</formula>
    </cfRule>
  </conditionalFormatting>
  <conditionalFormatting sqref="AA75">
    <cfRule type="colorScale" priority="2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 N75">
    <cfRule type="cellIs" dxfId="2595" priority="2739" operator="greaterThan">
      <formula>0.9</formula>
    </cfRule>
    <cfRule type="cellIs" dxfId="2594" priority="2740" operator="greaterThan">
      <formula>0.85</formula>
    </cfRule>
  </conditionalFormatting>
  <conditionalFormatting sqref="AW76">
    <cfRule type="expression" dxfId="2593" priority="2737">
      <formula>AW76="X"</formula>
    </cfRule>
    <cfRule type="expression" dxfId="2592" priority="2738">
      <formula>AW76="후보"</formula>
    </cfRule>
  </conditionalFormatting>
  <conditionalFormatting sqref="AA76">
    <cfRule type="colorScale" priority="27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2591" priority="2734" operator="greaterThan">
      <formula>0.9</formula>
    </cfRule>
    <cfRule type="cellIs" dxfId="2590" priority="2735" operator="greaterThan">
      <formula>0.85</formula>
    </cfRule>
  </conditionalFormatting>
  <conditionalFormatting sqref="N76">
    <cfRule type="cellIs" dxfId="2589" priority="2732" operator="greaterThan">
      <formula>0.9</formula>
    </cfRule>
    <cfRule type="cellIs" dxfId="2588" priority="2733" operator="greaterThan">
      <formula>0.85</formula>
    </cfRule>
  </conditionalFormatting>
  <conditionalFormatting sqref="E76">
    <cfRule type="expression" dxfId="2587" priority="2728">
      <formula>AND(IF(OR($Q76=1,$Q76=2),1,0),IF($E76&lt;=20,1,0))</formula>
    </cfRule>
    <cfRule type="expression" dxfId="2586" priority="2729">
      <formula>AND(IF($Q76=2,1,0),IF($E76&lt;30,1,0))</formula>
    </cfRule>
    <cfRule type="expression" dxfId="2585" priority="2730">
      <formula>AND(IF($Q76=3,1,0),IF($E76&lt;30,1,0))</formula>
    </cfRule>
    <cfRule type="expression" dxfId="2584" priority="2731">
      <formula>AND(IF($Q76=3,1,IF($Q76=4,1,0)),IF($F76&lt;=85,1,0))</formula>
    </cfRule>
  </conditionalFormatting>
  <conditionalFormatting sqref="Y76">
    <cfRule type="expression" dxfId="2583" priority="2724">
      <formula>AND(IF(OR($Q76=1,$Q76=2),1,0),IF($Y76&lt;=20,1,0))</formula>
    </cfRule>
    <cfRule type="expression" dxfId="2582" priority="2725">
      <formula>AND(IF($Q76=2,1,0),IF($Y76&lt;30,1,0))</formula>
    </cfRule>
    <cfRule type="expression" dxfId="2581" priority="2726">
      <formula>AND(IF($Q76=3,1,0),IF($Y76&lt;30,1,0))</formula>
    </cfRule>
    <cfRule type="expression" dxfId="2580" priority="2727">
      <formula>AND(IF($Q76=3,1,IF($Q76=4,1,0)),IF($F76&lt;=85,1,0))</formula>
    </cfRule>
  </conditionalFormatting>
  <conditionalFormatting sqref="AJ76">
    <cfRule type="expression" dxfId="2579" priority="2720">
      <formula>AND(IF(OR($Q76=1,$Q76=2),1,0),IF($Y76&lt;=20,1,0))</formula>
    </cfRule>
    <cfRule type="expression" dxfId="2578" priority="2721">
      <formula>AND(IF($Q76=2,1,0),IF($Y76&lt;30,1,0))</formula>
    </cfRule>
    <cfRule type="expression" dxfId="2577" priority="2722">
      <formula>AND(IF($Q76=3,1,0),IF($Y76&lt;30,1,0))</formula>
    </cfRule>
    <cfRule type="expression" dxfId="2576" priority="2723">
      <formula>AND(IF($Q76=3,1,IF($Q76=4,1,0)),IF($F76&lt;=85,1,0))</formula>
    </cfRule>
  </conditionalFormatting>
  <conditionalFormatting sqref="AW77">
    <cfRule type="expression" dxfId="2575" priority="2718">
      <formula>AW77="X"</formula>
    </cfRule>
    <cfRule type="expression" dxfId="2574" priority="2719">
      <formula>AW77="후보"</formula>
    </cfRule>
  </conditionalFormatting>
  <conditionalFormatting sqref="AA77">
    <cfRule type="colorScale" priority="27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2573" priority="2715" operator="greaterThan">
      <formula>0.9</formula>
    </cfRule>
    <cfRule type="cellIs" dxfId="2572" priority="2716" operator="greaterThan">
      <formula>0.85</formula>
    </cfRule>
  </conditionalFormatting>
  <conditionalFormatting sqref="N77">
    <cfRule type="cellIs" dxfId="2571" priority="2713" operator="greaterThan">
      <formula>0.9</formula>
    </cfRule>
    <cfRule type="cellIs" dxfId="2570" priority="2714" operator="greaterThan">
      <formula>0.85</formula>
    </cfRule>
  </conditionalFormatting>
  <conditionalFormatting sqref="E77">
    <cfRule type="expression" dxfId="2569" priority="2709">
      <formula>AND(IF(OR($Q77=1,$Q77=2),1,0),IF($E77&lt;=20,1,0))</formula>
    </cfRule>
    <cfRule type="expression" dxfId="2568" priority="2710">
      <formula>AND(IF($Q77=2,1,0),IF($E77&lt;30,1,0))</formula>
    </cfRule>
    <cfRule type="expression" dxfId="2567" priority="2711">
      <formula>AND(IF($Q77=3,1,0),IF($E77&lt;30,1,0))</formula>
    </cfRule>
    <cfRule type="expression" dxfId="2566" priority="2712">
      <formula>AND(IF($Q77=3,1,IF($Q77=4,1,0)),IF($F77&lt;=85,1,0))</formula>
    </cfRule>
  </conditionalFormatting>
  <conditionalFormatting sqref="Y77">
    <cfRule type="expression" dxfId="2565" priority="2705">
      <formula>AND(IF(OR($Q77=1,$Q77=2),1,0),IF($Y77&lt;=20,1,0))</formula>
    </cfRule>
    <cfRule type="expression" dxfId="2564" priority="2706">
      <formula>AND(IF($Q77=2,1,0),IF($Y77&lt;30,1,0))</formula>
    </cfRule>
    <cfRule type="expression" dxfId="2563" priority="2707">
      <formula>AND(IF($Q77=3,1,0),IF($Y77&lt;30,1,0))</formula>
    </cfRule>
    <cfRule type="expression" dxfId="2562" priority="2708">
      <formula>AND(IF($Q77=3,1,IF($Q77=4,1,0)),IF($F77&lt;=85,1,0))</formula>
    </cfRule>
  </conditionalFormatting>
  <conditionalFormatting sqref="AJ77">
    <cfRule type="expression" dxfId="2561" priority="2701">
      <formula>AND(IF(OR($Q77=1,$Q77=2),1,0),IF($Y77&lt;=20,1,0))</formula>
    </cfRule>
    <cfRule type="expression" dxfId="2560" priority="2702">
      <formula>AND(IF($Q77=2,1,0),IF($Y77&lt;30,1,0))</formula>
    </cfRule>
    <cfRule type="expression" dxfId="2559" priority="2703">
      <formula>AND(IF($Q77=3,1,0),IF($Y77&lt;30,1,0))</formula>
    </cfRule>
    <cfRule type="expression" dxfId="2558" priority="2704">
      <formula>AND(IF($Q77=3,1,IF($Q77=4,1,0)),IF($F77&lt;=85,1,0))</formula>
    </cfRule>
  </conditionalFormatting>
  <conditionalFormatting sqref="AW78">
    <cfRule type="expression" dxfId="2557" priority="2699">
      <formula>AW78="X"</formula>
    </cfRule>
    <cfRule type="expression" dxfId="2556" priority="2700">
      <formula>AW78="후보"</formula>
    </cfRule>
  </conditionalFormatting>
  <conditionalFormatting sqref="AA78">
    <cfRule type="colorScale" priority="26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2555" priority="2696" operator="greaterThan">
      <formula>0.9</formula>
    </cfRule>
    <cfRule type="cellIs" dxfId="2554" priority="2697" operator="greaterThan">
      <formula>0.85</formula>
    </cfRule>
  </conditionalFormatting>
  <conditionalFormatting sqref="N78">
    <cfRule type="cellIs" dxfId="2553" priority="2694" operator="greaterThan">
      <formula>0.9</formula>
    </cfRule>
    <cfRule type="cellIs" dxfId="2552" priority="2695" operator="greaterThan">
      <formula>0.85</formula>
    </cfRule>
  </conditionalFormatting>
  <conditionalFormatting sqref="E78">
    <cfRule type="expression" dxfId="2551" priority="2690">
      <formula>AND(IF(OR($Q78=1,$Q78=2),1,0),IF($E78&lt;=20,1,0))</formula>
    </cfRule>
    <cfRule type="expression" dxfId="2550" priority="2691">
      <formula>AND(IF($Q78=2,1,0),IF($E78&lt;30,1,0))</formula>
    </cfRule>
    <cfRule type="expression" dxfId="2549" priority="2692">
      <formula>AND(IF($Q78=3,1,0),IF($E78&lt;30,1,0))</formula>
    </cfRule>
    <cfRule type="expression" dxfId="2548" priority="2693">
      <formula>AND(IF($Q78=3,1,IF($Q78=4,1,0)),IF($F78&lt;=85,1,0))</formula>
    </cfRule>
  </conditionalFormatting>
  <conditionalFormatting sqref="Y78">
    <cfRule type="expression" dxfId="2547" priority="2686">
      <formula>AND(IF(OR($Q78=1,$Q78=2),1,0),IF($Y78&lt;=20,1,0))</formula>
    </cfRule>
    <cfRule type="expression" dxfId="2546" priority="2687">
      <formula>AND(IF($Q78=2,1,0),IF($Y78&lt;30,1,0))</formula>
    </cfRule>
    <cfRule type="expression" dxfId="2545" priority="2688">
      <formula>AND(IF($Q78=3,1,0),IF($Y78&lt;30,1,0))</formula>
    </cfRule>
    <cfRule type="expression" dxfId="2544" priority="2689">
      <formula>AND(IF($Q78=3,1,IF($Q78=4,1,0)),IF($F78&lt;=85,1,0))</formula>
    </cfRule>
  </conditionalFormatting>
  <conditionalFormatting sqref="AJ78">
    <cfRule type="expression" dxfId="2543" priority="2682">
      <formula>AND(IF(OR($Q78=1,$Q78=2),1,0),IF($Y78&lt;=20,1,0))</formula>
    </cfRule>
    <cfRule type="expression" dxfId="2542" priority="2683">
      <formula>AND(IF($Q78=2,1,0),IF($Y78&lt;30,1,0))</formula>
    </cfRule>
    <cfRule type="expression" dxfId="2541" priority="2684">
      <formula>AND(IF($Q78=3,1,0),IF($Y78&lt;30,1,0))</formula>
    </cfRule>
    <cfRule type="expression" dxfId="2540" priority="2685">
      <formula>AND(IF($Q78=3,1,IF($Q78=4,1,0)),IF($F78&lt;=85,1,0))</formula>
    </cfRule>
  </conditionalFormatting>
  <conditionalFormatting sqref="AW79">
    <cfRule type="expression" dxfId="2539" priority="2680">
      <formula>AW79="X"</formula>
    </cfRule>
    <cfRule type="expression" dxfId="2538" priority="2681">
      <formula>AW79="후보"</formula>
    </cfRule>
  </conditionalFormatting>
  <conditionalFormatting sqref="AA79">
    <cfRule type="colorScale" priority="26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2537" priority="2677" operator="greaterThan">
      <formula>0.9</formula>
    </cfRule>
    <cfRule type="cellIs" dxfId="2536" priority="2678" operator="greaterThan">
      <formula>0.85</formula>
    </cfRule>
  </conditionalFormatting>
  <conditionalFormatting sqref="N79">
    <cfRule type="cellIs" dxfId="2535" priority="2675" operator="greaterThan">
      <formula>0.9</formula>
    </cfRule>
    <cfRule type="cellIs" dxfId="2534" priority="2676" operator="greaterThan">
      <formula>0.85</formula>
    </cfRule>
  </conditionalFormatting>
  <conditionalFormatting sqref="E79">
    <cfRule type="expression" dxfId="2533" priority="2671">
      <formula>AND(IF(OR($Q79=1,$Q79=2),1,0),IF($E79&lt;=20,1,0))</formula>
    </cfRule>
    <cfRule type="expression" dxfId="2532" priority="2672">
      <formula>AND(IF($Q79=2,1,0),IF($E79&lt;30,1,0))</formula>
    </cfRule>
    <cfRule type="expression" dxfId="2531" priority="2673">
      <formula>AND(IF($Q79=3,1,0),IF($E79&lt;30,1,0))</formula>
    </cfRule>
    <cfRule type="expression" dxfId="2530" priority="2674">
      <formula>AND(IF($Q79=3,1,IF($Q79=4,1,0)),IF($F79&lt;=85,1,0))</formula>
    </cfRule>
  </conditionalFormatting>
  <conditionalFormatting sqref="Y79">
    <cfRule type="expression" dxfId="2529" priority="2667">
      <formula>AND(IF(OR($Q79=1,$Q79=2),1,0),IF($Y79&lt;=20,1,0))</formula>
    </cfRule>
    <cfRule type="expression" dxfId="2528" priority="2668">
      <formula>AND(IF($Q79=2,1,0),IF($Y79&lt;30,1,0))</formula>
    </cfRule>
    <cfRule type="expression" dxfId="2527" priority="2669">
      <formula>AND(IF($Q79=3,1,0),IF($Y79&lt;30,1,0))</formula>
    </cfRule>
    <cfRule type="expression" dxfId="2526" priority="2670">
      <formula>AND(IF($Q79=3,1,IF($Q79=4,1,0)),IF($F79&lt;=85,1,0))</formula>
    </cfRule>
  </conditionalFormatting>
  <conditionalFormatting sqref="AJ79">
    <cfRule type="expression" dxfId="2525" priority="2663">
      <formula>AND(IF(OR($Q79=1,$Q79=2),1,0),IF($Y79&lt;=20,1,0))</formula>
    </cfRule>
    <cfRule type="expression" dxfId="2524" priority="2664">
      <formula>AND(IF($Q79=2,1,0),IF($Y79&lt;30,1,0))</formula>
    </cfRule>
    <cfRule type="expression" dxfId="2523" priority="2665">
      <formula>AND(IF($Q79=3,1,0),IF($Y79&lt;30,1,0))</formula>
    </cfRule>
    <cfRule type="expression" dxfId="2522" priority="2666">
      <formula>AND(IF($Q79=3,1,IF($Q79=4,1,0)),IF($F79&lt;=85,1,0))</formula>
    </cfRule>
  </conditionalFormatting>
  <conditionalFormatting sqref="AW80">
    <cfRule type="expression" dxfId="2521" priority="2661">
      <formula>AW80="X"</formula>
    </cfRule>
    <cfRule type="expression" dxfId="2520" priority="2662">
      <formula>AW80="후보"</formula>
    </cfRule>
  </conditionalFormatting>
  <conditionalFormatting sqref="AA80">
    <cfRule type="colorScale" priority="2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 N80">
    <cfRule type="cellIs" dxfId="2519" priority="2658" operator="greaterThan">
      <formula>0.9</formula>
    </cfRule>
    <cfRule type="cellIs" dxfId="2518" priority="2659" operator="greaterThan">
      <formula>0.85</formula>
    </cfRule>
  </conditionalFormatting>
  <conditionalFormatting sqref="AW81">
    <cfRule type="expression" dxfId="2517" priority="2656">
      <formula>AW81="X"</formula>
    </cfRule>
    <cfRule type="expression" dxfId="2516" priority="2657">
      <formula>AW81="후보"</formula>
    </cfRule>
  </conditionalFormatting>
  <conditionalFormatting sqref="AA81">
    <cfRule type="colorScale" priority="26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2515" priority="2653" operator="greaterThan">
      <formula>0.9</formula>
    </cfRule>
    <cfRule type="cellIs" dxfId="2514" priority="2654" operator="greaterThan">
      <formula>0.85</formula>
    </cfRule>
  </conditionalFormatting>
  <conditionalFormatting sqref="N81">
    <cfRule type="cellIs" dxfId="2513" priority="2651" operator="greaterThan">
      <formula>0.9</formula>
    </cfRule>
    <cfRule type="cellIs" dxfId="2512" priority="2652" operator="greaterThan">
      <formula>0.85</formula>
    </cfRule>
  </conditionalFormatting>
  <conditionalFormatting sqref="E81">
    <cfRule type="expression" dxfId="2511" priority="2647">
      <formula>AND(IF(OR($Q81=1,$Q81=2),1,0),IF($E81&lt;=20,1,0))</formula>
    </cfRule>
    <cfRule type="expression" dxfId="2510" priority="2648">
      <formula>AND(IF($Q81=2,1,0),IF($E81&lt;30,1,0))</formula>
    </cfRule>
    <cfRule type="expression" dxfId="2509" priority="2649">
      <formula>AND(IF($Q81=3,1,0),IF($E81&lt;30,1,0))</formula>
    </cfRule>
    <cfRule type="expression" dxfId="2508" priority="2650">
      <formula>AND(IF($Q81=3,1,IF($Q81=4,1,0)),IF($F81&lt;=85,1,0))</formula>
    </cfRule>
  </conditionalFormatting>
  <conditionalFormatting sqref="Y81">
    <cfRule type="expression" dxfId="2507" priority="2643">
      <formula>AND(IF(OR($Q81=1,$Q81=2),1,0),IF($Y81&lt;=20,1,0))</formula>
    </cfRule>
    <cfRule type="expression" dxfId="2506" priority="2644">
      <formula>AND(IF($Q81=2,1,0),IF($Y81&lt;30,1,0))</formula>
    </cfRule>
    <cfRule type="expression" dxfId="2505" priority="2645">
      <formula>AND(IF($Q81=3,1,0),IF($Y81&lt;30,1,0))</formula>
    </cfRule>
    <cfRule type="expression" dxfId="2504" priority="2646">
      <formula>AND(IF($Q81=3,1,IF($Q81=4,1,0)),IF($F81&lt;=85,1,0))</formula>
    </cfRule>
  </conditionalFormatting>
  <conditionalFormatting sqref="AJ81">
    <cfRule type="expression" dxfId="2503" priority="2639">
      <formula>AND(IF(OR($Q81=1,$Q81=2),1,0),IF($Y81&lt;=20,1,0))</formula>
    </cfRule>
    <cfRule type="expression" dxfId="2502" priority="2640">
      <formula>AND(IF($Q81=2,1,0),IF($Y81&lt;30,1,0))</formula>
    </cfRule>
    <cfRule type="expression" dxfId="2501" priority="2641">
      <formula>AND(IF($Q81=3,1,0),IF($Y81&lt;30,1,0))</formula>
    </cfRule>
    <cfRule type="expression" dxfId="2500" priority="2642">
      <formula>AND(IF($Q81=3,1,IF($Q81=4,1,0)),IF($F81&lt;=85,1,0))</formula>
    </cfRule>
  </conditionalFormatting>
  <conditionalFormatting sqref="AW82">
    <cfRule type="expression" dxfId="2499" priority="2637">
      <formula>AW82="X"</formula>
    </cfRule>
    <cfRule type="expression" dxfId="2498" priority="2638">
      <formula>AW82="후보"</formula>
    </cfRule>
  </conditionalFormatting>
  <conditionalFormatting sqref="AA82">
    <cfRule type="colorScale" priority="26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2497" priority="2634" operator="greaterThan">
      <formula>0.9</formula>
    </cfRule>
    <cfRule type="cellIs" dxfId="2496" priority="2635" operator="greaterThan">
      <formula>0.85</formula>
    </cfRule>
  </conditionalFormatting>
  <conditionalFormatting sqref="N82">
    <cfRule type="cellIs" dxfId="2495" priority="2632" operator="greaterThan">
      <formula>0.9</formula>
    </cfRule>
    <cfRule type="cellIs" dxfId="2494" priority="2633" operator="greaterThan">
      <formula>0.85</formula>
    </cfRule>
  </conditionalFormatting>
  <conditionalFormatting sqref="E82">
    <cfRule type="expression" dxfId="2493" priority="2628">
      <formula>AND(IF(OR($Q82=1,$Q82=2),1,0),IF($E82&lt;=20,1,0))</formula>
    </cfRule>
    <cfRule type="expression" dxfId="2492" priority="2629">
      <formula>AND(IF($Q82=2,1,0),IF($E82&lt;30,1,0))</formula>
    </cfRule>
    <cfRule type="expression" dxfId="2491" priority="2630">
      <formula>AND(IF($Q82=3,1,0),IF($E82&lt;30,1,0))</formula>
    </cfRule>
    <cfRule type="expression" dxfId="2490" priority="2631">
      <formula>AND(IF($Q82=3,1,IF($Q82=4,1,0)),IF($F82&lt;=85,1,0))</formula>
    </cfRule>
  </conditionalFormatting>
  <conditionalFormatting sqref="Y82">
    <cfRule type="expression" dxfId="2489" priority="2624">
      <formula>AND(IF(OR($Q82=1,$Q82=2),1,0),IF($Y82&lt;=20,1,0))</formula>
    </cfRule>
    <cfRule type="expression" dxfId="2488" priority="2625">
      <formula>AND(IF($Q82=2,1,0),IF($Y82&lt;30,1,0))</formula>
    </cfRule>
    <cfRule type="expression" dxfId="2487" priority="2626">
      <formula>AND(IF($Q82=3,1,0),IF($Y82&lt;30,1,0))</formula>
    </cfRule>
    <cfRule type="expression" dxfId="2486" priority="2627">
      <formula>AND(IF($Q82=3,1,IF($Q82=4,1,0)),IF($F82&lt;=85,1,0))</formula>
    </cfRule>
  </conditionalFormatting>
  <conditionalFormatting sqref="AJ82">
    <cfRule type="expression" dxfId="2485" priority="2620">
      <formula>AND(IF(OR($Q82=1,$Q82=2),1,0),IF($Y82&lt;=20,1,0))</formula>
    </cfRule>
    <cfRule type="expression" dxfId="2484" priority="2621">
      <formula>AND(IF($Q82=2,1,0),IF($Y82&lt;30,1,0))</formula>
    </cfRule>
    <cfRule type="expression" dxfId="2483" priority="2622">
      <formula>AND(IF($Q82=3,1,0),IF($Y82&lt;30,1,0))</formula>
    </cfRule>
    <cfRule type="expression" dxfId="2482" priority="2623">
      <formula>AND(IF($Q82=3,1,IF($Q82=4,1,0)),IF($F82&lt;=85,1,0))</formula>
    </cfRule>
  </conditionalFormatting>
  <conditionalFormatting sqref="AW83">
    <cfRule type="expression" dxfId="2481" priority="2618">
      <formula>AW83="X"</formula>
    </cfRule>
    <cfRule type="expression" dxfId="2480" priority="2619">
      <formula>AW83="후보"</formula>
    </cfRule>
  </conditionalFormatting>
  <conditionalFormatting sqref="AA83">
    <cfRule type="colorScale" priority="26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2479" priority="2615" operator="greaterThan">
      <formula>0.9</formula>
    </cfRule>
    <cfRule type="cellIs" dxfId="2478" priority="2616" operator="greaterThan">
      <formula>0.85</formula>
    </cfRule>
  </conditionalFormatting>
  <conditionalFormatting sqref="N83">
    <cfRule type="cellIs" dxfId="2477" priority="2613" operator="greaterThan">
      <formula>0.9</formula>
    </cfRule>
    <cfRule type="cellIs" dxfId="2476" priority="2614" operator="greaterThan">
      <formula>0.85</formula>
    </cfRule>
  </conditionalFormatting>
  <conditionalFormatting sqref="E83">
    <cfRule type="expression" dxfId="2475" priority="2609">
      <formula>AND(IF(OR($Q83=1,$Q83=2),1,0),IF($E83&lt;=20,1,0))</formula>
    </cfRule>
    <cfRule type="expression" dxfId="2474" priority="2610">
      <formula>AND(IF($Q83=2,1,0),IF($E83&lt;30,1,0))</formula>
    </cfRule>
    <cfRule type="expression" dxfId="2473" priority="2611">
      <formula>AND(IF($Q83=3,1,0),IF($E83&lt;30,1,0))</formula>
    </cfRule>
    <cfRule type="expression" dxfId="2472" priority="2612">
      <formula>AND(IF($Q83=3,1,IF($Q83=4,1,0)),IF($F83&lt;=85,1,0))</formula>
    </cfRule>
  </conditionalFormatting>
  <conditionalFormatting sqref="Y83">
    <cfRule type="expression" dxfId="2471" priority="2605">
      <formula>AND(IF(OR($Q83=1,$Q83=2),1,0),IF($Y83&lt;=20,1,0))</formula>
    </cfRule>
    <cfRule type="expression" dxfId="2470" priority="2606">
      <formula>AND(IF($Q83=2,1,0),IF($Y83&lt;30,1,0))</formula>
    </cfRule>
    <cfRule type="expression" dxfId="2469" priority="2607">
      <formula>AND(IF($Q83=3,1,0),IF($Y83&lt;30,1,0))</formula>
    </cfRule>
    <cfRule type="expression" dxfId="2468" priority="2608">
      <formula>AND(IF($Q83=3,1,IF($Q83=4,1,0)),IF($F83&lt;=85,1,0))</formula>
    </cfRule>
  </conditionalFormatting>
  <conditionalFormatting sqref="AJ83">
    <cfRule type="expression" dxfId="2467" priority="2601">
      <formula>AND(IF(OR($Q83=1,$Q83=2),1,0),IF($Y83&lt;=20,1,0))</formula>
    </cfRule>
    <cfRule type="expression" dxfId="2466" priority="2602">
      <formula>AND(IF($Q83=2,1,0),IF($Y83&lt;30,1,0))</formula>
    </cfRule>
    <cfRule type="expression" dxfId="2465" priority="2603">
      <formula>AND(IF($Q83=3,1,0),IF($Y83&lt;30,1,0))</formula>
    </cfRule>
    <cfRule type="expression" dxfId="2464" priority="2604">
      <formula>AND(IF($Q83=3,1,IF($Q83=4,1,0)),IF($F83&lt;=85,1,0))</formula>
    </cfRule>
  </conditionalFormatting>
  <conditionalFormatting sqref="AW84">
    <cfRule type="expression" dxfId="2463" priority="2599">
      <formula>AW84="X"</formula>
    </cfRule>
    <cfRule type="expression" dxfId="2462" priority="2600">
      <formula>AW84="후보"</formula>
    </cfRule>
  </conditionalFormatting>
  <conditionalFormatting sqref="AA84">
    <cfRule type="colorScale" priority="2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2461" priority="2596" operator="greaterThan">
      <formula>0.9</formula>
    </cfRule>
    <cfRule type="cellIs" dxfId="2460" priority="2597" operator="greaterThan">
      <formula>0.85</formula>
    </cfRule>
  </conditionalFormatting>
  <conditionalFormatting sqref="N84">
    <cfRule type="cellIs" dxfId="2459" priority="2594" operator="greaterThan">
      <formula>0.9</formula>
    </cfRule>
    <cfRule type="cellIs" dxfId="2458" priority="2595" operator="greaterThan">
      <formula>0.85</formula>
    </cfRule>
  </conditionalFormatting>
  <conditionalFormatting sqref="E84">
    <cfRule type="expression" dxfId="2457" priority="2590">
      <formula>AND(IF(OR($Q84=1,$Q84=2),1,0),IF($E84&lt;=20,1,0))</formula>
    </cfRule>
    <cfRule type="expression" dxfId="2456" priority="2591">
      <formula>AND(IF($Q84=2,1,0),IF($E84&lt;30,1,0))</formula>
    </cfRule>
    <cfRule type="expression" dxfId="2455" priority="2592">
      <formula>AND(IF($Q84=3,1,0),IF($E84&lt;30,1,0))</formula>
    </cfRule>
    <cfRule type="expression" dxfId="2454" priority="2593">
      <formula>AND(IF($Q84=3,1,IF($Q84=4,1,0)),IF($F84&lt;=85,1,0))</formula>
    </cfRule>
  </conditionalFormatting>
  <conditionalFormatting sqref="Y84">
    <cfRule type="expression" dxfId="2453" priority="2586">
      <formula>AND(IF(OR($Q84=1,$Q84=2),1,0),IF($Y84&lt;=20,1,0))</formula>
    </cfRule>
    <cfRule type="expression" dxfId="2452" priority="2587">
      <formula>AND(IF($Q84=2,1,0),IF($Y84&lt;30,1,0))</formula>
    </cfRule>
    <cfRule type="expression" dxfId="2451" priority="2588">
      <formula>AND(IF($Q84=3,1,0),IF($Y84&lt;30,1,0))</formula>
    </cfRule>
    <cfRule type="expression" dxfId="2450" priority="2589">
      <formula>AND(IF($Q84=3,1,IF($Q84=4,1,0)),IF($F84&lt;=85,1,0))</formula>
    </cfRule>
  </conditionalFormatting>
  <conditionalFormatting sqref="AJ84">
    <cfRule type="expression" dxfId="2449" priority="2582">
      <formula>AND(IF(OR($Q84=1,$Q84=2),1,0),IF($Y84&lt;=20,1,0))</formula>
    </cfRule>
    <cfRule type="expression" dxfId="2448" priority="2583">
      <formula>AND(IF($Q84=2,1,0),IF($Y84&lt;30,1,0))</formula>
    </cfRule>
    <cfRule type="expression" dxfId="2447" priority="2584">
      <formula>AND(IF($Q84=3,1,0),IF($Y84&lt;30,1,0))</formula>
    </cfRule>
    <cfRule type="expression" dxfId="2446" priority="2585">
      <formula>AND(IF($Q84=3,1,IF($Q84=4,1,0)),IF($F84&lt;=85,1,0))</formula>
    </cfRule>
  </conditionalFormatting>
  <conditionalFormatting sqref="AW85">
    <cfRule type="expression" dxfId="2445" priority="2580">
      <formula>AW85="X"</formula>
    </cfRule>
    <cfRule type="expression" dxfId="2444" priority="2581">
      <formula>AW85="후보"</formula>
    </cfRule>
  </conditionalFormatting>
  <conditionalFormatting sqref="AA85">
    <cfRule type="colorScale" priority="2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2443" priority="2577" operator="greaterThan">
      <formula>0.9</formula>
    </cfRule>
    <cfRule type="cellIs" dxfId="2442" priority="2578" operator="greaterThan">
      <formula>0.85</formula>
    </cfRule>
  </conditionalFormatting>
  <conditionalFormatting sqref="N85">
    <cfRule type="cellIs" dxfId="2441" priority="2575" operator="greaterThan">
      <formula>0.9</formula>
    </cfRule>
    <cfRule type="cellIs" dxfId="2440" priority="2576" operator="greaterThan">
      <formula>0.85</formula>
    </cfRule>
  </conditionalFormatting>
  <conditionalFormatting sqref="E85">
    <cfRule type="expression" dxfId="2439" priority="2571">
      <formula>AND(IF(OR($Q85=1,$Q85=2),1,0),IF($E85&lt;=20,1,0))</formula>
    </cfRule>
    <cfRule type="expression" dxfId="2438" priority="2572">
      <formula>AND(IF($Q85=2,1,0),IF($E85&lt;30,1,0))</formula>
    </cfRule>
    <cfRule type="expression" dxfId="2437" priority="2573">
      <formula>AND(IF($Q85=3,1,0),IF($E85&lt;30,1,0))</formula>
    </cfRule>
    <cfRule type="expression" dxfId="2436" priority="2574">
      <formula>AND(IF($Q85=3,1,IF($Q85=4,1,0)),IF($F85&lt;=85,1,0))</formula>
    </cfRule>
  </conditionalFormatting>
  <conditionalFormatting sqref="Y85">
    <cfRule type="expression" dxfId="2435" priority="2567">
      <formula>AND(IF(OR($Q85=1,$Q85=2),1,0),IF($Y85&lt;=20,1,0))</formula>
    </cfRule>
    <cfRule type="expression" dxfId="2434" priority="2568">
      <formula>AND(IF($Q85=2,1,0),IF($Y85&lt;30,1,0))</formula>
    </cfRule>
    <cfRule type="expression" dxfId="2433" priority="2569">
      <formula>AND(IF($Q85=3,1,0),IF($Y85&lt;30,1,0))</formula>
    </cfRule>
    <cfRule type="expression" dxfId="2432" priority="2570">
      <formula>AND(IF($Q85=3,1,IF($Q85=4,1,0)),IF($F85&lt;=85,1,0))</formula>
    </cfRule>
  </conditionalFormatting>
  <conditionalFormatting sqref="AJ85">
    <cfRule type="expression" dxfId="2431" priority="2563">
      <formula>AND(IF(OR($Q85=1,$Q85=2),1,0),IF($Y85&lt;=20,1,0))</formula>
    </cfRule>
    <cfRule type="expression" dxfId="2430" priority="2564">
      <formula>AND(IF($Q85=2,1,0),IF($Y85&lt;30,1,0))</formula>
    </cfRule>
    <cfRule type="expression" dxfId="2429" priority="2565">
      <formula>AND(IF($Q85=3,1,0),IF($Y85&lt;30,1,0))</formula>
    </cfRule>
    <cfRule type="expression" dxfId="2428" priority="2566">
      <formula>AND(IF($Q85=3,1,IF($Q85=4,1,0)),IF($F85&lt;=85,1,0))</formula>
    </cfRule>
  </conditionalFormatting>
  <conditionalFormatting sqref="AW86">
    <cfRule type="expression" dxfId="2427" priority="2561">
      <formula>AW86="X"</formula>
    </cfRule>
    <cfRule type="expression" dxfId="2426" priority="2562">
      <formula>AW86="후보"</formula>
    </cfRule>
  </conditionalFormatting>
  <conditionalFormatting sqref="AA86">
    <cfRule type="colorScale" priority="2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2425" priority="2558" operator="greaterThan">
      <formula>0.9</formula>
    </cfRule>
    <cfRule type="cellIs" dxfId="2424" priority="2559" operator="greaterThan">
      <formula>0.85</formula>
    </cfRule>
  </conditionalFormatting>
  <conditionalFormatting sqref="N86">
    <cfRule type="cellIs" dxfId="2423" priority="2556" operator="greaterThan">
      <formula>0.9</formula>
    </cfRule>
    <cfRule type="cellIs" dxfId="2422" priority="2557" operator="greaterThan">
      <formula>0.85</formula>
    </cfRule>
  </conditionalFormatting>
  <conditionalFormatting sqref="E86">
    <cfRule type="expression" dxfId="2421" priority="2552">
      <formula>AND(IF(OR($Q86=1,$Q86=2),1,0),IF($E86&lt;=20,1,0))</formula>
    </cfRule>
    <cfRule type="expression" dxfId="2420" priority="2553">
      <formula>AND(IF($Q86=2,1,0),IF($E86&lt;30,1,0))</formula>
    </cfRule>
    <cfRule type="expression" dxfId="2419" priority="2554">
      <formula>AND(IF($Q86=3,1,0),IF($E86&lt;30,1,0))</formula>
    </cfRule>
    <cfRule type="expression" dxfId="2418" priority="2555">
      <formula>AND(IF($Q86=3,1,IF($Q86=4,1,0)),IF($F86&lt;=85,1,0))</formula>
    </cfRule>
  </conditionalFormatting>
  <conditionalFormatting sqref="Y86">
    <cfRule type="expression" dxfId="2417" priority="2548">
      <formula>AND(IF(OR($Q86=1,$Q86=2),1,0),IF($Y86&lt;=20,1,0))</formula>
    </cfRule>
    <cfRule type="expression" dxfId="2416" priority="2549">
      <formula>AND(IF($Q86=2,1,0),IF($Y86&lt;30,1,0))</formula>
    </cfRule>
    <cfRule type="expression" dxfId="2415" priority="2550">
      <formula>AND(IF($Q86=3,1,0),IF($Y86&lt;30,1,0))</formula>
    </cfRule>
    <cfRule type="expression" dxfId="2414" priority="2551">
      <formula>AND(IF($Q86=3,1,IF($Q86=4,1,0)),IF($F86&lt;=85,1,0))</formula>
    </cfRule>
  </conditionalFormatting>
  <conditionalFormatting sqref="AJ86">
    <cfRule type="expression" dxfId="2413" priority="2544">
      <formula>AND(IF(OR($Q86=1,$Q86=2),1,0),IF($Y86&lt;=20,1,0))</formula>
    </cfRule>
    <cfRule type="expression" dxfId="2412" priority="2545">
      <formula>AND(IF($Q86=2,1,0),IF($Y86&lt;30,1,0))</formula>
    </cfRule>
    <cfRule type="expression" dxfId="2411" priority="2546">
      <formula>AND(IF($Q86=3,1,0),IF($Y86&lt;30,1,0))</formula>
    </cfRule>
    <cfRule type="expression" dxfId="2410" priority="2547">
      <formula>AND(IF($Q86=3,1,IF($Q86=4,1,0)),IF($F86&lt;=85,1,0))</formula>
    </cfRule>
  </conditionalFormatting>
  <conditionalFormatting sqref="AW87">
    <cfRule type="expression" dxfId="2409" priority="2542">
      <formula>AW87="X"</formula>
    </cfRule>
    <cfRule type="expression" dxfId="2408" priority="2543">
      <formula>AW87="후보"</formula>
    </cfRule>
  </conditionalFormatting>
  <conditionalFormatting sqref="AA87">
    <cfRule type="colorScale" priority="2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 N87">
    <cfRule type="cellIs" dxfId="2407" priority="2539" operator="greaterThan">
      <formula>0.9</formula>
    </cfRule>
    <cfRule type="cellIs" dxfId="2406" priority="2540" operator="greaterThan">
      <formula>0.85</formula>
    </cfRule>
  </conditionalFormatting>
  <conditionalFormatting sqref="AW88">
    <cfRule type="expression" dxfId="2405" priority="2537">
      <formula>AW88="X"</formula>
    </cfRule>
    <cfRule type="expression" dxfId="2404" priority="2538">
      <formula>AW88="후보"</formula>
    </cfRule>
  </conditionalFormatting>
  <conditionalFormatting sqref="AA88">
    <cfRule type="colorScale" priority="2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2403" priority="2534" operator="greaterThan">
      <formula>0.9</formula>
    </cfRule>
    <cfRule type="cellIs" dxfId="2402" priority="2535" operator="greaterThan">
      <formula>0.85</formula>
    </cfRule>
  </conditionalFormatting>
  <conditionalFormatting sqref="N88">
    <cfRule type="cellIs" dxfId="2401" priority="2532" operator="greaterThan">
      <formula>0.9</formula>
    </cfRule>
    <cfRule type="cellIs" dxfId="2400" priority="2533" operator="greaterThan">
      <formula>0.85</formula>
    </cfRule>
  </conditionalFormatting>
  <conditionalFormatting sqref="E88">
    <cfRule type="expression" dxfId="2399" priority="2528">
      <formula>AND(IF(OR($Q88=1,$Q88=2),1,0),IF($E88&lt;=20,1,0))</formula>
    </cfRule>
    <cfRule type="expression" dxfId="2398" priority="2529">
      <formula>AND(IF($Q88=2,1,0),IF($E88&lt;30,1,0))</formula>
    </cfRule>
    <cfRule type="expression" dxfId="2397" priority="2530">
      <formula>AND(IF($Q88=3,1,0),IF($E88&lt;30,1,0))</formula>
    </cfRule>
    <cfRule type="expression" dxfId="2396" priority="2531">
      <formula>AND(IF($Q88=3,1,IF($Q88=4,1,0)),IF($F88&lt;=85,1,0))</formula>
    </cfRule>
  </conditionalFormatting>
  <conditionalFormatting sqref="Y88">
    <cfRule type="expression" dxfId="2395" priority="2524">
      <formula>AND(IF(OR($Q88=1,$Q88=2),1,0),IF($Y88&lt;=20,1,0))</formula>
    </cfRule>
    <cfRule type="expression" dxfId="2394" priority="2525">
      <formula>AND(IF($Q88=2,1,0),IF($Y88&lt;30,1,0))</formula>
    </cfRule>
    <cfRule type="expression" dxfId="2393" priority="2526">
      <formula>AND(IF($Q88=3,1,0),IF($Y88&lt;30,1,0))</formula>
    </cfRule>
    <cfRule type="expression" dxfId="2392" priority="2527">
      <formula>AND(IF($Q88=3,1,IF($Q88=4,1,0)),IF($F88&lt;=85,1,0))</formula>
    </cfRule>
  </conditionalFormatting>
  <conditionalFormatting sqref="AJ88">
    <cfRule type="expression" dxfId="2391" priority="2520">
      <formula>AND(IF(OR($Q88=1,$Q88=2),1,0),IF($Y88&lt;=20,1,0))</formula>
    </cfRule>
    <cfRule type="expression" dxfId="2390" priority="2521">
      <formula>AND(IF($Q88=2,1,0),IF($Y88&lt;30,1,0))</formula>
    </cfRule>
    <cfRule type="expression" dxfId="2389" priority="2522">
      <formula>AND(IF($Q88=3,1,0),IF($Y88&lt;30,1,0))</formula>
    </cfRule>
    <cfRule type="expression" dxfId="2388" priority="2523">
      <formula>AND(IF($Q88=3,1,IF($Q88=4,1,0)),IF($F88&lt;=85,1,0))</formula>
    </cfRule>
  </conditionalFormatting>
  <conditionalFormatting sqref="AW89">
    <cfRule type="expression" dxfId="2387" priority="2518">
      <formula>AW89="X"</formula>
    </cfRule>
    <cfRule type="expression" dxfId="2386" priority="2519">
      <formula>AW89="후보"</formula>
    </cfRule>
  </conditionalFormatting>
  <conditionalFormatting sqref="AA89">
    <cfRule type="colorScale" priority="2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2385" priority="2515" operator="greaterThan">
      <formula>0.9</formula>
    </cfRule>
    <cfRule type="cellIs" dxfId="2384" priority="2516" operator="greaterThan">
      <formula>0.85</formula>
    </cfRule>
  </conditionalFormatting>
  <conditionalFormatting sqref="N89">
    <cfRule type="cellIs" dxfId="2383" priority="2513" operator="greaterThan">
      <formula>0.9</formula>
    </cfRule>
    <cfRule type="cellIs" dxfId="2382" priority="2514" operator="greaterThan">
      <formula>0.85</formula>
    </cfRule>
  </conditionalFormatting>
  <conditionalFormatting sqref="E89">
    <cfRule type="expression" dxfId="2381" priority="2509">
      <formula>AND(IF(OR($Q89=1,$Q89=2),1,0),IF($E89&lt;=20,1,0))</formula>
    </cfRule>
    <cfRule type="expression" dxfId="2380" priority="2510">
      <formula>AND(IF($Q89=2,1,0),IF($E89&lt;30,1,0))</formula>
    </cfRule>
    <cfRule type="expression" dxfId="2379" priority="2511">
      <formula>AND(IF($Q89=3,1,0),IF($E89&lt;30,1,0))</formula>
    </cfRule>
    <cfRule type="expression" dxfId="2378" priority="2512">
      <formula>AND(IF($Q89=3,1,IF($Q89=4,1,0)),IF($F89&lt;=85,1,0))</formula>
    </cfRule>
  </conditionalFormatting>
  <conditionalFormatting sqref="Y89">
    <cfRule type="expression" dxfId="2377" priority="2505">
      <formula>AND(IF(OR($Q89=1,$Q89=2),1,0),IF($Y89&lt;=20,1,0))</formula>
    </cfRule>
    <cfRule type="expression" dxfId="2376" priority="2506">
      <formula>AND(IF($Q89=2,1,0),IF($Y89&lt;30,1,0))</formula>
    </cfRule>
    <cfRule type="expression" dxfId="2375" priority="2507">
      <formula>AND(IF($Q89=3,1,0),IF($Y89&lt;30,1,0))</formula>
    </cfRule>
    <cfRule type="expression" dxfId="2374" priority="2508">
      <formula>AND(IF($Q89=3,1,IF($Q89=4,1,0)),IF($F89&lt;=85,1,0))</formula>
    </cfRule>
  </conditionalFormatting>
  <conditionalFormatting sqref="AJ89">
    <cfRule type="expression" dxfId="2373" priority="2501">
      <formula>AND(IF(OR($Q89=1,$Q89=2),1,0),IF($Y89&lt;=20,1,0))</formula>
    </cfRule>
    <cfRule type="expression" dxfId="2372" priority="2502">
      <formula>AND(IF($Q89=2,1,0),IF($Y89&lt;30,1,0))</formula>
    </cfRule>
    <cfRule type="expression" dxfId="2371" priority="2503">
      <formula>AND(IF($Q89=3,1,0),IF($Y89&lt;30,1,0))</formula>
    </cfRule>
    <cfRule type="expression" dxfId="2370" priority="2504">
      <formula>AND(IF($Q89=3,1,IF($Q89=4,1,0)),IF($F89&lt;=85,1,0))</formula>
    </cfRule>
  </conditionalFormatting>
  <conditionalFormatting sqref="AW90">
    <cfRule type="expression" dxfId="2369" priority="2499">
      <formula>AW90="X"</formula>
    </cfRule>
    <cfRule type="expression" dxfId="2368" priority="2500">
      <formula>AW90="후보"</formula>
    </cfRule>
  </conditionalFormatting>
  <conditionalFormatting sqref="AA90">
    <cfRule type="colorScale" priority="2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0">
    <cfRule type="cellIs" dxfId="2367" priority="2496" operator="greaterThan">
      <formula>0.9</formula>
    </cfRule>
    <cfRule type="cellIs" dxfId="2366" priority="2497" operator="greaterThan">
      <formula>0.85</formula>
    </cfRule>
  </conditionalFormatting>
  <conditionalFormatting sqref="N90">
    <cfRule type="cellIs" dxfId="2365" priority="2494" operator="greaterThan">
      <formula>0.9</formula>
    </cfRule>
    <cfRule type="cellIs" dxfId="2364" priority="2495" operator="greaterThan">
      <formula>0.85</formula>
    </cfRule>
  </conditionalFormatting>
  <conditionalFormatting sqref="E90">
    <cfRule type="expression" dxfId="2363" priority="2490">
      <formula>AND(IF(OR($Q90=1,$Q90=2),1,0),IF($E90&lt;=20,1,0))</formula>
    </cfRule>
    <cfRule type="expression" dxfId="2362" priority="2491">
      <formula>AND(IF($Q90=2,1,0),IF($E90&lt;30,1,0))</formula>
    </cfRule>
    <cfRule type="expression" dxfId="2361" priority="2492">
      <formula>AND(IF($Q90=3,1,0),IF($E90&lt;30,1,0))</formula>
    </cfRule>
    <cfRule type="expression" dxfId="2360" priority="2493">
      <formula>AND(IF($Q90=3,1,IF($Q90=4,1,0)),IF($F90&lt;=85,1,0))</formula>
    </cfRule>
  </conditionalFormatting>
  <conditionalFormatting sqref="Y90">
    <cfRule type="expression" dxfId="2359" priority="2486">
      <formula>AND(IF(OR($Q90=1,$Q90=2),1,0),IF($Y90&lt;=20,1,0))</formula>
    </cfRule>
    <cfRule type="expression" dxfId="2358" priority="2487">
      <formula>AND(IF($Q90=2,1,0),IF($Y90&lt;30,1,0))</formula>
    </cfRule>
    <cfRule type="expression" dxfId="2357" priority="2488">
      <formula>AND(IF($Q90=3,1,0),IF($Y90&lt;30,1,0))</formula>
    </cfRule>
    <cfRule type="expression" dxfId="2356" priority="2489">
      <formula>AND(IF($Q90=3,1,IF($Q90=4,1,0)),IF($F90&lt;=85,1,0))</formula>
    </cfRule>
  </conditionalFormatting>
  <conditionalFormatting sqref="AJ90">
    <cfRule type="expression" dxfId="2355" priority="2482">
      <formula>AND(IF(OR($Q90=1,$Q90=2),1,0),IF($Y90&lt;=20,1,0))</formula>
    </cfRule>
    <cfRule type="expression" dxfId="2354" priority="2483">
      <formula>AND(IF($Q90=2,1,0),IF($Y90&lt;30,1,0))</formula>
    </cfRule>
    <cfRule type="expression" dxfId="2353" priority="2484">
      <formula>AND(IF($Q90=3,1,0),IF($Y90&lt;30,1,0))</formula>
    </cfRule>
    <cfRule type="expression" dxfId="2352" priority="2485">
      <formula>AND(IF($Q90=3,1,IF($Q90=4,1,0)),IF($F90&lt;=85,1,0))</formula>
    </cfRule>
  </conditionalFormatting>
  <conditionalFormatting sqref="AW91">
    <cfRule type="expression" dxfId="2351" priority="2480">
      <formula>AW91="X"</formula>
    </cfRule>
    <cfRule type="expression" dxfId="2350" priority="2481">
      <formula>AW91="후보"</formula>
    </cfRule>
  </conditionalFormatting>
  <conditionalFormatting sqref="AA91">
    <cfRule type="colorScale" priority="2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1">
    <cfRule type="cellIs" dxfId="2349" priority="2477" operator="greaterThan">
      <formula>0.9</formula>
    </cfRule>
    <cfRule type="cellIs" dxfId="2348" priority="2478" operator="greaterThan">
      <formula>0.85</formula>
    </cfRule>
  </conditionalFormatting>
  <conditionalFormatting sqref="N91">
    <cfRule type="cellIs" dxfId="2347" priority="2475" operator="greaterThan">
      <formula>0.9</formula>
    </cfRule>
    <cfRule type="cellIs" dxfId="2346" priority="2476" operator="greaterThan">
      <formula>0.85</formula>
    </cfRule>
  </conditionalFormatting>
  <conditionalFormatting sqref="E91">
    <cfRule type="expression" dxfId="2345" priority="2471">
      <formula>AND(IF(OR($Q91=1,$Q91=2),1,0),IF($E91&lt;=20,1,0))</formula>
    </cfRule>
    <cfRule type="expression" dxfId="2344" priority="2472">
      <formula>AND(IF($Q91=2,1,0),IF($E91&lt;30,1,0))</formula>
    </cfRule>
    <cfRule type="expression" dxfId="2343" priority="2473">
      <formula>AND(IF($Q91=3,1,0),IF($E91&lt;30,1,0))</formula>
    </cfRule>
    <cfRule type="expression" dxfId="2342" priority="2474">
      <formula>AND(IF($Q91=3,1,IF($Q91=4,1,0)),IF($F91&lt;=85,1,0))</formula>
    </cfRule>
  </conditionalFormatting>
  <conditionalFormatting sqref="Y91">
    <cfRule type="expression" dxfId="2341" priority="2467">
      <formula>AND(IF(OR($Q91=1,$Q91=2),1,0),IF($Y91&lt;=20,1,0))</formula>
    </cfRule>
    <cfRule type="expression" dxfId="2340" priority="2468">
      <formula>AND(IF($Q91=2,1,0),IF($Y91&lt;30,1,0))</formula>
    </cfRule>
    <cfRule type="expression" dxfId="2339" priority="2469">
      <formula>AND(IF($Q91=3,1,0),IF($Y91&lt;30,1,0))</formula>
    </cfRule>
    <cfRule type="expression" dxfId="2338" priority="2470">
      <formula>AND(IF($Q91=3,1,IF($Q91=4,1,0)),IF($F91&lt;=85,1,0))</formula>
    </cfRule>
  </conditionalFormatting>
  <conditionalFormatting sqref="AJ91">
    <cfRule type="expression" dxfId="2337" priority="2463">
      <formula>AND(IF(OR($Q91=1,$Q91=2),1,0),IF($Y91&lt;=20,1,0))</formula>
    </cfRule>
    <cfRule type="expression" dxfId="2336" priority="2464">
      <formula>AND(IF($Q91=2,1,0),IF($Y91&lt;30,1,0))</formula>
    </cfRule>
    <cfRule type="expression" dxfId="2335" priority="2465">
      <formula>AND(IF($Q91=3,1,0),IF($Y91&lt;30,1,0))</formula>
    </cfRule>
    <cfRule type="expression" dxfId="2334" priority="2466">
      <formula>AND(IF($Q91=3,1,IF($Q91=4,1,0)),IF($F91&lt;=85,1,0))</formula>
    </cfRule>
  </conditionalFormatting>
  <conditionalFormatting sqref="AW92">
    <cfRule type="expression" dxfId="2333" priority="2461">
      <formula>AW92="X"</formula>
    </cfRule>
    <cfRule type="expression" dxfId="2332" priority="2462">
      <formula>AW92="후보"</formula>
    </cfRule>
  </conditionalFormatting>
  <conditionalFormatting sqref="AA92">
    <cfRule type="colorScale" priority="24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2">
    <cfRule type="cellIs" dxfId="2331" priority="2458" operator="greaterThan">
      <formula>0.9</formula>
    </cfRule>
    <cfRule type="cellIs" dxfId="2330" priority="2459" operator="greaterThan">
      <formula>0.85</formula>
    </cfRule>
  </conditionalFormatting>
  <conditionalFormatting sqref="N92">
    <cfRule type="cellIs" dxfId="2329" priority="2456" operator="greaterThan">
      <formula>0.9</formula>
    </cfRule>
    <cfRule type="cellIs" dxfId="2328" priority="2457" operator="greaterThan">
      <formula>0.85</formula>
    </cfRule>
  </conditionalFormatting>
  <conditionalFormatting sqref="E92">
    <cfRule type="expression" dxfId="2327" priority="2452">
      <formula>AND(IF(OR($Q92=1,$Q92=2),1,0),IF($E92&lt;=20,1,0))</formula>
    </cfRule>
    <cfRule type="expression" dxfId="2326" priority="2453">
      <formula>AND(IF($Q92=2,1,0),IF($E92&lt;30,1,0))</formula>
    </cfRule>
    <cfRule type="expression" dxfId="2325" priority="2454">
      <formula>AND(IF($Q92=3,1,0),IF($E92&lt;30,1,0))</formula>
    </cfRule>
    <cfRule type="expression" dxfId="2324" priority="2455">
      <formula>AND(IF($Q92=3,1,IF($Q92=4,1,0)),IF($F92&lt;=85,1,0))</formula>
    </cfRule>
  </conditionalFormatting>
  <conditionalFormatting sqref="Y92">
    <cfRule type="expression" dxfId="2323" priority="2448">
      <formula>AND(IF(OR($Q92=1,$Q92=2),1,0),IF($Y92&lt;=20,1,0))</formula>
    </cfRule>
    <cfRule type="expression" dxfId="2322" priority="2449">
      <formula>AND(IF($Q92=2,1,0),IF($Y92&lt;30,1,0))</formula>
    </cfRule>
    <cfRule type="expression" dxfId="2321" priority="2450">
      <formula>AND(IF($Q92=3,1,0),IF($Y92&lt;30,1,0))</formula>
    </cfRule>
    <cfRule type="expression" dxfId="2320" priority="2451">
      <formula>AND(IF($Q92=3,1,IF($Q92=4,1,0)),IF($F92&lt;=85,1,0))</formula>
    </cfRule>
  </conditionalFormatting>
  <conditionalFormatting sqref="AJ92">
    <cfRule type="expression" dxfId="2319" priority="2444">
      <formula>AND(IF(OR($Q92=1,$Q92=2),1,0),IF($Y92&lt;=20,1,0))</formula>
    </cfRule>
    <cfRule type="expression" dxfId="2318" priority="2445">
      <formula>AND(IF($Q92=2,1,0),IF($Y92&lt;30,1,0))</formula>
    </cfRule>
    <cfRule type="expression" dxfId="2317" priority="2446">
      <formula>AND(IF($Q92=3,1,0),IF($Y92&lt;30,1,0))</formula>
    </cfRule>
    <cfRule type="expression" dxfId="2316" priority="2447">
      <formula>AND(IF($Q92=3,1,IF($Q92=4,1,0)),IF($F92&lt;=85,1,0))</formula>
    </cfRule>
  </conditionalFormatting>
  <conditionalFormatting sqref="AW93">
    <cfRule type="expression" dxfId="2315" priority="2442">
      <formula>AW93="X"</formula>
    </cfRule>
    <cfRule type="expression" dxfId="2314" priority="2443">
      <formula>AW93="후보"</formula>
    </cfRule>
  </conditionalFormatting>
  <conditionalFormatting sqref="AA93">
    <cfRule type="colorScale" priority="24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3">
    <cfRule type="cellIs" dxfId="2313" priority="2439" operator="greaterThan">
      <formula>0.9</formula>
    </cfRule>
    <cfRule type="cellIs" dxfId="2312" priority="2440" operator="greaterThan">
      <formula>0.85</formula>
    </cfRule>
  </conditionalFormatting>
  <conditionalFormatting sqref="N93">
    <cfRule type="cellIs" dxfId="2311" priority="2437" operator="greaterThan">
      <formula>0.9</formula>
    </cfRule>
    <cfRule type="cellIs" dxfId="2310" priority="2438" operator="greaterThan">
      <formula>0.85</formula>
    </cfRule>
  </conditionalFormatting>
  <conditionalFormatting sqref="E93">
    <cfRule type="expression" dxfId="2309" priority="2433">
      <formula>AND(IF(OR($Q93=1,$Q93=2),1,0),IF($E93&lt;=20,1,0))</formula>
    </cfRule>
    <cfRule type="expression" dxfId="2308" priority="2434">
      <formula>AND(IF($Q93=2,1,0),IF($E93&lt;30,1,0))</formula>
    </cfRule>
    <cfRule type="expression" dxfId="2307" priority="2435">
      <formula>AND(IF($Q93=3,1,0),IF($E93&lt;30,1,0))</formula>
    </cfRule>
    <cfRule type="expression" dxfId="2306" priority="2436">
      <formula>AND(IF($Q93=3,1,IF($Q93=4,1,0)),IF($F93&lt;=85,1,0))</formula>
    </cfRule>
  </conditionalFormatting>
  <conditionalFormatting sqref="Y93">
    <cfRule type="expression" dxfId="2305" priority="2429">
      <formula>AND(IF(OR($Q93=1,$Q93=2),1,0),IF($Y93&lt;=20,1,0))</formula>
    </cfRule>
    <cfRule type="expression" dxfId="2304" priority="2430">
      <formula>AND(IF($Q93=2,1,0),IF($Y93&lt;30,1,0))</formula>
    </cfRule>
    <cfRule type="expression" dxfId="2303" priority="2431">
      <formula>AND(IF($Q93=3,1,0),IF($Y93&lt;30,1,0))</formula>
    </cfRule>
    <cfRule type="expression" dxfId="2302" priority="2432">
      <formula>AND(IF($Q93=3,1,IF($Q93=4,1,0)),IF($F93&lt;=85,1,0))</formula>
    </cfRule>
  </conditionalFormatting>
  <conditionalFormatting sqref="AJ93">
    <cfRule type="expression" dxfId="2301" priority="2425">
      <formula>AND(IF(OR($Q93=1,$Q93=2),1,0),IF($Y93&lt;=20,1,0))</formula>
    </cfRule>
    <cfRule type="expression" dxfId="2300" priority="2426">
      <formula>AND(IF($Q93=2,1,0),IF($Y93&lt;30,1,0))</formula>
    </cfRule>
    <cfRule type="expression" dxfId="2299" priority="2427">
      <formula>AND(IF($Q93=3,1,0),IF($Y93&lt;30,1,0))</formula>
    </cfRule>
    <cfRule type="expression" dxfId="2298" priority="2428">
      <formula>AND(IF($Q93=3,1,IF($Q93=4,1,0)),IF($F93&lt;=85,1,0))</formula>
    </cfRule>
  </conditionalFormatting>
  <conditionalFormatting sqref="AW94">
    <cfRule type="expression" dxfId="2297" priority="2423">
      <formula>AW94="X"</formula>
    </cfRule>
    <cfRule type="expression" dxfId="2296" priority="2424">
      <formula>AW94="후보"</formula>
    </cfRule>
  </conditionalFormatting>
  <conditionalFormatting sqref="AA94">
    <cfRule type="colorScale" priority="24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4">
    <cfRule type="cellIs" dxfId="2295" priority="2420" operator="greaterThan">
      <formula>0.9</formula>
    </cfRule>
    <cfRule type="cellIs" dxfId="2294" priority="2421" operator="greaterThan">
      <formula>0.85</formula>
    </cfRule>
  </conditionalFormatting>
  <conditionalFormatting sqref="N94">
    <cfRule type="cellIs" dxfId="2293" priority="2418" operator="greaterThan">
      <formula>0.9</formula>
    </cfRule>
    <cfRule type="cellIs" dxfId="2292" priority="2419" operator="greaterThan">
      <formula>0.85</formula>
    </cfRule>
  </conditionalFormatting>
  <conditionalFormatting sqref="E94">
    <cfRule type="expression" dxfId="2291" priority="2414">
      <formula>AND(IF(OR($Q94=1,$Q94=2),1,0),IF($E94&lt;=20,1,0))</formula>
    </cfRule>
    <cfRule type="expression" dxfId="2290" priority="2415">
      <formula>AND(IF($Q94=2,1,0),IF($E94&lt;30,1,0))</formula>
    </cfRule>
    <cfRule type="expression" dxfId="2289" priority="2416">
      <formula>AND(IF($Q94=3,1,0),IF($E94&lt;30,1,0))</formula>
    </cfRule>
    <cfRule type="expression" dxfId="2288" priority="2417">
      <formula>AND(IF($Q94=3,1,IF($Q94=4,1,0)),IF($F94&lt;=85,1,0))</formula>
    </cfRule>
  </conditionalFormatting>
  <conditionalFormatting sqref="Y94">
    <cfRule type="expression" dxfId="2287" priority="2410">
      <formula>AND(IF(OR($Q94=1,$Q94=2),1,0),IF($Y94&lt;=20,1,0))</formula>
    </cfRule>
    <cfRule type="expression" dxfId="2286" priority="2411">
      <formula>AND(IF($Q94=2,1,0),IF($Y94&lt;30,1,0))</formula>
    </cfRule>
    <cfRule type="expression" dxfId="2285" priority="2412">
      <formula>AND(IF($Q94=3,1,0),IF($Y94&lt;30,1,0))</formula>
    </cfRule>
    <cfRule type="expression" dxfId="2284" priority="2413">
      <formula>AND(IF($Q94=3,1,IF($Q94=4,1,0)),IF($F94&lt;=85,1,0))</formula>
    </cfRule>
  </conditionalFormatting>
  <conditionalFormatting sqref="AJ94">
    <cfRule type="expression" dxfId="2283" priority="2406">
      <formula>AND(IF(OR($Q94=1,$Q94=2),1,0),IF($Y94&lt;=20,1,0))</formula>
    </cfRule>
    <cfRule type="expression" dxfId="2282" priority="2407">
      <formula>AND(IF($Q94=2,1,0),IF($Y94&lt;30,1,0))</formula>
    </cfRule>
    <cfRule type="expression" dxfId="2281" priority="2408">
      <formula>AND(IF($Q94=3,1,0),IF($Y94&lt;30,1,0))</formula>
    </cfRule>
    <cfRule type="expression" dxfId="2280" priority="2409">
      <formula>AND(IF($Q94=3,1,IF($Q94=4,1,0)),IF($F94&lt;=85,1,0))</formula>
    </cfRule>
  </conditionalFormatting>
  <conditionalFormatting sqref="AW95">
    <cfRule type="expression" dxfId="2279" priority="2404">
      <formula>AW95="X"</formula>
    </cfRule>
    <cfRule type="expression" dxfId="2278" priority="2405">
      <formula>AW95="후보"</formula>
    </cfRule>
  </conditionalFormatting>
  <conditionalFormatting sqref="AA95">
    <cfRule type="colorScale" priority="24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5">
    <cfRule type="cellIs" dxfId="2277" priority="2401" operator="greaterThan">
      <formula>0.9</formula>
    </cfRule>
    <cfRule type="cellIs" dxfId="2276" priority="2402" operator="greaterThan">
      <formula>0.85</formula>
    </cfRule>
  </conditionalFormatting>
  <conditionalFormatting sqref="N95">
    <cfRule type="cellIs" dxfId="2275" priority="2399" operator="greaterThan">
      <formula>0.9</formula>
    </cfRule>
    <cfRule type="cellIs" dxfId="2274" priority="2400" operator="greaterThan">
      <formula>0.85</formula>
    </cfRule>
  </conditionalFormatting>
  <conditionalFormatting sqref="E95">
    <cfRule type="expression" dxfId="2273" priority="2395">
      <formula>AND(IF(OR($Q95=1,$Q95=2),1,0),IF($E95&lt;=20,1,0))</formula>
    </cfRule>
    <cfRule type="expression" dxfId="2272" priority="2396">
      <formula>AND(IF($Q95=2,1,0),IF($E95&lt;30,1,0))</formula>
    </cfRule>
    <cfRule type="expression" dxfId="2271" priority="2397">
      <formula>AND(IF($Q95=3,1,0),IF($E95&lt;30,1,0))</formula>
    </cfRule>
    <cfRule type="expression" dxfId="2270" priority="2398">
      <formula>AND(IF($Q95=3,1,IF($Q95=4,1,0)),IF($F95&lt;=85,1,0))</formula>
    </cfRule>
  </conditionalFormatting>
  <conditionalFormatting sqref="Y95">
    <cfRule type="expression" dxfId="2269" priority="2391">
      <formula>AND(IF(OR($Q95=1,$Q95=2),1,0),IF($Y95&lt;=20,1,0))</formula>
    </cfRule>
    <cfRule type="expression" dxfId="2268" priority="2392">
      <formula>AND(IF($Q95=2,1,0),IF($Y95&lt;30,1,0))</formula>
    </cfRule>
    <cfRule type="expression" dxfId="2267" priority="2393">
      <formula>AND(IF($Q95=3,1,0),IF($Y95&lt;30,1,0))</formula>
    </cfRule>
    <cfRule type="expression" dxfId="2266" priority="2394">
      <formula>AND(IF($Q95=3,1,IF($Q95=4,1,0)),IF($F95&lt;=85,1,0))</formula>
    </cfRule>
  </conditionalFormatting>
  <conditionalFormatting sqref="AJ95">
    <cfRule type="expression" dxfId="2265" priority="2387">
      <formula>AND(IF(OR($Q95=1,$Q95=2),1,0),IF($Y95&lt;=20,1,0))</formula>
    </cfRule>
    <cfRule type="expression" dxfId="2264" priority="2388">
      <formula>AND(IF($Q95=2,1,0),IF($Y95&lt;30,1,0))</formula>
    </cfRule>
    <cfRule type="expression" dxfId="2263" priority="2389">
      <formula>AND(IF($Q95=3,1,0),IF($Y95&lt;30,1,0))</formula>
    </cfRule>
    <cfRule type="expression" dxfId="2262" priority="2390">
      <formula>AND(IF($Q95=3,1,IF($Q95=4,1,0)),IF($F95&lt;=85,1,0))</formula>
    </cfRule>
  </conditionalFormatting>
  <conditionalFormatting sqref="AW96">
    <cfRule type="expression" dxfId="2261" priority="2385">
      <formula>AW96="X"</formula>
    </cfRule>
    <cfRule type="expression" dxfId="2260" priority="2386">
      <formula>AW96="후보"</formula>
    </cfRule>
  </conditionalFormatting>
  <conditionalFormatting sqref="AA96">
    <cfRule type="colorScale" priority="23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6">
    <cfRule type="cellIs" dxfId="2259" priority="2382" operator="greaterThan">
      <formula>0.9</formula>
    </cfRule>
    <cfRule type="cellIs" dxfId="2258" priority="2383" operator="greaterThan">
      <formula>0.85</formula>
    </cfRule>
  </conditionalFormatting>
  <conditionalFormatting sqref="N96">
    <cfRule type="cellIs" dxfId="2257" priority="2380" operator="greaterThan">
      <formula>0.9</formula>
    </cfRule>
    <cfRule type="cellIs" dxfId="2256" priority="2381" operator="greaterThan">
      <formula>0.85</formula>
    </cfRule>
  </conditionalFormatting>
  <conditionalFormatting sqref="E96">
    <cfRule type="expression" dxfId="2255" priority="2376">
      <formula>AND(IF(OR($Q96=1,$Q96=2),1,0),IF($E96&lt;=20,1,0))</formula>
    </cfRule>
    <cfRule type="expression" dxfId="2254" priority="2377">
      <formula>AND(IF($Q96=2,1,0),IF($E96&lt;30,1,0))</formula>
    </cfRule>
    <cfRule type="expression" dxfId="2253" priority="2378">
      <formula>AND(IF($Q96=3,1,0),IF($E96&lt;30,1,0))</formula>
    </cfRule>
    <cfRule type="expression" dxfId="2252" priority="2379">
      <formula>AND(IF($Q96=3,1,IF($Q96=4,1,0)),IF($F96&lt;=85,1,0))</formula>
    </cfRule>
  </conditionalFormatting>
  <conditionalFormatting sqref="Y96">
    <cfRule type="expression" dxfId="2251" priority="2372">
      <formula>AND(IF(OR($Q96=1,$Q96=2),1,0),IF($Y96&lt;=20,1,0))</formula>
    </cfRule>
    <cfRule type="expression" dxfId="2250" priority="2373">
      <formula>AND(IF($Q96=2,1,0),IF($Y96&lt;30,1,0))</formula>
    </cfRule>
    <cfRule type="expression" dxfId="2249" priority="2374">
      <formula>AND(IF($Q96=3,1,0),IF($Y96&lt;30,1,0))</formula>
    </cfRule>
    <cfRule type="expression" dxfId="2248" priority="2375">
      <formula>AND(IF($Q96=3,1,IF($Q96=4,1,0)),IF($F96&lt;=85,1,0))</formula>
    </cfRule>
  </conditionalFormatting>
  <conditionalFormatting sqref="AJ96">
    <cfRule type="expression" dxfId="2247" priority="2368">
      <formula>AND(IF(OR($Q96=1,$Q96=2),1,0),IF($Y96&lt;=20,1,0))</formula>
    </cfRule>
    <cfRule type="expression" dxfId="2246" priority="2369">
      <formula>AND(IF($Q96=2,1,0),IF($Y96&lt;30,1,0))</formula>
    </cfRule>
    <cfRule type="expression" dxfId="2245" priority="2370">
      <formula>AND(IF($Q96=3,1,0),IF($Y96&lt;30,1,0))</formula>
    </cfRule>
    <cfRule type="expression" dxfId="2244" priority="2371">
      <formula>AND(IF($Q96=3,1,IF($Q96=4,1,0)),IF($F96&lt;=85,1,0))</formula>
    </cfRule>
  </conditionalFormatting>
  <conditionalFormatting sqref="AW97">
    <cfRule type="expression" dxfId="2243" priority="2366">
      <formula>AW97="X"</formula>
    </cfRule>
    <cfRule type="expression" dxfId="2242" priority="2367">
      <formula>AW97="후보"</formula>
    </cfRule>
  </conditionalFormatting>
  <conditionalFormatting sqref="AA97">
    <cfRule type="colorScale" priority="23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7">
    <cfRule type="cellIs" dxfId="2241" priority="2363" operator="greaterThan">
      <formula>0.9</formula>
    </cfRule>
    <cfRule type="cellIs" dxfId="2240" priority="2364" operator="greaterThan">
      <formula>0.85</formula>
    </cfRule>
  </conditionalFormatting>
  <conditionalFormatting sqref="N97">
    <cfRule type="cellIs" dxfId="2239" priority="2361" operator="greaterThan">
      <formula>0.9</formula>
    </cfRule>
    <cfRule type="cellIs" dxfId="2238" priority="2362" operator="greaterThan">
      <formula>0.85</formula>
    </cfRule>
  </conditionalFormatting>
  <conditionalFormatting sqref="E97">
    <cfRule type="expression" dxfId="2237" priority="2357">
      <formula>AND(IF(OR($Q97=1,$Q97=2),1,0),IF($E97&lt;=20,1,0))</formula>
    </cfRule>
    <cfRule type="expression" dxfId="2236" priority="2358">
      <formula>AND(IF($Q97=2,1,0),IF($E97&lt;30,1,0))</formula>
    </cfRule>
    <cfRule type="expression" dxfId="2235" priority="2359">
      <formula>AND(IF($Q97=3,1,0),IF($E97&lt;30,1,0))</formula>
    </cfRule>
    <cfRule type="expression" dxfId="2234" priority="2360">
      <formula>AND(IF($Q97=3,1,IF($Q97=4,1,0)),IF($F97&lt;=85,1,0))</formula>
    </cfRule>
  </conditionalFormatting>
  <conditionalFormatting sqref="Y97">
    <cfRule type="expression" dxfId="2233" priority="2353">
      <formula>AND(IF(OR($Q97=1,$Q97=2),1,0),IF($Y97&lt;=20,1,0))</formula>
    </cfRule>
    <cfRule type="expression" dxfId="2232" priority="2354">
      <formula>AND(IF($Q97=2,1,0),IF($Y97&lt;30,1,0))</formula>
    </cfRule>
    <cfRule type="expression" dxfId="2231" priority="2355">
      <formula>AND(IF($Q97=3,1,0),IF($Y97&lt;30,1,0))</formula>
    </cfRule>
    <cfRule type="expression" dxfId="2230" priority="2356">
      <formula>AND(IF($Q97=3,1,IF($Q97=4,1,0)),IF($F97&lt;=85,1,0))</formula>
    </cfRule>
  </conditionalFormatting>
  <conditionalFormatting sqref="AJ97">
    <cfRule type="expression" dxfId="2229" priority="2349">
      <formula>AND(IF(OR($Q97=1,$Q97=2),1,0),IF($Y97&lt;=20,1,0))</formula>
    </cfRule>
    <cfRule type="expression" dxfId="2228" priority="2350">
      <formula>AND(IF($Q97=2,1,0),IF($Y97&lt;30,1,0))</formula>
    </cfRule>
    <cfRule type="expression" dxfId="2227" priority="2351">
      <formula>AND(IF($Q97=3,1,0),IF($Y97&lt;30,1,0))</formula>
    </cfRule>
    <cfRule type="expression" dxfId="2226" priority="2352">
      <formula>AND(IF($Q97=3,1,IF($Q97=4,1,0)),IF($F97&lt;=85,1,0))</formula>
    </cfRule>
  </conditionalFormatting>
  <conditionalFormatting sqref="AW98">
    <cfRule type="expression" dxfId="2225" priority="2347">
      <formula>AW98="X"</formula>
    </cfRule>
    <cfRule type="expression" dxfId="2224" priority="2348">
      <formula>AW98="후보"</formula>
    </cfRule>
  </conditionalFormatting>
  <conditionalFormatting sqref="AA98">
    <cfRule type="colorScale" priority="23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8 N98">
    <cfRule type="cellIs" dxfId="2223" priority="2344" operator="greaterThan">
      <formula>0.9</formula>
    </cfRule>
    <cfRule type="cellIs" dxfId="2222" priority="2345" operator="greaterThan">
      <formula>0.85</formula>
    </cfRule>
  </conditionalFormatting>
  <conditionalFormatting sqref="AW99">
    <cfRule type="expression" dxfId="2221" priority="2342">
      <formula>AW99="X"</formula>
    </cfRule>
    <cfRule type="expression" dxfId="2220" priority="2343">
      <formula>AW99="후보"</formula>
    </cfRule>
  </conditionalFormatting>
  <conditionalFormatting sqref="AA99">
    <cfRule type="colorScale" priority="23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9">
    <cfRule type="cellIs" dxfId="2219" priority="2339" operator="greaterThan">
      <formula>0.9</formula>
    </cfRule>
    <cfRule type="cellIs" dxfId="2218" priority="2340" operator="greaterThan">
      <formula>0.85</formula>
    </cfRule>
  </conditionalFormatting>
  <conditionalFormatting sqref="N99">
    <cfRule type="cellIs" dxfId="2217" priority="2337" operator="greaterThan">
      <formula>0.9</formula>
    </cfRule>
    <cfRule type="cellIs" dxfId="2216" priority="2338" operator="greaterThan">
      <formula>0.85</formula>
    </cfRule>
  </conditionalFormatting>
  <conditionalFormatting sqref="E99">
    <cfRule type="expression" dxfId="2215" priority="2333">
      <formula>AND(IF(OR($Q99=1,$Q99=2),1,0),IF($E99&lt;=20,1,0))</formula>
    </cfRule>
    <cfRule type="expression" dxfId="2214" priority="2334">
      <formula>AND(IF($Q99=2,1,0),IF($E99&lt;30,1,0))</formula>
    </cfRule>
    <cfRule type="expression" dxfId="2213" priority="2335">
      <formula>AND(IF($Q99=3,1,0),IF($E99&lt;30,1,0))</formula>
    </cfRule>
    <cfRule type="expression" dxfId="2212" priority="2336">
      <formula>AND(IF($Q99=3,1,IF($Q99=4,1,0)),IF($F99&lt;=85,1,0))</formula>
    </cfRule>
  </conditionalFormatting>
  <conditionalFormatting sqref="Y99">
    <cfRule type="expression" dxfId="2211" priority="2329">
      <formula>AND(IF(OR($Q99=1,$Q99=2),1,0),IF($Y99&lt;=20,1,0))</formula>
    </cfRule>
    <cfRule type="expression" dxfId="2210" priority="2330">
      <formula>AND(IF($Q99=2,1,0),IF($Y99&lt;30,1,0))</formula>
    </cfRule>
    <cfRule type="expression" dxfId="2209" priority="2331">
      <formula>AND(IF($Q99=3,1,0),IF($Y99&lt;30,1,0))</formula>
    </cfRule>
    <cfRule type="expression" dxfId="2208" priority="2332">
      <formula>AND(IF($Q99=3,1,IF($Q99=4,1,0)),IF($F99&lt;=85,1,0))</formula>
    </cfRule>
  </conditionalFormatting>
  <conditionalFormatting sqref="AJ99">
    <cfRule type="expression" dxfId="2207" priority="2325">
      <formula>AND(IF(OR($Q99=1,$Q99=2),1,0),IF($Y99&lt;=20,1,0))</formula>
    </cfRule>
    <cfRule type="expression" dxfId="2206" priority="2326">
      <formula>AND(IF($Q99=2,1,0),IF($Y99&lt;30,1,0))</formula>
    </cfRule>
    <cfRule type="expression" dxfId="2205" priority="2327">
      <formula>AND(IF($Q99=3,1,0),IF($Y99&lt;30,1,0))</formula>
    </cfRule>
    <cfRule type="expression" dxfId="2204" priority="2328">
      <formula>AND(IF($Q99=3,1,IF($Q99=4,1,0)),IF($F99&lt;=85,1,0))</formula>
    </cfRule>
  </conditionalFormatting>
  <conditionalFormatting sqref="AW100">
    <cfRule type="expression" dxfId="2203" priority="2323">
      <formula>AW100="X"</formula>
    </cfRule>
    <cfRule type="expression" dxfId="2202" priority="2324">
      <formula>AW100="후보"</formula>
    </cfRule>
  </conditionalFormatting>
  <conditionalFormatting sqref="AA100">
    <cfRule type="colorScale" priority="23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0">
    <cfRule type="cellIs" dxfId="2201" priority="2320" operator="greaterThan">
      <formula>0.9</formula>
    </cfRule>
    <cfRule type="cellIs" dxfId="2200" priority="2321" operator="greaterThan">
      <formula>0.85</formula>
    </cfRule>
  </conditionalFormatting>
  <conditionalFormatting sqref="N100">
    <cfRule type="cellIs" dxfId="2199" priority="2318" operator="greaterThan">
      <formula>0.9</formula>
    </cfRule>
    <cfRule type="cellIs" dxfId="2198" priority="2319" operator="greaterThan">
      <formula>0.85</formula>
    </cfRule>
  </conditionalFormatting>
  <conditionalFormatting sqref="E100">
    <cfRule type="expression" dxfId="2197" priority="2314">
      <formula>AND(IF(OR($Q100=1,$Q100=2),1,0),IF($E100&lt;=20,1,0))</formula>
    </cfRule>
    <cfRule type="expression" dxfId="2196" priority="2315">
      <formula>AND(IF($Q100=2,1,0),IF($E100&lt;30,1,0))</formula>
    </cfRule>
    <cfRule type="expression" dxfId="2195" priority="2316">
      <formula>AND(IF($Q100=3,1,0),IF($E100&lt;30,1,0))</formula>
    </cfRule>
    <cfRule type="expression" dxfId="2194" priority="2317">
      <formula>AND(IF($Q100=3,1,IF($Q100=4,1,0)),IF($F100&lt;=85,1,0))</formula>
    </cfRule>
  </conditionalFormatting>
  <conditionalFormatting sqref="Y100">
    <cfRule type="expression" dxfId="2193" priority="2310">
      <formula>AND(IF(OR($Q100=1,$Q100=2),1,0),IF($Y100&lt;=20,1,0))</formula>
    </cfRule>
    <cfRule type="expression" dxfId="2192" priority="2311">
      <formula>AND(IF($Q100=2,1,0),IF($Y100&lt;30,1,0))</formula>
    </cfRule>
    <cfRule type="expression" dxfId="2191" priority="2312">
      <formula>AND(IF($Q100=3,1,0),IF($Y100&lt;30,1,0))</formula>
    </cfRule>
    <cfRule type="expression" dxfId="2190" priority="2313">
      <formula>AND(IF($Q100=3,1,IF($Q100=4,1,0)),IF($F100&lt;=85,1,0))</formula>
    </cfRule>
  </conditionalFormatting>
  <conditionalFormatting sqref="AJ100">
    <cfRule type="expression" dxfId="2189" priority="2306">
      <formula>AND(IF(OR($Q100=1,$Q100=2),1,0),IF($Y100&lt;=20,1,0))</formula>
    </cfRule>
    <cfRule type="expression" dxfId="2188" priority="2307">
      <formula>AND(IF($Q100=2,1,0),IF($Y100&lt;30,1,0))</formula>
    </cfRule>
    <cfRule type="expression" dxfId="2187" priority="2308">
      <formula>AND(IF($Q100=3,1,0),IF($Y100&lt;30,1,0))</formula>
    </cfRule>
    <cfRule type="expression" dxfId="2186" priority="2309">
      <formula>AND(IF($Q100=3,1,IF($Q100=4,1,0)),IF($F100&lt;=85,1,0))</formula>
    </cfRule>
  </conditionalFormatting>
  <conditionalFormatting sqref="AW101">
    <cfRule type="expression" dxfId="2185" priority="2304">
      <formula>AW101="X"</formula>
    </cfRule>
    <cfRule type="expression" dxfId="2184" priority="2305">
      <formula>AW101="후보"</formula>
    </cfRule>
  </conditionalFormatting>
  <conditionalFormatting sqref="AA101">
    <cfRule type="colorScale" priority="23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1 N101">
    <cfRule type="cellIs" dxfId="2183" priority="2301" operator="greaterThan">
      <formula>0.9</formula>
    </cfRule>
    <cfRule type="cellIs" dxfId="2182" priority="2302" operator="greaterThan">
      <formula>0.85</formula>
    </cfRule>
  </conditionalFormatting>
  <conditionalFormatting sqref="AW102">
    <cfRule type="expression" dxfId="2181" priority="2299">
      <formula>AW102="X"</formula>
    </cfRule>
    <cfRule type="expression" dxfId="2180" priority="2300">
      <formula>AW102="후보"</formula>
    </cfRule>
  </conditionalFormatting>
  <conditionalFormatting sqref="AA102">
    <cfRule type="colorScale" priority="22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2">
    <cfRule type="cellIs" dxfId="2179" priority="2296" operator="greaterThan">
      <formula>0.9</formula>
    </cfRule>
    <cfRule type="cellIs" dxfId="2178" priority="2297" operator="greaterThan">
      <formula>0.85</formula>
    </cfRule>
  </conditionalFormatting>
  <conditionalFormatting sqref="N102">
    <cfRule type="cellIs" dxfId="2177" priority="2294" operator="greaterThan">
      <formula>0.9</formula>
    </cfRule>
    <cfRule type="cellIs" dxfId="2176" priority="2295" operator="greaterThan">
      <formula>0.85</formula>
    </cfRule>
  </conditionalFormatting>
  <conditionalFormatting sqref="E102">
    <cfRule type="expression" dxfId="2175" priority="2290">
      <formula>AND(IF(OR($Q102=1,$Q102=2),1,0),IF($E102&lt;=20,1,0))</formula>
    </cfRule>
    <cfRule type="expression" dxfId="2174" priority="2291">
      <formula>AND(IF($Q102=2,1,0),IF($E102&lt;30,1,0))</formula>
    </cfRule>
    <cfRule type="expression" dxfId="2173" priority="2292">
      <formula>AND(IF($Q102=3,1,0),IF($E102&lt;30,1,0))</formula>
    </cfRule>
    <cfRule type="expression" dxfId="2172" priority="2293">
      <formula>AND(IF($Q102=3,1,IF($Q102=4,1,0)),IF($F102&lt;=85,1,0))</formula>
    </cfRule>
  </conditionalFormatting>
  <conditionalFormatting sqref="Y102">
    <cfRule type="expression" dxfId="2171" priority="2286">
      <formula>AND(IF(OR($Q102=1,$Q102=2),1,0),IF($Y102&lt;=20,1,0))</formula>
    </cfRule>
    <cfRule type="expression" dxfId="2170" priority="2287">
      <formula>AND(IF($Q102=2,1,0),IF($Y102&lt;30,1,0))</formula>
    </cfRule>
    <cfRule type="expression" dxfId="2169" priority="2288">
      <formula>AND(IF($Q102=3,1,0),IF($Y102&lt;30,1,0))</formula>
    </cfRule>
    <cfRule type="expression" dxfId="2168" priority="2289">
      <formula>AND(IF($Q102=3,1,IF($Q102=4,1,0)),IF($F102&lt;=85,1,0))</formula>
    </cfRule>
  </conditionalFormatting>
  <conditionalFormatting sqref="AJ102">
    <cfRule type="expression" dxfId="2167" priority="2282">
      <formula>AND(IF(OR($Q102=1,$Q102=2),1,0),IF($Y102&lt;=20,1,0))</formula>
    </cfRule>
    <cfRule type="expression" dxfId="2166" priority="2283">
      <formula>AND(IF($Q102=2,1,0),IF($Y102&lt;30,1,0))</formula>
    </cfRule>
    <cfRule type="expression" dxfId="2165" priority="2284">
      <formula>AND(IF($Q102=3,1,0),IF($Y102&lt;30,1,0))</formula>
    </cfRule>
    <cfRule type="expression" dxfId="2164" priority="2285">
      <formula>AND(IF($Q102=3,1,IF($Q102=4,1,0)),IF($F102&lt;=85,1,0))</formula>
    </cfRule>
  </conditionalFormatting>
  <conditionalFormatting sqref="AW103">
    <cfRule type="expression" dxfId="2163" priority="2280">
      <formula>AW103="X"</formula>
    </cfRule>
    <cfRule type="expression" dxfId="2162" priority="2281">
      <formula>AW103="후보"</formula>
    </cfRule>
  </conditionalFormatting>
  <conditionalFormatting sqref="AA103">
    <cfRule type="colorScale" priority="22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3">
    <cfRule type="cellIs" dxfId="2161" priority="2277" operator="greaterThan">
      <formula>0.9</formula>
    </cfRule>
    <cfRule type="cellIs" dxfId="2160" priority="2278" operator="greaterThan">
      <formula>0.85</formula>
    </cfRule>
  </conditionalFormatting>
  <conditionalFormatting sqref="N103">
    <cfRule type="cellIs" dxfId="2159" priority="2275" operator="greaterThan">
      <formula>0.9</formula>
    </cfRule>
    <cfRule type="cellIs" dxfId="2158" priority="2276" operator="greaterThan">
      <formula>0.85</formula>
    </cfRule>
  </conditionalFormatting>
  <conditionalFormatting sqref="E103">
    <cfRule type="expression" dxfId="2157" priority="2271">
      <formula>AND(IF(OR($Q103=1,$Q103=2),1,0),IF($E103&lt;=20,1,0))</formula>
    </cfRule>
    <cfRule type="expression" dxfId="2156" priority="2272">
      <formula>AND(IF($Q103=2,1,0),IF($E103&lt;30,1,0))</formula>
    </cfRule>
    <cfRule type="expression" dxfId="2155" priority="2273">
      <formula>AND(IF($Q103=3,1,0),IF($E103&lt;30,1,0))</formula>
    </cfRule>
    <cfRule type="expression" dxfId="2154" priority="2274">
      <formula>AND(IF($Q103=3,1,IF($Q103=4,1,0)),IF($F103&lt;=85,1,0))</formula>
    </cfRule>
  </conditionalFormatting>
  <conditionalFormatting sqref="Y103">
    <cfRule type="expression" dxfId="2153" priority="2267">
      <formula>AND(IF(OR($Q103=1,$Q103=2),1,0),IF($Y103&lt;=20,1,0))</formula>
    </cfRule>
    <cfRule type="expression" dxfId="2152" priority="2268">
      <formula>AND(IF($Q103=2,1,0),IF($Y103&lt;30,1,0))</formula>
    </cfRule>
    <cfRule type="expression" dxfId="2151" priority="2269">
      <formula>AND(IF($Q103=3,1,0),IF($Y103&lt;30,1,0))</formula>
    </cfRule>
    <cfRule type="expression" dxfId="2150" priority="2270">
      <formula>AND(IF($Q103=3,1,IF($Q103=4,1,0)),IF($F103&lt;=85,1,0))</formula>
    </cfRule>
  </conditionalFormatting>
  <conditionalFormatting sqref="AJ103">
    <cfRule type="expression" dxfId="2149" priority="2263">
      <formula>AND(IF(OR($Q103=1,$Q103=2),1,0),IF($Y103&lt;=20,1,0))</formula>
    </cfRule>
    <cfRule type="expression" dxfId="2148" priority="2264">
      <formula>AND(IF($Q103=2,1,0),IF($Y103&lt;30,1,0))</formula>
    </cfRule>
    <cfRule type="expression" dxfId="2147" priority="2265">
      <formula>AND(IF($Q103=3,1,0),IF($Y103&lt;30,1,0))</formula>
    </cfRule>
    <cfRule type="expression" dxfId="2146" priority="2266">
      <formula>AND(IF($Q103=3,1,IF($Q103=4,1,0)),IF($F103&lt;=85,1,0))</formula>
    </cfRule>
  </conditionalFormatting>
  <conditionalFormatting sqref="AW104">
    <cfRule type="expression" dxfId="2145" priority="2261">
      <formula>AW104="X"</formula>
    </cfRule>
    <cfRule type="expression" dxfId="2144" priority="2262">
      <formula>AW104="후보"</formula>
    </cfRule>
  </conditionalFormatting>
  <conditionalFormatting sqref="AA104">
    <cfRule type="colorScale" priority="2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4">
    <cfRule type="cellIs" dxfId="2143" priority="2258" operator="greaterThan">
      <formula>0.9</formula>
    </cfRule>
    <cfRule type="cellIs" dxfId="2142" priority="2259" operator="greaterThan">
      <formula>0.85</formula>
    </cfRule>
  </conditionalFormatting>
  <conditionalFormatting sqref="N104">
    <cfRule type="cellIs" dxfId="2141" priority="2256" operator="greaterThan">
      <formula>0.9</formula>
    </cfRule>
    <cfRule type="cellIs" dxfId="2140" priority="2257" operator="greaterThan">
      <formula>0.85</formula>
    </cfRule>
  </conditionalFormatting>
  <conditionalFormatting sqref="E104">
    <cfRule type="expression" dxfId="2139" priority="2252">
      <formula>AND(IF(OR($Q104=1,$Q104=2),1,0),IF($E104&lt;=20,1,0))</formula>
    </cfRule>
    <cfRule type="expression" dxfId="2138" priority="2253">
      <formula>AND(IF($Q104=2,1,0),IF($E104&lt;30,1,0))</formula>
    </cfRule>
    <cfRule type="expression" dxfId="2137" priority="2254">
      <formula>AND(IF($Q104=3,1,0),IF($E104&lt;30,1,0))</formula>
    </cfRule>
    <cfRule type="expression" dxfId="2136" priority="2255">
      <formula>AND(IF($Q104=3,1,IF($Q104=4,1,0)),IF($F104&lt;=85,1,0))</formula>
    </cfRule>
  </conditionalFormatting>
  <conditionalFormatting sqref="Y104">
    <cfRule type="expression" dxfId="2135" priority="2248">
      <formula>AND(IF(OR($Q104=1,$Q104=2),1,0),IF($Y104&lt;=20,1,0))</formula>
    </cfRule>
    <cfRule type="expression" dxfId="2134" priority="2249">
      <formula>AND(IF($Q104=2,1,0),IF($Y104&lt;30,1,0))</formula>
    </cfRule>
    <cfRule type="expression" dxfId="2133" priority="2250">
      <formula>AND(IF($Q104=3,1,0),IF($Y104&lt;30,1,0))</formula>
    </cfRule>
    <cfRule type="expression" dxfId="2132" priority="2251">
      <formula>AND(IF($Q104=3,1,IF($Q104=4,1,0)),IF($F104&lt;=85,1,0))</formula>
    </cfRule>
  </conditionalFormatting>
  <conditionalFormatting sqref="AJ104">
    <cfRule type="expression" dxfId="2131" priority="2244">
      <formula>AND(IF(OR($Q104=1,$Q104=2),1,0),IF($Y104&lt;=20,1,0))</formula>
    </cfRule>
    <cfRule type="expression" dxfId="2130" priority="2245">
      <formula>AND(IF($Q104=2,1,0),IF($Y104&lt;30,1,0))</formula>
    </cfRule>
    <cfRule type="expression" dxfId="2129" priority="2246">
      <formula>AND(IF($Q104=3,1,0),IF($Y104&lt;30,1,0))</formula>
    </cfRule>
    <cfRule type="expression" dxfId="2128" priority="2247">
      <formula>AND(IF($Q104=3,1,IF($Q104=4,1,0)),IF($F104&lt;=85,1,0))</formula>
    </cfRule>
  </conditionalFormatting>
  <conditionalFormatting sqref="AW105">
    <cfRule type="expression" dxfId="2127" priority="2242">
      <formula>AW105="X"</formula>
    </cfRule>
    <cfRule type="expression" dxfId="2126" priority="2243">
      <formula>AW105="후보"</formula>
    </cfRule>
  </conditionalFormatting>
  <conditionalFormatting sqref="AA105">
    <cfRule type="colorScale" priority="2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5 N105">
    <cfRule type="cellIs" dxfId="2125" priority="2239" operator="greaterThan">
      <formula>0.9</formula>
    </cfRule>
    <cfRule type="cellIs" dxfId="2124" priority="2240" operator="greaterThan">
      <formula>0.85</formula>
    </cfRule>
  </conditionalFormatting>
  <conditionalFormatting sqref="AW106">
    <cfRule type="expression" dxfId="2123" priority="2237">
      <formula>AW106="X"</formula>
    </cfRule>
    <cfRule type="expression" dxfId="2122" priority="2238">
      <formula>AW106="후보"</formula>
    </cfRule>
  </conditionalFormatting>
  <conditionalFormatting sqref="AA106">
    <cfRule type="colorScale" priority="22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6">
    <cfRule type="cellIs" dxfId="2121" priority="2234" operator="greaterThan">
      <formula>0.9</formula>
    </cfRule>
    <cfRule type="cellIs" dxfId="2120" priority="2235" operator="greaterThan">
      <formula>0.85</formula>
    </cfRule>
  </conditionalFormatting>
  <conditionalFormatting sqref="N106">
    <cfRule type="cellIs" dxfId="2119" priority="2232" operator="greaterThan">
      <formula>0.9</formula>
    </cfRule>
    <cfRule type="cellIs" dxfId="2118" priority="2233" operator="greaterThan">
      <formula>0.85</formula>
    </cfRule>
  </conditionalFormatting>
  <conditionalFormatting sqref="E106">
    <cfRule type="expression" dxfId="2117" priority="2228">
      <formula>AND(IF(OR($Q106=1,$Q106=2),1,0),IF($E106&lt;=20,1,0))</formula>
    </cfRule>
    <cfRule type="expression" dxfId="2116" priority="2229">
      <formula>AND(IF($Q106=2,1,0),IF($E106&lt;30,1,0))</formula>
    </cfRule>
    <cfRule type="expression" dxfId="2115" priority="2230">
      <formula>AND(IF($Q106=3,1,0),IF($E106&lt;30,1,0))</formula>
    </cfRule>
    <cfRule type="expression" dxfId="2114" priority="2231">
      <formula>AND(IF($Q106=3,1,IF($Q106=4,1,0)),IF($F106&lt;=85,1,0))</formula>
    </cfRule>
  </conditionalFormatting>
  <conditionalFormatting sqref="Y106">
    <cfRule type="expression" dxfId="2113" priority="2224">
      <formula>AND(IF(OR($Q106=1,$Q106=2),1,0),IF($Y106&lt;=20,1,0))</formula>
    </cfRule>
    <cfRule type="expression" dxfId="2112" priority="2225">
      <formula>AND(IF($Q106=2,1,0),IF($Y106&lt;30,1,0))</formula>
    </cfRule>
    <cfRule type="expression" dxfId="2111" priority="2226">
      <formula>AND(IF($Q106=3,1,0),IF($Y106&lt;30,1,0))</formula>
    </cfRule>
    <cfRule type="expression" dxfId="2110" priority="2227">
      <formula>AND(IF($Q106=3,1,IF($Q106=4,1,0)),IF($F106&lt;=85,1,0))</formula>
    </cfRule>
  </conditionalFormatting>
  <conditionalFormatting sqref="AJ106">
    <cfRule type="expression" dxfId="2109" priority="2220">
      <formula>AND(IF(OR($Q106=1,$Q106=2),1,0),IF($Y106&lt;=20,1,0))</formula>
    </cfRule>
    <cfRule type="expression" dxfId="2108" priority="2221">
      <formula>AND(IF($Q106=2,1,0),IF($Y106&lt;30,1,0))</formula>
    </cfRule>
    <cfRule type="expression" dxfId="2107" priority="2222">
      <formula>AND(IF($Q106=3,1,0),IF($Y106&lt;30,1,0))</formula>
    </cfRule>
    <cfRule type="expression" dxfId="2106" priority="2223">
      <formula>AND(IF($Q106=3,1,IF($Q106=4,1,0)),IF($F106&lt;=85,1,0))</formula>
    </cfRule>
  </conditionalFormatting>
  <conditionalFormatting sqref="AW107">
    <cfRule type="expression" dxfId="2105" priority="2218">
      <formula>AW107="X"</formula>
    </cfRule>
    <cfRule type="expression" dxfId="2104" priority="2219">
      <formula>AW107="후보"</formula>
    </cfRule>
  </conditionalFormatting>
  <conditionalFormatting sqref="AA107">
    <cfRule type="colorScale" priority="2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7">
    <cfRule type="cellIs" dxfId="2103" priority="2215" operator="greaterThan">
      <formula>0.9</formula>
    </cfRule>
    <cfRule type="cellIs" dxfId="2102" priority="2216" operator="greaterThan">
      <formula>0.85</formula>
    </cfRule>
  </conditionalFormatting>
  <conditionalFormatting sqref="N107">
    <cfRule type="cellIs" dxfId="2101" priority="2213" operator="greaterThan">
      <formula>0.9</formula>
    </cfRule>
    <cfRule type="cellIs" dxfId="2100" priority="2214" operator="greaterThan">
      <formula>0.85</formula>
    </cfRule>
  </conditionalFormatting>
  <conditionalFormatting sqref="E107">
    <cfRule type="expression" dxfId="2099" priority="2209">
      <formula>AND(IF(OR($Q107=1,$Q107=2),1,0),IF($E107&lt;=20,1,0))</formula>
    </cfRule>
    <cfRule type="expression" dxfId="2098" priority="2210">
      <formula>AND(IF($Q107=2,1,0),IF($E107&lt;30,1,0))</formula>
    </cfRule>
    <cfRule type="expression" dxfId="2097" priority="2211">
      <formula>AND(IF($Q107=3,1,0),IF($E107&lt;30,1,0))</formula>
    </cfRule>
    <cfRule type="expression" dxfId="2096" priority="2212">
      <formula>AND(IF($Q107=3,1,IF($Q107=4,1,0)),IF($F107&lt;=85,1,0))</formula>
    </cfRule>
  </conditionalFormatting>
  <conditionalFormatting sqref="Y107">
    <cfRule type="expression" dxfId="2095" priority="2205">
      <formula>AND(IF(OR($Q107=1,$Q107=2),1,0),IF($Y107&lt;=20,1,0))</formula>
    </cfRule>
    <cfRule type="expression" dxfId="2094" priority="2206">
      <formula>AND(IF($Q107=2,1,0),IF($Y107&lt;30,1,0))</formula>
    </cfRule>
    <cfRule type="expression" dxfId="2093" priority="2207">
      <formula>AND(IF($Q107=3,1,0),IF($Y107&lt;30,1,0))</formula>
    </cfRule>
    <cfRule type="expression" dxfId="2092" priority="2208">
      <formula>AND(IF($Q107=3,1,IF($Q107=4,1,0)),IF($F107&lt;=85,1,0))</formula>
    </cfRule>
  </conditionalFormatting>
  <conditionalFormatting sqref="AJ107">
    <cfRule type="expression" dxfId="2091" priority="2201">
      <formula>AND(IF(OR($Q107=1,$Q107=2),1,0),IF($Y107&lt;=20,1,0))</formula>
    </cfRule>
    <cfRule type="expression" dxfId="2090" priority="2202">
      <formula>AND(IF($Q107=2,1,0),IF($Y107&lt;30,1,0))</formula>
    </cfRule>
    <cfRule type="expression" dxfId="2089" priority="2203">
      <formula>AND(IF($Q107=3,1,0),IF($Y107&lt;30,1,0))</formula>
    </cfRule>
    <cfRule type="expression" dxfId="2088" priority="2204">
      <formula>AND(IF($Q107=3,1,IF($Q107=4,1,0)),IF($F107&lt;=85,1,0))</formula>
    </cfRule>
  </conditionalFormatting>
  <conditionalFormatting sqref="AW108">
    <cfRule type="expression" dxfId="2087" priority="2199">
      <formula>AW108="X"</formula>
    </cfRule>
    <cfRule type="expression" dxfId="2086" priority="2200">
      <formula>AW108="후보"</formula>
    </cfRule>
  </conditionalFormatting>
  <conditionalFormatting sqref="AA108">
    <cfRule type="colorScale" priority="2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8 N108">
    <cfRule type="cellIs" dxfId="2085" priority="2196" operator="greaterThan">
      <formula>0.9</formula>
    </cfRule>
    <cfRule type="cellIs" dxfId="2084" priority="2197" operator="greaterThan">
      <formula>0.85</formula>
    </cfRule>
  </conditionalFormatting>
  <conditionalFormatting sqref="AW109">
    <cfRule type="expression" dxfId="2083" priority="2194">
      <formula>AW109="X"</formula>
    </cfRule>
    <cfRule type="expression" dxfId="2082" priority="2195">
      <formula>AW109="후보"</formula>
    </cfRule>
  </conditionalFormatting>
  <conditionalFormatting sqref="AA109">
    <cfRule type="colorScale" priority="21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9">
    <cfRule type="cellIs" dxfId="2081" priority="2191" operator="greaterThan">
      <formula>0.9</formula>
    </cfRule>
    <cfRule type="cellIs" dxfId="2080" priority="2192" operator="greaterThan">
      <formula>0.85</formula>
    </cfRule>
  </conditionalFormatting>
  <conditionalFormatting sqref="N109">
    <cfRule type="cellIs" dxfId="2079" priority="2189" operator="greaterThan">
      <formula>0.9</formula>
    </cfRule>
    <cfRule type="cellIs" dxfId="2078" priority="2190" operator="greaterThan">
      <formula>0.85</formula>
    </cfRule>
  </conditionalFormatting>
  <conditionalFormatting sqref="E109">
    <cfRule type="expression" dxfId="2077" priority="2185">
      <formula>AND(IF(OR($Q109=1,$Q109=2),1,0),IF($E109&lt;=20,1,0))</formula>
    </cfRule>
    <cfRule type="expression" dxfId="2076" priority="2186">
      <formula>AND(IF($Q109=2,1,0),IF($E109&lt;30,1,0))</formula>
    </cfRule>
    <cfRule type="expression" dxfId="2075" priority="2187">
      <formula>AND(IF($Q109=3,1,0),IF($E109&lt;30,1,0))</formula>
    </cfRule>
    <cfRule type="expression" dxfId="2074" priority="2188">
      <formula>AND(IF($Q109=3,1,IF($Q109=4,1,0)),IF($F109&lt;=85,1,0))</formula>
    </cfRule>
  </conditionalFormatting>
  <conditionalFormatting sqref="Y109">
    <cfRule type="expression" dxfId="2073" priority="2181">
      <formula>AND(IF(OR($Q109=1,$Q109=2),1,0),IF($Y109&lt;=20,1,0))</formula>
    </cfRule>
    <cfRule type="expression" dxfId="2072" priority="2182">
      <formula>AND(IF($Q109=2,1,0),IF($Y109&lt;30,1,0))</formula>
    </cfRule>
    <cfRule type="expression" dxfId="2071" priority="2183">
      <formula>AND(IF($Q109=3,1,0),IF($Y109&lt;30,1,0))</formula>
    </cfRule>
    <cfRule type="expression" dxfId="2070" priority="2184">
      <formula>AND(IF($Q109=3,1,IF($Q109=4,1,0)),IF($F109&lt;=85,1,0))</formula>
    </cfRule>
  </conditionalFormatting>
  <conditionalFormatting sqref="AJ109">
    <cfRule type="expression" dxfId="2069" priority="2177">
      <formula>AND(IF(OR($Q109=1,$Q109=2),1,0),IF($Y109&lt;=20,1,0))</formula>
    </cfRule>
    <cfRule type="expression" dxfId="2068" priority="2178">
      <formula>AND(IF($Q109=2,1,0),IF($Y109&lt;30,1,0))</formula>
    </cfRule>
    <cfRule type="expression" dxfId="2067" priority="2179">
      <formula>AND(IF($Q109=3,1,0),IF($Y109&lt;30,1,0))</formula>
    </cfRule>
    <cfRule type="expression" dxfId="2066" priority="2180">
      <formula>AND(IF($Q109=3,1,IF($Q109=4,1,0)),IF($F109&lt;=85,1,0))</formula>
    </cfRule>
  </conditionalFormatting>
  <conditionalFormatting sqref="AW110">
    <cfRule type="expression" dxfId="2065" priority="2175">
      <formula>AW110="X"</formula>
    </cfRule>
    <cfRule type="expression" dxfId="2064" priority="2176">
      <formula>AW110="후보"</formula>
    </cfRule>
  </conditionalFormatting>
  <conditionalFormatting sqref="AA110">
    <cfRule type="colorScale" priority="21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0">
    <cfRule type="cellIs" dxfId="2063" priority="2172" operator="greaterThan">
      <formula>0.9</formula>
    </cfRule>
    <cfRule type="cellIs" dxfId="2062" priority="2173" operator="greaterThan">
      <formula>0.85</formula>
    </cfRule>
  </conditionalFormatting>
  <conditionalFormatting sqref="N110">
    <cfRule type="cellIs" dxfId="2061" priority="2170" operator="greaterThan">
      <formula>0.9</formula>
    </cfRule>
    <cfRule type="cellIs" dxfId="2060" priority="2171" operator="greaterThan">
      <formula>0.85</formula>
    </cfRule>
  </conditionalFormatting>
  <conditionalFormatting sqref="E110">
    <cfRule type="expression" dxfId="2059" priority="2166">
      <formula>AND(IF(OR($Q110=1,$Q110=2),1,0),IF($E110&lt;=20,1,0))</formula>
    </cfRule>
    <cfRule type="expression" dxfId="2058" priority="2167">
      <formula>AND(IF($Q110=2,1,0),IF($E110&lt;30,1,0))</formula>
    </cfRule>
    <cfRule type="expression" dxfId="2057" priority="2168">
      <formula>AND(IF($Q110=3,1,0),IF($E110&lt;30,1,0))</formula>
    </cfRule>
    <cfRule type="expression" dxfId="2056" priority="2169">
      <formula>AND(IF($Q110=3,1,IF($Q110=4,1,0)),IF($F110&lt;=85,1,0))</formula>
    </cfRule>
  </conditionalFormatting>
  <conditionalFormatting sqref="Y110">
    <cfRule type="expression" dxfId="2055" priority="2162">
      <formula>AND(IF(OR($Q110=1,$Q110=2),1,0),IF($Y110&lt;=20,1,0))</formula>
    </cfRule>
    <cfRule type="expression" dxfId="2054" priority="2163">
      <formula>AND(IF($Q110=2,1,0),IF($Y110&lt;30,1,0))</formula>
    </cfRule>
    <cfRule type="expression" dxfId="2053" priority="2164">
      <formula>AND(IF($Q110=3,1,0),IF($Y110&lt;30,1,0))</formula>
    </cfRule>
    <cfRule type="expression" dxfId="2052" priority="2165">
      <formula>AND(IF($Q110=3,1,IF($Q110=4,1,0)),IF($F110&lt;=85,1,0))</formula>
    </cfRule>
  </conditionalFormatting>
  <conditionalFormatting sqref="AJ110">
    <cfRule type="expression" dxfId="2051" priority="2158">
      <formula>AND(IF(OR($Q110=1,$Q110=2),1,0),IF($Y110&lt;=20,1,0))</formula>
    </cfRule>
    <cfRule type="expression" dxfId="2050" priority="2159">
      <formula>AND(IF($Q110=2,1,0),IF($Y110&lt;30,1,0))</formula>
    </cfRule>
    <cfRule type="expression" dxfId="2049" priority="2160">
      <formula>AND(IF($Q110=3,1,0),IF($Y110&lt;30,1,0))</formula>
    </cfRule>
    <cfRule type="expression" dxfId="2048" priority="2161">
      <formula>AND(IF($Q110=3,1,IF($Q110=4,1,0)),IF($F110&lt;=85,1,0))</formula>
    </cfRule>
  </conditionalFormatting>
  <conditionalFormatting sqref="AW111">
    <cfRule type="expression" dxfId="2047" priority="2156">
      <formula>AW111="X"</formula>
    </cfRule>
    <cfRule type="expression" dxfId="2046" priority="2157">
      <formula>AW111="후보"</formula>
    </cfRule>
  </conditionalFormatting>
  <conditionalFormatting sqref="AA111">
    <cfRule type="colorScale" priority="21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1">
    <cfRule type="cellIs" dxfId="2045" priority="2153" operator="greaterThan">
      <formula>0.9</formula>
    </cfRule>
    <cfRule type="cellIs" dxfId="2044" priority="2154" operator="greaterThan">
      <formula>0.85</formula>
    </cfRule>
  </conditionalFormatting>
  <conditionalFormatting sqref="N111">
    <cfRule type="cellIs" dxfId="2043" priority="2151" operator="greaterThan">
      <formula>0.9</formula>
    </cfRule>
    <cfRule type="cellIs" dxfId="2042" priority="2152" operator="greaterThan">
      <formula>0.85</formula>
    </cfRule>
  </conditionalFormatting>
  <conditionalFormatting sqref="E111">
    <cfRule type="expression" dxfId="2041" priority="2147">
      <formula>AND(IF(OR($Q111=1,$Q111=2),1,0),IF($E111&lt;=20,1,0))</formula>
    </cfRule>
    <cfRule type="expression" dxfId="2040" priority="2148">
      <formula>AND(IF($Q111=2,1,0),IF($E111&lt;30,1,0))</formula>
    </cfRule>
    <cfRule type="expression" dxfId="2039" priority="2149">
      <formula>AND(IF($Q111=3,1,0),IF($E111&lt;30,1,0))</formula>
    </cfRule>
    <cfRule type="expression" dxfId="2038" priority="2150">
      <formula>AND(IF($Q111=3,1,IF($Q111=4,1,0)),IF($F111&lt;=85,1,0))</formula>
    </cfRule>
  </conditionalFormatting>
  <conditionalFormatting sqref="Y111">
    <cfRule type="expression" dxfId="2037" priority="2143">
      <formula>AND(IF(OR($Q111=1,$Q111=2),1,0),IF($Y111&lt;=20,1,0))</formula>
    </cfRule>
    <cfRule type="expression" dxfId="2036" priority="2144">
      <formula>AND(IF($Q111=2,1,0),IF($Y111&lt;30,1,0))</formula>
    </cfRule>
    <cfRule type="expression" dxfId="2035" priority="2145">
      <formula>AND(IF($Q111=3,1,0),IF($Y111&lt;30,1,0))</formula>
    </cfRule>
    <cfRule type="expression" dxfId="2034" priority="2146">
      <formula>AND(IF($Q111=3,1,IF($Q111=4,1,0)),IF($F111&lt;=85,1,0))</formula>
    </cfRule>
  </conditionalFormatting>
  <conditionalFormatting sqref="AJ111">
    <cfRule type="expression" dxfId="2033" priority="2139">
      <formula>AND(IF(OR($Q111=1,$Q111=2),1,0),IF($Y111&lt;=20,1,0))</formula>
    </cfRule>
    <cfRule type="expression" dxfId="2032" priority="2140">
      <formula>AND(IF($Q111=2,1,0),IF($Y111&lt;30,1,0))</formula>
    </cfRule>
    <cfRule type="expression" dxfId="2031" priority="2141">
      <formula>AND(IF($Q111=3,1,0),IF($Y111&lt;30,1,0))</formula>
    </cfRule>
    <cfRule type="expression" dxfId="2030" priority="2142">
      <formula>AND(IF($Q111=3,1,IF($Q111=4,1,0)),IF($F111&lt;=85,1,0))</formula>
    </cfRule>
  </conditionalFormatting>
  <conditionalFormatting sqref="AW112">
    <cfRule type="expression" dxfId="2029" priority="2137">
      <formula>AW112="X"</formula>
    </cfRule>
    <cfRule type="expression" dxfId="2028" priority="2138">
      <formula>AW112="후보"</formula>
    </cfRule>
  </conditionalFormatting>
  <conditionalFormatting sqref="AA112">
    <cfRule type="colorScale" priority="21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2">
    <cfRule type="cellIs" dxfId="2027" priority="2134" operator="greaterThan">
      <formula>0.9</formula>
    </cfRule>
    <cfRule type="cellIs" dxfId="2026" priority="2135" operator="greaterThan">
      <formula>0.85</formula>
    </cfRule>
  </conditionalFormatting>
  <conditionalFormatting sqref="N112">
    <cfRule type="cellIs" dxfId="2025" priority="2132" operator="greaterThan">
      <formula>0.9</formula>
    </cfRule>
    <cfRule type="cellIs" dxfId="2024" priority="2133" operator="greaterThan">
      <formula>0.85</formula>
    </cfRule>
  </conditionalFormatting>
  <conditionalFormatting sqref="E112">
    <cfRule type="expression" dxfId="2023" priority="2128">
      <formula>AND(IF(OR($Q112=1,$Q112=2),1,0),IF($E112&lt;=20,1,0))</formula>
    </cfRule>
    <cfRule type="expression" dxfId="2022" priority="2129">
      <formula>AND(IF($Q112=2,1,0),IF($E112&lt;30,1,0))</formula>
    </cfRule>
    <cfRule type="expression" dxfId="2021" priority="2130">
      <formula>AND(IF($Q112=3,1,0),IF($E112&lt;30,1,0))</formula>
    </cfRule>
    <cfRule type="expression" dxfId="2020" priority="2131">
      <formula>AND(IF($Q112=3,1,IF($Q112=4,1,0)),IF($F112&lt;=85,1,0))</formula>
    </cfRule>
  </conditionalFormatting>
  <conditionalFormatting sqref="Y112">
    <cfRule type="expression" dxfId="2019" priority="2124">
      <formula>AND(IF(OR($Q112=1,$Q112=2),1,0),IF($Y112&lt;=20,1,0))</formula>
    </cfRule>
    <cfRule type="expression" dxfId="2018" priority="2125">
      <formula>AND(IF($Q112=2,1,0),IF($Y112&lt;30,1,0))</formula>
    </cfRule>
    <cfRule type="expression" dxfId="2017" priority="2126">
      <formula>AND(IF($Q112=3,1,0),IF($Y112&lt;30,1,0))</formula>
    </cfRule>
    <cfRule type="expression" dxfId="2016" priority="2127">
      <formula>AND(IF($Q112=3,1,IF($Q112=4,1,0)),IF($F112&lt;=85,1,0))</formula>
    </cfRule>
  </conditionalFormatting>
  <conditionalFormatting sqref="AJ112">
    <cfRule type="expression" dxfId="2015" priority="2120">
      <formula>AND(IF(OR($Q112=1,$Q112=2),1,0),IF($Y112&lt;=20,1,0))</formula>
    </cfRule>
    <cfRule type="expression" dxfId="2014" priority="2121">
      <formula>AND(IF($Q112=2,1,0),IF($Y112&lt;30,1,0))</formula>
    </cfRule>
    <cfRule type="expression" dxfId="2013" priority="2122">
      <formula>AND(IF($Q112=3,1,0),IF($Y112&lt;30,1,0))</formula>
    </cfRule>
    <cfRule type="expression" dxfId="2012" priority="2123">
      <formula>AND(IF($Q112=3,1,IF($Q112=4,1,0)),IF($F112&lt;=85,1,0))</formula>
    </cfRule>
  </conditionalFormatting>
  <conditionalFormatting sqref="AW113">
    <cfRule type="expression" dxfId="2011" priority="2118">
      <formula>AW113="X"</formula>
    </cfRule>
    <cfRule type="expression" dxfId="2010" priority="2119">
      <formula>AW113="후보"</formula>
    </cfRule>
  </conditionalFormatting>
  <conditionalFormatting sqref="AA113">
    <cfRule type="colorScale" priority="2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3">
    <cfRule type="cellIs" dxfId="2009" priority="2115" operator="greaterThan">
      <formula>0.9</formula>
    </cfRule>
    <cfRule type="cellIs" dxfId="2008" priority="2116" operator="greaterThan">
      <formula>0.85</formula>
    </cfRule>
  </conditionalFormatting>
  <conditionalFormatting sqref="N113">
    <cfRule type="cellIs" dxfId="2007" priority="2113" operator="greaterThan">
      <formula>0.9</formula>
    </cfRule>
    <cfRule type="cellIs" dxfId="2006" priority="2114" operator="greaterThan">
      <formula>0.85</formula>
    </cfRule>
  </conditionalFormatting>
  <conditionalFormatting sqref="E113">
    <cfRule type="expression" dxfId="2005" priority="2109">
      <formula>AND(IF(OR($Q113=1,$Q113=2),1,0),IF($E113&lt;=20,1,0))</formula>
    </cfRule>
    <cfRule type="expression" dxfId="2004" priority="2110">
      <formula>AND(IF($Q113=2,1,0),IF($E113&lt;30,1,0))</formula>
    </cfRule>
    <cfRule type="expression" dxfId="2003" priority="2111">
      <formula>AND(IF($Q113=3,1,0),IF($E113&lt;30,1,0))</formula>
    </cfRule>
    <cfRule type="expression" dxfId="2002" priority="2112">
      <formula>AND(IF($Q113=3,1,IF($Q113=4,1,0)),IF($F113&lt;=85,1,0))</formula>
    </cfRule>
  </conditionalFormatting>
  <conditionalFormatting sqref="Y113">
    <cfRule type="expression" dxfId="2001" priority="2105">
      <formula>AND(IF(OR($Q113=1,$Q113=2),1,0),IF($Y113&lt;=20,1,0))</formula>
    </cfRule>
    <cfRule type="expression" dxfId="2000" priority="2106">
      <formula>AND(IF($Q113=2,1,0),IF($Y113&lt;30,1,0))</formula>
    </cfRule>
    <cfRule type="expression" dxfId="1999" priority="2107">
      <formula>AND(IF($Q113=3,1,0),IF($Y113&lt;30,1,0))</formula>
    </cfRule>
    <cfRule type="expression" dxfId="1998" priority="2108">
      <formula>AND(IF($Q113=3,1,IF($Q113=4,1,0)),IF($F113&lt;=85,1,0))</formula>
    </cfRule>
  </conditionalFormatting>
  <conditionalFormatting sqref="AJ113">
    <cfRule type="expression" dxfId="1997" priority="2101">
      <formula>AND(IF(OR($Q113=1,$Q113=2),1,0),IF($Y113&lt;=20,1,0))</formula>
    </cfRule>
    <cfRule type="expression" dxfId="1996" priority="2102">
      <formula>AND(IF($Q113=2,1,0),IF($Y113&lt;30,1,0))</formula>
    </cfRule>
    <cfRule type="expression" dxfId="1995" priority="2103">
      <formula>AND(IF($Q113=3,1,0),IF($Y113&lt;30,1,0))</formula>
    </cfRule>
    <cfRule type="expression" dxfId="1994" priority="2104">
      <formula>AND(IF($Q113=3,1,IF($Q113=4,1,0)),IF($F113&lt;=85,1,0))</formula>
    </cfRule>
  </conditionalFormatting>
  <conditionalFormatting sqref="AW114">
    <cfRule type="expression" dxfId="1993" priority="2099">
      <formula>AW114="X"</formula>
    </cfRule>
    <cfRule type="expression" dxfId="1992" priority="2100">
      <formula>AW114="후보"</formula>
    </cfRule>
  </conditionalFormatting>
  <conditionalFormatting sqref="AA114">
    <cfRule type="colorScale" priority="20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4">
    <cfRule type="cellIs" dxfId="1991" priority="2096" operator="greaterThan">
      <formula>0.9</formula>
    </cfRule>
    <cfRule type="cellIs" dxfId="1990" priority="2097" operator="greaterThan">
      <formula>0.85</formula>
    </cfRule>
  </conditionalFormatting>
  <conditionalFormatting sqref="N114">
    <cfRule type="cellIs" dxfId="1989" priority="2094" operator="greaterThan">
      <formula>0.9</formula>
    </cfRule>
    <cfRule type="cellIs" dxfId="1988" priority="2095" operator="greaterThan">
      <formula>0.85</formula>
    </cfRule>
  </conditionalFormatting>
  <conditionalFormatting sqref="E114">
    <cfRule type="expression" dxfId="1987" priority="2090">
      <formula>AND(IF(OR($Q114=1,$Q114=2),1,0),IF($E114&lt;=20,1,0))</formula>
    </cfRule>
    <cfRule type="expression" dxfId="1986" priority="2091">
      <formula>AND(IF($Q114=2,1,0),IF($E114&lt;30,1,0))</formula>
    </cfRule>
    <cfRule type="expression" dxfId="1985" priority="2092">
      <formula>AND(IF($Q114=3,1,0),IF($E114&lt;30,1,0))</formula>
    </cfRule>
    <cfRule type="expression" dxfId="1984" priority="2093">
      <formula>AND(IF($Q114=3,1,IF($Q114=4,1,0)),IF($F114&lt;=85,1,0))</formula>
    </cfRule>
  </conditionalFormatting>
  <conditionalFormatting sqref="Y114">
    <cfRule type="expression" dxfId="1983" priority="2086">
      <formula>AND(IF(OR($Q114=1,$Q114=2),1,0),IF($Y114&lt;=20,1,0))</formula>
    </cfRule>
    <cfRule type="expression" dxfId="1982" priority="2087">
      <formula>AND(IF($Q114=2,1,0),IF($Y114&lt;30,1,0))</formula>
    </cfRule>
    <cfRule type="expression" dxfId="1981" priority="2088">
      <formula>AND(IF($Q114=3,1,0),IF($Y114&lt;30,1,0))</formula>
    </cfRule>
    <cfRule type="expression" dxfId="1980" priority="2089">
      <formula>AND(IF($Q114=3,1,IF($Q114=4,1,0)),IF($F114&lt;=85,1,0))</formula>
    </cfRule>
  </conditionalFormatting>
  <conditionalFormatting sqref="AJ114">
    <cfRule type="expression" dxfId="1979" priority="2082">
      <formula>AND(IF(OR($Q114=1,$Q114=2),1,0),IF($Y114&lt;=20,1,0))</formula>
    </cfRule>
    <cfRule type="expression" dxfId="1978" priority="2083">
      <formula>AND(IF($Q114=2,1,0),IF($Y114&lt;30,1,0))</formula>
    </cfRule>
    <cfRule type="expression" dxfId="1977" priority="2084">
      <formula>AND(IF($Q114=3,1,0),IF($Y114&lt;30,1,0))</formula>
    </cfRule>
    <cfRule type="expression" dxfId="1976" priority="2085">
      <formula>AND(IF($Q114=3,1,IF($Q114=4,1,0)),IF($F114&lt;=85,1,0))</formula>
    </cfRule>
  </conditionalFormatting>
  <conditionalFormatting sqref="AW115">
    <cfRule type="expression" dxfId="1975" priority="2080">
      <formula>AW115="X"</formula>
    </cfRule>
    <cfRule type="expression" dxfId="1974" priority="2081">
      <formula>AW115="후보"</formula>
    </cfRule>
  </conditionalFormatting>
  <conditionalFormatting sqref="AA115">
    <cfRule type="colorScale" priority="20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5">
    <cfRule type="cellIs" dxfId="1973" priority="2077" operator="greaterThan">
      <formula>0.9</formula>
    </cfRule>
    <cfRule type="cellIs" dxfId="1972" priority="2078" operator="greaterThan">
      <formula>0.85</formula>
    </cfRule>
  </conditionalFormatting>
  <conditionalFormatting sqref="N115">
    <cfRule type="cellIs" dxfId="1971" priority="2075" operator="greaterThan">
      <formula>0.9</formula>
    </cfRule>
    <cfRule type="cellIs" dxfId="1970" priority="2076" operator="greaterThan">
      <formula>0.85</formula>
    </cfRule>
  </conditionalFormatting>
  <conditionalFormatting sqref="E115">
    <cfRule type="expression" dxfId="1969" priority="2071">
      <formula>AND(IF(OR($Q115=1,$Q115=2),1,0),IF($E115&lt;=20,1,0))</formula>
    </cfRule>
    <cfRule type="expression" dxfId="1968" priority="2072">
      <formula>AND(IF($Q115=2,1,0),IF($E115&lt;30,1,0))</formula>
    </cfRule>
    <cfRule type="expression" dxfId="1967" priority="2073">
      <formula>AND(IF($Q115=3,1,0),IF($E115&lt;30,1,0))</formula>
    </cfRule>
    <cfRule type="expression" dxfId="1966" priority="2074">
      <formula>AND(IF($Q115=3,1,IF($Q115=4,1,0)),IF($F115&lt;=85,1,0))</formula>
    </cfRule>
  </conditionalFormatting>
  <conditionalFormatting sqref="Y115">
    <cfRule type="expression" dxfId="1965" priority="2067">
      <formula>AND(IF(OR($Q115=1,$Q115=2),1,0),IF($Y115&lt;=20,1,0))</formula>
    </cfRule>
    <cfRule type="expression" dxfId="1964" priority="2068">
      <formula>AND(IF($Q115=2,1,0),IF($Y115&lt;30,1,0))</formula>
    </cfRule>
    <cfRule type="expression" dxfId="1963" priority="2069">
      <formula>AND(IF($Q115=3,1,0),IF($Y115&lt;30,1,0))</formula>
    </cfRule>
    <cfRule type="expression" dxfId="1962" priority="2070">
      <formula>AND(IF($Q115=3,1,IF($Q115=4,1,0)),IF($F115&lt;=85,1,0))</formula>
    </cfRule>
  </conditionalFormatting>
  <conditionalFormatting sqref="AJ115">
    <cfRule type="expression" dxfId="1961" priority="2063">
      <formula>AND(IF(OR($Q115=1,$Q115=2),1,0),IF($Y115&lt;=20,1,0))</formula>
    </cfRule>
    <cfRule type="expression" dxfId="1960" priority="2064">
      <formula>AND(IF($Q115=2,1,0),IF($Y115&lt;30,1,0))</formula>
    </cfRule>
    <cfRule type="expression" dxfId="1959" priority="2065">
      <formula>AND(IF($Q115=3,1,0),IF($Y115&lt;30,1,0))</formula>
    </cfRule>
    <cfRule type="expression" dxfId="1958" priority="2066">
      <formula>AND(IF($Q115=3,1,IF($Q115=4,1,0)),IF($F115&lt;=85,1,0))</formula>
    </cfRule>
  </conditionalFormatting>
  <conditionalFormatting sqref="AW116">
    <cfRule type="expression" dxfId="1957" priority="2061">
      <formula>AW116="X"</formula>
    </cfRule>
    <cfRule type="expression" dxfId="1956" priority="2062">
      <formula>AW116="후보"</formula>
    </cfRule>
  </conditionalFormatting>
  <conditionalFormatting sqref="AA116">
    <cfRule type="colorScale" priority="20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6">
    <cfRule type="cellIs" dxfId="1955" priority="2058" operator="greaterThan">
      <formula>0.9</formula>
    </cfRule>
    <cfRule type="cellIs" dxfId="1954" priority="2059" operator="greaterThan">
      <formula>0.85</formula>
    </cfRule>
  </conditionalFormatting>
  <conditionalFormatting sqref="N116">
    <cfRule type="cellIs" dxfId="1953" priority="2056" operator="greaterThan">
      <formula>0.9</formula>
    </cfRule>
    <cfRule type="cellIs" dxfId="1952" priority="2057" operator="greaterThan">
      <formula>0.85</formula>
    </cfRule>
  </conditionalFormatting>
  <conditionalFormatting sqref="E116">
    <cfRule type="expression" dxfId="1951" priority="2052">
      <formula>AND(IF(OR($Q116=1,$Q116=2),1,0),IF($E116&lt;=20,1,0))</formula>
    </cfRule>
    <cfRule type="expression" dxfId="1950" priority="2053">
      <formula>AND(IF($Q116=2,1,0),IF($E116&lt;30,1,0))</formula>
    </cfRule>
    <cfRule type="expression" dxfId="1949" priority="2054">
      <formula>AND(IF($Q116=3,1,0),IF($E116&lt;30,1,0))</formula>
    </cfRule>
    <cfRule type="expression" dxfId="1948" priority="2055">
      <formula>AND(IF($Q116=3,1,IF($Q116=4,1,0)),IF($F116&lt;=85,1,0))</formula>
    </cfRule>
  </conditionalFormatting>
  <conditionalFormatting sqref="Y116">
    <cfRule type="expression" dxfId="1947" priority="2048">
      <formula>AND(IF(OR($Q116=1,$Q116=2),1,0),IF($Y116&lt;=20,1,0))</formula>
    </cfRule>
    <cfRule type="expression" dxfId="1946" priority="2049">
      <formula>AND(IF($Q116=2,1,0),IF($Y116&lt;30,1,0))</formula>
    </cfRule>
    <cfRule type="expression" dxfId="1945" priority="2050">
      <formula>AND(IF($Q116=3,1,0),IF($Y116&lt;30,1,0))</formula>
    </cfRule>
    <cfRule type="expression" dxfId="1944" priority="2051">
      <formula>AND(IF($Q116=3,1,IF($Q116=4,1,0)),IF($F116&lt;=85,1,0))</formula>
    </cfRule>
  </conditionalFormatting>
  <conditionalFormatting sqref="AJ116">
    <cfRule type="expression" dxfId="1943" priority="2044">
      <formula>AND(IF(OR($Q116=1,$Q116=2),1,0),IF($Y116&lt;=20,1,0))</formula>
    </cfRule>
    <cfRule type="expression" dxfId="1942" priority="2045">
      <formula>AND(IF($Q116=2,1,0),IF($Y116&lt;30,1,0))</formula>
    </cfRule>
    <cfRule type="expression" dxfId="1941" priority="2046">
      <formula>AND(IF($Q116=3,1,0),IF($Y116&lt;30,1,0))</formula>
    </cfRule>
    <cfRule type="expression" dxfId="1940" priority="2047">
      <formula>AND(IF($Q116=3,1,IF($Q116=4,1,0)),IF($F116&lt;=85,1,0))</formula>
    </cfRule>
  </conditionalFormatting>
  <conditionalFormatting sqref="AW117">
    <cfRule type="expression" dxfId="1939" priority="2042">
      <formula>AW117="X"</formula>
    </cfRule>
    <cfRule type="expression" dxfId="1938" priority="2043">
      <formula>AW117="후보"</formula>
    </cfRule>
  </conditionalFormatting>
  <conditionalFormatting sqref="AA117">
    <cfRule type="colorScale" priority="20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7">
    <cfRule type="cellIs" dxfId="1937" priority="2039" operator="greaterThan">
      <formula>0.9</formula>
    </cfRule>
    <cfRule type="cellIs" dxfId="1936" priority="2040" operator="greaterThan">
      <formula>0.85</formula>
    </cfRule>
  </conditionalFormatting>
  <conditionalFormatting sqref="N117">
    <cfRule type="cellIs" dxfId="1935" priority="2037" operator="greaterThan">
      <formula>0.9</formula>
    </cfRule>
    <cfRule type="cellIs" dxfId="1934" priority="2038" operator="greaterThan">
      <formula>0.85</formula>
    </cfRule>
  </conditionalFormatting>
  <conditionalFormatting sqref="E117">
    <cfRule type="expression" dxfId="1933" priority="2033">
      <formula>AND(IF(OR($Q117=1,$Q117=2),1,0),IF($E117&lt;=20,1,0))</formula>
    </cfRule>
    <cfRule type="expression" dxfId="1932" priority="2034">
      <formula>AND(IF($Q117=2,1,0),IF($E117&lt;30,1,0))</formula>
    </cfRule>
    <cfRule type="expression" dxfId="1931" priority="2035">
      <formula>AND(IF($Q117=3,1,0),IF($E117&lt;30,1,0))</formula>
    </cfRule>
    <cfRule type="expression" dxfId="1930" priority="2036">
      <formula>AND(IF($Q117=3,1,IF($Q117=4,1,0)),IF($F117&lt;=85,1,0))</formula>
    </cfRule>
  </conditionalFormatting>
  <conditionalFormatting sqref="Y117">
    <cfRule type="expression" dxfId="1929" priority="2029">
      <formula>AND(IF(OR($Q117=1,$Q117=2),1,0),IF($Y117&lt;=20,1,0))</formula>
    </cfRule>
    <cfRule type="expression" dxfId="1928" priority="2030">
      <formula>AND(IF($Q117=2,1,0),IF($Y117&lt;30,1,0))</formula>
    </cfRule>
    <cfRule type="expression" dxfId="1927" priority="2031">
      <formula>AND(IF($Q117=3,1,0),IF($Y117&lt;30,1,0))</formula>
    </cfRule>
    <cfRule type="expression" dxfId="1926" priority="2032">
      <formula>AND(IF($Q117=3,1,IF($Q117=4,1,0)),IF($F117&lt;=85,1,0))</formula>
    </cfRule>
  </conditionalFormatting>
  <conditionalFormatting sqref="AJ117">
    <cfRule type="expression" dxfId="1925" priority="2025">
      <formula>AND(IF(OR($Q117=1,$Q117=2),1,0),IF($Y117&lt;=20,1,0))</formula>
    </cfRule>
    <cfRule type="expression" dxfId="1924" priority="2026">
      <formula>AND(IF($Q117=2,1,0),IF($Y117&lt;30,1,0))</formula>
    </cfRule>
    <cfRule type="expression" dxfId="1923" priority="2027">
      <formula>AND(IF($Q117=3,1,0),IF($Y117&lt;30,1,0))</formula>
    </cfRule>
    <cfRule type="expression" dxfId="1922" priority="2028">
      <formula>AND(IF($Q117=3,1,IF($Q117=4,1,0)),IF($F117&lt;=85,1,0))</formula>
    </cfRule>
  </conditionalFormatting>
  <conditionalFormatting sqref="AW118">
    <cfRule type="expression" dxfId="1921" priority="2023">
      <formula>AW118="X"</formula>
    </cfRule>
    <cfRule type="expression" dxfId="1920" priority="2024">
      <formula>AW118="후보"</formula>
    </cfRule>
  </conditionalFormatting>
  <conditionalFormatting sqref="AA118">
    <cfRule type="colorScale" priority="20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8">
    <cfRule type="cellIs" dxfId="1919" priority="2020" operator="greaterThan">
      <formula>0.9</formula>
    </cfRule>
    <cfRule type="cellIs" dxfId="1918" priority="2021" operator="greaterThan">
      <formula>0.85</formula>
    </cfRule>
  </conditionalFormatting>
  <conditionalFormatting sqref="N118">
    <cfRule type="cellIs" dxfId="1917" priority="2018" operator="greaterThan">
      <formula>0.9</formula>
    </cfRule>
    <cfRule type="cellIs" dxfId="1916" priority="2019" operator="greaterThan">
      <formula>0.85</formula>
    </cfRule>
  </conditionalFormatting>
  <conditionalFormatting sqref="E118">
    <cfRule type="expression" dxfId="1915" priority="2014">
      <formula>AND(IF(OR($Q118=1,$Q118=2),1,0),IF($E118&lt;=20,1,0))</formula>
    </cfRule>
    <cfRule type="expression" dxfId="1914" priority="2015">
      <formula>AND(IF($Q118=2,1,0),IF($E118&lt;30,1,0))</formula>
    </cfRule>
    <cfRule type="expression" dxfId="1913" priority="2016">
      <formula>AND(IF($Q118=3,1,0),IF($E118&lt;30,1,0))</formula>
    </cfRule>
    <cfRule type="expression" dxfId="1912" priority="2017">
      <formula>AND(IF($Q118=3,1,IF($Q118=4,1,0)),IF($F118&lt;=85,1,0))</formula>
    </cfRule>
  </conditionalFormatting>
  <conditionalFormatting sqref="Y118">
    <cfRule type="expression" dxfId="1911" priority="2010">
      <formula>AND(IF(OR($Q118=1,$Q118=2),1,0),IF($Y118&lt;=20,1,0))</formula>
    </cfRule>
    <cfRule type="expression" dxfId="1910" priority="2011">
      <formula>AND(IF($Q118=2,1,0),IF($Y118&lt;30,1,0))</formula>
    </cfRule>
    <cfRule type="expression" dxfId="1909" priority="2012">
      <formula>AND(IF($Q118=3,1,0),IF($Y118&lt;30,1,0))</formula>
    </cfRule>
    <cfRule type="expression" dxfId="1908" priority="2013">
      <formula>AND(IF($Q118=3,1,IF($Q118=4,1,0)),IF($F118&lt;=85,1,0))</formula>
    </cfRule>
  </conditionalFormatting>
  <conditionalFormatting sqref="AJ118">
    <cfRule type="expression" dxfId="1907" priority="2006">
      <formula>AND(IF(OR($Q118=1,$Q118=2),1,0),IF($Y118&lt;=20,1,0))</formula>
    </cfRule>
    <cfRule type="expression" dxfId="1906" priority="2007">
      <formula>AND(IF($Q118=2,1,0),IF($Y118&lt;30,1,0))</formula>
    </cfRule>
    <cfRule type="expression" dxfId="1905" priority="2008">
      <formula>AND(IF($Q118=3,1,0),IF($Y118&lt;30,1,0))</formula>
    </cfRule>
    <cfRule type="expression" dxfId="1904" priority="2009">
      <formula>AND(IF($Q118=3,1,IF($Q118=4,1,0)),IF($F118&lt;=85,1,0))</formula>
    </cfRule>
  </conditionalFormatting>
  <conditionalFormatting sqref="AW119">
    <cfRule type="expression" dxfId="1903" priority="2004">
      <formula>AW119="X"</formula>
    </cfRule>
    <cfRule type="expression" dxfId="1902" priority="2005">
      <formula>AW119="후보"</formula>
    </cfRule>
  </conditionalFormatting>
  <conditionalFormatting sqref="AA119">
    <cfRule type="colorScale" priority="20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9">
    <cfRule type="cellIs" dxfId="1901" priority="2001" operator="greaterThan">
      <formula>0.9</formula>
    </cfRule>
    <cfRule type="cellIs" dxfId="1900" priority="2002" operator="greaterThan">
      <formula>0.85</formula>
    </cfRule>
  </conditionalFormatting>
  <conditionalFormatting sqref="N119">
    <cfRule type="cellIs" dxfId="1899" priority="1999" operator="greaterThan">
      <formula>0.9</formula>
    </cfRule>
    <cfRule type="cellIs" dxfId="1898" priority="2000" operator="greaterThan">
      <formula>0.85</formula>
    </cfRule>
  </conditionalFormatting>
  <conditionalFormatting sqref="E119">
    <cfRule type="expression" dxfId="1897" priority="1995">
      <formula>AND(IF(OR($Q119=1,$Q119=2),1,0),IF($E119&lt;=20,1,0))</formula>
    </cfRule>
    <cfRule type="expression" dxfId="1896" priority="1996">
      <formula>AND(IF($Q119=2,1,0),IF($E119&lt;30,1,0))</formula>
    </cfRule>
    <cfRule type="expression" dxfId="1895" priority="1997">
      <formula>AND(IF($Q119=3,1,0),IF($E119&lt;30,1,0))</formula>
    </cfRule>
    <cfRule type="expression" dxfId="1894" priority="1998">
      <formula>AND(IF($Q119=3,1,IF($Q119=4,1,0)),IF($F119&lt;=85,1,0))</formula>
    </cfRule>
  </conditionalFormatting>
  <conditionalFormatting sqref="Y119">
    <cfRule type="expression" dxfId="1893" priority="1991">
      <formula>AND(IF(OR($Q119=1,$Q119=2),1,0),IF($Y119&lt;=20,1,0))</formula>
    </cfRule>
    <cfRule type="expression" dxfId="1892" priority="1992">
      <formula>AND(IF($Q119=2,1,0),IF($Y119&lt;30,1,0))</formula>
    </cfRule>
    <cfRule type="expression" dxfId="1891" priority="1993">
      <formula>AND(IF($Q119=3,1,0),IF($Y119&lt;30,1,0))</formula>
    </cfRule>
    <cfRule type="expression" dxfId="1890" priority="1994">
      <formula>AND(IF($Q119=3,1,IF($Q119=4,1,0)),IF($F119&lt;=85,1,0))</formula>
    </cfRule>
  </conditionalFormatting>
  <conditionalFormatting sqref="AJ119">
    <cfRule type="expression" dxfId="1889" priority="1987">
      <formula>AND(IF(OR($Q119=1,$Q119=2),1,0),IF($Y119&lt;=20,1,0))</formula>
    </cfRule>
    <cfRule type="expression" dxfId="1888" priority="1988">
      <formula>AND(IF($Q119=2,1,0),IF($Y119&lt;30,1,0))</formula>
    </cfRule>
    <cfRule type="expression" dxfId="1887" priority="1989">
      <formula>AND(IF($Q119=3,1,0),IF($Y119&lt;30,1,0))</formula>
    </cfRule>
    <cfRule type="expression" dxfId="1886" priority="1990">
      <formula>AND(IF($Q119=3,1,IF($Q119=4,1,0)),IF($F119&lt;=85,1,0))</formula>
    </cfRule>
  </conditionalFormatting>
  <conditionalFormatting sqref="AW120">
    <cfRule type="expression" dxfId="1885" priority="1985">
      <formula>AW120="X"</formula>
    </cfRule>
    <cfRule type="expression" dxfId="1884" priority="1986">
      <formula>AW120="후보"</formula>
    </cfRule>
  </conditionalFormatting>
  <conditionalFormatting sqref="AA120">
    <cfRule type="colorScale" priority="19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0">
    <cfRule type="cellIs" dxfId="1883" priority="1982" operator="greaterThan">
      <formula>0.9</formula>
    </cfRule>
    <cfRule type="cellIs" dxfId="1882" priority="1983" operator="greaterThan">
      <formula>0.85</formula>
    </cfRule>
  </conditionalFormatting>
  <conditionalFormatting sqref="N120">
    <cfRule type="cellIs" dxfId="1881" priority="1980" operator="greaterThan">
      <formula>0.9</formula>
    </cfRule>
    <cfRule type="cellIs" dxfId="1880" priority="1981" operator="greaterThan">
      <formula>0.85</formula>
    </cfRule>
  </conditionalFormatting>
  <conditionalFormatting sqref="E120">
    <cfRule type="expression" dxfId="1879" priority="1976">
      <formula>AND(IF(OR($Q120=1,$Q120=2),1,0),IF($E120&lt;=20,1,0))</formula>
    </cfRule>
    <cfRule type="expression" dxfId="1878" priority="1977">
      <formula>AND(IF($Q120=2,1,0),IF($E120&lt;30,1,0))</formula>
    </cfRule>
    <cfRule type="expression" dxfId="1877" priority="1978">
      <formula>AND(IF($Q120=3,1,0),IF($E120&lt;30,1,0))</formula>
    </cfRule>
    <cfRule type="expression" dxfId="1876" priority="1979">
      <formula>AND(IF($Q120=3,1,IF($Q120=4,1,0)),IF($F120&lt;=85,1,0))</formula>
    </cfRule>
  </conditionalFormatting>
  <conditionalFormatting sqref="Y120">
    <cfRule type="expression" dxfId="1875" priority="1972">
      <formula>AND(IF(OR($Q120=1,$Q120=2),1,0),IF($Y120&lt;=20,1,0))</formula>
    </cfRule>
    <cfRule type="expression" dxfId="1874" priority="1973">
      <formula>AND(IF($Q120=2,1,0),IF($Y120&lt;30,1,0))</formula>
    </cfRule>
    <cfRule type="expression" dxfId="1873" priority="1974">
      <formula>AND(IF($Q120=3,1,0),IF($Y120&lt;30,1,0))</formula>
    </cfRule>
    <cfRule type="expression" dxfId="1872" priority="1975">
      <formula>AND(IF($Q120=3,1,IF($Q120=4,1,0)),IF($F120&lt;=85,1,0))</formula>
    </cfRule>
  </conditionalFormatting>
  <conditionalFormatting sqref="AJ120">
    <cfRule type="expression" dxfId="1871" priority="1968">
      <formula>AND(IF(OR($Q120=1,$Q120=2),1,0),IF($Y120&lt;=20,1,0))</formula>
    </cfRule>
    <cfRule type="expression" dxfId="1870" priority="1969">
      <formula>AND(IF($Q120=2,1,0),IF($Y120&lt;30,1,0))</formula>
    </cfRule>
    <cfRule type="expression" dxfId="1869" priority="1970">
      <formula>AND(IF($Q120=3,1,0),IF($Y120&lt;30,1,0))</formula>
    </cfRule>
    <cfRule type="expression" dxfId="1868" priority="1971">
      <formula>AND(IF($Q120=3,1,IF($Q120=4,1,0)),IF($F120&lt;=85,1,0))</formula>
    </cfRule>
  </conditionalFormatting>
  <conditionalFormatting sqref="AW121">
    <cfRule type="expression" dxfId="1867" priority="1966">
      <formula>AW121="X"</formula>
    </cfRule>
    <cfRule type="expression" dxfId="1866" priority="1967">
      <formula>AW121="후보"</formula>
    </cfRule>
  </conditionalFormatting>
  <conditionalFormatting sqref="AA121">
    <cfRule type="colorScale" priority="19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1">
    <cfRule type="cellIs" dxfId="1865" priority="1963" operator="greaterThan">
      <formula>0.9</formula>
    </cfRule>
    <cfRule type="cellIs" dxfId="1864" priority="1964" operator="greaterThan">
      <formula>0.85</formula>
    </cfRule>
  </conditionalFormatting>
  <conditionalFormatting sqref="N121">
    <cfRule type="cellIs" dxfId="1863" priority="1961" operator="greaterThan">
      <formula>0.9</formula>
    </cfRule>
    <cfRule type="cellIs" dxfId="1862" priority="1962" operator="greaterThan">
      <formula>0.85</formula>
    </cfRule>
  </conditionalFormatting>
  <conditionalFormatting sqref="E121">
    <cfRule type="expression" dxfId="1861" priority="1957">
      <formula>AND(IF(OR($Q121=1,$Q121=2),1,0),IF($E121&lt;=20,1,0))</formula>
    </cfRule>
    <cfRule type="expression" dxfId="1860" priority="1958">
      <formula>AND(IF($Q121=2,1,0),IF($E121&lt;30,1,0))</formula>
    </cfRule>
    <cfRule type="expression" dxfId="1859" priority="1959">
      <formula>AND(IF($Q121=3,1,0),IF($E121&lt;30,1,0))</formula>
    </cfRule>
    <cfRule type="expression" dxfId="1858" priority="1960">
      <formula>AND(IF($Q121=3,1,IF($Q121=4,1,0)),IF($F121&lt;=85,1,0))</formula>
    </cfRule>
  </conditionalFormatting>
  <conditionalFormatting sqref="Y121">
    <cfRule type="expression" dxfId="1857" priority="1953">
      <formula>AND(IF(OR($Q121=1,$Q121=2),1,0),IF($Y121&lt;=20,1,0))</formula>
    </cfRule>
    <cfRule type="expression" dxfId="1856" priority="1954">
      <formula>AND(IF($Q121=2,1,0),IF($Y121&lt;30,1,0))</formula>
    </cfRule>
    <cfRule type="expression" dxfId="1855" priority="1955">
      <formula>AND(IF($Q121=3,1,0),IF($Y121&lt;30,1,0))</formula>
    </cfRule>
    <cfRule type="expression" dxfId="1854" priority="1956">
      <formula>AND(IF($Q121=3,1,IF($Q121=4,1,0)),IF($F121&lt;=85,1,0))</formula>
    </cfRule>
  </conditionalFormatting>
  <conditionalFormatting sqref="AJ121">
    <cfRule type="expression" dxfId="1853" priority="1949">
      <formula>AND(IF(OR($Q121=1,$Q121=2),1,0),IF($Y121&lt;=20,1,0))</formula>
    </cfRule>
    <cfRule type="expression" dxfId="1852" priority="1950">
      <formula>AND(IF($Q121=2,1,0),IF($Y121&lt;30,1,0))</formula>
    </cfRule>
    <cfRule type="expression" dxfId="1851" priority="1951">
      <formula>AND(IF($Q121=3,1,0),IF($Y121&lt;30,1,0))</formula>
    </cfRule>
    <cfRule type="expression" dxfId="1850" priority="1952">
      <formula>AND(IF($Q121=3,1,IF($Q121=4,1,0)),IF($F121&lt;=85,1,0))</formula>
    </cfRule>
  </conditionalFormatting>
  <conditionalFormatting sqref="AW122">
    <cfRule type="expression" dxfId="1849" priority="1947">
      <formula>AW122="X"</formula>
    </cfRule>
    <cfRule type="expression" dxfId="1848" priority="1948">
      <formula>AW122="후보"</formula>
    </cfRule>
  </conditionalFormatting>
  <conditionalFormatting sqref="AA122">
    <cfRule type="colorScale" priority="19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2">
    <cfRule type="cellIs" dxfId="1847" priority="1944" operator="greaterThan">
      <formula>0.9</formula>
    </cfRule>
    <cfRule type="cellIs" dxfId="1846" priority="1945" operator="greaterThan">
      <formula>0.85</formula>
    </cfRule>
  </conditionalFormatting>
  <conditionalFormatting sqref="N122">
    <cfRule type="cellIs" dxfId="1845" priority="1942" operator="greaterThan">
      <formula>0.9</formula>
    </cfRule>
    <cfRule type="cellIs" dxfId="1844" priority="1943" operator="greaterThan">
      <formula>0.85</formula>
    </cfRule>
  </conditionalFormatting>
  <conditionalFormatting sqref="E122">
    <cfRule type="expression" dxfId="1843" priority="1938">
      <formula>AND(IF(OR($Q122=1,$Q122=2),1,0),IF($E122&lt;=20,1,0))</formula>
    </cfRule>
    <cfRule type="expression" dxfId="1842" priority="1939">
      <formula>AND(IF($Q122=2,1,0),IF($E122&lt;30,1,0))</formula>
    </cfRule>
    <cfRule type="expression" dxfId="1841" priority="1940">
      <formula>AND(IF($Q122=3,1,0),IF($E122&lt;30,1,0))</formula>
    </cfRule>
    <cfRule type="expression" dxfId="1840" priority="1941">
      <formula>AND(IF($Q122=3,1,IF($Q122=4,1,0)),IF($F122&lt;=85,1,0))</formula>
    </cfRule>
  </conditionalFormatting>
  <conditionalFormatting sqref="Y122">
    <cfRule type="expression" dxfId="1839" priority="1934">
      <formula>AND(IF(OR($Q122=1,$Q122=2),1,0),IF($Y122&lt;=20,1,0))</formula>
    </cfRule>
    <cfRule type="expression" dxfId="1838" priority="1935">
      <formula>AND(IF($Q122=2,1,0),IF($Y122&lt;30,1,0))</formula>
    </cfRule>
    <cfRule type="expression" dxfId="1837" priority="1936">
      <formula>AND(IF($Q122=3,1,0),IF($Y122&lt;30,1,0))</formula>
    </cfRule>
    <cfRule type="expression" dxfId="1836" priority="1937">
      <formula>AND(IF($Q122=3,1,IF($Q122=4,1,0)),IF($F122&lt;=85,1,0))</formula>
    </cfRule>
  </conditionalFormatting>
  <conditionalFormatting sqref="AJ122">
    <cfRule type="expression" dxfId="1835" priority="1930">
      <formula>AND(IF(OR($Q122=1,$Q122=2),1,0),IF($Y122&lt;=20,1,0))</formula>
    </cfRule>
    <cfRule type="expression" dxfId="1834" priority="1931">
      <formula>AND(IF($Q122=2,1,0),IF($Y122&lt;30,1,0))</formula>
    </cfRule>
    <cfRule type="expression" dxfId="1833" priority="1932">
      <formula>AND(IF($Q122=3,1,0),IF($Y122&lt;30,1,0))</formula>
    </cfRule>
    <cfRule type="expression" dxfId="1832" priority="1933">
      <formula>AND(IF($Q122=3,1,IF($Q122=4,1,0)),IF($F122&lt;=85,1,0))</formula>
    </cfRule>
  </conditionalFormatting>
  <conditionalFormatting sqref="AW123">
    <cfRule type="expression" dxfId="1831" priority="1928">
      <formula>AW123="X"</formula>
    </cfRule>
    <cfRule type="expression" dxfId="1830" priority="1929">
      <formula>AW123="후보"</formula>
    </cfRule>
  </conditionalFormatting>
  <conditionalFormatting sqref="AA123">
    <cfRule type="colorScale" priority="19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3">
    <cfRule type="cellIs" dxfId="1829" priority="1925" operator="greaterThan">
      <formula>0.9</formula>
    </cfRule>
    <cfRule type="cellIs" dxfId="1828" priority="1926" operator="greaterThan">
      <formula>0.85</formula>
    </cfRule>
  </conditionalFormatting>
  <conditionalFormatting sqref="N123">
    <cfRule type="cellIs" dxfId="1827" priority="1923" operator="greaterThan">
      <formula>0.9</formula>
    </cfRule>
    <cfRule type="cellIs" dxfId="1826" priority="1924" operator="greaterThan">
      <formula>0.85</formula>
    </cfRule>
  </conditionalFormatting>
  <conditionalFormatting sqref="E123">
    <cfRule type="expression" dxfId="1825" priority="1919">
      <formula>AND(IF(OR($Q123=1,$Q123=2),1,0),IF($E123&lt;=20,1,0))</formula>
    </cfRule>
    <cfRule type="expression" dxfId="1824" priority="1920">
      <formula>AND(IF($Q123=2,1,0),IF($E123&lt;30,1,0))</formula>
    </cfRule>
    <cfRule type="expression" dxfId="1823" priority="1921">
      <formula>AND(IF($Q123=3,1,0),IF($E123&lt;30,1,0))</formula>
    </cfRule>
    <cfRule type="expression" dxfId="1822" priority="1922">
      <formula>AND(IF($Q123=3,1,IF($Q123=4,1,0)),IF($F123&lt;=85,1,0))</formula>
    </cfRule>
  </conditionalFormatting>
  <conditionalFormatting sqref="Y123">
    <cfRule type="expression" dxfId="1821" priority="1915">
      <formula>AND(IF(OR($Q123=1,$Q123=2),1,0),IF($Y123&lt;=20,1,0))</formula>
    </cfRule>
    <cfRule type="expression" dxfId="1820" priority="1916">
      <formula>AND(IF($Q123=2,1,0),IF($Y123&lt;30,1,0))</formula>
    </cfRule>
    <cfRule type="expression" dxfId="1819" priority="1917">
      <formula>AND(IF($Q123=3,1,0),IF($Y123&lt;30,1,0))</formula>
    </cfRule>
    <cfRule type="expression" dxfId="1818" priority="1918">
      <formula>AND(IF($Q123=3,1,IF($Q123=4,1,0)),IF($F123&lt;=85,1,0))</formula>
    </cfRule>
  </conditionalFormatting>
  <conditionalFormatting sqref="AJ123">
    <cfRule type="expression" dxfId="1817" priority="1911">
      <formula>AND(IF(OR($Q123=1,$Q123=2),1,0),IF($Y123&lt;=20,1,0))</formula>
    </cfRule>
    <cfRule type="expression" dxfId="1816" priority="1912">
      <formula>AND(IF($Q123=2,1,0),IF($Y123&lt;30,1,0))</formula>
    </cfRule>
    <cfRule type="expression" dxfId="1815" priority="1913">
      <formula>AND(IF($Q123=3,1,0),IF($Y123&lt;30,1,0))</formula>
    </cfRule>
    <cfRule type="expression" dxfId="1814" priority="1914">
      <formula>AND(IF($Q123=3,1,IF($Q123=4,1,0)),IF($F123&lt;=85,1,0))</formula>
    </cfRule>
  </conditionalFormatting>
  <conditionalFormatting sqref="AW124">
    <cfRule type="expression" dxfId="1813" priority="1909">
      <formula>AW124="X"</formula>
    </cfRule>
    <cfRule type="expression" dxfId="1812" priority="1910">
      <formula>AW124="후보"</formula>
    </cfRule>
  </conditionalFormatting>
  <conditionalFormatting sqref="AA124">
    <cfRule type="colorScale" priority="19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4">
    <cfRule type="cellIs" dxfId="1811" priority="1906" operator="greaterThan">
      <formula>0.9</formula>
    </cfRule>
    <cfRule type="cellIs" dxfId="1810" priority="1907" operator="greaterThan">
      <formula>0.85</formula>
    </cfRule>
  </conditionalFormatting>
  <conditionalFormatting sqref="N124">
    <cfRule type="cellIs" dxfId="1809" priority="1904" operator="greaterThan">
      <formula>0.9</formula>
    </cfRule>
    <cfRule type="cellIs" dxfId="1808" priority="1905" operator="greaterThan">
      <formula>0.85</formula>
    </cfRule>
  </conditionalFormatting>
  <conditionalFormatting sqref="E124">
    <cfRule type="expression" dxfId="1807" priority="1900">
      <formula>AND(IF(OR($Q124=1,$Q124=2),1,0),IF($E124&lt;=20,1,0))</formula>
    </cfRule>
    <cfRule type="expression" dxfId="1806" priority="1901">
      <formula>AND(IF($Q124=2,1,0),IF($E124&lt;30,1,0))</formula>
    </cfRule>
    <cfRule type="expression" dxfId="1805" priority="1902">
      <formula>AND(IF($Q124=3,1,0),IF($E124&lt;30,1,0))</formula>
    </cfRule>
    <cfRule type="expression" dxfId="1804" priority="1903">
      <formula>AND(IF($Q124=3,1,IF($Q124=4,1,0)),IF($F124&lt;=85,1,0))</formula>
    </cfRule>
  </conditionalFormatting>
  <conditionalFormatting sqref="Y124">
    <cfRule type="expression" dxfId="1803" priority="1896">
      <formula>AND(IF(OR($Q124=1,$Q124=2),1,0),IF($Y124&lt;=20,1,0))</formula>
    </cfRule>
    <cfRule type="expression" dxfId="1802" priority="1897">
      <formula>AND(IF($Q124=2,1,0),IF($Y124&lt;30,1,0))</formula>
    </cfRule>
    <cfRule type="expression" dxfId="1801" priority="1898">
      <formula>AND(IF($Q124=3,1,0),IF($Y124&lt;30,1,0))</formula>
    </cfRule>
    <cfRule type="expression" dxfId="1800" priority="1899">
      <formula>AND(IF($Q124=3,1,IF($Q124=4,1,0)),IF($F124&lt;=85,1,0))</formula>
    </cfRule>
  </conditionalFormatting>
  <conditionalFormatting sqref="AJ124">
    <cfRule type="expression" dxfId="1799" priority="1892">
      <formula>AND(IF(OR($Q124=1,$Q124=2),1,0),IF($Y124&lt;=20,1,0))</formula>
    </cfRule>
    <cfRule type="expression" dxfId="1798" priority="1893">
      <formula>AND(IF($Q124=2,1,0),IF($Y124&lt;30,1,0))</formula>
    </cfRule>
    <cfRule type="expression" dxfId="1797" priority="1894">
      <formula>AND(IF($Q124=3,1,0),IF($Y124&lt;30,1,0))</formula>
    </cfRule>
    <cfRule type="expression" dxfId="1796" priority="1895">
      <formula>AND(IF($Q124=3,1,IF($Q124=4,1,0)),IF($F124&lt;=85,1,0))</formula>
    </cfRule>
  </conditionalFormatting>
  <conditionalFormatting sqref="AW125">
    <cfRule type="expression" dxfId="1795" priority="1890">
      <formula>AW125="X"</formula>
    </cfRule>
    <cfRule type="expression" dxfId="1794" priority="1891">
      <formula>AW125="후보"</formula>
    </cfRule>
  </conditionalFormatting>
  <conditionalFormatting sqref="AA125">
    <cfRule type="colorScale" priority="18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5">
    <cfRule type="cellIs" dxfId="1793" priority="1887" operator="greaterThan">
      <formula>0.9</formula>
    </cfRule>
    <cfRule type="cellIs" dxfId="1792" priority="1888" operator="greaterThan">
      <formula>0.85</formula>
    </cfRule>
  </conditionalFormatting>
  <conditionalFormatting sqref="N125">
    <cfRule type="cellIs" dxfId="1791" priority="1885" operator="greaterThan">
      <formula>0.9</formula>
    </cfRule>
    <cfRule type="cellIs" dxfId="1790" priority="1886" operator="greaterThan">
      <formula>0.85</formula>
    </cfRule>
  </conditionalFormatting>
  <conditionalFormatting sqref="E125">
    <cfRule type="expression" dxfId="1789" priority="1881">
      <formula>AND(IF(OR($Q125=1,$Q125=2),1,0),IF($E125&lt;=20,1,0))</formula>
    </cfRule>
    <cfRule type="expression" dxfId="1788" priority="1882">
      <formula>AND(IF($Q125=2,1,0),IF($E125&lt;30,1,0))</formula>
    </cfRule>
    <cfRule type="expression" dxfId="1787" priority="1883">
      <formula>AND(IF($Q125=3,1,0),IF($E125&lt;30,1,0))</formula>
    </cfRule>
    <cfRule type="expression" dxfId="1786" priority="1884">
      <formula>AND(IF($Q125=3,1,IF($Q125=4,1,0)),IF($F125&lt;=85,1,0))</formula>
    </cfRule>
  </conditionalFormatting>
  <conditionalFormatting sqref="Y125">
    <cfRule type="expression" dxfId="1785" priority="1877">
      <formula>AND(IF(OR($Q125=1,$Q125=2),1,0),IF($Y125&lt;=20,1,0))</formula>
    </cfRule>
    <cfRule type="expression" dxfId="1784" priority="1878">
      <formula>AND(IF($Q125=2,1,0),IF($Y125&lt;30,1,0))</formula>
    </cfRule>
    <cfRule type="expression" dxfId="1783" priority="1879">
      <formula>AND(IF($Q125=3,1,0),IF($Y125&lt;30,1,0))</formula>
    </cfRule>
    <cfRule type="expression" dxfId="1782" priority="1880">
      <formula>AND(IF($Q125=3,1,IF($Q125=4,1,0)),IF($F125&lt;=85,1,0))</formula>
    </cfRule>
  </conditionalFormatting>
  <conditionalFormatting sqref="AJ125">
    <cfRule type="expression" dxfId="1781" priority="1873">
      <formula>AND(IF(OR($Q125=1,$Q125=2),1,0),IF($Y125&lt;=20,1,0))</formula>
    </cfRule>
    <cfRule type="expression" dxfId="1780" priority="1874">
      <formula>AND(IF($Q125=2,1,0),IF($Y125&lt;30,1,0))</formula>
    </cfRule>
    <cfRule type="expression" dxfId="1779" priority="1875">
      <formula>AND(IF($Q125=3,1,0),IF($Y125&lt;30,1,0))</formula>
    </cfRule>
    <cfRule type="expression" dxfId="1778" priority="1876">
      <formula>AND(IF($Q125=3,1,IF($Q125=4,1,0)),IF($F125&lt;=85,1,0))</formula>
    </cfRule>
  </conditionalFormatting>
  <conditionalFormatting sqref="AW126">
    <cfRule type="expression" dxfId="1777" priority="1871">
      <formula>AW126="X"</formula>
    </cfRule>
    <cfRule type="expression" dxfId="1776" priority="1872">
      <formula>AW126="후보"</formula>
    </cfRule>
  </conditionalFormatting>
  <conditionalFormatting sqref="AA126">
    <cfRule type="colorScale" priority="18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6">
    <cfRule type="cellIs" dxfId="1775" priority="1868" operator="greaterThan">
      <formula>0.9</formula>
    </cfRule>
    <cfRule type="cellIs" dxfId="1774" priority="1869" operator="greaterThan">
      <formula>0.85</formula>
    </cfRule>
  </conditionalFormatting>
  <conditionalFormatting sqref="N126">
    <cfRule type="cellIs" dxfId="1773" priority="1866" operator="greaterThan">
      <formula>0.9</formula>
    </cfRule>
    <cfRule type="cellIs" dxfId="1772" priority="1867" operator="greaterThan">
      <formula>0.85</formula>
    </cfRule>
  </conditionalFormatting>
  <conditionalFormatting sqref="E126">
    <cfRule type="expression" dxfId="1771" priority="1862">
      <formula>AND(IF(OR($Q126=1,$Q126=2),1,0),IF($E126&lt;=20,1,0))</formula>
    </cfRule>
    <cfRule type="expression" dxfId="1770" priority="1863">
      <formula>AND(IF($Q126=2,1,0),IF($E126&lt;30,1,0))</formula>
    </cfRule>
    <cfRule type="expression" dxfId="1769" priority="1864">
      <formula>AND(IF($Q126=3,1,0),IF($E126&lt;30,1,0))</formula>
    </cfRule>
    <cfRule type="expression" dxfId="1768" priority="1865">
      <formula>AND(IF($Q126=3,1,IF($Q126=4,1,0)),IF($F126&lt;=85,1,0))</formula>
    </cfRule>
  </conditionalFormatting>
  <conditionalFormatting sqref="Y126">
    <cfRule type="expression" dxfId="1767" priority="1858">
      <formula>AND(IF(OR($Q126=1,$Q126=2),1,0),IF($Y126&lt;=20,1,0))</formula>
    </cfRule>
    <cfRule type="expression" dxfId="1766" priority="1859">
      <formula>AND(IF($Q126=2,1,0),IF($Y126&lt;30,1,0))</formula>
    </cfRule>
    <cfRule type="expression" dxfId="1765" priority="1860">
      <formula>AND(IF($Q126=3,1,0),IF($Y126&lt;30,1,0))</formula>
    </cfRule>
    <cfRule type="expression" dxfId="1764" priority="1861">
      <formula>AND(IF($Q126=3,1,IF($Q126=4,1,0)),IF($F126&lt;=85,1,0))</formula>
    </cfRule>
  </conditionalFormatting>
  <conditionalFormatting sqref="AJ126">
    <cfRule type="expression" dxfId="1763" priority="1854">
      <formula>AND(IF(OR($Q126=1,$Q126=2),1,0),IF($Y126&lt;=20,1,0))</formula>
    </cfRule>
    <cfRule type="expression" dxfId="1762" priority="1855">
      <formula>AND(IF($Q126=2,1,0),IF($Y126&lt;30,1,0))</formula>
    </cfRule>
    <cfRule type="expression" dxfId="1761" priority="1856">
      <formula>AND(IF($Q126=3,1,0),IF($Y126&lt;30,1,0))</formula>
    </cfRule>
    <cfRule type="expression" dxfId="1760" priority="1857">
      <formula>AND(IF($Q126=3,1,IF($Q126=4,1,0)),IF($F126&lt;=85,1,0))</formula>
    </cfRule>
  </conditionalFormatting>
  <conditionalFormatting sqref="AW127">
    <cfRule type="expression" dxfId="1759" priority="1852">
      <formula>AW127="X"</formula>
    </cfRule>
    <cfRule type="expression" dxfId="1758" priority="1853">
      <formula>AW127="후보"</formula>
    </cfRule>
  </conditionalFormatting>
  <conditionalFormatting sqref="AA127">
    <cfRule type="colorScale" priority="18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7">
    <cfRule type="cellIs" dxfId="1757" priority="1849" operator="greaterThan">
      <formula>0.9</formula>
    </cfRule>
    <cfRule type="cellIs" dxfId="1756" priority="1850" operator="greaterThan">
      <formula>0.85</formula>
    </cfRule>
  </conditionalFormatting>
  <conditionalFormatting sqref="N127">
    <cfRule type="cellIs" dxfId="1755" priority="1847" operator="greaterThan">
      <formula>0.9</formula>
    </cfRule>
    <cfRule type="cellIs" dxfId="1754" priority="1848" operator="greaterThan">
      <formula>0.85</formula>
    </cfRule>
  </conditionalFormatting>
  <conditionalFormatting sqref="E127">
    <cfRule type="expression" dxfId="1753" priority="1843">
      <formula>AND(IF(OR($Q127=1,$Q127=2),1,0),IF($E127&lt;=20,1,0))</formula>
    </cfRule>
    <cfRule type="expression" dxfId="1752" priority="1844">
      <formula>AND(IF($Q127=2,1,0),IF($E127&lt;30,1,0))</formula>
    </cfRule>
    <cfRule type="expression" dxfId="1751" priority="1845">
      <formula>AND(IF($Q127=3,1,0),IF($E127&lt;30,1,0))</formula>
    </cfRule>
    <cfRule type="expression" dxfId="1750" priority="1846">
      <formula>AND(IF($Q127=3,1,IF($Q127=4,1,0)),IF($F127&lt;=85,1,0))</formula>
    </cfRule>
  </conditionalFormatting>
  <conditionalFormatting sqref="Y127">
    <cfRule type="expression" dxfId="1749" priority="1839">
      <formula>AND(IF(OR($Q127=1,$Q127=2),1,0),IF($Y127&lt;=20,1,0))</formula>
    </cfRule>
    <cfRule type="expression" dxfId="1748" priority="1840">
      <formula>AND(IF($Q127=2,1,0),IF($Y127&lt;30,1,0))</formula>
    </cfRule>
    <cfRule type="expression" dxfId="1747" priority="1841">
      <formula>AND(IF($Q127=3,1,0),IF($Y127&lt;30,1,0))</formula>
    </cfRule>
    <cfRule type="expression" dxfId="1746" priority="1842">
      <formula>AND(IF($Q127=3,1,IF($Q127=4,1,0)),IF($F127&lt;=85,1,0))</formula>
    </cfRule>
  </conditionalFormatting>
  <conditionalFormatting sqref="AJ127">
    <cfRule type="expression" dxfId="1745" priority="1835">
      <formula>AND(IF(OR($Q127=1,$Q127=2),1,0),IF($Y127&lt;=20,1,0))</formula>
    </cfRule>
    <cfRule type="expression" dxfId="1744" priority="1836">
      <formula>AND(IF($Q127=2,1,0),IF($Y127&lt;30,1,0))</formula>
    </cfRule>
    <cfRule type="expression" dxfId="1743" priority="1837">
      <formula>AND(IF($Q127=3,1,0),IF($Y127&lt;30,1,0))</formula>
    </cfRule>
    <cfRule type="expression" dxfId="1742" priority="1838">
      <formula>AND(IF($Q127=3,1,IF($Q127=4,1,0)),IF($F127&lt;=85,1,0))</formula>
    </cfRule>
  </conditionalFormatting>
  <conditionalFormatting sqref="AW128">
    <cfRule type="expression" dxfId="1741" priority="1833">
      <formula>AW128="X"</formula>
    </cfRule>
    <cfRule type="expression" dxfId="1740" priority="1834">
      <formula>AW128="후보"</formula>
    </cfRule>
  </conditionalFormatting>
  <conditionalFormatting sqref="AA128">
    <cfRule type="colorScale" priority="18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8">
    <cfRule type="cellIs" dxfId="1739" priority="1830" operator="greaterThan">
      <formula>0.9</formula>
    </cfRule>
    <cfRule type="cellIs" dxfId="1738" priority="1831" operator="greaterThan">
      <formula>0.85</formula>
    </cfRule>
  </conditionalFormatting>
  <conditionalFormatting sqref="N128">
    <cfRule type="cellIs" dxfId="1737" priority="1828" operator="greaterThan">
      <formula>0.9</formula>
    </cfRule>
    <cfRule type="cellIs" dxfId="1736" priority="1829" operator="greaterThan">
      <formula>0.85</formula>
    </cfRule>
  </conditionalFormatting>
  <conditionalFormatting sqref="E128">
    <cfRule type="expression" dxfId="1735" priority="1824">
      <formula>AND(IF(OR($Q128=1,$Q128=2),1,0),IF($E128&lt;=20,1,0))</formula>
    </cfRule>
    <cfRule type="expression" dxfId="1734" priority="1825">
      <formula>AND(IF($Q128=2,1,0),IF($E128&lt;30,1,0))</formula>
    </cfRule>
    <cfRule type="expression" dxfId="1733" priority="1826">
      <formula>AND(IF($Q128=3,1,0),IF($E128&lt;30,1,0))</formula>
    </cfRule>
    <cfRule type="expression" dxfId="1732" priority="1827">
      <formula>AND(IF($Q128=3,1,IF($Q128=4,1,0)),IF($F128&lt;=85,1,0))</formula>
    </cfRule>
  </conditionalFormatting>
  <conditionalFormatting sqref="Y128">
    <cfRule type="expression" dxfId="1731" priority="1820">
      <formula>AND(IF(OR($Q128=1,$Q128=2),1,0),IF($Y128&lt;=20,1,0))</formula>
    </cfRule>
    <cfRule type="expression" dxfId="1730" priority="1821">
      <formula>AND(IF($Q128=2,1,0),IF($Y128&lt;30,1,0))</formula>
    </cfRule>
    <cfRule type="expression" dxfId="1729" priority="1822">
      <formula>AND(IF($Q128=3,1,0),IF($Y128&lt;30,1,0))</formula>
    </cfRule>
    <cfRule type="expression" dxfId="1728" priority="1823">
      <formula>AND(IF($Q128=3,1,IF($Q128=4,1,0)),IF($F128&lt;=85,1,0))</formula>
    </cfRule>
  </conditionalFormatting>
  <conditionalFormatting sqref="AJ128">
    <cfRule type="expression" dxfId="1727" priority="1816">
      <formula>AND(IF(OR($Q128=1,$Q128=2),1,0),IF($Y128&lt;=20,1,0))</formula>
    </cfRule>
    <cfRule type="expression" dxfId="1726" priority="1817">
      <formula>AND(IF($Q128=2,1,0),IF($Y128&lt;30,1,0))</formula>
    </cfRule>
    <cfRule type="expression" dxfId="1725" priority="1818">
      <formula>AND(IF($Q128=3,1,0),IF($Y128&lt;30,1,0))</formula>
    </cfRule>
    <cfRule type="expression" dxfId="1724" priority="1819">
      <formula>AND(IF($Q128=3,1,IF($Q128=4,1,0)),IF($F128&lt;=85,1,0))</formula>
    </cfRule>
  </conditionalFormatting>
  <conditionalFormatting sqref="AW129">
    <cfRule type="expression" dxfId="1723" priority="1814">
      <formula>AW129="X"</formula>
    </cfRule>
    <cfRule type="expression" dxfId="1722" priority="1815">
      <formula>AW129="후보"</formula>
    </cfRule>
  </conditionalFormatting>
  <conditionalFormatting sqref="AA129">
    <cfRule type="colorScale" priority="18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9">
    <cfRule type="cellIs" dxfId="1721" priority="1811" operator="greaterThan">
      <formula>0.9</formula>
    </cfRule>
    <cfRule type="cellIs" dxfId="1720" priority="1812" operator="greaterThan">
      <formula>0.85</formula>
    </cfRule>
  </conditionalFormatting>
  <conditionalFormatting sqref="N129">
    <cfRule type="cellIs" dxfId="1719" priority="1809" operator="greaterThan">
      <formula>0.9</formula>
    </cfRule>
    <cfRule type="cellIs" dxfId="1718" priority="1810" operator="greaterThan">
      <formula>0.85</formula>
    </cfRule>
  </conditionalFormatting>
  <conditionalFormatting sqref="E129">
    <cfRule type="expression" dxfId="1717" priority="1805">
      <formula>AND(IF(OR($Q129=1,$Q129=2),1,0),IF($E129&lt;=20,1,0))</formula>
    </cfRule>
    <cfRule type="expression" dxfId="1716" priority="1806">
      <formula>AND(IF($Q129=2,1,0),IF($E129&lt;30,1,0))</formula>
    </cfRule>
    <cfRule type="expression" dxfId="1715" priority="1807">
      <formula>AND(IF($Q129=3,1,0),IF($E129&lt;30,1,0))</formula>
    </cfRule>
    <cfRule type="expression" dxfId="1714" priority="1808">
      <formula>AND(IF($Q129=3,1,IF($Q129=4,1,0)),IF($F129&lt;=85,1,0))</formula>
    </cfRule>
  </conditionalFormatting>
  <conditionalFormatting sqref="Y129">
    <cfRule type="expression" dxfId="1713" priority="1801">
      <formula>AND(IF(OR($Q129=1,$Q129=2),1,0),IF($Y129&lt;=20,1,0))</formula>
    </cfRule>
    <cfRule type="expression" dxfId="1712" priority="1802">
      <formula>AND(IF($Q129=2,1,0),IF($Y129&lt;30,1,0))</formula>
    </cfRule>
    <cfRule type="expression" dxfId="1711" priority="1803">
      <formula>AND(IF($Q129=3,1,0),IF($Y129&lt;30,1,0))</formula>
    </cfRule>
    <cfRule type="expression" dxfId="1710" priority="1804">
      <formula>AND(IF($Q129=3,1,IF($Q129=4,1,0)),IF($F129&lt;=85,1,0))</formula>
    </cfRule>
  </conditionalFormatting>
  <conditionalFormatting sqref="AJ129">
    <cfRule type="expression" dxfId="1709" priority="1797">
      <formula>AND(IF(OR($Q129=1,$Q129=2),1,0),IF($Y129&lt;=20,1,0))</formula>
    </cfRule>
    <cfRule type="expression" dxfId="1708" priority="1798">
      <formula>AND(IF($Q129=2,1,0),IF($Y129&lt;30,1,0))</formula>
    </cfRule>
    <cfRule type="expression" dxfId="1707" priority="1799">
      <formula>AND(IF($Q129=3,1,0),IF($Y129&lt;30,1,0))</formula>
    </cfRule>
    <cfRule type="expression" dxfId="1706" priority="1800">
      <formula>AND(IF($Q129=3,1,IF($Q129=4,1,0)),IF($F129&lt;=85,1,0))</formula>
    </cfRule>
  </conditionalFormatting>
  <conditionalFormatting sqref="AW130">
    <cfRule type="expression" dxfId="1705" priority="1795">
      <formula>AW130="X"</formula>
    </cfRule>
    <cfRule type="expression" dxfId="1704" priority="1796">
      <formula>AW130="후보"</formula>
    </cfRule>
  </conditionalFormatting>
  <conditionalFormatting sqref="AA130">
    <cfRule type="colorScale" priority="17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0">
    <cfRule type="cellIs" dxfId="1703" priority="1792" operator="greaterThan">
      <formula>0.9</formula>
    </cfRule>
    <cfRule type="cellIs" dxfId="1702" priority="1793" operator="greaterThan">
      <formula>0.85</formula>
    </cfRule>
  </conditionalFormatting>
  <conditionalFormatting sqref="N130">
    <cfRule type="cellIs" dxfId="1701" priority="1790" operator="greaterThan">
      <formula>0.9</formula>
    </cfRule>
    <cfRule type="cellIs" dxfId="1700" priority="1791" operator="greaterThan">
      <formula>0.85</formula>
    </cfRule>
  </conditionalFormatting>
  <conditionalFormatting sqref="E130">
    <cfRule type="expression" dxfId="1699" priority="1786">
      <formula>AND(IF(OR($Q130=1,$Q130=2),1,0),IF($E130&lt;=20,1,0))</formula>
    </cfRule>
    <cfRule type="expression" dxfId="1698" priority="1787">
      <formula>AND(IF($Q130=2,1,0),IF($E130&lt;30,1,0))</formula>
    </cfRule>
    <cfRule type="expression" dxfId="1697" priority="1788">
      <formula>AND(IF($Q130=3,1,0),IF($E130&lt;30,1,0))</formula>
    </cfRule>
    <cfRule type="expression" dxfId="1696" priority="1789">
      <formula>AND(IF($Q130=3,1,IF($Q130=4,1,0)),IF($F130&lt;=85,1,0))</formula>
    </cfRule>
  </conditionalFormatting>
  <conditionalFormatting sqref="Y130">
    <cfRule type="expression" dxfId="1695" priority="1782">
      <formula>AND(IF(OR($Q130=1,$Q130=2),1,0),IF($Y130&lt;=20,1,0))</formula>
    </cfRule>
    <cfRule type="expression" dxfId="1694" priority="1783">
      <formula>AND(IF($Q130=2,1,0),IF($Y130&lt;30,1,0))</formula>
    </cfRule>
    <cfRule type="expression" dxfId="1693" priority="1784">
      <formula>AND(IF($Q130=3,1,0),IF($Y130&lt;30,1,0))</formula>
    </cfRule>
    <cfRule type="expression" dxfId="1692" priority="1785">
      <formula>AND(IF($Q130=3,1,IF($Q130=4,1,0)),IF($F130&lt;=85,1,0))</formula>
    </cfRule>
  </conditionalFormatting>
  <conditionalFormatting sqref="AJ130">
    <cfRule type="expression" dxfId="1691" priority="1778">
      <formula>AND(IF(OR($Q130=1,$Q130=2),1,0),IF($Y130&lt;=20,1,0))</formula>
    </cfRule>
    <cfRule type="expression" dxfId="1690" priority="1779">
      <formula>AND(IF($Q130=2,1,0),IF($Y130&lt;30,1,0))</formula>
    </cfRule>
    <cfRule type="expression" dxfId="1689" priority="1780">
      <formula>AND(IF($Q130=3,1,0),IF($Y130&lt;30,1,0))</formula>
    </cfRule>
    <cfRule type="expression" dxfId="1688" priority="1781">
      <formula>AND(IF($Q130=3,1,IF($Q130=4,1,0)),IF($F130&lt;=85,1,0))</formula>
    </cfRule>
  </conditionalFormatting>
  <conditionalFormatting sqref="AW131">
    <cfRule type="expression" dxfId="1687" priority="1776">
      <formula>AW131="X"</formula>
    </cfRule>
    <cfRule type="expression" dxfId="1686" priority="1777">
      <formula>AW131="후보"</formula>
    </cfRule>
  </conditionalFormatting>
  <conditionalFormatting sqref="AA131">
    <cfRule type="colorScale" priority="17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1">
    <cfRule type="cellIs" dxfId="1685" priority="1773" operator="greaterThan">
      <formula>0.9</formula>
    </cfRule>
    <cfRule type="cellIs" dxfId="1684" priority="1774" operator="greaterThan">
      <formula>0.85</formula>
    </cfRule>
  </conditionalFormatting>
  <conditionalFormatting sqref="N131">
    <cfRule type="cellIs" dxfId="1683" priority="1771" operator="greaterThan">
      <formula>0.9</formula>
    </cfRule>
    <cfRule type="cellIs" dxfId="1682" priority="1772" operator="greaterThan">
      <formula>0.85</formula>
    </cfRule>
  </conditionalFormatting>
  <conditionalFormatting sqref="E131">
    <cfRule type="expression" dxfId="1681" priority="1767">
      <formula>AND(IF(OR($Q131=1,$Q131=2),1,0),IF($E131&lt;=20,1,0))</formula>
    </cfRule>
    <cfRule type="expression" dxfId="1680" priority="1768">
      <formula>AND(IF($Q131=2,1,0),IF($E131&lt;30,1,0))</formula>
    </cfRule>
    <cfRule type="expression" dxfId="1679" priority="1769">
      <formula>AND(IF($Q131=3,1,0),IF($E131&lt;30,1,0))</formula>
    </cfRule>
    <cfRule type="expression" dxfId="1678" priority="1770">
      <formula>AND(IF($Q131=3,1,IF($Q131=4,1,0)),IF($F131&lt;=85,1,0))</formula>
    </cfRule>
  </conditionalFormatting>
  <conditionalFormatting sqref="Y131">
    <cfRule type="expression" dxfId="1677" priority="1763">
      <formula>AND(IF(OR($Q131=1,$Q131=2),1,0),IF($Y131&lt;=20,1,0))</formula>
    </cfRule>
    <cfRule type="expression" dxfId="1676" priority="1764">
      <formula>AND(IF($Q131=2,1,0),IF($Y131&lt;30,1,0))</formula>
    </cfRule>
    <cfRule type="expression" dxfId="1675" priority="1765">
      <formula>AND(IF($Q131=3,1,0),IF($Y131&lt;30,1,0))</formula>
    </cfRule>
    <cfRule type="expression" dxfId="1674" priority="1766">
      <formula>AND(IF($Q131=3,1,IF($Q131=4,1,0)),IF($F131&lt;=85,1,0))</formula>
    </cfRule>
  </conditionalFormatting>
  <conditionalFormatting sqref="AJ131">
    <cfRule type="expression" dxfId="1673" priority="1759">
      <formula>AND(IF(OR($Q131=1,$Q131=2),1,0),IF($Y131&lt;=20,1,0))</formula>
    </cfRule>
    <cfRule type="expression" dxfId="1672" priority="1760">
      <formula>AND(IF($Q131=2,1,0),IF($Y131&lt;30,1,0))</formula>
    </cfRule>
    <cfRule type="expression" dxfId="1671" priority="1761">
      <formula>AND(IF($Q131=3,1,0),IF($Y131&lt;30,1,0))</formula>
    </cfRule>
    <cfRule type="expression" dxfId="1670" priority="1762">
      <formula>AND(IF($Q131=3,1,IF($Q131=4,1,0)),IF($F131&lt;=85,1,0))</formula>
    </cfRule>
  </conditionalFormatting>
  <conditionalFormatting sqref="AW132">
    <cfRule type="expression" dxfId="1669" priority="1757">
      <formula>AW132="X"</formula>
    </cfRule>
    <cfRule type="expression" dxfId="1668" priority="1758">
      <formula>AW132="후보"</formula>
    </cfRule>
  </conditionalFormatting>
  <conditionalFormatting sqref="AA132">
    <cfRule type="colorScale" priority="1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2">
    <cfRule type="cellIs" dxfId="1667" priority="1754" operator="greaterThan">
      <formula>0.9</formula>
    </cfRule>
    <cfRule type="cellIs" dxfId="1666" priority="1755" operator="greaterThan">
      <formula>0.85</formula>
    </cfRule>
  </conditionalFormatting>
  <conditionalFormatting sqref="N132">
    <cfRule type="cellIs" dxfId="1665" priority="1752" operator="greaterThan">
      <formula>0.9</formula>
    </cfRule>
    <cfRule type="cellIs" dxfId="1664" priority="1753" operator="greaterThan">
      <formula>0.85</formula>
    </cfRule>
  </conditionalFormatting>
  <conditionalFormatting sqref="E132">
    <cfRule type="expression" dxfId="1663" priority="1748">
      <formula>AND(IF(OR($Q132=1,$Q132=2),1,0),IF($E132&lt;=20,1,0))</formula>
    </cfRule>
    <cfRule type="expression" dxfId="1662" priority="1749">
      <formula>AND(IF($Q132=2,1,0),IF($E132&lt;30,1,0))</formula>
    </cfRule>
    <cfRule type="expression" dxfId="1661" priority="1750">
      <formula>AND(IF($Q132=3,1,0),IF($E132&lt;30,1,0))</formula>
    </cfRule>
    <cfRule type="expression" dxfId="1660" priority="1751">
      <formula>AND(IF($Q132=3,1,IF($Q132=4,1,0)),IF($F132&lt;=85,1,0))</formula>
    </cfRule>
  </conditionalFormatting>
  <conditionalFormatting sqref="Y132">
    <cfRule type="expression" dxfId="1659" priority="1744">
      <formula>AND(IF(OR($Q132=1,$Q132=2),1,0),IF($Y132&lt;=20,1,0))</formula>
    </cfRule>
    <cfRule type="expression" dxfId="1658" priority="1745">
      <formula>AND(IF($Q132=2,1,0),IF($Y132&lt;30,1,0))</formula>
    </cfRule>
    <cfRule type="expression" dxfId="1657" priority="1746">
      <formula>AND(IF($Q132=3,1,0),IF($Y132&lt;30,1,0))</formula>
    </cfRule>
    <cfRule type="expression" dxfId="1656" priority="1747">
      <formula>AND(IF($Q132=3,1,IF($Q132=4,1,0)),IF($F132&lt;=85,1,0))</formula>
    </cfRule>
  </conditionalFormatting>
  <conditionalFormatting sqref="AJ132">
    <cfRule type="expression" dxfId="1655" priority="1740">
      <formula>AND(IF(OR($Q132=1,$Q132=2),1,0),IF($Y132&lt;=20,1,0))</formula>
    </cfRule>
    <cfRule type="expression" dxfId="1654" priority="1741">
      <formula>AND(IF($Q132=2,1,0),IF($Y132&lt;30,1,0))</formula>
    </cfRule>
    <cfRule type="expression" dxfId="1653" priority="1742">
      <formula>AND(IF($Q132=3,1,0),IF($Y132&lt;30,1,0))</formula>
    </cfRule>
    <cfRule type="expression" dxfId="1652" priority="1743">
      <formula>AND(IF($Q132=3,1,IF($Q132=4,1,0)),IF($F132&lt;=85,1,0))</formula>
    </cfRule>
  </conditionalFormatting>
  <conditionalFormatting sqref="AW133">
    <cfRule type="expression" dxfId="1651" priority="1738">
      <formula>AW133="X"</formula>
    </cfRule>
    <cfRule type="expression" dxfId="1650" priority="1739">
      <formula>AW133="후보"</formula>
    </cfRule>
  </conditionalFormatting>
  <conditionalFormatting sqref="AA133">
    <cfRule type="colorScale" priority="1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3">
    <cfRule type="cellIs" dxfId="1649" priority="1735" operator="greaterThan">
      <formula>0.9</formula>
    </cfRule>
    <cfRule type="cellIs" dxfId="1648" priority="1736" operator="greaterThan">
      <formula>0.85</formula>
    </cfRule>
  </conditionalFormatting>
  <conditionalFormatting sqref="N133">
    <cfRule type="cellIs" dxfId="1647" priority="1733" operator="greaterThan">
      <formula>0.9</formula>
    </cfRule>
    <cfRule type="cellIs" dxfId="1646" priority="1734" operator="greaterThan">
      <formula>0.85</formula>
    </cfRule>
  </conditionalFormatting>
  <conditionalFormatting sqref="E133">
    <cfRule type="expression" dxfId="1645" priority="1729">
      <formula>AND(IF(OR($Q133=1,$Q133=2),1,0),IF($E133&lt;=20,1,0))</formula>
    </cfRule>
    <cfRule type="expression" dxfId="1644" priority="1730">
      <formula>AND(IF($Q133=2,1,0),IF($E133&lt;30,1,0))</formula>
    </cfRule>
    <cfRule type="expression" dxfId="1643" priority="1731">
      <formula>AND(IF($Q133=3,1,0),IF($E133&lt;30,1,0))</formula>
    </cfRule>
    <cfRule type="expression" dxfId="1642" priority="1732">
      <formula>AND(IF($Q133=3,1,IF($Q133=4,1,0)),IF($F133&lt;=85,1,0))</formula>
    </cfRule>
  </conditionalFormatting>
  <conditionalFormatting sqref="Y133">
    <cfRule type="expression" dxfId="1641" priority="1725">
      <formula>AND(IF(OR($Q133=1,$Q133=2),1,0),IF($Y133&lt;=20,1,0))</formula>
    </cfRule>
    <cfRule type="expression" dxfId="1640" priority="1726">
      <formula>AND(IF($Q133=2,1,0),IF($Y133&lt;30,1,0))</formula>
    </cfRule>
    <cfRule type="expression" dxfId="1639" priority="1727">
      <formula>AND(IF($Q133=3,1,0),IF($Y133&lt;30,1,0))</formula>
    </cfRule>
    <cfRule type="expression" dxfId="1638" priority="1728">
      <formula>AND(IF($Q133=3,1,IF($Q133=4,1,0)),IF($F133&lt;=85,1,0))</formula>
    </cfRule>
  </conditionalFormatting>
  <conditionalFormatting sqref="AJ133">
    <cfRule type="expression" dxfId="1637" priority="1721">
      <formula>AND(IF(OR($Q133=1,$Q133=2),1,0),IF($Y133&lt;=20,1,0))</formula>
    </cfRule>
    <cfRule type="expression" dxfId="1636" priority="1722">
      <formula>AND(IF($Q133=2,1,0),IF($Y133&lt;30,1,0))</formula>
    </cfRule>
    <cfRule type="expression" dxfId="1635" priority="1723">
      <formula>AND(IF($Q133=3,1,0),IF($Y133&lt;30,1,0))</formula>
    </cfRule>
    <cfRule type="expression" dxfId="1634" priority="1724">
      <formula>AND(IF($Q133=3,1,IF($Q133=4,1,0)),IF($F133&lt;=85,1,0))</formula>
    </cfRule>
  </conditionalFormatting>
  <conditionalFormatting sqref="AW134">
    <cfRule type="expression" dxfId="1633" priority="1719">
      <formula>AW134="X"</formula>
    </cfRule>
    <cfRule type="expression" dxfId="1632" priority="1720">
      <formula>AW134="후보"</formula>
    </cfRule>
  </conditionalFormatting>
  <conditionalFormatting sqref="AA134">
    <cfRule type="colorScale" priority="1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4 N134">
    <cfRule type="cellIs" dxfId="1631" priority="1716" operator="greaterThan">
      <formula>0.9</formula>
    </cfRule>
    <cfRule type="cellIs" dxfId="1630" priority="1717" operator="greaterThan">
      <formula>0.85</formula>
    </cfRule>
  </conditionalFormatting>
  <conditionalFormatting sqref="AW135">
    <cfRule type="expression" dxfId="1629" priority="1714">
      <formula>AW135="X"</formula>
    </cfRule>
    <cfRule type="expression" dxfId="1628" priority="1715">
      <formula>AW135="후보"</formula>
    </cfRule>
  </conditionalFormatting>
  <conditionalFormatting sqref="AA135">
    <cfRule type="colorScale" priority="17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5">
    <cfRule type="cellIs" dxfId="1627" priority="1711" operator="greaterThan">
      <formula>0.9</formula>
    </cfRule>
    <cfRule type="cellIs" dxfId="1626" priority="1712" operator="greaterThan">
      <formula>0.85</formula>
    </cfRule>
  </conditionalFormatting>
  <conditionalFormatting sqref="N135">
    <cfRule type="cellIs" dxfId="1625" priority="1709" operator="greaterThan">
      <formula>0.9</formula>
    </cfRule>
    <cfRule type="cellIs" dxfId="1624" priority="1710" operator="greaterThan">
      <formula>0.85</formula>
    </cfRule>
  </conditionalFormatting>
  <conditionalFormatting sqref="E135">
    <cfRule type="expression" dxfId="1623" priority="1705">
      <formula>AND(IF(OR($Q135=1,$Q135=2),1,0),IF($E135&lt;=20,1,0))</formula>
    </cfRule>
    <cfRule type="expression" dxfId="1622" priority="1706">
      <formula>AND(IF($Q135=2,1,0),IF($E135&lt;30,1,0))</formula>
    </cfRule>
    <cfRule type="expression" dxfId="1621" priority="1707">
      <formula>AND(IF($Q135=3,1,0),IF($E135&lt;30,1,0))</formula>
    </cfRule>
    <cfRule type="expression" dxfId="1620" priority="1708">
      <formula>AND(IF($Q135=3,1,IF($Q135=4,1,0)),IF($F135&lt;=85,1,0))</formula>
    </cfRule>
  </conditionalFormatting>
  <conditionalFormatting sqref="Y135">
    <cfRule type="expression" dxfId="1619" priority="1701">
      <formula>AND(IF(OR($Q135=1,$Q135=2),1,0),IF($Y135&lt;=20,1,0))</formula>
    </cfRule>
    <cfRule type="expression" dxfId="1618" priority="1702">
      <formula>AND(IF($Q135=2,1,0),IF($Y135&lt;30,1,0))</formula>
    </cfRule>
    <cfRule type="expression" dxfId="1617" priority="1703">
      <formula>AND(IF($Q135=3,1,0),IF($Y135&lt;30,1,0))</formula>
    </cfRule>
    <cfRule type="expression" dxfId="1616" priority="1704">
      <formula>AND(IF($Q135=3,1,IF($Q135=4,1,0)),IF($F135&lt;=85,1,0))</formula>
    </cfRule>
  </conditionalFormatting>
  <conditionalFormatting sqref="AJ135">
    <cfRule type="expression" dxfId="1615" priority="1697">
      <formula>AND(IF(OR($Q135=1,$Q135=2),1,0),IF($Y135&lt;=20,1,0))</formula>
    </cfRule>
    <cfRule type="expression" dxfId="1614" priority="1698">
      <formula>AND(IF($Q135=2,1,0),IF($Y135&lt;30,1,0))</formula>
    </cfRule>
    <cfRule type="expression" dxfId="1613" priority="1699">
      <formula>AND(IF($Q135=3,1,0),IF($Y135&lt;30,1,0))</formula>
    </cfRule>
    <cfRule type="expression" dxfId="1612" priority="1700">
      <formula>AND(IF($Q135=3,1,IF($Q135=4,1,0)),IF($F135&lt;=85,1,0))</formula>
    </cfRule>
  </conditionalFormatting>
  <conditionalFormatting sqref="AW136">
    <cfRule type="expression" dxfId="1611" priority="1695">
      <formula>AW136="X"</formula>
    </cfRule>
    <cfRule type="expression" dxfId="1610" priority="1696">
      <formula>AW136="후보"</formula>
    </cfRule>
  </conditionalFormatting>
  <conditionalFormatting sqref="AA136">
    <cfRule type="colorScale" priority="16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6">
    <cfRule type="cellIs" dxfId="1609" priority="1692" operator="greaterThan">
      <formula>0.9</formula>
    </cfRule>
    <cfRule type="cellIs" dxfId="1608" priority="1693" operator="greaterThan">
      <formula>0.85</formula>
    </cfRule>
  </conditionalFormatting>
  <conditionalFormatting sqref="N136">
    <cfRule type="cellIs" dxfId="1607" priority="1690" operator="greaterThan">
      <formula>0.9</formula>
    </cfRule>
    <cfRule type="cellIs" dxfId="1606" priority="1691" operator="greaterThan">
      <formula>0.85</formula>
    </cfRule>
  </conditionalFormatting>
  <conditionalFormatting sqref="E136">
    <cfRule type="expression" dxfId="1605" priority="1686">
      <formula>AND(IF(OR($Q136=1,$Q136=2),1,0),IF($E136&lt;=20,1,0))</formula>
    </cfRule>
    <cfRule type="expression" dxfId="1604" priority="1687">
      <formula>AND(IF($Q136=2,1,0),IF($E136&lt;30,1,0))</formula>
    </cfRule>
    <cfRule type="expression" dxfId="1603" priority="1688">
      <formula>AND(IF($Q136=3,1,0),IF($E136&lt;30,1,0))</formula>
    </cfRule>
    <cfRule type="expression" dxfId="1602" priority="1689">
      <formula>AND(IF($Q136=3,1,IF($Q136=4,1,0)),IF($F136&lt;=85,1,0))</formula>
    </cfRule>
  </conditionalFormatting>
  <conditionalFormatting sqref="Y136">
    <cfRule type="expression" dxfId="1601" priority="1682">
      <formula>AND(IF(OR($Q136=1,$Q136=2),1,0),IF($Y136&lt;=20,1,0))</formula>
    </cfRule>
    <cfRule type="expression" dxfId="1600" priority="1683">
      <formula>AND(IF($Q136=2,1,0),IF($Y136&lt;30,1,0))</formula>
    </cfRule>
    <cfRule type="expression" dxfId="1599" priority="1684">
      <formula>AND(IF($Q136=3,1,0),IF($Y136&lt;30,1,0))</formula>
    </cfRule>
    <cfRule type="expression" dxfId="1598" priority="1685">
      <formula>AND(IF($Q136=3,1,IF($Q136=4,1,0)),IF($F136&lt;=85,1,0))</formula>
    </cfRule>
  </conditionalFormatting>
  <conditionalFormatting sqref="AJ136">
    <cfRule type="expression" dxfId="1597" priority="1678">
      <formula>AND(IF(OR($Q136=1,$Q136=2),1,0),IF($Y136&lt;=20,1,0))</formula>
    </cfRule>
    <cfRule type="expression" dxfId="1596" priority="1679">
      <formula>AND(IF($Q136=2,1,0),IF($Y136&lt;30,1,0))</formula>
    </cfRule>
    <cfRule type="expression" dxfId="1595" priority="1680">
      <formula>AND(IF($Q136=3,1,0),IF($Y136&lt;30,1,0))</formula>
    </cfRule>
    <cfRule type="expression" dxfId="1594" priority="1681">
      <formula>AND(IF($Q136=3,1,IF($Q136=4,1,0)),IF($F136&lt;=85,1,0))</formula>
    </cfRule>
  </conditionalFormatting>
  <conditionalFormatting sqref="AW137">
    <cfRule type="expression" dxfId="1593" priority="1676">
      <formula>AW137="X"</formula>
    </cfRule>
    <cfRule type="expression" dxfId="1592" priority="1677">
      <formula>AW137="후보"</formula>
    </cfRule>
  </conditionalFormatting>
  <conditionalFormatting sqref="AA137">
    <cfRule type="colorScale" priority="16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7">
    <cfRule type="cellIs" dxfId="1591" priority="1673" operator="greaterThan">
      <formula>0.9</formula>
    </cfRule>
    <cfRule type="cellIs" dxfId="1590" priority="1674" operator="greaterThan">
      <formula>0.85</formula>
    </cfRule>
  </conditionalFormatting>
  <conditionalFormatting sqref="N137">
    <cfRule type="cellIs" dxfId="1589" priority="1671" operator="greaterThan">
      <formula>0.9</formula>
    </cfRule>
    <cfRule type="cellIs" dxfId="1588" priority="1672" operator="greaterThan">
      <formula>0.85</formula>
    </cfRule>
  </conditionalFormatting>
  <conditionalFormatting sqref="E137">
    <cfRule type="expression" dxfId="1587" priority="1667">
      <formula>AND(IF(OR($Q137=1,$Q137=2),1,0),IF($E137&lt;=20,1,0))</formula>
    </cfRule>
    <cfRule type="expression" dxfId="1586" priority="1668">
      <formula>AND(IF($Q137=2,1,0),IF($E137&lt;30,1,0))</formula>
    </cfRule>
    <cfRule type="expression" dxfId="1585" priority="1669">
      <formula>AND(IF($Q137=3,1,0),IF($E137&lt;30,1,0))</formula>
    </cfRule>
    <cfRule type="expression" dxfId="1584" priority="1670">
      <formula>AND(IF($Q137=3,1,IF($Q137=4,1,0)),IF($F137&lt;=85,1,0))</formula>
    </cfRule>
  </conditionalFormatting>
  <conditionalFormatting sqref="Y137">
    <cfRule type="expression" dxfId="1583" priority="1663">
      <formula>AND(IF(OR($Q137=1,$Q137=2),1,0),IF($Y137&lt;=20,1,0))</formula>
    </cfRule>
    <cfRule type="expression" dxfId="1582" priority="1664">
      <formula>AND(IF($Q137=2,1,0),IF($Y137&lt;30,1,0))</formula>
    </cfRule>
    <cfRule type="expression" dxfId="1581" priority="1665">
      <formula>AND(IF($Q137=3,1,0),IF($Y137&lt;30,1,0))</formula>
    </cfRule>
    <cfRule type="expression" dxfId="1580" priority="1666">
      <formula>AND(IF($Q137=3,1,IF($Q137=4,1,0)),IF($F137&lt;=85,1,0))</formula>
    </cfRule>
  </conditionalFormatting>
  <conditionalFormatting sqref="AJ137">
    <cfRule type="expression" dxfId="1579" priority="1659">
      <formula>AND(IF(OR($Q137=1,$Q137=2),1,0),IF($Y137&lt;=20,1,0))</formula>
    </cfRule>
    <cfRule type="expression" dxfId="1578" priority="1660">
      <formula>AND(IF($Q137=2,1,0),IF($Y137&lt;30,1,0))</formula>
    </cfRule>
    <cfRule type="expression" dxfId="1577" priority="1661">
      <formula>AND(IF($Q137=3,1,0),IF($Y137&lt;30,1,0))</formula>
    </cfRule>
    <cfRule type="expression" dxfId="1576" priority="1662">
      <formula>AND(IF($Q137=3,1,IF($Q137=4,1,0)),IF($F137&lt;=85,1,0))</formula>
    </cfRule>
  </conditionalFormatting>
  <conditionalFormatting sqref="AW138">
    <cfRule type="expression" dxfId="1575" priority="1657">
      <formula>AW138="X"</formula>
    </cfRule>
    <cfRule type="expression" dxfId="1574" priority="1658">
      <formula>AW138="후보"</formula>
    </cfRule>
  </conditionalFormatting>
  <conditionalFormatting sqref="AA138">
    <cfRule type="colorScale" priority="16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8">
    <cfRule type="cellIs" dxfId="1573" priority="1654" operator="greaterThan">
      <formula>0.9</formula>
    </cfRule>
    <cfRule type="cellIs" dxfId="1572" priority="1655" operator="greaterThan">
      <formula>0.85</formula>
    </cfRule>
  </conditionalFormatting>
  <conditionalFormatting sqref="N138">
    <cfRule type="cellIs" dxfId="1571" priority="1652" operator="greaterThan">
      <formula>0.9</formula>
    </cfRule>
    <cfRule type="cellIs" dxfId="1570" priority="1653" operator="greaterThan">
      <formula>0.85</formula>
    </cfRule>
  </conditionalFormatting>
  <conditionalFormatting sqref="E138">
    <cfRule type="expression" dxfId="1569" priority="1648">
      <formula>AND(IF(OR($Q138=1,$Q138=2),1,0),IF($E138&lt;=20,1,0))</formula>
    </cfRule>
    <cfRule type="expression" dxfId="1568" priority="1649">
      <formula>AND(IF($Q138=2,1,0),IF($E138&lt;30,1,0))</formula>
    </cfRule>
    <cfRule type="expression" dxfId="1567" priority="1650">
      <formula>AND(IF($Q138=3,1,0),IF($E138&lt;30,1,0))</formula>
    </cfRule>
    <cfRule type="expression" dxfId="1566" priority="1651">
      <formula>AND(IF($Q138=3,1,IF($Q138=4,1,0)),IF($F138&lt;=85,1,0))</formula>
    </cfRule>
  </conditionalFormatting>
  <conditionalFormatting sqref="Y138">
    <cfRule type="expression" dxfId="1565" priority="1644">
      <formula>AND(IF(OR($Q138=1,$Q138=2),1,0),IF($Y138&lt;=20,1,0))</formula>
    </cfRule>
    <cfRule type="expression" dxfId="1564" priority="1645">
      <formula>AND(IF($Q138=2,1,0),IF($Y138&lt;30,1,0))</formula>
    </cfRule>
    <cfRule type="expression" dxfId="1563" priority="1646">
      <formula>AND(IF($Q138=3,1,0),IF($Y138&lt;30,1,0))</formula>
    </cfRule>
    <cfRule type="expression" dxfId="1562" priority="1647">
      <formula>AND(IF($Q138=3,1,IF($Q138=4,1,0)),IF($F138&lt;=85,1,0))</formula>
    </cfRule>
  </conditionalFormatting>
  <conditionalFormatting sqref="AJ138">
    <cfRule type="expression" dxfId="1561" priority="1640">
      <formula>AND(IF(OR($Q138=1,$Q138=2),1,0),IF($Y138&lt;=20,1,0))</formula>
    </cfRule>
    <cfRule type="expression" dxfId="1560" priority="1641">
      <formula>AND(IF($Q138=2,1,0),IF($Y138&lt;30,1,0))</formula>
    </cfRule>
    <cfRule type="expression" dxfId="1559" priority="1642">
      <formula>AND(IF($Q138=3,1,0),IF($Y138&lt;30,1,0))</formula>
    </cfRule>
    <cfRule type="expression" dxfId="1558" priority="1643">
      <formula>AND(IF($Q138=3,1,IF($Q138=4,1,0)),IF($F138&lt;=85,1,0))</formula>
    </cfRule>
  </conditionalFormatting>
  <conditionalFormatting sqref="AW139">
    <cfRule type="expression" dxfId="1557" priority="1638">
      <formula>AW139="X"</formula>
    </cfRule>
    <cfRule type="expression" dxfId="1556" priority="1639">
      <formula>AW139="후보"</formula>
    </cfRule>
  </conditionalFormatting>
  <conditionalFormatting sqref="AA139">
    <cfRule type="colorScale" priority="16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9">
    <cfRule type="cellIs" dxfId="1555" priority="1635" operator="greaterThan">
      <formula>0.9</formula>
    </cfRule>
    <cfRule type="cellIs" dxfId="1554" priority="1636" operator="greaterThan">
      <formula>0.85</formula>
    </cfRule>
  </conditionalFormatting>
  <conditionalFormatting sqref="N139">
    <cfRule type="cellIs" dxfId="1553" priority="1633" operator="greaterThan">
      <formula>0.9</formula>
    </cfRule>
    <cfRule type="cellIs" dxfId="1552" priority="1634" operator="greaterThan">
      <formula>0.85</formula>
    </cfRule>
  </conditionalFormatting>
  <conditionalFormatting sqref="E139">
    <cfRule type="expression" dxfId="1551" priority="1629">
      <formula>AND(IF(OR($Q139=1,$Q139=2),1,0),IF($E139&lt;=20,1,0))</formula>
    </cfRule>
    <cfRule type="expression" dxfId="1550" priority="1630">
      <formula>AND(IF($Q139=2,1,0),IF($E139&lt;30,1,0))</formula>
    </cfRule>
    <cfRule type="expression" dxfId="1549" priority="1631">
      <formula>AND(IF($Q139=3,1,0),IF($E139&lt;30,1,0))</formula>
    </cfRule>
    <cfRule type="expression" dxfId="1548" priority="1632">
      <formula>AND(IF($Q139=3,1,IF($Q139=4,1,0)),IF($F139&lt;=85,1,0))</formula>
    </cfRule>
  </conditionalFormatting>
  <conditionalFormatting sqref="Y139">
    <cfRule type="expression" dxfId="1547" priority="1625">
      <formula>AND(IF(OR($Q139=1,$Q139=2),1,0),IF($Y139&lt;=20,1,0))</formula>
    </cfRule>
    <cfRule type="expression" dxfId="1546" priority="1626">
      <formula>AND(IF($Q139=2,1,0),IF($Y139&lt;30,1,0))</formula>
    </cfRule>
    <cfRule type="expression" dxfId="1545" priority="1627">
      <formula>AND(IF($Q139=3,1,0),IF($Y139&lt;30,1,0))</formula>
    </cfRule>
    <cfRule type="expression" dxfId="1544" priority="1628">
      <formula>AND(IF($Q139=3,1,IF($Q139=4,1,0)),IF($F139&lt;=85,1,0))</formula>
    </cfRule>
  </conditionalFormatting>
  <conditionalFormatting sqref="AJ139">
    <cfRule type="expression" dxfId="1543" priority="1621">
      <formula>AND(IF(OR($Q139=1,$Q139=2),1,0),IF($Y139&lt;=20,1,0))</formula>
    </cfRule>
    <cfRule type="expression" dxfId="1542" priority="1622">
      <formula>AND(IF($Q139=2,1,0),IF($Y139&lt;30,1,0))</formula>
    </cfRule>
    <cfRule type="expression" dxfId="1541" priority="1623">
      <formula>AND(IF($Q139=3,1,0),IF($Y139&lt;30,1,0))</formula>
    </cfRule>
    <cfRule type="expression" dxfId="1540" priority="1624">
      <formula>AND(IF($Q139=3,1,IF($Q139=4,1,0)),IF($F139&lt;=85,1,0))</formula>
    </cfRule>
  </conditionalFormatting>
  <conditionalFormatting sqref="AW140">
    <cfRule type="expression" dxfId="1539" priority="1619">
      <formula>AW140="X"</formula>
    </cfRule>
    <cfRule type="expression" dxfId="1538" priority="1620">
      <formula>AW140="후보"</formula>
    </cfRule>
  </conditionalFormatting>
  <conditionalFormatting sqref="AA140">
    <cfRule type="colorScale" priority="16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0 N140">
    <cfRule type="cellIs" dxfId="1537" priority="1616" operator="greaterThan">
      <formula>0.9</formula>
    </cfRule>
    <cfRule type="cellIs" dxfId="1536" priority="1617" operator="greaterThan">
      <formula>0.85</formula>
    </cfRule>
  </conditionalFormatting>
  <conditionalFormatting sqref="AW141">
    <cfRule type="expression" dxfId="1535" priority="1614">
      <formula>AW141="X"</formula>
    </cfRule>
    <cfRule type="expression" dxfId="1534" priority="1615">
      <formula>AW141="후보"</formula>
    </cfRule>
  </conditionalFormatting>
  <conditionalFormatting sqref="AA141">
    <cfRule type="colorScale" priority="16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1">
    <cfRule type="cellIs" dxfId="1533" priority="1611" operator="greaterThan">
      <formula>0.9</formula>
    </cfRule>
    <cfRule type="cellIs" dxfId="1532" priority="1612" operator="greaterThan">
      <formula>0.85</formula>
    </cfRule>
  </conditionalFormatting>
  <conditionalFormatting sqref="N141">
    <cfRule type="cellIs" dxfId="1531" priority="1609" operator="greaterThan">
      <formula>0.9</formula>
    </cfRule>
    <cfRule type="cellIs" dxfId="1530" priority="1610" operator="greaterThan">
      <formula>0.85</formula>
    </cfRule>
  </conditionalFormatting>
  <conditionalFormatting sqref="E141">
    <cfRule type="expression" dxfId="1529" priority="1605">
      <formula>AND(IF(OR($Q141=1,$Q141=2),1,0),IF($E141&lt;=20,1,0))</formula>
    </cfRule>
    <cfRule type="expression" dxfId="1528" priority="1606">
      <formula>AND(IF($Q141=2,1,0),IF($E141&lt;30,1,0))</formula>
    </cfRule>
    <cfRule type="expression" dxfId="1527" priority="1607">
      <formula>AND(IF($Q141=3,1,0),IF($E141&lt;30,1,0))</formula>
    </cfRule>
    <cfRule type="expression" dxfId="1526" priority="1608">
      <formula>AND(IF($Q141=3,1,IF($Q141=4,1,0)),IF($F141&lt;=85,1,0))</formula>
    </cfRule>
  </conditionalFormatting>
  <conditionalFormatting sqref="Y141">
    <cfRule type="expression" dxfId="1525" priority="1601">
      <formula>AND(IF(OR($Q141=1,$Q141=2),1,0),IF($Y141&lt;=20,1,0))</formula>
    </cfRule>
    <cfRule type="expression" dxfId="1524" priority="1602">
      <formula>AND(IF($Q141=2,1,0),IF($Y141&lt;30,1,0))</formula>
    </cfRule>
    <cfRule type="expression" dxfId="1523" priority="1603">
      <formula>AND(IF($Q141=3,1,0),IF($Y141&lt;30,1,0))</formula>
    </cfRule>
    <cfRule type="expression" dxfId="1522" priority="1604">
      <formula>AND(IF($Q141=3,1,IF($Q141=4,1,0)),IF($F141&lt;=85,1,0))</formula>
    </cfRule>
  </conditionalFormatting>
  <conditionalFormatting sqref="AJ141">
    <cfRule type="expression" dxfId="1521" priority="1597">
      <formula>AND(IF(OR($Q141=1,$Q141=2),1,0),IF($Y141&lt;=20,1,0))</formula>
    </cfRule>
    <cfRule type="expression" dxfId="1520" priority="1598">
      <formula>AND(IF($Q141=2,1,0),IF($Y141&lt;30,1,0))</formula>
    </cfRule>
    <cfRule type="expression" dxfId="1519" priority="1599">
      <formula>AND(IF($Q141=3,1,0),IF($Y141&lt;30,1,0))</formula>
    </cfRule>
    <cfRule type="expression" dxfId="1518" priority="1600">
      <formula>AND(IF($Q141=3,1,IF($Q141=4,1,0)),IF($F141&lt;=85,1,0))</formula>
    </cfRule>
  </conditionalFormatting>
  <conditionalFormatting sqref="AW142">
    <cfRule type="expression" dxfId="1517" priority="1595">
      <formula>AW142="X"</formula>
    </cfRule>
    <cfRule type="expression" dxfId="1516" priority="1596">
      <formula>AW142="후보"</formula>
    </cfRule>
  </conditionalFormatting>
  <conditionalFormatting sqref="AA142">
    <cfRule type="colorScale" priority="15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2">
    <cfRule type="cellIs" dxfId="1515" priority="1592" operator="greaterThan">
      <formula>0.9</formula>
    </cfRule>
    <cfRule type="cellIs" dxfId="1514" priority="1593" operator="greaterThan">
      <formula>0.85</formula>
    </cfRule>
  </conditionalFormatting>
  <conditionalFormatting sqref="N142">
    <cfRule type="cellIs" dxfId="1513" priority="1590" operator="greaterThan">
      <formula>0.9</formula>
    </cfRule>
    <cfRule type="cellIs" dxfId="1512" priority="1591" operator="greaterThan">
      <formula>0.85</formula>
    </cfRule>
  </conditionalFormatting>
  <conditionalFormatting sqref="E142">
    <cfRule type="expression" dxfId="1511" priority="1586">
      <formula>AND(IF(OR($Q142=1,$Q142=2),1,0),IF($E142&lt;=20,1,0))</formula>
    </cfRule>
    <cfRule type="expression" dxfId="1510" priority="1587">
      <formula>AND(IF($Q142=2,1,0),IF($E142&lt;30,1,0))</formula>
    </cfRule>
    <cfRule type="expression" dxfId="1509" priority="1588">
      <formula>AND(IF($Q142=3,1,0),IF($E142&lt;30,1,0))</formula>
    </cfRule>
    <cfRule type="expression" dxfId="1508" priority="1589">
      <formula>AND(IF($Q142=3,1,IF($Q142=4,1,0)),IF($F142&lt;=85,1,0))</formula>
    </cfRule>
  </conditionalFormatting>
  <conditionalFormatting sqref="Y142">
    <cfRule type="expression" dxfId="1507" priority="1582">
      <formula>AND(IF(OR($Q142=1,$Q142=2),1,0),IF($Y142&lt;=20,1,0))</formula>
    </cfRule>
    <cfRule type="expression" dxfId="1506" priority="1583">
      <formula>AND(IF($Q142=2,1,0),IF($Y142&lt;30,1,0))</formula>
    </cfRule>
    <cfRule type="expression" dxfId="1505" priority="1584">
      <formula>AND(IF($Q142=3,1,0),IF($Y142&lt;30,1,0))</formula>
    </cfRule>
    <cfRule type="expression" dxfId="1504" priority="1585">
      <formula>AND(IF($Q142=3,1,IF($Q142=4,1,0)),IF($F142&lt;=85,1,0))</formula>
    </cfRule>
  </conditionalFormatting>
  <conditionalFormatting sqref="AJ142">
    <cfRule type="expression" dxfId="1503" priority="1578">
      <formula>AND(IF(OR($Q142=1,$Q142=2),1,0),IF($Y142&lt;=20,1,0))</formula>
    </cfRule>
    <cfRule type="expression" dxfId="1502" priority="1579">
      <formula>AND(IF($Q142=2,1,0),IF($Y142&lt;30,1,0))</formula>
    </cfRule>
    <cfRule type="expression" dxfId="1501" priority="1580">
      <formula>AND(IF($Q142=3,1,0),IF($Y142&lt;30,1,0))</formula>
    </cfRule>
    <cfRule type="expression" dxfId="1500" priority="1581">
      <formula>AND(IF($Q142=3,1,IF($Q142=4,1,0)),IF($F142&lt;=85,1,0))</formula>
    </cfRule>
  </conditionalFormatting>
  <conditionalFormatting sqref="AW143">
    <cfRule type="expression" dxfId="1499" priority="1576">
      <formula>AW143="X"</formula>
    </cfRule>
    <cfRule type="expression" dxfId="1498" priority="1577">
      <formula>AW143="후보"</formula>
    </cfRule>
  </conditionalFormatting>
  <conditionalFormatting sqref="AA143">
    <cfRule type="colorScale" priority="15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3">
    <cfRule type="cellIs" dxfId="1497" priority="1573" operator="greaterThan">
      <formula>0.9</formula>
    </cfRule>
    <cfRule type="cellIs" dxfId="1496" priority="1574" operator="greaterThan">
      <formula>0.85</formula>
    </cfRule>
  </conditionalFormatting>
  <conditionalFormatting sqref="N143">
    <cfRule type="cellIs" dxfId="1495" priority="1571" operator="greaterThan">
      <formula>0.9</formula>
    </cfRule>
    <cfRule type="cellIs" dxfId="1494" priority="1572" operator="greaterThan">
      <formula>0.85</formula>
    </cfRule>
  </conditionalFormatting>
  <conditionalFormatting sqref="E143">
    <cfRule type="expression" dxfId="1493" priority="1567">
      <formula>AND(IF(OR($Q143=1,$Q143=2),1,0),IF($E143&lt;=20,1,0))</formula>
    </cfRule>
    <cfRule type="expression" dxfId="1492" priority="1568">
      <formula>AND(IF($Q143=2,1,0),IF($E143&lt;30,1,0))</formula>
    </cfRule>
    <cfRule type="expression" dxfId="1491" priority="1569">
      <formula>AND(IF($Q143=3,1,0),IF($E143&lt;30,1,0))</formula>
    </cfRule>
    <cfRule type="expression" dxfId="1490" priority="1570">
      <formula>AND(IF($Q143=3,1,IF($Q143=4,1,0)),IF($F143&lt;=85,1,0))</formula>
    </cfRule>
  </conditionalFormatting>
  <conditionalFormatting sqref="Y143">
    <cfRule type="expression" dxfId="1489" priority="1563">
      <formula>AND(IF(OR($Q143=1,$Q143=2),1,0),IF($Y143&lt;=20,1,0))</formula>
    </cfRule>
    <cfRule type="expression" dxfId="1488" priority="1564">
      <formula>AND(IF($Q143=2,1,0),IF($Y143&lt;30,1,0))</formula>
    </cfRule>
    <cfRule type="expression" dxfId="1487" priority="1565">
      <formula>AND(IF($Q143=3,1,0),IF($Y143&lt;30,1,0))</formula>
    </cfRule>
    <cfRule type="expression" dxfId="1486" priority="1566">
      <formula>AND(IF($Q143=3,1,IF($Q143=4,1,0)),IF($F143&lt;=85,1,0))</formula>
    </cfRule>
  </conditionalFormatting>
  <conditionalFormatting sqref="AJ143">
    <cfRule type="expression" dxfId="1485" priority="1559">
      <formula>AND(IF(OR($Q143=1,$Q143=2),1,0),IF($Y143&lt;=20,1,0))</formula>
    </cfRule>
    <cfRule type="expression" dxfId="1484" priority="1560">
      <formula>AND(IF($Q143=2,1,0),IF($Y143&lt;30,1,0))</formula>
    </cfRule>
    <cfRule type="expression" dxfId="1483" priority="1561">
      <formula>AND(IF($Q143=3,1,0),IF($Y143&lt;30,1,0))</formula>
    </cfRule>
    <cfRule type="expression" dxfId="1482" priority="1562">
      <formula>AND(IF($Q143=3,1,IF($Q143=4,1,0)),IF($F143&lt;=85,1,0))</formula>
    </cfRule>
  </conditionalFormatting>
  <conditionalFormatting sqref="AW144">
    <cfRule type="expression" dxfId="1481" priority="1557">
      <formula>AW144="X"</formula>
    </cfRule>
    <cfRule type="expression" dxfId="1480" priority="1558">
      <formula>AW144="후보"</formula>
    </cfRule>
  </conditionalFormatting>
  <conditionalFormatting sqref="AA144">
    <cfRule type="colorScale" priority="15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4">
    <cfRule type="cellIs" dxfId="1479" priority="1554" operator="greaterThan">
      <formula>0.9</formula>
    </cfRule>
    <cfRule type="cellIs" dxfId="1478" priority="1555" operator="greaterThan">
      <formula>0.85</formula>
    </cfRule>
  </conditionalFormatting>
  <conditionalFormatting sqref="N144">
    <cfRule type="cellIs" dxfId="1477" priority="1552" operator="greaterThan">
      <formula>0.9</formula>
    </cfRule>
    <cfRule type="cellIs" dxfId="1476" priority="1553" operator="greaterThan">
      <formula>0.85</formula>
    </cfRule>
  </conditionalFormatting>
  <conditionalFormatting sqref="E144">
    <cfRule type="expression" dxfId="1475" priority="1548">
      <formula>AND(IF(OR($Q144=1,$Q144=2),1,0),IF($E144&lt;=20,1,0))</formula>
    </cfRule>
    <cfRule type="expression" dxfId="1474" priority="1549">
      <formula>AND(IF($Q144=2,1,0),IF($E144&lt;30,1,0))</formula>
    </cfRule>
    <cfRule type="expression" dxfId="1473" priority="1550">
      <formula>AND(IF($Q144=3,1,0),IF($E144&lt;30,1,0))</formula>
    </cfRule>
    <cfRule type="expression" dxfId="1472" priority="1551">
      <formula>AND(IF($Q144=3,1,IF($Q144=4,1,0)),IF($F144&lt;=85,1,0))</formula>
    </cfRule>
  </conditionalFormatting>
  <conditionalFormatting sqref="Y144">
    <cfRule type="expression" dxfId="1471" priority="1544">
      <formula>AND(IF(OR($Q144=1,$Q144=2),1,0),IF($Y144&lt;=20,1,0))</formula>
    </cfRule>
    <cfRule type="expression" dxfId="1470" priority="1545">
      <formula>AND(IF($Q144=2,1,0),IF($Y144&lt;30,1,0))</formula>
    </cfRule>
    <cfRule type="expression" dxfId="1469" priority="1546">
      <formula>AND(IF($Q144=3,1,0),IF($Y144&lt;30,1,0))</formula>
    </cfRule>
    <cfRule type="expression" dxfId="1468" priority="1547">
      <formula>AND(IF($Q144=3,1,IF($Q144=4,1,0)),IF($F144&lt;=85,1,0))</formula>
    </cfRule>
  </conditionalFormatting>
  <conditionalFormatting sqref="AJ144">
    <cfRule type="expression" dxfId="1467" priority="1540">
      <formula>AND(IF(OR($Q144=1,$Q144=2),1,0),IF($Y144&lt;=20,1,0))</formula>
    </cfRule>
    <cfRule type="expression" dxfId="1466" priority="1541">
      <formula>AND(IF($Q144=2,1,0),IF($Y144&lt;30,1,0))</formula>
    </cfRule>
    <cfRule type="expression" dxfId="1465" priority="1542">
      <formula>AND(IF($Q144=3,1,0),IF($Y144&lt;30,1,0))</formula>
    </cfRule>
    <cfRule type="expression" dxfId="1464" priority="1543">
      <formula>AND(IF($Q144=3,1,IF($Q144=4,1,0)),IF($F144&lt;=85,1,0))</formula>
    </cfRule>
  </conditionalFormatting>
  <conditionalFormatting sqref="AW145">
    <cfRule type="expression" dxfId="1463" priority="1538">
      <formula>AW145="X"</formula>
    </cfRule>
    <cfRule type="expression" dxfId="1462" priority="1539">
      <formula>AW145="후보"</formula>
    </cfRule>
  </conditionalFormatting>
  <conditionalFormatting sqref="AA145">
    <cfRule type="colorScale" priority="15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5">
    <cfRule type="cellIs" dxfId="1461" priority="1535" operator="greaterThan">
      <formula>0.9</formula>
    </cfRule>
    <cfRule type="cellIs" dxfId="1460" priority="1536" operator="greaterThan">
      <formula>0.85</formula>
    </cfRule>
  </conditionalFormatting>
  <conditionalFormatting sqref="N145">
    <cfRule type="cellIs" dxfId="1459" priority="1533" operator="greaterThan">
      <formula>0.9</formula>
    </cfRule>
    <cfRule type="cellIs" dxfId="1458" priority="1534" operator="greaterThan">
      <formula>0.85</formula>
    </cfRule>
  </conditionalFormatting>
  <conditionalFormatting sqref="E145">
    <cfRule type="expression" dxfId="1457" priority="1529">
      <formula>AND(IF(OR($Q145=1,$Q145=2),1,0),IF($E145&lt;=20,1,0))</formula>
    </cfRule>
    <cfRule type="expression" dxfId="1456" priority="1530">
      <formula>AND(IF($Q145=2,1,0),IF($E145&lt;30,1,0))</formula>
    </cfRule>
    <cfRule type="expression" dxfId="1455" priority="1531">
      <formula>AND(IF($Q145=3,1,0),IF($E145&lt;30,1,0))</formula>
    </cfRule>
    <cfRule type="expression" dxfId="1454" priority="1532">
      <formula>AND(IF($Q145=3,1,IF($Q145=4,1,0)),IF($F145&lt;=85,1,0))</formula>
    </cfRule>
  </conditionalFormatting>
  <conditionalFormatting sqref="Y145">
    <cfRule type="expression" dxfId="1453" priority="1525">
      <formula>AND(IF(OR($Q145=1,$Q145=2),1,0),IF($Y145&lt;=20,1,0))</formula>
    </cfRule>
    <cfRule type="expression" dxfId="1452" priority="1526">
      <formula>AND(IF($Q145=2,1,0),IF($Y145&lt;30,1,0))</formula>
    </cfRule>
    <cfRule type="expression" dxfId="1451" priority="1527">
      <formula>AND(IF($Q145=3,1,0),IF($Y145&lt;30,1,0))</formula>
    </cfRule>
    <cfRule type="expression" dxfId="1450" priority="1528">
      <formula>AND(IF($Q145=3,1,IF($Q145=4,1,0)),IF($F145&lt;=85,1,0))</formula>
    </cfRule>
  </conditionalFormatting>
  <conditionalFormatting sqref="AJ145">
    <cfRule type="expression" dxfId="1449" priority="1521">
      <formula>AND(IF(OR($Q145=1,$Q145=2),1,0),IF($Y145&lt;=20,1,0))</formula>
    </cfRule>
    <cfRule type="expression" dxfId="1448" priority="1522">
      <formula>AND(IF($Q145=2,1,0),IF($Y145&lt;30,1,0))</formula>
    </cfRule>
    <cfRule type="expression" dxfId="1447" priority="1523">
      <formula>AND(IF($Q145=3,1,0),IF($Y145&lt;30,1,0))</formula>
    </cfRule>
    <cfRule type="expression" dxfId="1446" priority="1524">
      <formula>AND(IF($Q145=3,1,IF($Q145=4,1,0)),IF($F145&lt;=85,1,0))</formula>
    </cfRule>
  </conditionalFormatting>
  <conditionalFormatting sqref="AW146">
    <cfRule type="expression" dxfId="1445" priority="1519">
      <formula>AW146="X"</formula>
    </cfRule>
    <cfRule type="expression" dxfId="1444" priority="1520">
      <formula>AW146="후보"</formula>
    </cfRule>
  </conditionalFormatting>
  <conditionalFormatting sqref="AA146">
    <cfRule type="colorScale" priority="1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6">
    <cfRule type="cellIs" dxfId="1443" priority="1516" operator="greaterThan">
      <formula>0.9</formula>
    </cfRule>
    <cfRule type="cellIs" dxfId="1442" priority="1517" operator="greaterThan">
      <formula>0.85</formula>
    </cfRule>
  </conditionalFormatting>
  <conditionalFormatting sqref="N146">
    <cfRule type="cellIs" dxfId="1441" priority="1514" operator="greaterThan">
      <formula>0.9</formula>
    </cfRule>
    <cfRule type="cellIs" dxfId="1440" priority="1515" operator="greaterThan">
      <formula>0.85</formula>
    </cfRule>
  </conditionalFormatting>
  <conditionalFormatting sqref="E146">
    <cfRule type="expression" dxfId="1439" priority="1510">
      <formula>AND(IF(OR($Q146=1,$Q146=2),1,0),IF($E146&lt;=20,1,0))</formula>
    </cfRule>
    <cfRule type="expression" dxfId="1438" priority="1511">
      <formula>AND(IF($Q146=2,1,0),IF($E146&lt;30,1,0))</formula>
    </cfRule>
    <cfRule type="expression" dxfId="1437" priority="1512">
      <formula>AND(IF($Q146=3,1,0),IF($E146&lt;30,1,0))</formula>
    </cfRule>
    <cfRule type="expression" dxfId="1436" priority="1513">
      <formula>AND(IF($Q146=3,1,IF($Q146=4,1,0)),IF($F146&lt;=85,1,0))</formula>
    </cfRule>
  </conditionalFormatting>
  <conditionalFormatting sqref="Y146">
    <cfRule type="expression" dxfId="1435" priority="1506">
      <formula>AND(IF(OR($Q146=1,$Q146=2),1,0),IF($Y146&lt;=20,1,0))</formula>
    </cfRule>
    <cfRule type="expression" dxfId="1434" priority="1507">
      <formula>AND(IF($Q146=2,1,0),IF($Y146&lt;30,1,0))</formula>
    </cfRule>
    <cfRule type="expression" dxfId="1433" priority="1508">
      <formula>AND(IF($Q146=3,1,0),IF($Y146&lt;30,1,0))</formula>
    </cfRule>
    <cfRule type="expression" dxfId="1432" priority="1509">
      <formula>AND(IF($Q146=3,1,IF($Q146=4,1,0)),IF($F146&lt;=85,1,0))</formula>
    </cfRule>
  </conditionalFormatting>
  <conditionalFormatting sqref="AJ146">
    <cfRule type="expression" dxfId="1431" priority="1502">
      <formula>AND(IF(OR($Q146=1,$Q146=2),1,0),IF($Y146&lt;=20,1,0))</formula>
    </cfRule>
    <cfRule type="expression" dxfId="1430" priority="1503">
      <formula>AND(IF($Q146=2,1,0),IF($Y146&lt;30,1,0))</formula>
    </cfRule>
    <cfRule type="expression" dxfId="1429" priority="1504">
      <formula>AND(IF($Q146=3,1,0),IF($Y146&lt;30,1,0))</formula>
    </cfRule>
    <cfRule type="expression" dxfId="1428" priority="1505">
      <formula>AND(IF($Q146=3,1,IF($Q146=4,1,0)),IF($F146&lt;=85,1,0))</formula>
    </cfRule>
  </conditionalFormatting>
  <conditionalFormatting sqref="AW147">
    <cfRule type="expression" dxfId="1427" priority="1500">
      <formula>AW147="X"</formula>
    </cfRule>
    <cfRule type="expression" dxfId="1426" priority="1501">
      <formula>AW147="후보"</formula>
    </cfRule>
  </conditionalFormatting>
  <conditionalFormatting sqref="AA147">
    <cfRule type="colorScale" priority="1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7 N147">
    <cfRule type="cellIs" dxfId="1425" priority="1497" operator="greaterThan">
      <formula>0.9</formula>
    </cfRule>
    <cfRule type="cellIs" dxfId="1424" priority="1498" operator="greaterThan">
      <formula>0.85</formula>
    </cfRule>
  </conditionalFormatting>
  <conditionalFormatting sqref="AW148">
    <cfRule type="expression" dxfId="1423" priority="1495">
      <formula>AW148="X"</formula>
    </cfRule>
    <cfRule type="expression" dxfId="1422" priority="1496">
      <formula>AW148="후보"</formula>
    </cfRule>
  </conditionalFormatting>
  <conditionalFormatting sqref="AA148">
    <cfRule type="colorScale" priority="14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8">
    <cfRule type="cellIs" dxfId="1421" priority="1492" operator="greaterThan">
      <formula>0.9</formula>
    </cfRule>
    <cfRule type="cellIs" dxfId="1420" priority="1493" operator="greaterThan">
      <formula>0.85</formula>
    </cfRule>
  </conditionalFormatting>
  <conditionalFormatting sqref="N148">
    <cfRule type="cellIs" dxfId="1419" priority="1490" operator="greaterThan">
      <formula>0.9</formula>
    </cfRule>
    <cfRule type="cellIs" dxfId="1418" priority="1491" operator="greaterThan">
      <formula>0.85</formula>
    </cfRule>
  </conditionalFormatting>
  <conditionalFormatting sqref="E148">
    <cfRule type="expression" dxfId="1417" priority="1486">
      <formula>AND(IF(OR($Q148=1,$Q148=2),1,0),IF($E148&lt;=20,1,0))</formula>
    </cfRule>
    <cfRule type="expression" dxfId="1416" priority="1487">
      <formula>AND(IF($Q148=2,1,0),IF($E148&lt;30,1,0))</formula>
    </cfRule>
    <cfRule type="expression" dxfId="1415" priority="1488">
      <formula>AND(IF($Q148=3,1,0),IF($E148&lt;30,1,0))</formula>
    </cfRule>
    <cfRule type="expression" dxfId="1414" priority="1489">
      <formula>AND(IF($Q148=3,1,IF($Q148=4,1,0)),IF($F148&lt;=85,1,0))</formula>
    </cfRule>
  </conditionalFormatting>
  <conditionalFormatting sqref="Y148">
    <cfRule type="expression" dxfId="1413" priority="1482">
      <formula>AND(IF(OR($Q148=1,$Q148=2),1,0),IF($Y148&lt;=20,1,0))</formula>
    </cfRule>
    <cfRule type="expression" dxfId="1412" priority="1483">
      <formula>AND(IF($Q148=2,1,0),IF($Y148&lt;30,1,0))</formula>
    </cfRule>
    <cfRule type="expression" dxfId="1411" priority="1484">
      <formula>AND(IF($Q148=3,1,0),IF($Y148&lt;30,1,0))</formula>
    </cfRule>
    <cfRule type="expression" dxfId="1410" priority="1485">
      <formula>AND(IF($Q148=3,1,IF($Q148=4,1,0)),IF($F148&lt;=85,1,0))</formula>
    </cfRule>
  </conditionalFormatting>
  <conditionalFormatting sqref="AJ148">
    <cfRule type="expression" dxfId="1409" priority="1478">
      <formula>AND(IF(OR($Q148=1,$Q148=2),1,0),IF($Y148&lt;=20,1,0))</formula>
    </cfRule>
    <cfRule type="expression" dxfId="1408" priority="1479">
      <formula>AND(IF($Q148=2,1,0),IF($Y148&lt;30,1,0))</formula>
    </cfRule>
    <cfRule type="expression" dxfId="1407" priority="1480">
      <formula>AND(IF($Q148=3,1,0),IF($Y148&lt;30,1,0))</formula>
    </cfRule>
    <cfRule type="expression" dxfId="1406" priority="1481">
      <formula>AND(IF($Q148=3,1,IF($Q148=4,1,0)),IF($F148&lt;=85,1,0))</formula>
    </cfRule>
  </conditionalFormatting>
  <conditionalFormatting sqref="AW149">
    <cfRule type="expression" dxfId="1405" priority="1476">
      <formula>AW149="X"</formula>
    </cfRule>
    <cfRule type="expression" dxfId="1404" priority="1477">
      <formula>AW149="후보"</formula>
    </cfRule>
  </conditionalFormatting>
  <conditionalFormatting sqref="AA149">
    <cfRule type="colorScale" priority="14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9">
    <cfRule type="cellIs" dxfId="1403" priority="1473" operator="greaterThan">
      <formula>0.9</formula>
    </cfRule>
    <cfRule type="cellIs" dxfId="1402" priority="1474" operator="greaterThan">
      <formula>0.85</formula>
    </cfRule>
  </conditionalFormatting>
  <conditionalFormatting sqref="N149">
    <cfRule type="cellIs" dxfId="1401" priority="1471" operator="greaterThan">
      <formula>0.9</formula>
    </cfRule>
    <cfRule type="cellIs" dxfId="1400" priority="1472" operator="greaterThan">
      <formula>0.85</formula>
    </cfRule>
  </conditionalFormatting>
  <conditionalFormatting sqref="E149">
    <cfRule type="expression" dxfId="1399" priority="1467">
      <formula>AND(IF(OR($Q149=1,$Q149=2),1,0),IF($E149&lt;=20,1,0))</formula>
    </cfRule>
    <cfRule type="expression" dxfId="1398" priority="1468">
      <formula>AND(IF($Q149=2,1,0),IF($E149&lt;30,1,0))</formula>
    </cfRule>
    <cfRule type="expression" dxfId="1397" priority="1469">
      <formula>AND(IF($Q149=3,1,0),IF($E149&lt;30,1,0))</formula>
    </cfRule>
    <cfRule type="expression" dxfId="1396" priority="1470">
      <formula>AND(IF($Q149=3,1,IF($Q149=4,1,0)),IF($F149&lt;=85,1,0))</formula>
    </cfRule>
  </conditionalFormatting>
  <conditionalFormatting sqref="Y149">
    <cfRule type="expression" dxfId="1395" priority="1463">
      <formula>AND(IF(OR($Q149=1,$Q149=2),1,0),IF($Y149&lt;=20,1,0))</formula>
    </cfRule>
    <cfRule type="expression" dxfId="1394" priority="1464">
      <formula>AND(IF($Q149=2,1,0),IF($Y149&lt;30,1,0))</formula>
    </cfRule>
    <cfRule type="expression" dxfId="1393" priority="1465">
      <formula>AND(IF($Q149=3,1,0),IF($Y149&lt;30,1,0))</formula>
    </cfRule>
    <cfRule type="expression" dxfId="1392" priority="1466">
      <formula>AND(IF($Q149=3,1,IF($Q149=4,1,0)),IF($F149&lt;=85,1,0))</formula>
    </cfRule>
  </conditionalFormatting>
  <conditionalFormatting sqref="AJ149">
    <cfRule type="expression" dxfId="1391" priority="1459">
      <formula>AND(IF(OR($Q149=1,$Q149=2),1,0),IF($Y149&lt;=20,1,0))</formula>
    </cfRule>
    <cfRule type="expression" dxfId="1390" priority="1460">
      <formula>AND(IF($Q149=2,1,0),IF($Y149&lt;30,1,0))</formula>
    </cfRule>
    <cfRule type="expression" dxfId="1389" priority="1461">
      <formula>AND(IF($Q149=3,1,0),IF($Y149&lt;30,1,0))</formula>
    </cfRule>
    <cfRule type="expression" dxfId="1388" priority="1462">
      <formula>AND(IF($Q149=3,1,IF($Q149=4,1,0)),IF($F149&lt;=85,1,0))</formula>
    </cfRule>
  </conditionalFormatting>
  <conditionalFormatting sqref="AW150">
    <cfRule type="expression" dxfId="1387" priority="1457">
      <formula>AW150="X"</formula>
    </cfRule>
    <cfRule type="expression" dxfId="1386" priority="1458">
      <formula>AW150="후보"</formula>
    </cfRule>
  </conditionalFormatting>
  <conditionalFormatting sqref="AA150">
    <cfRule type="colorScale" priority="14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0">
    <cfRule type="cellIs" dxfId="1385" priority="1454" operator="greaterThan">
      <formula>0.9</formula>
    </cfRule>
    <cfRule type="cellIs" dxfId="1384" priority="1455" operator="greaterThan">
      <formula>0.85</formula>
    </cfRule>
  </conditionalFormatting>
  <conditionalFormatting sqref="N150">
    <cfRule type="cellIs" dxfId="1383" priority="1452" operator="greaterThan">
      <formula>0.9</formula>
    </cfRule>
    <cfRule type="cellIs" dxfId="1382" priority="1453" operator="greaterThan">
      <formula>0.85</formula>
    </cfRule>
  </conditionalFormatting>
  <conditionalFormatting sqref="E150">
    <cfRule type="expression" dxfId="1381" priority="1448">
      <formula>AND(IF(OR($Q150=1,$Q150=2),1,0),IF($E150&lt;=20,1,0))</formula>
    </cfRule>
    <cfRule type="expression" dxfId="1380" priority="1449">
      <formula>AND(IF($Q150=2,1,0),IF($E150&lt;30,1,0))</formula>
    </cfRule>
    <cfRule type="expression" dxfId="1379" priority="1450">
      <formula>AND(IF($Q150=3,1,0),IF($E150&lt;30,1,0))</formula>
    </cfRule>
    <cfRule type="expression" dxfId="1378" priority="1451">
      <formula>AND(IF($Q150=3,1,IF($Q150=4,1,0)),IF($F150&lt;=85,1,0))</formula>
    </cfRule>
  </conditionalFormatting>
  <conditionalFormatting sqref="Y150">
    <cfRule type="expression" dxfId="1377" priority="1444">
      <formula>AND(IF(OR($Q150=1,$Q150=2),1,0),IF($Y150&lt;=20,1,0))</formula>
    </cfRule>
    <cfRule type="expression" dxfId="1376" priority="1445">
      <formula>AND(IF($Q150=2,1,0),IF($Y150&lt;30,1,0))</formula>
    </cfRule>
    <cfRule type="expression" dxfId="1375" priority="1446">
      <formula>AND(IF($Q150=3,1,0),IF($Y150&lt;30,1,0))</formula>
    </cfRule>
    <cfRule type="expression" dxfId="1374" priority="1447">
      <formula>AND(IF($Q150=3,1,IF($Q150=4,1,0)),IF($F150&lt;=85,1,0))</formula>
    </cfRule>
  </conditionalFormatting>
  <conditionalFormatting sqref="AJ150">
    <cfRule type="expression" dxfId="1373" priority="1440">
      <formula>AND(IF(OR($Q150=1,$Q150=2),1,0),IF($Y150&lt;=20,1,0))</formula>
    </cfRule>
    <cfRule type="expression" dxfId="1372" priority="1441">
      <formula>AND(IF($Q150=2,1,0),IF($Y150&lt;30,1,0))</formula>
    </cfRule>
    <cfRule type="expression" dxfId="1371" priority="1442">
      <formula>AND(IF($Q150=3,1,0),IF($Y150&lt;30,1,0))</formula>
    </cfRule>
    <cfRule type="expression" dxfId="1370" priority="1443">
      <formula>AND(IF($Q150=3,1,IF($Q150=4,1,0)),IF($F150&lt;=85,1,0))</formula>
    </cfRule>
  </conditionalFormatting>
  <conditionalFormatting sqref="AW151">
    <cfRule type="expression" dxfId="1369" priority="1438">
      <formula>AW151="X"</formula>
    </cfRule>
    <cfRule type="expression" dxfId="1368" priority="1439">
      <formula>AW151="후보"</formula>
    </cfRule>
  </conditionalFormatting>
  <conditionalFormatting sqref="AA151">
    <cfRule type="colorScale" priority="14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1 N151">
    <cfRule type="cellIs" dxfId="1367" priority="1435" operator="greaterThan">
      <formula>0.9</formula>
    </cfRule>
    <cfRule type="cellIs" dxfId="1366" priority="1436" operator="greaterThan">
      <formula>0.85</formula>
    </cfRule>
  </conditionalFormatting>
  <conditionalFormatting sqref="AW152">
    <cfRule type="expression" dxfId="1365" priority="1433">
      <formula>AW152="X"</formula>
    </cfRule>
    <cfRule type="expression" dxfId="1364" priority="1434">
      <formula>AW152="후보"</formula>
    </cfRule>
  </conditionalFormatting>
  <conditionalFormatting sqref="AA152">
    <cfRule type="colorScale" priority="14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2">
    <cfRule type="cellIs" dxfId="1363" priority="1430" operator="greaterThan">
      <formula>0.9</formula>
    </cfRule>
    <cfRule type="cellIs" dxfId="1362" priority="1431" operator="greaterThan">
      <formula>0.85</formula>
    </cfRule>
  </conditionalFormatting>
  <conditionalFormatting sqref="N152">
    <cfRule type="cellIs" dxfId="1361" priority="1428" operator="greaterThan">
      <formula>0.9</formula>
    </cfRule>
    <cfRule type="cellIs" dxfId="1360" priority="1429" operator="greaterThan">
      <formula>0.85</formula>
    </cfRule>
  </conditionalFormatting>
  <conditionalFormatting sqref="E152">
    <cfRule type="expression" dxfId="1359" priority="1424">
      <formula>AND(IF(OR($Q152=1,$Q152=2),1,0),IF($E152&lt;=20,1,0))</formula>
    </cfRule>
    <cfRule type="expression" dxfId="1358" priority="1425">
      <formula>AND(IF($Q152=2,1,0),IF($E152&lt;30,1,0))</formula>
    </cfRule>
    <cfRule type="expression" dxfId="1357" priority="1426">
      <formula>AND(IF($Q152=3,1,0),IF($E152&lt;30,1,0))</formula>
    </cfRule>
    <cfRule type="expression" dxfId="1356" priority="1427">
      <formula>AND(IF($Q152=3,1,IF($Q152=4,1,0)),IF($F152&lt;=85,1,0))</formula>
    </cfRule>
  </conditionalFormatting>
  <conditionalFormatting sqref="Y152">
    <cfRule type="expression" dxfId="1355" priority="1420">
      <formula>AND(IF(OR($Q152=1,$Q152=2),1,0),IF($Y152&lt;=20,1,0))</formula>
    </cfRule>
    <cfRule type="expression" dxfId="1354" priority="1421">
      <formula>AND(IF($Q152=2,1,0),IF($Y152&lt;30,1,0))</formula>
    </cfRule>
    <cfRule type="expression" dxfId="1353" priority="1422">
      <formula>AND(IF($Q152=3,1,0),IF($Y152&lt;30,1,0))</formula>
    </cfRule>
    <cfRule type="expression" dxfId="1352" priority="1423">
      <formula>AND(IF($Q152=3,1,IF($Q152=4,1,0)),IF($F152&lt;=85,1,0))</formula>
    </cfRule>
  </conditionalFormatting>
  <conditionalFormatting sqref="AJ152">
    <cfRule type="expression" dxfId="1351" priority="1416">
      <formula>AND(IF(OR($Q152=1,$Q152=2),1,0),IF($Y152&lt;=20,1,0))</formula>
    </cfRule>
    <cfRule type="expression" dxfId="1350" priority="1417">
      <formula>AND(IF($Q152=2,1,0),IF($Y152&lt;30,1,0))</formula>
    </cfRule>
    <cfRule type="expression" dxfId="1349" priority="1418">
      <formula>AND(IF($Q152=3,1,0),IF($Y152&lt;30,1,0))</formula>
    </cfRule>
    <cfRule type="expression" dxfId="1348" priority="1419">
      <formula>AND(IF($Q152=3,1,IF($Q152=4,1,0)),IF($F152&lt;=85,1,0))</formula>
    </cfRule>
  </conditionalFormatting>
  <conditionalFormatting sqref="AW153">
    <cfRule type="expression" dxfId="1347" priority="1414">
      <formula>AW153="X"</formula>
    </cfRule>
    <cfRule type="expression" dxfId="1346" priority="1415">
      <formula>AW153="후보"</formula>
    </cfRule>
  </conditionalFormatting>
  <conditionalFormatting sqref="AA153">
    <cfRule type="colorScale" priority="14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3">
    <cfRule type="cellIs" dxfId="1345" priority="1411" operator="greaterThan">
      <formula>0.9</formula>
    </cfRule>
    <cfRule type="cellIs" dxfId="1344" priority="1412" operator="greaterThan">
      <formula>0.85</formula>
    </cfRule>
  </conditionalFormatting>
  <conditionalFormatting sqref="N153">
    <cfRule type="cellIs" dxfId="1343" priority="1409" operator="greaterThan">
      <formula>0.9</formula>
    </cfRule>
    <cfRule type="cellIs" dxfId="1342" priority="1410" operator="greaterThan">
      <formula>0.85</formula>
    </cfRule>
  </conditionalFormatting>
  <conditionalFormatting sqref="E153">
    <cfRule type="expression" dxfId="1341" priority="1405">
      <formula>AND(IF(OR($Q153=1,$Q153=2),1,0),IF($E153&lt;=20,1,0))</formula>
    </cfRule>
    <cfRule type="expression" dxfId="1340" priority="1406">
      <formula>AND(IF($Q153=2,1,0),IF($E153&lt;30,1,0))</formula>
    </cfRule>
    <cfRule type="expression" dxfId="1339" priority="1407">
      <formula>AND(IF($Q153=3,1,0),IF($E153&lt;30,1,0))</formula>
    </cfRule>
    <cfRule type="expression" dxfId="1338" priority="1408">
      <formula>AND(IF($Q153=3,1,IF($Q153=4,1,0)),IF($F153&lt;=85,1,0))</formula>
    </cfRule>
  </conditionalFormatting>
  <conditionalFormatting sqref="Y153">
    <cfRule type="expression" dxfId="1337" priority="1401">
      <formula>AND(IF(OR($Q153=1,$Q153=2),1,0),IF($Y153&lt;=20,1,0))</formula>
    </cfRule>
    <cfRule type="expression" dxfId="1336" priority="1402">
      <formula>AND(IF($Q153=2,1,0),IF($Y153&lt;30,1,0))</formula>
    </cfRule>
    <cfRule type="expression" dxfId="1335" priority="1403">
      <formula>AND(IF($Q153=3,1,0),IF($Y153&lt;30,1,0))</formula>
    </cfRule>
    <cfRule type="expression" dxfId="1334" priority="1404">
      <formula>AND(IF($Q153=3,1,IF($Q153=4,1,0)),IF($F153&lt;=85,1,0))</formula>
    </cfRule>
  </conditionalFormatting>
  <conditionalFormatting sqref="AJ153">
    <cfRule type="expression" dxfId="1333" priority="1397">
      <formula>AND(IF(OR($Q153=1,$Q153=2),1,0),IF($Y153&lt;=20,1,0))</formula>
    </cfRule>
    <cfRule type="expression" dxfId="1332" priority="1398">
      <formula>AND(IF($Q153=2,1,0),IF($Y153&lt;30,1,0))</formula>
    </cfRule>
    <cfRule type="expression" dxfId="1331" priority="1399">
      <formula>AND(IF($Q153=3,1,0),IF($Y153&lt;30,1,0))</formula>
    </cfRule>
    <cfRule type="expression" dxfId="1330" priority="1400">
      <formula>AND(IF($Q153=3,1,IF($Q153=4,1,0)),IF($F153&lt;=85,1,0))</formula>
    </cfRule>
  </conditionalFormatting>
  <conditionalFormatting sqref="AW154">
    <cfRule type="expression" dxfId="1329" priority="1395">
      <formula>AW154="X"</formula>
    </cfRule>
    <cfRule type="expression" dxfId="1328" priority="1396">
      <formula>AW154="후보"</formula>
    </cfRule>
  </conditionalFormatting>
  <conditionalFormatting sqref="AA154">
    <cfRule type="colorScale" priority="13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4">
    <cfRule type="cellIs" dxfId="1327" priority="1392" operator="greaterThan">
      <formula>0.9</formula>
    </cfRule>
    <cfRule type="cellIs" dxfId="1326" priority="1393" operator="greaterThan">
      <formula>0.85</formula>
    </cfRule>
  </conditionalFormatting>
  <conditionalFormatting sqref="N154">
    <cfRule type="cellIs" dxfId="1325" priority="1390" operator="greaterThan">
      <formula>0.9</formula>
    </cfRule>
    <cfRule type="cellIs" dxfId="1324" priority="1391" operator="greaterThan">
      <formula>0.85</formula>
    </cfRule>
  </conditionalFormatting>
  <conditionalFormatting sqref="E154">
    <cfRule type="expression" dxfId="1323" priority="1386">
      <formula>AND(IF(OR($Q154=1,$Q154=2),1,0),IF($E154&lt;=20,1,0))</formula>
    </cfRule>
    <cfRule type="expression" dxfId="1322" priority="1387">
      <formula>AND(IF($Q154=2,1,0),IF($E154&lt;30,1,0))</formula>
    </cfRule>
    <cfRule type="expression" dxfId="1321" priority="1388">
      <formula>AND(IF($Q154=3,1,0),IF($E154&lt;30,1,0))</formula>
    </cfRule>
    <cfRule type="expression" dxfId="1320" priority="1389">
      <formula>AND(IF($Q154=3,1,IF($Q154=4,1,0)),IF($F154&lt;=85,1,0))</formula>
    </cfRule>
  </conditionalFormatting>
  <conditionalFormatting sqref="Y154">
    <cfRule type="expression" dxfId="1319" priority="1382">
      <formula>AND(IF(OR($Q154=1,$Q154=2),1,0),IF($Y154&lt;=20,1,0))</formula>
    </cfRule>
    <cfRule type="expression" dxfId="1318" priority="1383">
      <formula>AND(IF($Q154=2,1,0),IF($Y154&lt;30,1,0))</formula>
    </cfRule>
    <cfRule type="expression" dxfId="1317" priority="1384">
      <formula>AND(IF($Q154=3,1,0),IF($Y154&lt;30,1,0))</formula>
    </cfRule>
    <cfRule type="expression" dxfId="1316" priority="1385">
      <formula>AND(IF($Q154=3,1,IF($Q154=4,1,0)),IF($F154&lt;=85,1,0))</formula>
    </cfRule>
  </conditionalFormatting>
  <conditionalFormatting sqref="AJ154">
    <cfRule type="expression" dxfId="1315" priority="1378">
      <formula>AND(IF(OR($Q154=1,$Q154=2),1,0),IF($Y154&lt;=20,1,0))</formula>
    </cfRule>
    <cfRule type="expression" dxfId="1314" priority="1379">
      <formula>AND(IF($Q154=2,1,0),IF($Y154&lt;30,1,0))</formula>
    </cfRule>
    <cfRule type="expression" dxfId="1313" priority="1380">
      <formula>AND(IF($Q154=3,1,0),IF($Y154&lt;30,1,0))</formula>
    </cfRule>
    <cfRule type="expression" dxfId="1312" priority="1381">
      <formula>AND(IF($Q154=3,1,IF($Q154=4,1,0)),IF($F154&lt;=85,1,0))</formula>
    </cfRule>
  </conditionalFormatting>
  <conditionalFormatting sqref="AW155">
    <cfRule type="expression" dxfId="1311" priority="1376">
      <formula>AW155="X"</formula>
    </cfRule>
    <cfRule type="expression" dxfId="1310" priority="1377">
      <formula>AW155="후보"</formula>
    </cfRule>
  </conditionalFormatting>
  <conditionalFormatting sqref="AA155">
    <cfRule type="colorScale" priority="13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5">
    <cfRule type="cellIs" dxfId="1309" priority="1373" operator="greaterThan">
      <formula>0.9</formula>
    </cfRule>
    <cfRule type="cellIs" dxfId="1308" priority="1374" operator="greaterThan">
      <formula>0.85</formula>
    </cfRule>
  </conditionalFormatting>
  <conditionalFormatting sqref="N155">
    <cfRule type="cellIs" dxfId="1307" priority="1371" operator="greaterThan">
      <formula>0.9</formula>
    </cfRule>
    <cfRule type="cellIs" dxfId="1306" priority="1372" operator="greaterThan">
      <formula>0.85</formula>
    </cfRule>
  </conditionalFormatting>
  <conditionalFormatting sqref="E155">
    <cfRule type="expression" dxfId="1305" priority="1367">
      <formula>AND(IF(OR($Q155=1,$Q155=2),1,0),IF($E155&lt;=20,1,0))</formula>
    </cfRule>
    <cfRule type="expression" dxfId="1304" priority="1368">
      <formula>AND(IF($Q155=2,1,0),IF($E155&lt;30,1,0))</formula>
    </cfRule>
    <cfRule type="expression" dxfId="1303" priority="1369">
      <formula>AND(IF($Q155=3,1,0),IF($E155&lt;30,1,0))</formula>
    </cfRule>
    <cfRule type="expression" dxfId="1302" priority="1370">
      <formula>AND(IF($Q155=3,1,IF($Q155=4,1,0)),IF($F155&lt;=85,1,0))</formula>
    </cfRule>
  </conditionalFormatting>
  <conditionalFormatting sqref="Y155">
    <cfRule type="expression" dxfId="1301" priority="1363">
      <formula>AND(IF(OR($Q155=1,$Q155=2),1,0),IF($Y155&lt;=20,1,0))</formula>
    </cfRule>
    <cfRule type="expression" dxfId="1300" priority="1364">
      <formula>AND(IF($Q155=2,1,0),IF($Y155&lt;30,1,0))</formula>
    </cfRule>
    <cfRule type="expression" dxfId="1299" priority="1365">
      <formula>AND(IF($Q155=3,1,0),IF($Y155&lt;30,1,0))</formula>
    </cfRule>
    <cfRule type="expression" dxfId="1298" priority="1366">
      <formula>AND(IF($Q155=3,1,IF($Q155=4,1,0)),IF($F155&lt;=85,1,0))</formula>
    </cfRule>
  </conditionalFormatting>
  <conditionalFormatting sqref="AJ155">
    <cfRule type="expression" dxfId="1297" priority="1359">
      <formula>AND(IF(OR($Q155=1,$Q155=2),1,0),IF($Y155&lt;=20,1,0))</formula>
    </cfRule>
    <cfRule type="expression" dxfId="1296" priority="1360">
      <formula>AND(IF($Q155=2,1,0),IF($Y155&lt;30,1,0))</formula>
    </cfRule>
    <cfRule type="expression" dxfId="1295" priority="1361">
      <formula>AND(IF($Q155=3,1,0),IF($Y155&lt;30,1,0))</formula>
    </cfRule>
    <cfRule type="expression" dxfId="1294" priority="1362">
      <formula>AND(IF($Q155=3,1,IF($Q155=4,1,0)),IF($F155&lt;=85,1,0))</formula>
    </cfRule>
  </conditionalFormatting>
  <conditionalFormatting sqref="AW156">
    <cfRule type="expression" dxfId="1293" priority="1357">
      <formula>AW156="X"</formula>
    </cfRule>
    <cfRule type="expression" dxfId="1292" priority="1358">
      <formula>AW156="후보"</formula>
    </cfRule>
  </conditionalFormatting>
  <conditionalFormatting sqref="AA156">
    <cfRule type="colorScale" priority="13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6">
    <cfRule type="cellIs" dxfId="1291" priority="1354" operator="greaterThan">
      <formula>0.9</formula>
    </cfRule>
    <cfRule type="cellIs" dxfId="1290" priority="1355" operator="greaterThan">
      <formula>0.85</formula>
    </cfRule>
  </conditionalFormatting>
  <conditionalFormatting sqref="N156">
    <cfRule type="cellIs" dxfId="1289" priority="1352" operator="greaterThan">
      <formula>0.9</formula>
    </cfRule>
    <cfRule type="cellIs" dxfId="1288" priority="1353" operator="greaterThan">
      <formula>0.85</formula>
    </cfRule>
  </conditionalFormatting>
  <conditionalFormatting sqref="E156">
    <cfRule type="expression" dxfId="1287" priority="1348">
      <formula>AND(IF(OR($Q156=1,$Q156=2),1,0),IF($E156&lt;=20,1,0))</formula>
    </cfRule>
    <cfRule type="expression" dxfId="1286" priority="1349">
      <formula>AND(IF($Q156=2,1,0),IF($E156&lt;30,1,0))</formula>
    </cfRule>
    <cfRule type="expression" dxfId="1285" priority="1350">
      <formula>AND(IF($Q156=3,1,0),IF($E156&lt;30,1,0))</formula>
    </cfRule>
    <cfRule type="expression" dxfId="1284" priority="1351">
      <formula>AND(IF($Q156=3,1,IF($Q156=4,1,0)),IF($F156&lt;=85,1,0))</formula>
    </cfRule>
  </conditionalFormatting>
  <conditionalFormatting sqref="Y156">
    <cfRule type="expression" dxfId="1283" priority="1344">
      <formula>AND(IF(OR($Q156=1,$Q156=2),1,0),IF($Y156&lt;=20,1,0))</formula>
    </cfRule>
    <cfRule type="expression" dxfId="1282" priority="1345">
      <formula>AND(IF($Q156=2,1,0),IF($Y156&lt;30,1,0))</formula>
    </cfRule>
    <cfRule type="expression" dxfId="1281" priority="1346">
      <formula>AND(IF($Q156=3,1,0),IF($Y156&lt;30,1,0))</formula>
    </cfRule>
    <cfRule type="expression" dxfId="1280" priority="1347">
      <formula>AND(IF($Q156=3,1,IF($Q156=4,1,0)),IF($F156&lt;=85,1,0))</formula>
    </cfRule>
  </conditionalFormatting>
  <conditionalFormatting sqref="AJ156">
    <cfRule type="expression" dxfId="1279" priority="1340">
      <formula>AND(IF(OR($Q156=1,$Q156=2),1,0),IF($Y156&lt;=20,1,0))</formula>
    </cfRule>
    <cfRule type="expression" dxfId="1278" priority="1341">
      <formula>AND(IF($Q156=2,1,0),IF($Y156&lt;30,1,0))</formula>
    </cfRule>
    <cfRule type="expression" dxfId="1277" priority="1342">
      <formula>AND(IF($Q156=3,1,0),IF($Y156&lt;30,1,0))</formula>
    </cfRule>
    <cfRule type="expression" dxfId="1276" priority="1343">
      <formula>AND(IF($Q156=3,1,IF($Q156=4,1,0)),IF($F156&lt;=85,1,0))</formula>
    </cfRule>
  </conditionalFormatting>
  <conditionalFormatting sqref="AW157">
    <cfRule type="expression" dxfId="1275" priority="1338">
      <formula>AW157="X"</formula>
    </cfRule>
    <cfRule type="expression" dxfId="1274" priority="1339">
      <formula>AW157="후보"</formula>
    </cfRule>
  </conditionalFormatting>
  <conditionalFormatting sqref="AA157">
    <cfRule type="colorScale" priority="13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7">
    <cfRule type="cellIs" dxfId="1273" priority="1335" operator="greaterThan">
      <formula>0.9</formula>
    </cfRule>
    <cfRule type="cellIs" dxfId="1272" priority="1336" operator="greaterThan">
      <formula>0.85</formula>
    </cfRule>
  </conditionalFormatting>
  <conditionalFormatting sqref="N157">
    <cfRule type="cellIs" dxfId="1271" priority="1333" operator="greaterThan">
      <formula>0.9</formula>
    </cfRule>
    <cfRule type="cellIs" dxfId="1270" priority="1334" operator="greaterThan">
      <formula>0.85</formula>
    </cfRule>
  </conditionalFormatting>
  <conditionalFormatting sqref="E157">
    <cfRule type="expression" dxfId="1269" priority="1329">
      <formula>AND(IF(OR($Q157=1,$Q157=2),1,0),IF($E157&lt;=20,1,0))</formula>
    </cfRule>
    <cfRule type="expression" dxfId="1268" priority="1330">
      <formula>AND(IF($Q157=2,1,0),IF($E157&lt;30,1,0))</formula>
    </cfRule>
    <cfRule type="expression" dxfId="1267" priority="1331">
      <formula>AND(IF($Q157=3,1,0),IF($E157&lt;30,1,0))</formula>
    </cfRule>
    <cfRule type="expression" dxfId="1266" priority="1332">
      <formula>AND(IF($Q157=3,1,IF($Q157=4,1,0)),IF($F157&lt;=85,1,0))</formula>
    </cfRule>
  </conditionalFormatting>
  <conditionalFormatting sqref="Y157">
    <cfRule type="expression" dxfId="1265" priority="1325">
      <formula>AND(IF(OR($Q157=1,$Q157=2),1,0),IF($Y157&lt;=20,1,0))</formula>
    </cfRule>
    <cfRule type="expression" dxfId="1264" priority="1326">
      <formula>AND(IF($Q157=2,1,0),IF($Y157&lt;30,1,0))</formula>
    </cfRule>
    <cfRule type="expression" dxfId="1263" priority="1327">
      <formula>AND(IF($Q157=3,1,0),IF($Y157&lt;30,1,0))</formula>
    </cfRule>
    <cfRule type="expression" dxfId="1262" priority="1328">
      <formula>AND(IF($Q157=3,1,IF($Q157=4,1,0)),IF($F157&lt;=85,1,0))</formula>
    </cfRule>
  </conditionalFormatting>
  <conditionalFormatting sqref="AJ157">
    <cfRule type="expression" dxfId="1261" priority="1321">
      <formula>AND(IF(OR($Q157=1,$Q157=2),1,0),IF($Y157&lt;=20,1,0))</formula>
    </cfRule>
    <cfRule type="expression" dxfId="1260" priority="1322">
      <formula>AND(IF($Q157=2,1,0),IF($Y157&lt;30,1,0))</formula>
    </cfRule>
    <cfRule type="expression" dxfId="1259" priority="1323">
      <formula>AND(IF($Q157=3,1,0),IF($Y157&lt;30,1,0))</formula>
    </cfRule>
    <cfRule type="expression" dxfId="1258" priority="1324">
      <formula>AND(IF($Q157=3,1,IF($Q157=4,1,0)),IF($F157&lt;=85,1,0))</formula>
    </cfRule>
  </conditionalFormatting>
  <conditionalFormatting sqref="AW158">
    <cfRule type="expression" dxfId="1257" priority="1319">
      <formula>AW158="X"</formula>
    </cfRule>
    <cfRule type="expression" dxfId="1256" priority="1320">
      <formula>AW158="후보"</formula>
    </cfRule>
  </conditionalFormatting>
  <conditionalFormatting sqref="AA158">
    <cfRule type="colorScale" priority="13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8 N158">
    <cfRule type="cellIs" dxfId="1255" priority="1316" operator="greaterThan">
      <formula>0.9</formula>
    </cfRule>
    <cfRule type="cellIs" dxfId="1254" priority="1317" operator="greaterThan">
      <formula>0.85</formula>
    </cfRule>
  </conditionalFormatting>
  <conditionalFormatting sqref="AW159">
    <cfRule type="expression" dxfId="1253" priority="1314">
      <formula>AW159="X"</formula>
    </cfRule>
    <cfRule type="expression" dxfId="1252" priority="1315">
      <formula>AW159="후보"</formula>
    </cfRule>
  </conditionalFormatting>
  <conditionalFormatting sqref="AA159">
    <cfRule type="colorScale" priority="13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9">
    <cfRule type="cellIs" dxfId="1251" priority="1311" operator="greaterThan">
      <formula>0.9</formula>
    </cfRule>
    <cfRule type="cellIs" dxfId="1250" priority="1312" operator="greaterThan">
      <formula>0.85</formula>
    </cfRule>
  </conditionalFormatting>
  <conditionalFormatting sqref="N159">
    <cfRule type="cellIs" dxfId="1249" priority="1309" operator="greaterThan">
      <formula>0.9</formula>
    </cfRule>
    <cfRule type="cellIs" dxfId="1248" priority="1310" operator="greaterThan">
      <formula>0.85</formula>
    </cfRule>
  </conditionalFormatting>
  <conditionalFormatting sqref="E159">
    <cfRule type="expression" dxfId="1247" priority="1305">
      <formula>AND(IF(OR($Q159=1,$Q159=2),1,0),IF($E159&lt;=20,1,0))</formula>
    </cfRule>
    <cfRule type="expression" dxfId="1246" priority="1306">
      <formula>AND(IF($Q159=2,1,0),IF($E159&lt;30,1,0))</formula>
    </cfRule>
    <cfRule type="expression" dxfId="1245" priority="1307">
      <formula>AND(IF($Q159=3,1,0),IF($E159&lt;30,1,0))</formula>
    </cfRule>
    <cfRule type="expression" dxfId="1244" priority="1308">
      <formula>AND(IF($Q159=3,1,IF($Q159=4,1,0)),IF($F159&lt;=85,1,0))</formula>
    </cfRule>
  </conditionalFormatting>
  <conditionalFormatting sqref="Y159">
    <cfRule type="expression" dxfId="1243" priority="1301">
      <formula>AND(IF(OR($Q159=1,$Q159=2),1,0),IF($Y159&lt;=20,1,0))</formula>
    </cfRule>
    <cfRule type="expression" dxfId="1242" priority="1302">
      <formula>AND(IF($Q159=2,1,0),IF($Y159&lt;30,1,0))</formula>
    </cfRule>
    <cfRule type="expression" dxfId="1241" priority="1303">
      <formula>AND(IF($Q159=3,1,0),IF($Y159&lt;30,1,0))</formula>
    </cfRule>
    <cfRule type="expression" dxfId="1240" priority="1304">
      <formula>AND(IF($Q159=3,1,IF($Q159=4,1,0)),IF($F159&lt;=85,1,0))</formula>
    </cfRule>
  </conditionalFormatting>
  <conditionalFormatting sqref="AJ159">
    <cfRule type="expression" dxfId="1239" priority="1297">
      <formula>AND(IF(OR($Q159=1,$Q159=2),1,0),IF($Y159&lt;=20,1,0))</formula>
    </cfRule>
    <cfRule type="expression" dxfId="1238" priority="1298">
      <formula>AND(IF($Q159=2,1,0),IF($Y159&lt;30,1,0))</formula>
    </cfRule>
    <cfRule type="expression" dxfId="1237" priority="1299">
      <formula>AND(IF($Q159=3,1,0),IF($Y159&lt;30,1,0))</formula>
    </cfRule>
    <cfRule type="expression" dxfId="1236" priority="1300">
      <formula>AND(IF($Q159=3,1,IF($Q159=4,1,0)),IF($F159&lt;=85,1,0))</formula>
    </cfRule>
  </conditionalFormatting>
  <conditionalFormatting sqref="AW160">
    <cfRule type="expression" dxfId="1235" priority="1295">
      <formula>AW160="X"</formula>
    </cfRule>
    <cfRule type="expression" dxfId="1234" priority="1296">
      <formula>AW160="후보"</formula>
    </cfRule>
  </conditionalFormatting>
  <conditionalFormatting sqref="AA160">
    <cfRule type="colorScale" priority="12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0">
    <cfRule type="cellIs" dxfId="1233" priority="1292" operator="greaterThan">
      <formula>0.9</formula>
    </cfRule>
    <cfRule type="cellIs" dxfId="1232" priority="1293" operator="greaterThan">
      <formula>0.85</formula>
    </cfRule>
  </conditionalFormatting>
  <conditionalFormatting sqref="N160">
    <cfRule type="cellIs" dxfId="1231" priority="1290" operator="greaterThan">
      <formula>0.9</formula>
    </cfRule>
    <cfRule type="cellIs" dxfId="1230" priority="1291" operator="greaterThan">
      <formula>0.85</formula>
    </cfRule>
  </conditionalFormatting>
  <conditionalFormatting sqref="E160">
    <cfRule type="expression" dxfId="1229" priority="1286">
      <formula>AND(IF(OR($Q160=1,$Q160=2),1,0),IF($E160&lt;=20,1,0))</formula>
    </cfRule>
    <cfRule type="expression" dxfId="1228" priority="1287">
      <formula>AND(IF($Q160=2,1,0),IF($E160&lt;30,1,0))</formula>
    </cfRule>
    <cfRule type="expression" dxfId="1227" priority="1288">
      <formula>AND(IF($Q160=3,1,0),IF($E160&lt;30,1,0))</formula>
    </cfRule>
    <cfRule type="expression" dxfId="1226" priority="1289">
      <formula>AND(IF($Q160=3,1,IF($Q160=4,1,0)),IF($F160&lt;=85,1,0))</formula>
    </cfRule>
  </conditionalFormatting>
  <conditionalFormatting sqref="Y160">
    <cfRule type="expression" dxfId="1225" priority="1282">
      <formula>AND(IF(OR($Q160=1,$Q160=2),1,0),IF($Y160&lt;=20,1,0))</formula>
    </cfRule>
    <cfRule type="expression" dxfId="1224" priority="1283">
      <formula>AND(IF($Q160=2,1,0),IF($Y160&lt;30,1,0))</formula>
    </cfRule>
    <cfRule type="expression" dxfId="1223" priority="1284">
      <formula>AND(IF($Q160=3,1,0),IF($Y160&lt;30,1,0))</formula>
    </cfRule>
    <cfRule type="expression" dxfId="1222" priority="1285">
      <formula>AND(IF($Q160=3,1,IF($Q160=4,1,0)),IF($F160&lt;=85,1,0))</formula>
    </cfRule>
  </conditionalFormatting>
  <conditionalFormatting sqref="AJ160">
    <cfRule type="expression" dxfId="1221" priority="1278">
      <formula>AND(IF(OR($Q160=1,$Q160=2),1,0),IF($Y160&lt;=20,1,0))</formula>
    </cfRule>
    <cfRule type="expression" dxfId="1220" priority="1279">
      <formula>AND(IF($Q160=2,1,0),IF($Y160&lt;30,1,0))</formula>
    </cfRule>
    <cfRule type="expression" dxfId="1219" priority="1280">
      <formula>AND(IF($Q160=3,1,0),IF($Y160&lt;30,1,0))</formula>
    </cfRule>
    <cfRule type="expression" dxfId="1218" priority="1281">
      <formula>AND(IF($Q160=3,1,IF($Q160=4,1,0)),IF($F160&lt;=85,1,0))</formula>
    </cfRule>
  </conditionalFormatting>
  <conditionalFormatting sqref="AW161">
    <cfRule type="expression" dxfId="1217" priority="1276">
      <formula>AW161="X"</formula>
    </cfRule>
    <cfRule type="expression" dxfId="1216" priority="1277">
      <formula>AW161="후보"</formula>
    </cfRule>
  </conditionalFormatting>
  <conditionalFormatting sqref="AA161">
    <cfRule type="colorScale" priority="12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1">
    <cfRule type="cellIs" dxfId="1215" priority="1273" operator="greaterThan">
      <formula>0.9</formula>
    </cfRule>
    <cfRule type="cellIs" dxfId="1214" priority="1274" operator="greaterThan">
      <formula>0.85</formula>
    </cfRule>
  </conditionalFormatting>
  <conditionalFormatting sqref="N161">
    <cfRule type="cellIs" dxfId="1213" priority="1271" operator="greaterThan">
      <formula>0.9</formula>
    </cfRule>
    <cfRule type="cellIs" dxfId="1212" priority="1272" operator="greaterThan">
      <formula>0.85</formula>
    </cfRule>
  </conditionalFormatting>
  <conditionalFormatting sqref="E161">
    <cfRule type="expression" dxfId="1211" priority="1267">
      <formula>AND(IF(OR($Q161=1,$Q161=2),1,0),IF($E161&lt;=20,1,0))</formula>
    </cfRule>
    <cfRule type="expression" dxfId="1210" priority="1268">
      <formula>AND(IF($Q161=2,1,0),IF($E161&lt;30,1,0))</formula>
    </cfRule>
    <cfRule type="expression" dxfId="1209" priority="1269">
      <formula>AND(IF($Q161=3,1,0),IF($E161&lt;30,1,0))</formula>
    </cfRule>
    <cfRule type="expression" dxfId="1208" priority="1270">
      <formula>AND(IF($Q161=3,1,IF($Q161=4,1,0)),IF($F161&lt;=85,1,0))</formula>
    </cfRule>
  </conditionalFormatting>
  <conditionalFormatting sqref="Y161">
    <cfRule type="expression" dxfId="1207" priority="1263">
      <formula>AND(IF(OR($Q161=1,$Q161=2),1,0),IF($Y161&lt;=20,1,0))</formula>
    </cfRule>
    <cfRule type="expression" dxfId="1206" priority="1264">
      <formula>AND(IF($Q161=2,1,0),IF($Y161&lt;30,1,0))</formula>
    </cfRule>
    <cfRule type="expression" dxfId="1205" priority="1265">
      <formula>AND(IF($Q161=3,1,0),IF($Y161&lt;30,1,0))</formula>
    </cfRule>
    <cfRule type="expression" dxfId="1204" priority="1266">
      <formula>AND(IF($Q161=3,1,IF($Q161=4,1,0)),IF($F161&lt;=85,1,0))</formula>
    </cfRule>
  </conditionalFormatting>
  <conditionalFormatting sqref="AJ161">
    <cfRule type="expression" dxfId="1203" priority="1259">
      <formula>AND(IF(OR($Q161=1,$Q161=2),1,0),IF($Y161&lt;=20,1,0))</formula>
    </cfRule>
    <cfRule type="expression" dxfId="1202" priority="1260">
      <formula>AND(IF($Q161=2,1,0),IF($Y161&lt;30,1,0))</formula>
    </cfRule>
    <cfRule type="expression" dxfId="1201" priority="1261">
      <formula>AND(IF($Q161=3,1,0),IF($Y161&lt;30,1,0))</formula>
    </cfRule>
    <cfRule type="expression" dxfId="1200" priority="1262">
      <formula>AND(IF($Q161=3,1,IF($Q161=4,1,0)),IF($F161&lt;=85,1,0))</formula>
    </cfRule>
  </conditionalFormatting>
  <conditionalFormatting sqref="AW162">
    <cfRule type="expression" dxfId="1199" priority="1257">
      <formula>AW162="X"</formula>
    </cfRule>
    <cfRule type="expression" dxfId="1198" priority="1258">
      <formula>AW162="후보"</formula>
    </cfRule>
  </conditionalFormatting>
  <conditionalFormatting sqref="AA162">
    <cfRule type="colorScale" priority="12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2 N162">
    <cfRule type="cellIs" dxfId="1197" priority="1254" operator="greaterThan">
      <formula>0.9</formula>
    </cfRule>
    <cfRule type="cellIs" dxfId="1196" priority="1255" operator="greaterThan">
      <formula>0.85</formula>
    </cfRule>
  </conditionalFormatting>
  <conditionalFormatting sqref="AW163">
    <cfRule type="expression" dxfId="1195" priority="1252">
      <formula>AW163="X"</formula>
    </cfRule>
    <cfRule type="expression" dxfId="1194" priority="1253">
      <formula>AW163="후보"</formula>
    </cfRule>
  </conditionalFormatting>
  <conditionalFormatting sqref="AA163">
    <cfRule type="colorScale" priority="12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3">
    <cfRule type="cellIs" dxfId="1193" priority="1249" operator="greaterThan">
      <formula>0.9</formula>
    </cfRule>
    <cfRule type="cellIs" dxfId="1192" priority="1250" operator="greaterThan">
      <formula>0.85</formula>
    </cfRule>
  </conditionalFormatting>
  <conditionalFormatting sqref="N163">
    <cfRule type="cellIs" dxfId="1191" priority="1247" operator="greaterThan">
      <formula>0.9</formula>
    </cfRule>
    <cfRule type="cellIs" dxfId="1190" priority="1248" operator="greaterThan">
      <formula>0.85</formula>
    </cfRule>
  </conditionalFormatting>
  <conditionalFormatting sqref="E163">
    <cfRule type="expression" dxfId="1189" priority="1243">
      <formula>AND(IF(OR($Q163=1,$Q163=2),1,0),IF($E163&lt;=20,1,0))</formula>
    </cfRule>
    <cfRule type="expression" dxfId="1188" priority="1244">
      <formula>AND(IF($Q163=2,1,0),IF($E163&lt;30,1,0))</formula>
    </cfRule>
    <cfRule type="expression" dxfId="1187" priority="1245">
      <formula>AND(IF($Q163=3,1,0),IF($E163&lt;30,1,0))</formula>
    </cfRule>
    <cfRule type="expression" dxfId="1186" priority="1246">
      <formula>AND(IF($Q163=3,1,IF($Q163=4,1,0)),IF($F163&lt;=85,1,0))</formula>
    </cfRule>
  </conditionalFormatting>
  <conditionalFormatting sqref="Y163">
    <cfRule type="expression" dxfId="1185" priority="1239">
      <formula>AND(IF(OR($Q163=1,$Q163=2),1,0),IF($Y163&lt;=20,1,0))</formula>
    </cfRule>
    <cfRule type="expression" dxfId="1184" priority="1240">
      <formula>AND(IF($Q163=2,1,0),IF($Y163&lt;30,1,0))</formula>
    </cfRule>
    <cfRule type="expression" dxfId="1183" priority="1241">
      <formula>AND(IF($Q163=3,1,0),IF($Y163&lt;30,1,0))</formula>
    </cfRule>
    <cfRule type="expression" dxfId="1182" priority="1242">
      <formula>AND(IF($Q163=3,1,IF($Q163=4,1,0)),IF($F163&lt;=85,1,0))</formula>
    </cfRule>
  </conditionalFormatting>
  <conditionalFormatting sqref="AJ163">
    <cfRule type="expression" dxfId="1181" priority="1235">
      <formula>AND(IF(OR($Q163=1,$Q163=2),1,0),IF($Y163&lt;=20,1,0))</formula>
    </cfRule>
    <cfRule type="expression" dxfId="1180" priority="1236">
      <formula>AND(IF($Q163=2,1,0),IF($Y163&lt;30,1,0))</formula>
    </cfRule>
    <cfRule type="expression" dxfId="1179" priority="1237">
      <formula>AND(IF($Q163=3,1,0),IF($Y163&lt;30,1,0))</formula>
    </cfRule>
    <cfRule type="expression" dxfId="1178" priority="1238">
      <formula>AND(IF($Q163=3,1,IF($Q163=4,1,0)),IF($F163&lt;=85,1,0))</formula>
    </cfRule>
  </conditionalFormatting>
  <conditionalFormatting sqref="AW164">
    <cfRule type="expression" dxfId="1177" priority="1233">
      <formula>AW164="X"</formula>
    </cfRule>
    <cfRule type="expression" dxfId="1176" priority="1234">
      <formula>AW164="후보"</formula>
    </cfRule>
  </conditionalFormatting>
  <conditionalFormatting sqref="AA164">
    <cfRule type="colorScale" priority="12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4">
    <cfRule type="cellIs" dxfId="1175" priority="1230" operator="greaterThan">
      <formula>0.9</formula>
    </cfRule>
    <cfRule type="cellIs" dxfId="1174" priority="1231" operator="greaterThan">
      <formula>0.85</formula>
    </cfRule>
  </conditionalFormatting>
  <conditionalFormatting sqref="N164">
    <cfRule type="cellIs" dxfId="1173" priority="1228" operator="greaterThan">
      <formula>0.9</formula>
    </cfRule>
    <cfRule type="cellIs" dxfId="1172" priority="1229" operator="greaterThan">
      <formula>0.85</formula>
    </cfRule>
  </conditionalFormatting>
  <conditionalFormatting sqref="E164">
    <cfRule type="expression" dxfId="1171" priority="1224">
      <formula>AND(IF(OR($Q164=1,$Q164=2),1,0),IF($E164&lt;=20,1,0))</formula>
    </cfRule>
    <cfRule type="expression" dxfId="1170" priority="1225">
      <formula>AND(IF($Q164=2,1,0),IF($E164&lt;30,1,0))</formula>
    </cfRule>
    <cfRule type="expression" dxfId="1169" priority="1226">
      <formula>AND(IF($Q164=3,1,0),IF($E164&lt;30,1,0))</formula>
    </cfRule>
    <cfRule type="expression" dxfId="1168" priority="1227">
      <formula>AND(IF($Q164=3,1,IF($Q164=4,1,0)),IF($F164&lt;=85,1,0))</formula>
    </cfRule>
  </conditionalFormatting>
  <conditionalFormatting sqref="Y164">
    <cfRule type="expression" dxfId="1167" priority="1220">
      <formula>AND(IF(OR($Q164=1,$Q164=2),1,0),IF($Y164&lt;=20,1,0))</formula>
    </cfRule>
    <cfRule type="expression" dxfId="1166" priority="1221">
      <formula>AND(IF($Q164=2,1,0),IF($Y164&lt;30,1,0))</formula>
    </cfRule>
    <cfRule type="expression" dxfId="1165" priority="1222">
      <formula>AND(IF($Q164=3,1,0),IF($Y164&lt;30,1,0))</formula>
    </cfRule>
    <cfRule type="expression" dxfId="1164" priority="1223">
      <formula>AND(IF($Q164=3,1,IF($Q164=4,1,0)),IF($F164&lt;=85,1,0))</formula>
    </cfRule>
  </conditionalFormatting>
  <conditionalFormatting sqref="AJ164">
    <cfRule type="expression" dxfId="1163" priority="1216">
      <formula>AND(IF(OR($Q164=1,$Q164=2),1,0),IF($Y164&lt;=20,1,0))</formula>
    </cfRule>
    <cfRule type="expression" dxfId="1162" priority="1217">
      <formula>AND(IF($Q164=2,1,0),IF($Y164&lt;30,1,0))</formula>
    </cfRule>
    <cfRule type="expression" dxfId="1161" priority="1218">
      <formula>AND(IF($Q164=3,1,0),IF($Y164&lt;30,1,0))</formula>
    </cfRule>
    <cfRule type="expression" dxfId="1160" priority="1219">
      <formula>AND(IF($Q164=3,1,IF($Q164=4,1,0)),IF($F164&lt;=85,1,0))</formula>
    </cfRule>
  </conditionalFormatting>
  <conditionalFormatting sqref="AW165">
    <cfRule type="expression" dxfId="1159" priority="1214">
      <formula>AW165="X"</formula>
    </cfRule>
    <cfRule type="expression" dxfId="1158" priority="1215">
      <formula>AW165="후보"</formula>
    </cfRule>
  </conditionalFormatting>
  <conditionalFormatting sqref="AA165">
    <cfRule type="colorScale" priority="12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5">
    <cfRule type="cellIs" dxfId="1157" priority="1211" operator="greaterThan">
      <formula>0.9</formula>
    </cfRule>
    <cfRule type="cellIs" dxfId="1156" priority="1212" operator="greaterThan">
      <formula>0.85</formula>
    </cfRule>
  </conditionalFormatting>
  <conditionalFormatting sqref="N165">
    <cfRule type="cellIs" dxfId="1155" priority="1209" operator="greaterThan">
      <formula>0.9</formula>
    </cfRule>
    <cfRule type="cellIs" dxfId="1154" priority="1210" operator="greaterThan">
      <formula>0.85</formula>
    </cfRule>
  </conditionalFormatting>
  <conditionalFormatting sqref="E165">
    <cfRule type="expression" dxfId="1153" priority="1205">
      <formula>AND(IF(OR($Q165=1,$Q165=2),1,0),IF($E165&lt;=20,1,0))</formula>
    </cfRule>
    <cfRule type="expression" dxfId="1152" priority="1206">
      <formula>AND(IF($Q165=2,1,0),IF($E165&lt;30,1,0))</formula>
    </cfRule>
    <cfRule type="expression" dxfId="1151" priority="1207">
      <formula>AND(IF($Q165=3,1,0),IF($E165&lt;30,1,0))</formula>
    </cfRule>
    <cfRule type="expression" dxfId="1150" priority="1208">
      <formula>AND(IF($Q165=3,1,IF($Q165=4,1,0)),IF($F165&lt;=85,1,0))</formula>
    </cfRule>
  </conditionalFormatting>
  <conditionalFormatting sqref="Y165">
    <cfRule type="expression" dxfId="1149" priority="1201">
      <formula>AND(IF(OR($Q165=1,$Q165=2),1,0),IF($Y165&lt;=20,1,0))</formula>
    </cfRule>
    <cfRule type="expression" dxfId="1148" priority="1202">
      <formula>AND(IF($Q165=2,1,0),IF($Y165&lt;30,1,0))</formula>
    </cfRule>
    <cfRule type="expression" dxfId="1147" priority="1203">
      <formula>AND(IF($Q165=3,1,0),IF($Y165&lt;30,1,0))</formula>
    </cfRule>
    <cfRule type="expression" dxfId="1146" priority="1204">
      <formula>AND(IF($Q165=3,1,IF($Q165=4,1,0)),IF($F165&lt;=85,1,0))</formula>
    </cfRule>
  </conditionalFormatting>
  <conditionalFormatting sqref="AJ165">
    <cfRule type="expression" dxfId="1145" priority="1197">
      <formula>AND(IF(OR($Q165=1,$Q165=2),1,0),IF($Y165&lt;=20,1,0))</formula>
    </cfRule>
    <cfRule type="expression" dxfId="1144" priority="1198">
      <formula>AND(IF($Q165=2,1,0),IF($Y165&lt;30,1,0))</formula>
    </cfRule>
    <cfRule type="expression" dxfId="1143" priority="1199">
      <formula>AND(IF($Q165=3,1,0),IF($Y165&lt;30,1,0))</formula>
    </cfRule>
    <cfRule type="expression" dxfId="1142" priority="1200">
      <formula>AND(IF($Q165=3,1,IF($Q165=4,1,0)),IF($F165&lt;=85,1,0))</formula>
    </cfRule>
  </conditionalFormatting>
  <conditionalFormatting sqref="AW166">
    <cfRule type="expression" dxfId="1141" priority="1195">
      <formula>AW166="X"</formula>
    </cfRule>
    <cfRule type="expression" dxfId="1140" priority="1196">
      <formula>AW166="후보"</formula>
    </cfRule>
  </conditionalFormatting>
  <conditionalFormatting sqref="AA166">
    <cfRule type="colorScale" priority="11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6">
    <cfRule type="cellIs" dxfId="1139" priority="1192" operator="greaterThan">
      <formula>0.9</formula>
    </cfRule>
    <cfRule type="cellIs" dxfId="1138" priority="1193" operator="greaterThan">
      <formula>0.85</formula>
    </cfRule>
  </conditionalFormatting>
  <conditionalFormatting sqref="N166">
    <cfRule type="cellIs" dxfId="1137" priority="1190" operator="greaterThan">
      <formula>0.9</formula>
    </cfRule>
    <cfRule type="cellIs" dxfId="1136" priority="1191" operator="greaterThan">
      <formula>0.85</formula>
    </cfRule>
  </conditionalFormatting>
  <conditionalFormatting sqref="E166">
    <cfRule type="expression" dxfId="1135" priority="1186">
      <formula>AND(IF(OR($Q166=1,$Q166=2),1,0),IF($E166&lt;=20,1,0))</formula>
    </cfRule>
    <cfRule type="expression" dxfId="1134" priority="1187">
      <formula>AND(IF($Q166=2,1,0),IF($E166&lt;30,1,0))</formula>
    </cfRule>
    <cfRule type="expression" dxfId="1133" priority="1188">
      <formula>AND(IF($Q166=3,1,0),IF($E166&lt;30,1,0))</formula>
    </cfRule>
    <cfRule type="expression" dxfId="1132" priority="1189">
      <formula>AND(IF($Q166=3,1,IF($Q166=4,1,0)),IF($F166&lt;=85,1,0))</formula>
    </cfRule>
  </conditionalFormatting>
  <conditionalFormatting sqref="Y166">
    <cfRule type="expression" dxfId="1131" priority="1182">
      <formula>AND(IF(OR($Q166=1,$Q166=2),1,0),IF($Y166&lt;=20,1,0))</formula>
    </cfRule>
    <cfRule type="expression" dxfId="1130" priority="1183">
      <formula>AND(IF($Q166=2,1,0),IF($Y166&lt;30,1,0))</formula>
    </cfRule>
    <cfRule type="expression" dxfId="1129" priority="1184">
      <formula>AND(IF($Q166=3,1,0),IF($Y166&lt;30,1,0))</formula>
    </cfRule>
    <cfRule type="expression" dxfId="1128" priority="1185">
      <formula>AND(IF($Q166=3,1,IF($Q166=4,1,0)),IF($F166&lt;=85,1,0))</formula>
    </cfRule>
  </conditionalFormatting>
  <conditionalFormatting sqref="AJ166">
    <cfRule type="expression" dxfId="1127" priority="1178">
      <formula>AND(IF(OR($Q166=1,$Q166=2),1,0),IF($Y166&lt;=20,1,0))</formula>
    </cfRule>
    <cfRule type="expression" dxfId="1126" priority="1179">
      <formula>AND(IF($Q166=2,1,0),IF($Y166&lt;30,1,0))</formula>
    </cfRule>
    <cfRule type="expression" dxfId="1125" priority="1180">
      <formula>AND(IF($Q166=3,1,0),IF($Y166&lt;30,1,0))</formula>
    </cfRule>
    <cfRule type="expression" dxfId="1124" priority="1181">
      <formula>AND(IF($Q166=3,1,IF($Q166=4,1,0)),IF($F166&lt;=85,1,0))</formula>
    </cfRule>
  </conditionalFormatting>
  <conditionalFormatting sqref="AW167">
    <cfRule type="expression" dxfId="1123" priority="1176">
      <formula>AW167="X"</formula>
    </cfRule>
    <cfRule type="expression" dxfId="1122" priority="1177">
      <formula>AW167="후보"</formula>
    </cfRule>
  </conditionalFormatting>
  <conditionalFormatting sqref="AA167">
    <cfRule type="colorScale" priority="11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7">
    <cfRule type="cellIs" dxfId="1121" priority="1173" operator="greaterThan">
      <formula>0.9</formula>
    </cfRule>
    <cfRule type="cellIs" dxfId="1120" priority="1174" operator="greaterThan">
      <formula>0.85</formula>
    </cfRule>
  </conditionalFormatting>
  <conditionalFormatting sqref="N167">
    <cfRule type="cellIs" dxfId="1119" priority="1171" operator="greaterThan">
      <formula>0.9</formula>
    </cfRule>
    <cfRule type="cellIs" dxfId="1118" priority="1172" operator="greaterThan">
      <formula>0.85</formula>
    </cfRule>
  </conditionalFormatting>
  <conditionalFormatting sqref="E167">
    <cfRule type="expression" dxfId="1117" priority="1167">
      <formula>AND(IF(OR($Q167=1,$Q167=2),1,0),IF($E167&lt;=20,1,0))</formula>
    </cfRule>
    <cfRule type="expression" dxfId="1116" priority="1168">
      <formula>AND(IF($Q167=2,1,0),IF($E167&lt;30,1,0))</formula>
    </cfRule>
    <cfRule type="expression" dxfId="1115" priority="1169">
      <formula>AND(IF($Q167=3,1,0),IF($E167&lt;30,1,0))</formula>
    </cfRule>
    <cfRule type="expression" dxfId="1114" priority="1170">
      <formula>AND(IF($Q167=3,1,IF($Q167=4,1,0)),IF($F167&lt;=85,1,0))</formula>
    </cfRule>
  </conditionalFormatting>
  <conditionalFormatting sqref="Y167">
    <cfRule type="expression" dxfId="1113" priority="1163">
      <formula>AND(IF(OR($Q167=1,$Q167=2),1,0),IF($Y167&lt;=20,1,0))</formula>
    </cfRule>
    <cfRule type="expression" dxfId="1112" priority="1164">
      <formula>AND(IF($Q167=2,1,0),IF($Y167&lt;30,1,0))</formula>
    </cfRule>
    <cfRule type="expression" dxfId="1111" priority="1165">
      <formula>AND(IF($Q167=3,1,0),IF($Y167&lt;30,1,0))</formula>
    </cfRule>
    <cfRule type="expression" dxfId="1110" priority="1166">
      <formula>AND(IF($Q167=3,1,IF($Q167=4,1,0)),IF($F167&lt;=85,1,0))</formula>
    </cfRule>
  </conditionalFormatting>
  <conditionalFormatting sqref="AJ167">
    <cfRule type="expression" dxfId="1109" priority="1159">
      <formula>AND(IF(OR($Q167=1,$Q167=2),1,0),IF($Y167&lt;=20,1,0))</formula>
    </cfRule>
    <cfRule type="expression" dxfId="1108" priority="1160">
      <formula>AND(IF($Q167=2,1,0),IF($Y167&lt;30,1,0))</formula>
    </cfRule>
    <cfRule type="expression" dxfId="1107" priority="1161">
      <formula>AND(IF($Q167=3,1,0),IF($Y167&lt;30,1,0))</formula>
    </cfRule>
    <cfRule type="expression" dxfId="1106" priority="1162">
      <formula>AND(IF($Q167=3,1,IF($Q167=4,1,0)),IF($F167&lt;=85,1,0))</formula>
    </cfRule>
  </conditionalFormatting>
  <conditionalFormatting sqref="AW168">
    <cfRule type="expression" dxfId="1105" priority="1157">
      <formula>AW168="X"</formula>
    </cfRule>
    <cfRule type="expression" dxfId="1104" priority="1158">
      <formula>AW168="후보"</formula>
    </cfRule>
  </conditionalFormatting>
  <conditionalFormatting sqref="AA168">
    <cfRule type="colorScale" priority="11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8">
    <cfRule type="cellIs" dxfId="1103" priority="1154" operator="greaterThan">
      <formula>0.9</formula>
    </cfRule>
    <cfRule type="cellIs" dxfId="1102" priority="1155" operator="greaterThan">
      <formula>0.85</formula>
    </cfRule>
  </conditionalFormatting>
  <conditionalFormatting sqref="N168">
    <cfRule type="cellIs" dxfId="1101" priority="1152" operator="greaterThan">
      <formula>0.9</formula>
    </cfRule>
    <cfRule type="cellIs" dxfId="1100" priority="1153" operator="greaterThan">
      <formula>0.85</formula>
    </cfRule>
  </conditionalFormatting>
  <conditionalFormatting sqref="E168">
    <cfRule type="expression" dxfId="1099" priority="1148">
      <formula>AND(IF(OR($Q168=1,$Q168=2),1,0),IF($E168&lt;=20,1,0))</formula>
    </cfRule>
    <cfRule type="expression" dxfId="1098" priority="1149">
      <formula>AND(IF($Q168=2,1,0),IF($E168&lt;30,1,0))</formula>
    </cfRule>
    <cfRule type="expression" dxfId="1097" priority="1150">
      <formula>AND(IF($Q168=3,1,0),IF($E168&lt;30,1,0))</formula>
    </cfRule>
    <cfRule type="expression" dxfId="1096" priority="1151">
      <formula>AND(IF($Q168=3,1,IF($Q168=4,1,0)),IF($F168&lt;=85,1,0))</formula>
    </cfRule>
  </conditionalFormatting>
  <conditionalFormatting sqref="Y168">
    <cfRule type="expression" dxfId="1095" priority="1144">
      <formula>AND(IF(OR($Q168=1,$Q168=2),1,0),IF($Y168&lt;=20,1,0))</formula>
    </cfRule>
    <cfRule type="expression" dxfId="1094" priority="1145">
      <formula>AND(IF($Q168=2,1,0),IF($Y168&lt;30,1,0))</formula>
    </cfRule>
    <cfRule type="expression" dxfId="1093" priority="1146">
      <formula>AND(IF($Q168=3,1,0),IF($Y168&lt;30,1,0))</formula>
    </cfRule>
    <cfRule type="expression" dxfId="1092" priority="1147">
      <formula>AND(IF($Q168=3,1,IF($Q168=4,1,0)),IF($F168&lt;=85,1,0))</formula>
    </cfRule>
  </conditionalFormatting>
  <conditionalFormatting sqref="AJ168">
    <cfRule type="expression" dxfId="1091" priority="1140">
      <formula>AND(IF(OR($Q168=1,$Q168=2),1,0),IF($Y168&lt;=20,1,0))</formula>
    </cfRule>
    <cfRule type="expression" dxfId="1090" priority="1141">
      <formula>AND(IF($Q168=2,1,0),IF($Y168&lt;30,1,0))</formula>
    </cfRule>
    <cfRule type="expression" dxfId="1089" priority="1142">
      <formula>AND(IF($Q168=3,1,0),IF($Y168&lt;30,1,0))</formula>
    </cfRule>
    <cfRule type="expression" dxfId="1088" priority="1143">
      <formula>AND(IF($Q168=3,1,IF($Q168=4,1,0)),IF($F168&lt;=85,1,0))</formula>
    </cfRule>
  </conditionalFormatting>
  <conditionalFormatting sqref="AW169">
    <cfRule type="expression" dxfId="1087" priority="1138">
      <formula>AW169="X"</formula>
    </cfRule>
    <cfRule type="expression" dxfId="1086" priority="1139">
      <formula>AW169="후보"</formula>
    </cfRule>
  </conditionalFormatting>
  <conditionalFormatting sqref="AA169">
    <cfRule type="colorScale" priority="11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9">
    <cfRule type="cellIs" dxfId="1085" priority="1135" operator="greaterThan">
      <formula>0.9</formula>
    </cfRule>
    <cfRule type="cellIs" dxfId="1084" priority="1136" operator="greaterThan">
      <formula>0.85</formula>
    </cfRule>
  </conditionalFormatting>
  <conditionalFormatting sqref="N169">
    <cfRule type="cellIs" dxfId="1083" priority="1133" operator="greaterThan">
      <formula>0.9</formula>
    </cfRule>
    <cfRule type="cellIs" dxfId="1082" priority="1134" operator="greaterThan">
      <formula>0.85</formula>
    </cfRule>
  </conditionalFormatting>
  <conditionalFormatting sqref="E169">
    <cfRule type="expression" dxfId="1081" priority="1129">
      <formula>AND(IF(OR($Q169=1,$Q169=2),1,0),IF($E169&lt;=20,1,0))</formula>
    </cfRule>
    <cfRule type="expression" dxfId="1080" priority="1130">
      <formula>AND(IF($Q169=2,1,0),IF($E169&lt;30,1,0))</formula>
    </cfRule>
    <cfRule type="expression" dxfId="1079" priority="1131">
      <formula>AND(IF($Q169=3,1,0),IF($E169&lt;30,1,0))</formula>
    </cfRule>
    <cfRule type="expression" dxfId="1078" priority="1132">
      <formula>AND(IF($Q169=3,1,IF($Q169=4,1,0)),IF($F169&lt;=85,1,0))</formula>
    </cfRule>
  </conditionalFormatting>
  <conditionalFormatting sqref="Y169">
    <cfRule type="expression" dxfId="1077" priority="1125">
      <formula>AND(IF(OR($Q169=1,$Q169=2),1,0),IF($Y169&lt;=20,1,0))</formula>
    </cfRule>
    <cfRule type="expression" dxfId="1076" priority="1126">
      <formula>AND(IF($Q169=2,1,0),IF($Y169&lt;30,1,0))</formula>
    </cfRule>
    <cfRule type="expression" dxfId="1075" priority="1127">
      <formula>AND(IF($Q169=3,1,0),IF($Y169&lt;30,1,0))</formula>
    </cfRule>
    <cfRule type="expression" dxfId="1074" priority="1128">
      <formula>AND(IF($Q169=3,1,IF($Q169=4,1,0)),IF($F169&lt;=85,1,0))</formula>
    </cfRule>
  </conditionalFormatting>
  <conditionalFormatting sqref="AJ169">
    <cfRule type="expression" dxfId="1073" priority="1121">
      <formula>AND(IF(OR($Q169=1,$Q169=2),1,0),IF($Y169&lt;=20,1,0))</formula>
    </cfRule>
    <cfRule type="expression" dxfId="1072" priority="1122">
      <formula>AND(IF($Q169=2,1,0),IF($Y169&lt;30,1,0))</formula>
    </cfRule>
    <cfRule type="expression" dxfId="1071" priority="1123">
      <formula>AND(IF($Q169=3,1,0),IF($Y169&lt;30,1,0))</formula>
    </cfRule>
    <cfRule type="expression" dxfId="1070" priority="1124">
      <formula>AND(IF($Q169=3,1,IF($Q169=4,1,0)),IF($F169&lt;=85,1,0))</formula>
    </cfRule>
  </conditionalFormatting>
  <conditionalFormatting sqref="AW170">
    <cfRule type="expression" dxfId="1069" priority="1119">
      <formula>AW170="X"</formula>
    </cfRule>
    <cfRule type="expression" dxfId="1068" priority="1120">
      <formula>AW170="후보"</formula>
    </cfRule>
  </conditionalFormatting>
  <conditionalFormatting sqref="AA170">
    <cfRule type="colorScale" priority="11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0 N170">
    <cfRule type="cellIs" dxfId="1067" priority="1116" operator="greaterThan">
      <formula>0.9</formula>
    </cfRule>
    <cfRule type="cellIs" dxfId="1066" priority="1117" operator="greaterThan">
      <formula>0.85</formula>
    </cfRule>
  </conditionalFormatting>
  <conditionalFormatting sqref="AW171">
    <cfRule type="expression" dxfId="1065" priority="1114">
      <formula>AW171="X"</formula>
    </cfRule>
    <cfRule type="expression" dxfId="1064" priority="1115">
      <formula>AW171="후보"</formula>
    </cfRule>
  </conditionalFormatting>
  <conditionalFormatting sqref="AA171">
    <cfRule type="colorScale" priority="11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1">
    <cfRule type="cellIs" dxfId="1063" priority="1111" operator="greaterThan">
      <formula>0.9</formula>
    </cfRule>
    <cfRule type="cellIs" dxfId="1062" priority="1112" operator="greaterThan">
      <formula>0.85</formula>
    </cfRule>
  </conditionalFormatting>
  <conditionalFormatting sqref="N171">
    <cfRule type="cellIs" dxfId="1061" priority="1109" operator="greaterThan">
      <formula>0.9</formula>
    </cfRule>
    <cfRule type="cellIs" dxfId="1060" priority="1110" operator="greaterThan">
      <formula>0.85</formula>
    </cfRule>
  </conditionalFormatting>
  <conditionalFormatting sqref="E171">
    <cfRule type="expression" dxfId="1059" priority="1105">
      <formula>AND(IF(OR($Q171=1,$Q171=2),1,0),IF($E171&lt;=20,1,0))</formula>
    </cfRule>
    <cfRule type="expression" dxfId="1058" priority="1106">
      <formula>AND(IF($Q171=2,1,0),IF($E171&lt;30,1,0))</formula>
    </cfRule>
    <cfRule type="expression" dxfId="1057" priority="1107">
      <formula>AND(IF($Q171=3,1,0),IF($E171&lt;30,1,0))</formula>
    </cfRule>
    <cfRule type="expression" dxfId="1056" priority="1108">
      <formula>AND(IF($Q171=3,1,IF($Q171=4,1,0)),IF($F171&lt;=85,1,0))</formula>
    </cfRule>
  </conditionalFormatting>
  <conditionalFormatting sqref="Y171">
    <cfRule type="expression" dxfId="1055" priority="1101">
      <formula>AND(IF(OR($Q171=1,$Q171=2),1,0),IF($Y171&lt;=20,1,0))</formula>
    </cfRule>
    <cfRule type="expression" dxfId="1054" priority="1102">
      <formula>AND(IF($Q171=2,1,0),IF($Y171&lt;30,1,0))</formula>
    </cfRule>
    <cfRule type="expression" dxfId="1053" priority="1103">
      <formula>AND(IF($Q171=3,1,0),IF($Y171&lt;30,1,0))</formula>
    </cfRule>
    <cfRule type="expression" dxfId="1052" priority="1104">
      <formula>AND(IF($Q171=3,1,IF($Q171=4,1,0)),IF($F171&lt;=85,1,0))</formula>
    </cfRule>
  </conditionalFormatting>
  <conditionalFormatting sqref="AJ171">
    <cfRule type="expression" dxfId="1051" priority="1097">
      <formula>AND(IF(OR($Q171=1,$Q171=2),1,0),IF($Y171&lt;=20,1,0))</formula>
    </cfRule>
    <cfRule type="expression" dxfId="1050" priority="1098">
      <formula>AND(IF($Q171=2,1,0),IF($Y171&lt;30,1,0))</formula>
    </cfRule>
    <cfRule type="expression" dxfId="1049" priority="1099">
      <formula>AND(IF($Q171=3,1,0),IF($Y171&lt;30,1,0))</formula>
    </cfRule>
    <cfRule type="expression" dxfId="1048" priority="1100">
      <formula>AND(IF($Q171=3,1,IF($Q171=4,1,0)),IF($F171&lt;=85,1,0))</formula>
    </cfRule>
  </conditionalFormatting>
  <conditionalFormatting sqref="AW172">
    <cfRule type="expression" dxfId="1047" priority="1095">
      <formula>AW172="X"</formula>
    </cfRule>
    <cfRule type="expression" dxfId="1046" priority="1096">
      <formula>AW172="후보"</formula>
    </cfRule>
  </conditionalFormatting>
  <conditionalFormatting sqref="AA172">
    <cfRule type="colorScale" priority="10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2">
    <cfRule type="cellIs" dxfId="1045" priority="1092" operator="greaterThan">
      <formula>0.9</formula>
    </cfRule>
    <cfRule type="cellIs" dxfId="1044" priority="1093" operator="greaterThan">
      <formula>0.85</formula>
    </cfRule>
  </conditionalFormatting>
  <conditionalFormatting sqref="N172">
    <cfRule type="cellIs" dxfId="1043" priority="1090" operator="greaterThan">
      <formula>0.9</formula>
    </cfRule>
    <cfRule type="cellIs" dxfId="1042" priority="1091" operator="greaterThan">
      <formula>0.85</formula>
    </cfRule>
  </conditionalFormatting>
  <conditionalFormatting sqref="E172">
    <cfRule type="expression" dxfId="1041" priority="1086">
      <formula>AND(IF(OR($Q172=1,$Q172=2),1,0),IF($E172&lt;=20,1,0))</formula>
    </cfRule>
    <cfRule type="expression" dxfId="1040" priority="1087">
      <formula>AND(IF($Q172=2,1,0),IF($E172&lt;30,1,0))</formula>
    </cfRule>
    <cfRule type="expression" dxfId="1039" priority="1088">
      <formula>AND(IF($Q172=3,1,0),IF($E172&lt;30,1,0))</formula>
    </cfRule>
    <cfRule type="expression" dxfId="1038" priority="1089">
      <formula>AND(IF($Q172=3,1,IF($Q172=4,1,0)),IF($F172&lt;=85,1,0))</formula>
    </cfRule>
  </conditionalFormatting>
  <conditionalFormatting sqref="Y172">
    <cfRule type="expression" dxfId="1037" priority="1082">
      <formula>AND(IF(OR($Q172=1,$Q172=2),1,0),IF($Y172&lt;=20,1,0))</formula>
    </cfRule>
    <cfRule type="expression" dxfId="1036" priority="1083">
      <formula>AND(IF($Q172=2,1,0),IF($Y172&lt;30,1,0))</formula>
    </cfRule>
    <cfRule type="expression" dxfId="1035" priority="1084">
      <formula>AND(IF($Q172=3,1,0),IF($Y172&lt;30,1,0))</formula>
    </cfRule>
    <cfRule type="expression" dxfId="1034" priority="1085">
      <formula>AND(IF($Q172=3,1,IF($Q172=4,1,0)),IF($F172&lt;=85,1,0))</formula>
    </cfRule>
  </conditionalFormatting>
  <conditionalFormatting sqref="AJ172">
    <cfRule type="expression" dxfId="1033" priority="1078">
      <formula>AND(IF(OR($Q172=1,$Q172=2),1,0),IF($Y172&lt;=20,1,0))</formula>
    </cfRule>
    <cfRule type="expression" dxfId="1032" priority="1079">
      <formula>AND(IF($Q172=2,1,0),IF($Y172&lt;30,1,0))</formula>
    </cfRule>
    <cfRule type="expression" dxfId="1031" priority="1080">
      <formula>AND(IF($Q172=3,1,0),IF($Y172&lt;30,1,0))</formula>
    </cfRule>
    <cfRule type="expression" dxfId="1030" priority="1081">
      <formula>AND(IF($Q172=3,1,IF($Q172=4,1,0)),IF($F172&lt;=85,1,0))</formula>
    </cfRule>
  </conditionalFormatting>
  <conditionalFormatting sqref="AW173">
    <cfRule type="expression" dxfId="1029" priority="1076">
      <formula>AW173="X"</formula>
    </cfRule>
    <cfRule type="expression" dxfId="1028" priority="1077">
      <formula>AW173="후보"</formula>
    </cfRule>
  </conditionalFormatting>
  <conditionalFormatting sqref="AA173">
    <cfRule type="colorScale" priority="10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3">
    <cfRule type="cellIs" dxfId="1027" priority="1073" operator="greaterThan">
      <formula>0.9</formula>
    </cfRule>
    <cfRule type="cellIs" dxfId="1026" priority="1074" operator="greaterThan">
      <formula>0.85</formula>
    </cfRule>
  </conditionalFormatting>
  <conditionalFormatting sqref="N173">
    <cfRule type="cellIs" dxfId="1025" priority="1071" operator="greaterThan">
      <formula>0.9</formula>
    </cfRule>
    <cfRule type="cellIs" dxfId="1024" priority="1072" operator="greaterThan">
      <formula>0.85</formula>
    </cfRule>
  </conditionalFormatting>
  <conditionalFormatting sqref="E173">
    <cfRule type="expression" dxfId="1023" priority="1067">
      <formula>AND(IF(OR($Q173=1,$Q173=2),1,0),IF($E173&lt;=20,1,0))</formula>
    </cfRule>
    <cfRule type="expression" dxfId="1022" priority="1068">
      <formula>AND(IF($Q173=2,1,0),IF($E173&lt;30,1,0))</formula>
    </cfRule>
    <cfRule type="expression" dxfId="1021" priority="1069">
      <formula>AND(IF($Q173=3,1,0),IF($E173&lt;30,1,0))</formula>
    </cfRule>
    <cfRule type="expression" dxfId="1020" priority="1070">
      <formula>AND(IF($Q173=3,1,IF($Q173=4,1,0)),IF($F173&lt;=85,1,0))</formula>
    </cfRule>
  </conditionalFormatting>
  <conditionalFormatting sqref="Y173">
    <cfRule type="expression" dxfId="1019" priority="1063">
      <formula>AND(IF(OR($Q173=1,$Q173=2),1,0),IF($Y173&lt;=20,1,0))</formula>
    </cfRule>
    <cfRule type="expression" dxfId="1018" priority="1064">
      <formula>AND(IF($Q173=2,1,0),IF($Y173&lt;30,1,0))</formula>
    </cfRule>
    <cfRule type="expression" dxfId="1017" priority="1065">
      <formula>AND(IF($Q173=3,1,0),IF($Y173&lt;30,1,0))</formula>
    </cfRule>
    <cfRule type="expression" dxfId="1016" priority="1066">
      <formula>AND(IF($Q173=3,1,IF($Q173=4,1,0)),IF($F173&lt;=85,1,0))</formula>
    </cfRule>
  </conditionalFormatting>
  <conditionalFormatting sqref="AJ173">
    <cfRule type="expression" dxfId="1015" priority="1059">
      <formula>AND(IF(OR($Q173=1,$Q173=2),1,0),IF($Y173&lt;=20,1,0))</formula>
    </cfRule>
    <cfRule type="expression" dxfId="1014" priority="1060">
      <formula>AND(IF($Q173=2,1,0),IF($Y173&lt;30,1,0))</formula>
    </cfRule>
    <cfRule type="expression" dxfId="1013" priority="1061">
      <formula>AND(IF($Q173=3,1,0),IF($Y173&lt;30,1,0))</formula>
    </cfRule>
    <cfRule type="expression" dxfId="1012" priority="1062">
      <formula>AND(IF($Q173=3,1,IF($Q173=4,1,0)),IF($F173&lt;=85,1,0))</formula>
    </cfRule>
  </conditionalFormatting>
  <conditionalFormatting sqref="AW174">
    <cfRule type="expression" dxfId="1011" priority="1057">
      <formula>AW174="X"</formula>
    </cfRule>
    <cfRule type="expression" dxfId="1010" priority="1058">
      <formula>AW174="후보"</formula>
    </cfRule>
  </conditionalFormatting>
  <conditionalFormatting sqref="AA174">
    <cfRule type="colorScale" priority="10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4">
    <cfRule type="cellIs" dxfId="1009" priority="1054" operator="greaterThan">
      <formula>0.9</formula>
    </cfRule>
    <cfRule type="cellIs" dxfId="1008" priority="1055" operator="greaterThan">
      <formula>0.85</formula>
    </cfRule>
  </conditionalFormatting>
  <conditionalFormatting sqref="N174">
    <cfRule type="cellIs" dxfId="1007" priority="1052" operator="greaterThan">
      <formula>0.9</formula>
    </cfRule>
    <cfRule type="cellIs" dxfId="1006" priority="1053" operator="greaterThan">
      <formula>0.85</formula>
    </cfRule>
  </conditionalFormatting>
  <conditionalFormatting sqref="E174">
    <cfRule type="expression" dxfId="1005" priority="1048">
      <formula>AND(IF(OR($Q174=1,$Q174=2),1,0),IF($E174&lt;=20,1,0))</formula>
    </cfRule>
    <cfRule type="expression" dxfId="1004" priority="1049">
      <formula>AND(IF($Q174=2,1,0),IF($E174&lt;30,1,0))</formula>
    </cfRule>
    <cfRule type="expression" dxfId="1003" priority="1050">
      <formula>AND(IF($Q174=3,1,0),IF($E174&lt;30,1,0))</formula>
    </cfRule>
    <cfRule type="expression" dxfId="1002" priority="1051">
      <formula>AND(IF($Q174=3,1,IF($Q174=4,1,0)),IF($F174&lt;=85,1,0))</formula>
    </cfRule>
  </conditionalFormatting>
  <conditionalFormatting sqref="Y174">
    <cfRule type="expression" dxfId="1001" priority="1044">
      <formula>AND(IF(OR($Q174=1,$Q174=2),1,0),IF($Y174&lt;=20,1,0))</formula>
    </cfRule>
    <cfRule type="expression" dxfId="1000" priority="1045">
      <formula>AND(IF($Q174=2,1,0),IF($Y174&lt;30,1,0))</formula>
    </cfRule>
    <cfRule type="expression" dxfId="999" priority="1046">
      <formula>AND(IF($Q174=3,1,0),IF($Y174&lt;30,1,0))</formula>
    </cfRule>
    <cfRule type="expression" dxfId="998" priority="1047">
      <formula>AND(IF($Q174=3,1,IF($Q174=4,1,0)),IF($F174&lt;=85,1,0))</formula>
    </cfRule>
  </conditionalFormatting>
  <conditionalFormatting sqref="AJ174">
    <cfRule type="expression" dxfId="997" priority="1040">
      <formula>AND(IF(OR($Q174=1,$Q174=2),1,0),IF($Y174&lt;=20,1,0))</formula>
    </cfRule>
    <cfRule type="expression" dxfId="996" priority="1041">
      <formula>AND(IF($Q174=2,1,0),IF($Y174&lt;30,1,0))</formula>
    </cfRule>
    <cfRule type="expression" dxfId="995" priority="1042">
      <formula>AND(IF($Q174=3,1,0),IF($Y174&lt;30,1,0))</formula>
    </cfRule>
    <cfRule type="expression" dxfId="994" priority="1043">
      <formula>AND(IF($Q174=3,1,IF($Q174=4,1,0)),IF($F174&lt;=85,1,0))</formula>
    </cfRule>
  </conditionalFormatting>
  <conditionalFormatting sqref="AW175">
    <cfRule type="expression" dxfId="993" priority="1038">
      <formula>AW175="X"</formula>
    </cfRule>
    <cfRule type="expression" dxfId="992" priority="1039">
      <formula>AW175="후보"</formula>
    </cfRule>
  </conditionalFormatting>
  <conditionalFormatting sqref="AA175">
    <cfRule type="colorScale" priority="10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5">
    <cfRule type="cellIs" dxfId="991" priority="1035" operator="greaterThan">
      <formula>0.9</formula>
    </cfRule>
    <cfRule type="cellIs" dxfId="990" priority="1036" operator="greaterThan">
      <formula>0.85</formula>
    </cfRule>
  </conditionalFormatting>
  <conditionalFormatting sqref="N175">
    <cfRule type="cellIs" dxfId="989" priority="1033" operator="greaterThan">
      <formula>0.9</formula>
    </cfRule>
    <cfRule type="cellIs" dxfId="988" priority="1034" operator="greaterThan">
      <formula>0.85</formula>
    </cfRule>
  </conditionalFormatting>
  <conditionalFormatting sqref="E175">
    <cfRule type="expression" dxfId="987" priority="1029">
      <formula>AND(IF(OR($Q175=1,$Q175=2),1,0),IF($E175&lt;=20,1,0))</formula>
    </cfRule>
    <cfRule type="expression" dxfId="986" priority="1030">
      <formula>AND(IF($Q175=2,1,0),IF($E175&lt;30,1,0))</formula>
    </cfRule>
    <cfRule type="expression" dxfId="985" priority="1031">
      <formula>AND(IF($Q175=3,1,0),IF($E175&lt;30,1,0))</formula>
    </cfRule>
    <cfRule type="expression" dxfId="984" priority="1032">
      <formula>AND(IF($Q175=3,1,IF($Q175=4,1,0)),IF($F175&lt;=85,1,0))</formula>
    </cfRule>
  </conditionalFormatting>
  <conditionalFormatting sqref="Y175">
    <cfRule type="expression" dxfId="983" priority="1025">
      <formula>AND(IF(OR($Q175=1,$Q175=2),1,0),IF($Y175&lt;=20,1,0))</formula>
    </cfRule>
    <cfRule type="expression" dxfId="982" priority="1026">
      <formula>AND(IF($Q175=2,1,0),IF($Y175&lt;30,1,0))</formula>
    </cfRule>
    <cfRule type="expression" dxfId="981" priority="1027">
      <formula>AND(IF($Q175=3,1,0),IF($Y175&lt;30,1,0))</formula>
    </cfRule>
    <cfRule type="expression" dxfId="980" priority="1028">
      <formula>AND(IF($Q175=3,1,IF($Q175=4,1,0)),IF($F175&lt;=85,1,0))</formula>
    </cfRule>
  </conditionalFormatting>
  <conditionalFormatting sqref="AJ175">
    <cfRule type="expression" dxfId="979" priority="1021">
      <formula>AND(IF(OR($Q175=1,$Q175=2),1,0),IF($Y175&lt;=20,1,0))</formula>
    </cfRule>
    <cfRule type="expression" dxfId="978" priority="1022">
      <formula>AND(IF($Q175=2,1,0),IF($Y175&lt;30,1,0))</formula>
    </cfRule>
    <cfRule type="expression" dxfId="977" priority="1023">
      <formula>AND(IF($Q175=3,1,0),IF($Y175&lt;30,1,0))</formula>
    </cfRule>
    <cfRule type="expression" dxfId="976" priority="1024">
      <formula>AND(IF($Q175=3,1,IF($Q175=4,1,0)),IF($F175&lt;=85,1,0))</formula>
    </cfRule>
  </conditionalFormatting>
  <conditionalFormatting sqref="AW176">
    <cfRule type="expression" dxfId="975" priority="1019">
      <formula>AW176="X"</formula>
    </cfRule>
    <cfRule type="expression" dxfId="974" priority="1020">
      <formula>AW176="후보"</formula>
    </cfRule>
  </conditionalFormatting>
  <conditionalFormatting sqref="AA176">
    <cfRule type="colorScale" priority="10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6">
    <cfRule type="cellIs" dxfId="973" priority="1016" operator="greaterThan">
      <formula>0.9</formula>
    </cfRule>
    <cfRule type="cellIs" dxfId="972" priority="1017" operator="greaterThan">
      <formula>0.85</formula>
    </cfRule>
  </conditionalFormatting>
  <conditionalFormatting sqref="N176">
    <cfRule type="cellIs" dxfId="971" priority="1014" operator="greaterThan">
      <formula>0.9</formula>
    </cfRule>
    <cfRule type="cellIs" dxfId="970" priority="1015" operator="greaterThan">
      <formula>0.85</formula>
    </cfRule>
  </conditionalFormatting>
  <conditionalFormatting sqref="E176">
    <cfRule type="expression" dxfId="969" priority="1010">
      <formula>AND(IF(OR($Q176=1,$Q176=2),1,0),IF($E176&lt;=20,1,0))</formula>
    </cfRule>
    <cfRule type="expression" dxfId="968" priority="1011">
      <formula>AND(IF($Q176=2,1,0),IF($E176&lt;30,1,0))</formula>
    </cfRule>
    <cfRule type="expression" dxfId="967" priority="1012">
      <formula>AND(IF($Q176=3,1,0),IF($E176&lt;30,1,0))</formula>
    </cfRule>
    <cfRule type="expression" dxfId="966" priority="1013">
      <formula>AND(IF($Q176=3,1,IF($Q176=4,1,0)),IF($F176&lt;=85,1,0))</formula>
    </cfRule>
  </conditionalFormatting>
  <conditionalFormatting sqref="Y176">
    <cfRule type="expression" dxfId="965" priority="1006">
      <formula>AND(IF(OR($Q176=1,$Q176=2),1,0),IF($Y176&lt;=20,1,0))</formula>
    </cfRule>
    <cfRule type="expression" dxfId="964" priority="1007">
      <formula>AND(IF($Q176=2,1,0),IF($Y176&lt;30,1,0))</formula>
    </cfRule>
    <cfRule type="expression" dxfId="963" priority="1008">
      <formula>AND(IF($Q176=3,1,0),IF($Y176&lt;30,1,0))</formula>
    </cfRule>
    <cfRule type="expression" dxfId="962" priority="1009">
      <formula>AND(IF($Q176=3,1,IF($Q176=4,1,0)),IF($F176&lt;=85,1,0))</formula>
    </cfRule>
  </conditionalFormatting>
  <conditionalFormatting sqref="AJ176">
    <cfRule type="expression" dxfId="961" priority="1002">
      <formula>AND(IF(OR($Q176=1,$Q176=2),1,0),IF($Y176&lt;=20,1,0))</formula>
    </cfRule>
    <cfRule type="expression" dxfId="960" priority="1003">
      <formula>AND(IF($Q176=2,1,0),IF($Y176&lt;30,1,0))</formula>
    </cfRule>
    <cfRule type="expression" dxfId="959" priority="1004">
      <formula>AND(IF($Q176=3,1,0),IF($Y176&lt;30,1,0))</formula>
    </cfRule>
    <cfRule type="expression" dxfId="958" priority="1005">
      <formula>AND(IF($Q176=3,1,IF($Q176=4,1,0)),IF($F176&lt;=85,1,0))</formula>
    </cfRule>
  </conditionalFormatting>
  <conditionalFormatting sqref="AW177">
    <cfRule type="expression" dxfId="957" priority="1000">
      <formula>AW177="X"</formula>
    </cfRule>
    <cfRule type="expression" dxfId="956" priority="1001">
      <formula>AW177="후보"</formula>
    </cfRule>
  </conditionalFormatting>
  <conditionalFormatting sqref="AA177">
    <cfRule type="colorScale" priority="9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7">
    <cfRule type="cellIs" dxfId="955" priority="997" operator="greaterThan">
      <formula>0.9</formula>
    </cfRule>
    <cfRule type="cellIs" dxfId="954" priority="998" operator="greaterThan">
      <formula>0.85</formula>
    </cfRule>
  </conditionalFormatting>
  <conditionalFormatting sqref="N177">
    <cfRule type="cellIs" dxfId="953" priority="995" operator="greaterThan">
      <formula>0.9</formula>
    </cfRule>
    <cfRule type="cellIs" dxfId="952" priority="996" operator="greaterThan">
      <formula>0.85</formula>
    </cfRule>
  </conditionalFormatting>
  <conditionalFormatting sqref="E177">
    <cfRule type="expression" dxfId="951" priority="991">
      <formula>AND(IF(OR($Q177=1,$Q177=2),1,0),IF($E177&lt;=20,1,0))</formula>
    </cfRule>
    <cfRule type="expression" dxfId="950" priority="992">
      <formula>AND(IF($Q177=2,1,0),IF($E177&lt;30,1,0))</formula>
    </cfRule>
    <cfRule type="expression" dxfId="949" priority="993">
      <formula>AND(IF($Q177=3,1,0),IF($E177&lt;30,1,0))</formula>
    </cfRule>
    <cfRule type="expression" dxfId="948" priority="994">
      <formula>AND(IF($Q177=3,1,IF($Q177=4,1,0)),IF($F177&lt;=85,1,0))</formula>
    </cfRule>
  </conditionalFormatting>
  <conditionalFormatting sqref="Y177">
    <cfRule type="expression" dxfId="947" priority="987">
      <formula>AND(IF(OR($Q177=1,$Q177=2),1,0),IF($Y177&lt;=20,1,0))</formula>
    </cfRule>
    <cfRule type="expression" dxfId="946" priority="988">
      <formula>AND(IF($Q177=2,1,0),IF($Y177&lt;30,1,0))</formula>
    </cfRule>
    <cfRule type="expression" dxfId="945" priority="989">
      <formula>AND(IF($Q177=3,1,0),IF($Y177&lt;30,1,0))</formula>
    </cfRule>
    <cfRule type="expression" dxfId="944" priority="990">
      <formula>AND(IF($Q177=3,1,IF($Q177=4,1,0)),IF($F177&lt;=85,1,0))</formula>
    </cfRule>
  </conditionalFormatting>
  <conditionalFormatting sqref="AJ177">
    <cfRule type="expression" dxfId="943" priority="983">
      <formula>AND(IF(OR($Q177=1,$Q177=2),1,0),IF($Y177&lt;=20,1,0))</formula>
    </cfRule>
    <cfRule type="expression" dxfId="942" priority="984">
      <formula>AND(IF($Q177=2,1,0),IF($Y177&lt;30,1,0))</formula>
    </cfRule>
    <cfRule type="expression" dxfId="941" priority="985">
      <formula>AND(IF($Q177=3,1,0),IF($Y177&lt;30,1,0))</formula>
    </cfRule>
    <cfRule type="expression" dxfId="940" priority="986">
      <formula>AND(IF($Q177=3,1,IF($Q177=4,1,0)),IF($F177&lt;=85,1,0))</formula>
    </cfRule>
  </conditionalFormatting>
  <conditionalFormatting sqref="AW178">
    <cfRule type="expression" dxfId="939" priority="981">
      <formula>AW178="X"</formula>
    </cfRule>
    <cfRule type="expression" dxfId="938" priority="982">
      <formula>AW178="후보"</formula>
    </cfRule>
  </conditionalFormatting>
  <conditionalFormatting sqref="AA178">
    <cfRule type="colorScale" priority="9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8">
    <cfRule type="cellIs" dxfId="937" priority="978" operator="greaterThan">
      <formula>0.9</formula>
    </cfRule>
    <cfRule type="cellIs" dxfId="936" priority="979" operator="greaterThan">
      <formula>0.85</formula>
    </cfRule>
  </conditionalFormatting>
  <conditionalFormatting sqref="N178">
    <cfRule type="cellIs" dxfId="935" priority="976" operator="greaterThan">
      <formula>0.9</formula>
    </cfRule>
    <cfRule type="cellIs" dxfId="934" priority="977" operator="greaterThan">
      <formula>0.85</formula>
    </cfRule>
  </conditionalFormatting>
  <conditionalFormatting sqref="E178">
    <cfRule type="expression" dxfId="933" priority="972">
      <formula>AND(IF(OR($Q178=1,$Q178=2),1,0),IF($E178&lt;=20,1,0))</formula>
    </cfRule>
    <cfRule type="expression" dxfId="932" priority="973">
      <formula>AND(IF($Q178=2,1,0),IF($E178&lt;30,1,0))</formula>
    </cfRule>
    <cfRule type="expression" dxfId="931" priority="974">
      <formula>AND(IF($Q178=3,1,0),IF($E178&lt;30,1,0))</formula>
    </cfRule>
    <cfRule type="expression" dxfId="930" priority="975">
      <formula>AND(IF($Q178=3,1,IF($Q178=4,1,0)),IF($F178&lt;=85,1,0))</formula>
    </cfRule>
  </conditionalFormatting>
  <conditionalFormatting sqref="Y178">
    <cfRule type="expression" dxfId="929" priority="968">
      <formula>AND(IF(OR($Q178=1,$Q178=2),1,0),IF($Y178&lt;=20,1,0))</formula>
    </cfRule>
    <cfRule type="expression" dxfId="928" priority="969">
      <formula>AND(IF($Q178=2,1,0),IF($Y178&lt;30,1,0))</formula>
    </cfRule>
    <cfRule type="expression" dxfId="927" priority="970">
      <formula>AND(IF($Q178=3,1,0),IF($Y178&lt;30,1,0))</formula>
    </cfRule>
    <cfRule type="expression" dxfId="926" priority="971">
      <formula>AND(IF($Q178=3,1,IF($Q178=4,1,0)),IF($F178&lt;=85,1,0))</formula>
    </cfRule>
  </conditionalFormatting>
  <conditionalFormatting sqref="AJ178">
    <cfRule type="expression" dxfId="925" priority="964">
      <formula>AND(IF(OR($Q178=1,$Q178=2),1,0),IF($Y178&lt;=20,1,0))</formula>
    </cfRule>
    <cfRule type="expression" dxfId="924" priority="965">
      <formula>AND(IF($Q178=2,1,0),IF($Y178&lt;30,1,0))</formula>
    </cfRule>
    <cfRule type="expression" dxfId="923" priority="966">
      <formula>AND(IF($Q178=3,1,0),IF($Y178&lt;30,1,0))</formula>
    </cfRule>
    <cfRule type="expression" dxfId="922" priority="967">
      <formula>AND(IF($Q178=3,1,IF($Q178=4,1,0)),IF($F178&lt;=85,1,0))</formula>
    </cfRule>
  </conditionalFormatting>
  <conditionalFormatting sqref="AW179">
    <cfRule type="expression" dxfId="921" priority="962">
      <formula>AW179="X"</formula>
    </cfRule>
    <cfRule type="expression" dxfId="920" priority="963">
      <formula>AW179="후보"</formula>
    </cfRule>
  </conditionalFormatting>
  <conditionalFormatting sqref="AA179">
    <cfRule type="colorScale" priority="9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9">
    <cfRule type="cellIs" dxfId="919" priority="959" operator="greaterThan">
      <formula>0.9</formula>
    </cfRule>
    <cfRule type="cellIs" dxfId="918" priority="960" operator="greaterThan">
      <formula>0.85</formula>
    </cfRule>
  </conditionalFormatting>
  <conditionalFormatting sqref="N179">
    <cfRule type="cellIs" dxfId="917" priority="957" operator="greaterThan">
      <formula>0.9</formula>
    </cfRule>
    <cfRule type="cellIs" dxfId="916" priority="958" operator="greaterThan">
      <formula>0.85</formula>
    </cfRule>
  </conditionalFormatting>
  <conditionalFormatting sqref="E179">
    <cfRule type="expression" dxfId="915" priority="953">
      <formula>AND(IF(OR($Q179=1,$Q179=2),1,0),IF($E179&lt;=20,1,0))</formula>
    </cfRule>
    <cfRule type="expression" dxfId="914" priority="954">
      <formula>AND(IF($Q179=2,1,0),IF($E179&lt;30,1,0))</formula>
    </cfRule>
    <cfRule type="expression" dxfId="913" priority="955">
      <formula>AND(IF($Q179=3,1,0),IF($E179&lt;30,1,0))</formula>
    </cfRule>
    <cfRule type="expression" dxfId="912" priority="956">
      <formula>AND(IF($Q179=3,1,IF($Q179=4,1,0)),IF($F179&lt;=85,1,0))</formula>
    </cfRule>
  </conditionalFormatting>
  <conditionalFormatting sqref="Y179">
    <cfRule type="expression" dxfId="911" priority="949">
      <formula>AND(IF(OR($Q179=1,$Q179=2),1,0),IF($Y179&lt;=20,1,0))</formula>
    </cfRule>
    <cfRule type="expression" dxfId="910" priority="950">
      <formula>AND(IF($Q179=2,1,0),IF($Y179&lt;30,1,0))</formula>
    </cfRule>
    <cfRule type="expression" dxfId="909" priority="951">
      <formula>AND(IF($Q179=3,1,0),IF($Y179&lt;30,1,0))</formula>
    </cfRule>
    <cfRule type="expression" dxfId="908" priority="952">
      <formula>AND(IF($Q179=3,1,IF($Q179=4,1,0)),IF($F179&lt;=85,1,0))</formula>
    </cfRule>
  </conditionalFormatting>
  <conditionalFormatting sqref="AJ179">
    <cfRule type="expression" dxfId="907" priority="945">
      <formula>AND(IF(OR($Q179=1,$Q179=2),1,0),IF($Y179&lt;=20,1,0))</formula>
    </cfRule>
    <cfRule type="expression" dxfId="906" priority="946">
      <formula>AND(IF($Q179=2,1,0),IF($Y179&lt;30,1,0))</formula>
    </cfRule>
    <cfRule type="expression" dxfId="905" priority="947">
      <formula>AND(IF($Q179=3,1,0),IF($Y179&lt;30,1,0))</formula>
    </cfRule>
    <cfRule type="expression" dxfId="904" priority="948">
      <formula>AND(IF($Q179=3,1,IF($Q179=4,1,0)),IF($F179&lt;=85,1,0))</formula>
    </cfRule>
  </conditionalFormatting>
  <conditionalFormatting sqref="AW180">
    <cfRule type="expression" dxfId="903" priority="943">
      <formula>AW180="X"</formula>
    </cfRule>
    <cfRule type="expression" dxfId="902" priority="944">
      <formula>AW180="후보"</formula>
    </cfRule>
  </conditionalFormatting>
  <conditionalFormatting sqref="AA180">
    <cfRule type="colorScale" priority="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0">
    <cfRule type="cellIs" dxfId="901" priority="940" operator="greaterThan">
      <formula>0.9</formula>
    </cfRule>
    <cfRule type="cellIs" dxfId="900" priority="941" operator="greaterThan">
      <formula>0.85</formula>
    </cfRule>
  </conditionalFormatting>
  <conditionalFormatting sqref="N180">
    <cfRule type="cellIs" dxfId="899" priority="938" operator="greaterThan">
      <formula>0.9</formula>
    </cfRule>
    <cfRule type="cellIs" dxfId="898" priority="939" operator="greaterThan">
      <formula>0.85</formula>
    </cfRule>
  </conditionalFormatting>
  <conditionalFormatting sqref="E180">
    <cfRule type="expression" dxfId="897" priority="934">
      <formula>AND(IF(OR($Q180=1,$Q180=2),1,0),IF($E180&lt;=20,1,0))</formula>
    </cfRule>
    <cfRule type="expression" dxfId="896" priority="935">
      <formula>AND(IF($Q180=2,1,0),IF($E180&lt;30,1,0))</formula>
    </cfRule>
    <cfRule type="expression" dxfId="895" priority="936">
      <formula>AND(IF($Q180=3,1,0),IF($E180&lt;30,1,0))</formula>
    </cfRule>
    <cfRule type="expression" dxfId="894" priority="937">
      <formula>AND(IF($Q180=3,1,IF($Q180=4,1,0)),IF($F180&lt;=85,1,0))</formula>
    </cfRule>
  </conditionalFormatting>
  <conditionalFormatting sqref="Y180">
    <cfRule type="expression" dxfId="893" priority="930">
      <formula>AND(IF(OR($Q180=1,$Q180=2),1,0),IF($Y180&lt;=20,1,0))</formula>
    </cfRule>
    <cfRule type="expression" dxfId="892" priority="931">
      <formula>AND(IF($Q180=2,1,0),IF($Y180&lt;30,1,0))</formula>
    </cfRule>
    <cfRule type="expression" dxfId="891" priority="932">
      <formula>AND(IF($Q180=3,1,0),IF($Y180&lt;30,1,0))</formula>
    </cfRule>
    <cfRule type="expression" dxfId="890" priority="933">
      <formula>AND(IF($Q180=3,1,IF($Q180=4,1,0)),IF($F180&lt;=85,1,0))</formula>
    </cfRule>
  </conditionalFormatting>
  <conditionalFormatting sqref="AJ180">
    <cfRule type="expression" dxfId="889" priority="926">
      <formula>AND(IF(OR($Q180=1,$Q180=2),1,0),IF($Y180&lt;=20,1,0))</formula>
    </cfRule>
    <cfRule type="expression" dxfId="888" priority="927">
      <formula>AND(IF($Q180=2,1,0),IF($Y180&lt;30,1,0))</formula>
    </cfRule>
    <cfRule type="expression" dxfId="887" priority="928">
      <formula>AND(IF($Q180=3,1,0),IF($Y180&lt;30,1,0))</formula>
    </cfRule>
    <cfRule type="expression" dxfId="886" priority="929">
      <formula>AND(IF($Q180=3,1,IF($Q180=4,1,0)),IF($F180&lt;=85,1,0))</formula>
    </cfRule>
  </conditionalFormatting>
  <conditionalFormatting sqref="AW181">
    <cfRule type="expression" dxfId="885" priority="924">
      <formula>AW181="X"</formula>
    </cfRule>
    <cfRule type="expression" dxfId="884" priority="925">
      <formula>AW181="후보"</formula>
    </cfRule>
  </conditionalFormatting>
  <conditionalFormatting sqref="AA181">
    <cfRule type="colorScale" priority="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1">
    <cfRule type="cellIs" dxfId="883" priority="921" operator="greaterThan">
      <formula>0.9</formula>
    </cfRule>
    <cfRule type="cellIs" dxfId="882" priority="922" operator="greaterThan">
      <formula>0.85</formula>
    </cfRule>
  </conditionalFormatting>
  <conditionalFormatting sqref="N181">
    <cfRule type="cellIs" dxfId="881" priority="919" operator="greaterThan">
      <formula>0.9</formula>
    </cfRule>
    <cfRule type="cellIs" dxfId="880" priority="920" operator="greaterThan">
      <formula>0.85</formula>
    </cfRule>
  </conditionalFormatting>
  <conditionalFormatting sqref="E181">
    <cfRule type="expression" dxfId="879" priority="915">
      <formula>AND(IF(OR($Q181=1,$Q181=2),1,0),IF($E181&lt;=20,1,0))</formula>
    </cfRule>
    <cfRule type="expression" dxfId="878" priority="916">
      <formula>AND(IF($Q181=2,1,0),IF($E181&lt;30,1,0))</formula>
    </cfRule>
    <cfRule type="expression" dxfId="877" priority="917">
      <formula>AND(IF($Q181=3,1,0),IF($E181&lt;30,1,0))</formula>
    </cfRule>
    <cfRule type="expression" dxfId="876" priority="918">
      <formula>AND(IF($Q181=3,1,IF($Q181=4,1,0)),IF($F181&lt;=85,1,0))</formula>
    </cfRule>
  </conditionalFormatting>
  <conditionalFormatting sqref="Y181">
    <cfRule type="expression" dxfId="875" priority="911">
      <formula>AND(IF(OR($Q181=1,$Q181=2),1,0),IF($Y181&lt;=20,1,0))</formula>
    </cfRule>
    <cfRule type="expression" dxfId="874" priority="912">
      <formula>AND(IF($Q181=2,1,0),IF($Y181&lt;30,1,0))</formula>
    </cfRule>
    <cfRule type="expression" dxfId="873" priority="913">
      <formula>AND(IF($Q181=3,1,0),IF($Y181&lt;30,1,0))</formula>
    </cfRule>
    <cfRule type="expression" dxfId="872" priority="914">
      <formula>AND(IF($Q181=3,1,IF($Q181=4,1,0)),IF($F181&lt;=85,1,0))</formula>
    </cfRule>
  </conditionalFormatting>
  <conditionalFormatting sqref="AJ181">
    <cfRule type="expression" dxfId="871" priority="907">
      <formula>AND(IF(OR($Q181=1,$Q181=2),1,0),IF($Y181&lt;=20,1,0))</formula>
    </cfRule>
    <cfRule type="expression" dxfId="870" priority="908">
      <formula>AND(IF($Q181=2,1,0),IF($Y181&lt;30,1,0))</formula>
    </cfRule>
    <cfRule type="expression" dxfId="869" priority="909">
      <formula>AND(IF($Q181=3,1,0),IF($Y181&lt;30,1,0))</formula>
    </cfRule>
    <cfRule type="expression" dxfId="868" priority="910">
      <formula>AND(IF($Q181=3,1,IF($Q181=4,1,0)),IF($F181&lt;=85,1,0))</formula>
    </cfRule>
  </conditionalFormatting>
  <conditionalFormatting sqref="AW182">
    <cfRule type="expression" dxfId="867" priority="905">
      <formula>AW182="X"</formula>
    </cfRule>
    <cfRule type="expression" dxfId="866" priority="906">
      <formula>AW182="후보"</formula>
    </cfRule>
  </conditionalFormatting>
  <conditionalFormatting sqref="AA182">
    <cfRule type="colorScale" priority="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2">
    <cfRule type="cellIs" dxfId="865" priority="902" operator="greaterThan">
      <formula>0.9</formula>
    </cfRule>
    <cfRule type="cellIs" dxfId="864" priority="903" operator="greaterThan">
      <formula>0.85</formula>
    </cfRule>
  </conditionalFormatting>
  <conditionalFormatting sqref="N182">
    <cfRule type="cellIs" dxfId="863" priority="900" operator="greaterThan">
      <formula>0.9</formula>
    </cfRule>
    <cfRule type="cellIs" dxfId="862" priority="901" operator="greaterThan">
      <formula>0.85</formula>
    </cfRule>
  </conditionalFormatting>
  <conditionalFormatting sqref="E182">
    <cfRule type="expression" dxfId="861" priority="896">
      <formula>AND(IF(OR($Q182=1,$Q182=2),1,0),IF($E182&lt;=20,1,0))</formula>
    </cfRule>
    <cfRule type="expression" dxfId="860" priority="897">
      <formula>AND(IF($Q182=2,1,0),IF($E182&lt;30,1,0))</formula>
    </cfRule>
    <cfRule type="expression" dxfId="859" priority="898">
      <formula>AND(IF($Q182=3,1,0),IF($E182&lt;30,1,0))</formula>
    </cfRule>
    <cfRule type="expression" dxfId="858" priority="899">
      <formula>AND(IF($Q182=3,1,IF($Q182=4,1,0)),IF($F182&lt;=85,1,0))</formula>
    </cfRule>
  </conditionalFormatting>
  <conditionalFormatting sqref="Y182">
    <cfRule type="expression" dxfId="857" priority="892">
      <formula>AND(IF(OR($Q182=1,$Q182=2),1,0),IF($Y182&lt;=20,1,0))</formula>
    </cfRule>
    <cfRule type="expression" dxfId="856" priority="893">
      <formula>AND(IF($Q182=2,1,0),IF($Y182&lt;30,1,0))</formula>
    </cfRule>
    <cfRule type="expression" dxfId="855" priority="894">
      <formula>AND(IF($Q182=3,1,0),IF($Y182&lt;30,1,0))</formula>
    </cfRule>
    <cfRule type="expression" dxfId="854" priority="895">
      <formula>AND(IF($Q182=3,1,IF($Q182=4,1,0)),IF($F182&lt;=85,1,0))</formula>
    </cfRule>
  </conditionalFormatting>
  <conditionalFormatting sqref="AJ182">
    <cfRule type="expression" dxfId="853" priority="888">
      <formula>AND(IF(OR($Q182=1,$Q182=2),1,0),IF($Y182&lt;=20,1,0))</formula>
    </cfRule>
    <cfRule type="expression" dxfId="852" priority="889">
      <formula>AND(IF($Q182=2,1,0),IF($Y182&lt;30,1,0))</formula>
    </cfRule>
    <cfRule type="expression" dxfId="851" priority="890">
      <formula>AND(IF($Q182=3,1,0),IF($Y182&lt;30,1,0))</formula>
    </cfRule>
    <cfRule type="expression" dxfId="850" priority="891">
      <formula>AND(IF($Q182=3,1,IF($Q182=4,1,0)),IF($F182&lt;=85,1,0))</formula>
    </cfRule>
  </conditionalFormatting>
  <conditionalFormatting sqref="AW183">
    <cfRule type="expression" dxfId="849" priority="886">
      <formula>AW183="X"</formula>
    </cfRule>
    <cfRule type="expression" dxfId="848" priority="887">
      <formula>AW183="후보"</formula>
    </cfRule>
  </conditionalFormatting>
  <conditionalFormatting sqref="AA183">
    <cfRule type="colorScale" priority="8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3 N183">
    <cfRule type="cellIs" dxfId="847" priority="883" operator="greaterThan">
      <formula>0.9</formula>
    </cfRule>
    <cfRule type="cellIs" dxfId="846" priority="884" operator="greaterThan">
      <formula>0.85</formula>
    </cfRule>
  </conditionalFormatting>
  <conditionalFormatting sqref="AW184">
    <cfRule type="expression" dxfId="845" priority="881">
      <formula>AW184="X"</formula>
    </cfRule>
    <cfRule type="expression" dxfId="844" priority="882">
      <formula>AW184="후보"</formula>
    </cfRule>
  </conditionalFormatting>
  <conditionalFormatting sqref="AA184">
    <cfRule type="colorScale" priority="8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4">
    <cfRule type="cellIs" dxfId="843" priority="878" operator="greaterThan">
      <formula>0.9</formula>
    </cfRule>
    <cfRule type="cellIs" dxfId="842" priority="879" operator="greaterThan">
      <formula>0.85</formula>
    </cfRule>
  </conditionalFormatting>
  <conditionalFormatting sqref="N184">
    <cfRule type="cellIs" dxfId="841" priority="876" operator="greaterThan">
      <formula>0.9</formula>
    </cfRule>
    <cfRule type="cellIs" dxfId="840" priority="877" operator="greaterThan">
      <formula>0.85</formula>
    </cfRule>
  </conditionalFormatting>
  <conditionalFormatting sqref="E184">
    <cfRule type="expression" dxfId="839" priority="872">
      <formula>AND(IF(OR($Q184=1,$Q184=2),1,0),IF($E184&lt;=20,1,0))</formula>
    </cfRule>
    <cfRule type="expression" dxfId="838" priority="873">
      <formula>AND(IF($Q184=2,1,0),IF($E184&lt;30,1,0))</formula>
    </cfRule>
    <cfRule type="expression" dxfId="837" priority="874">
      <formula>AND(IF($Q184=3,1,0),IF($E184&lt;30,1,0))</formula>
    </cfRule>
    <cfRule type="expression" dxfId="836" priority="875">
      <formula>AND(IF($Q184=3,1,IF($Q184=4,1,0)),IF($F184&lt;=85,1,0))</formula>
    </cfRule>
  </conditionalFormatting>
  <conditionalFormatting sqref="Y184">
    <cfRule type="expression" dxfId="835" priority="868">
      <formula>AND(IF(OR($Q184=1,$Q184=2),1,0),IF($Y184&lt;=20,1,0))</formula>
    </cfRule>
    <cfRule type="expression" dxfId="834" priority="869">
      <formula>AND(IF($Q184=2,1,0),IF($Y184&lt;30,1,0))</formula>
    </cfRule>
    <cfRule type="expression" dxfId="833" priority="870">
      <formula>AND(IF($Q184=3,1,0),IF($Y184&lt;30,1,0))</formula>
    </cfRule>
    <cfRule type="expression" dxfId="832" priority="871">
      <formula>AND(IF($Q184=3,1,IF($Q184=4,1,0)),IF($F184&lt;=85,1,0))</formula>
    </cfRule>
  </conditionalFormatting>
  <conditionalFormatting sqref="AJ184">
    <cfRule type="expression" dxfId="831" priority="864">
      <formula>AND(IF(OR($Q184=1,$Q184=2),1,0),IF($Y184&lt;=20,1,0))</formula>
    </cfRule>
    <cfRule type="expression" dxfId="830" priority="865">
      <formula>AND(IF($Q184=2,1,0),IF($Y184&lt;30,1,0))</formula>
    </cfRule>
    <cfRule type="expression" dxfId="829" priority="866">
      <formula>AND(IF($Q184=3,1,0),IF($Y184&lt;30,1,0))</formula>
    </cfRule>
    <cfRule type="expression" dxfId="828" priority="867">
      <formula>AND(IF($Q184=3,1,IF($Q184=4,1,0)),IF($F184&lt;=85,1,0))</formula>
    </cfRule>
  </conditionalFormatting>
  <conditionalFormatting sqref="AW185">
    <cfRule type="expression" dxfId="827" priority="862">
      <formula>AW185="X"</formula>
    </cfRule>
    <cfRule type="expression" dxfId="826" priority="863">
      <formula>AW185="후보"</formula>
    </cfRule>
  </conditionalFormatting>
  <conditionalFormatting sqref="AA185">
    <cfRule type="colorScale" priority="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5">
    <cfRule type="cellIs" dxfId="825" priority="859" operator="greaterThan">
      <formula>0.9</formula>
    </cfRule>
    <cfRule type="cellIs" dxfId="824" priority="860" operator="greaterThan">
      <formula>0.85</formula>
    </cfRule>
  </conditionalFormatting>
  <conditionalFormatting sqref="N185">
    <cfRule type="cellIs" dxfId="823" priority="857" operator="greaterThan">
      <formula>0.9</formula>
    </cfRule>
    <cfRule type="cellIs" dxfId="822" priority="858" operator="greaterThan">
      <formula>0.85</formula>
    </cfRule>
  </conditionalFormatting>
  <conditionalFormatting sqref="E185">
    <cfRule type="expression" dxfId="821" priority="853">
      <formula>AND(IF(OR($Q185=1,$Q185=2),1,0),IF($E185&lt;=20,1,0))</formula>
    </cfRule>
    <cfRule type="expression" dxfId="820" priority="854">
      <formula>AND(IF($Q185=2,1,0),IF($E185&lt;30,1,0))</formula>
    </cfRule>
    <cfRule type="expression" dxfId="819" priority="855">
      <formula>AND(IF($Q185=3,1,0),IF($E185&lt;30,1,0))</formula>
    </cfRule>
    <cfRule type="expression" dxfId="818" priority="856">
      <formula>AND(IF($Q185=3,1,IF($Q185=4,1,0)),IF($F185&lt;=85,1,0))</formula>
    </cfRule>
  </conditionalFormatting>
  <conditionalFormatting sqref="Y185">
    <cfRule type="expression" dxfId="817" priority="849">
      <formula>AND(IF(OR($Q185=1,$Q185=2),1,0),IF($Y185&lt;=20,1,0))</formula>
    </cfRule>
    <cfRule type="expression" dxfId="816" priority="850">
      <formula>AND(IF($Q185=2,1,0),IF($Y185&lt;30,1,0))</formula>
    </cfRule>
    <cfRule type="expression" dxfId="815" priority="851">
      <formula>AND(IF($Q185=3,1,0),IF($Y185&lt;30,1,0))</formula>
    </cfRule>
    <cfRule type="expression" dxfId="814" priority="852">
      <formula>AND(IF($Q185=3,1,IF($Q185=4,1,0)),IF($F185&lt;=85,1,0))</formula>
    </cfRule>
  </conditionalFormatting>
  <conditionalFormatting sqref="AJ185">
    <cfRule type="expression" dxfId="813" priority="845">
      <formula>AND(IF(OR($Q185=1,$Q185=2),1,0),IF($Y185&lt;=20,1,0))</formula>
    </cfRule>
    <cfRule type="expression" dxfId="812" priority="846">
      <formula>AND(IF($Q185=2,1,0),IF($Y185&lt;30,1,0))</formula>
    </cfRule>
    <cfRule type="expression" dxfId="811" priority="847">
      <formula>AND(IF($Q185=3,1,0),IF($Y185&lt;30,1,0))</formula>
    </cfRule>
    <cfRule type="expression" dxfId="810" priority="848">
      <formula>AND(IF($Q185=3,1,IF($Q185=4,1,0)),IF($F185&lt;=85,1,0))</formula>
    </cfRule>
  </conditionalFormatting>
  <conditionalFormatting sqref="AW186">
    <cfRule type="expression" dxfId="809" priority="843">
      <formula>AW186="X"</formula>
    </cfRule>
    <cfRule type="expression" dxfId="808" priority="844">
      <formula>AW186="후보"</formula>
    </cfRule>
  </conditionalFormatting>
  <conditionalFormatting sqref="AA186">
    <cfRule type="colorScale" priority="8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6 N186">
    <cfRule type="cellIs" dxfId="807" priority="840" operator="greaterThan">
      <formula>0.9</formula>
    </cfRule>
    <cfRule type="cellIs" dxfId="806" priority="841" operator="greaterThan">
      <formula>0.85</formula>
    </cfRule>
  </conditionalFormatting>
  <conditionalFormatting sqref="AW187">
    <cfRule type="expression" dxfId="805" priority="838">
      <formula>AW187="X"</formula>
    </cfRule>
    <cfRule type="expression" dxfId="804" priority="839">
      <formula>AW187="후보"</formula>
    </cfRule>
  </conditionalFormatting>
  <conditionalFormatting sqref="AA187">
    <cfRule type="colorScale" priority="8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7">
    <cfRule type="cellIs" dxfId="803" priority="835" operator="greaterThan">
      <formula>0.9</formula>
    </cfRule>
    <cfRule type="cellIs" dxfId="802" priority="836" operator="greaterThan">
      <formula>0.85</formula>
    </cfRule>
  </conditionalFormatting>
  <conditionalFormatting sqref="N187">
    <cfRule type="cellIs" dxfId="801" priority="833" operator="greaterThan">
      <formula>0.9</formula>
    </cfRule>
    <cfRule type="cellIs" dxfId="800" priority="834" operator="greaterThan">
      <formula>0.85</formula>
    </cfRule>
  </conditionalFormatting>
  <conditionalFormatting sqref="E187">
    <cfRule type="expression" dxfId="799" priority="829">
      <formula>AND(IF(OR($Q187=1,$Q187=2),1,0),IF($E187&lt;=20,1,0))</formula>
    </cfRule>
    <cfRule type="expression" dxfId="798" priority="830">
      <formula>AND(IF($Q187=2,1,0),IF($E187&lt;30,1,0))</formula>
    </cfRule>
    <cfRule type="expression" dxfId="797" priority="831">
      <formula>AND(IF($Q187=3,1,0),IF($E187&lt;30,1,0))</formula>
    </cfRule>
    <cfRule type="expression" dxfId="796" priority="832">
      <formula>AND(IF($Q187=3,1,IF($Q187=4,1,0)),IF($F187&lt;=85,1,0))</formula>
    </cfRule>
  </conditionalFormatting>
  <conditionalFormatting sqref="Y187">
    <cfRule type="expression" dxfId="795" priority="825">
      <formula>AND(IF(OR($Q187=1,$Q187=2),1,0),IF($Y187&lt;=20,1,0))</formula>
    </cfRule>
    <cfRule type="expression" dxfId="794" priority="826">
      <formula>AND(IF($Q187=2,1,0),IF($Y187&lt;30,1,0))</formula>
    </cfRule>
    <cfRule type="expression" dxfId="793" priority="827">
      <formula>AND(IF($Q187=3,1,0),IF($Y187&lt;30,1,0))</formula>
    </cfRule>
    <cfRule type="expression" dxfId="792" priority="828">
      <formula>AND(IF($Q187=3,1,IF($Q187=4,1,0)),IF($F187&lt;=85,1,0))</formula>
    </cfRule>
  </conditionalFormatting>
  <conditionalFormatting sqref="AJ187">
    <cfRule type="expression" dxfId="791" priority="821">
      <formula>AND(IF(OR($Q187=1,$Q187=2),1,0),IF($Y187&lt;=20,1,0))</formula>
    </cfRule>
    <cfRule type="expression" dxfId="790" priority="822">
      <formula>AND(IF($Q187=2,1,0),IF($Y187&lt;30,1,0))</formula>
    </cfRule>
    <cfRule type="expression" dxfId="789" priority="823">
      <formula>AND(IF($Q187=3,1,0),IF($Y187&lt;30,1,0))</formula>
    </cfRule>
    <cfRule type="expression" dxfId="788" priority="824">
      <formula>AND(IF($Q187=3,1,IF($Q187=4,1,0)),IF($F187&lt;=85,1,0))</formula>
    </cfRule>
  </conditionalFormatting>
  <conditionalFormatting sqref="AW188">
    <cfRule type="expression" dxfId="787" priority="819">
      <formula>AW188="X"</formula>
    </cfRule>
    <cfRule type="expression" dxfId="786" priority="820">
      <formula>AW188="후보"</formula>
    </cfRule>
  </conditionalFormatting>
  <conditionalFormatting sqref="AA188">
    <cfRule type="colorScale" priority="8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8">
    <cfRule type="cellIs" dxfId="785" priority="816" operator="greaterThan">
      <formula>0.9</formula>
    </cfRule>
    <cfRule type="cellIs" dxfId="784" priority="817" operator="greaterThan">
      <formula>0.85</formula>
    </cfRule>
  </conditionalFormatting>
  <conditionalFormatting sqref="N188">
    <cfRule type="cellIs" dxfId="783" priority="814" operator="greaterThan">
      <formula>0.9</formula>
    </cfRule>
    <cfRule type="cellIs" dxfId="782" priority="815" operator="greaterThan">
      <formula>0.85</formula>
    </cfRule>
  </conditionalFormatting>
  <conditionalFormatting sqref="E188">
    <cfRule type="expression" dxfId="781" priority="810">
      <formula>AND(IF(OR($Q188=1,$Q188=2),1,0),IF($E188&lt;=20,1,0))</formula>
    </cfRule>
    <cfRule type="expression" dxfId="780" priority="811">
      <formula>AND(IF($Q188=2,1,0),IF($E188&lt;30,1,0))</formula>
    </cfRule>
    <cfRule type="expression" dxfId="779" priority="812">
      <formula>AND(IF($Q188=3,1,0),IF($E188&lt;30,1,0))</formula>
    </cfRule>
    <cfRule type="expression" dxfId="778" priority="813">
      <formula>AND(IF($Q188=3,1,IF($Q188=4,1,0)),IF($F188&lt;=85,1,0))</formula>
    </cfRule>
  </conditionalFormatting>
  <conditionalFormatting sqref="Y188">
    <cfRule type="expression" dxfId="777" priority="806">
      <formula>AND(IF(OR($Q188=1,$Q188=2),1,0),IF($Y188&lt;=20,1,0))</formula>
    </cfRule>
    <cfRule type="expression" dxfId="776" priority="807">
      <formula>AND(IF($Q188=2,1,0),IF($Y188&lt;30,1,0))</formula>
    </cfRule>
    <cfRule type="expression" dxfId="775" priority="808">
      <formula>AND(IF($Q188=3,1,0),IF($Y188&lt;30,1,0))</formula>
    </cfRule>
    <cfRule type="expression" dxfId="774" priority="809">
      <formula>AND(IF($Q188=3,1,IF($Q188=4,1,0)),IF($F188&lt;=85,1,0))</formula>
    </cfRule>
  </conditionalFormatting>
  <conditionalFormatting sqref="AJ188">
    <cfRule type="expression" dxfId="773" priority="802">
      <formula>AND(IF(OR($Q188=1,$Q188=2),1,0),IF($Y188&lt;=20,1,0))</formula>
    </cfRule>
    <cfRule type="expression" dxfId="772" priority="803">
      <formula>AND(IF($Q188=2,1,0),IF($Y188&lt;30,1,0))</formula>
    </cfRule>
    <cfRule type="expression" dxfId="771" priority="804">
      <formula>AND(IF($Q188=3,1,0),IF($Y188&lt;30,1,0))</formula>
    </cfRule>
    <cfRule type="expression" dxfId="770" priority="805">
      <formula>AND(IF($Q188=3,1,IF($Q188=4,1,0)),IF($F188&lt;=85,1,0))</formula>
    </cfRule>
  </conditionalFormatting>
  <conditionalFormatting sqref="AW189">
    <cfRule type="expression" dxfId="769" priority="800">
      <formula>AW189="X"</formula>
    </cfRule>
    <cfRule type="expression" dxfId="768" priority="801">
      <formula>AW189="후보"</formula>
    </cfRule>
  </conditionalFormatting>
  <conditionalFormatting sqref="AA189">
    <cfRule type="colorScale" priority="7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9">
    <cfRule type="cellIs" dxfId="767" priority="797" operator="greaterThan">
      <formula>0.9</formula>
    </cfRule>
    <cfRule type="cellIs" dxfId="766" priority="798" operator="greaterThan">
      <formula>0.85</formula>
    </cfRule>
  </conditionalFormatting>
  <conditionalFormatting sqref="N189">
    <cfRule type="cellIs" dxfId="765" priority="795" operator="greaterThan">
      <formula>0.9</formula>
    </cfRule>
    <cfRule type="cellIs" dxfId="764" priority="796" operator="greaterThan">
      <formula>0.85</formula>
    </cfRule>
  </conditionalFormatting>
  <conditionalFormatting sqref="E189">
    <cfRule type="expression" dxfId="763" priority="791">
      <formula>AND(IF(OR($Q189=1,$Q189=2),1,0),IF($E189&lt;=20,1,0))</formula>
    </cfRule>
    <cfRule type="expression" dxfId="762" priority="792">
      <formula>AND(IF($Q189=2,1,0),IF($E189&lt;30,1,0))</formula>
    </cfRule>
    <cfRule type="expression" dxfId="761" priority="793">
      <formula>AND(IF($Q189=3,1,0),IF($E189&lt;30,1,0))</formula>
    </cfRule>
    <cfRule type="expression" dxfId="760" priority="794">
      <formula>AND(IF($Q189=3,1,IF($Q189=4,1,0)),IF($F189&lt;=85,1,0))</formula>
    </cfRule>
  </conditionalFormatting>
  <conditionalFormatting sqref="Y189">
    <cfRule type="expression" dxfId="759" priority="787">
      <formula>AND(IF(OR($Q189=1,$Q189=2),1,0),IF($Y189&lt;=20,1,0))</formula>
    </cfRule>
    <cfRule type="expression" dxfId="758" priority="788">
      <formula>AND(IF($Q189=2,1,0),IF($Y189&lt;30,1,0))</formula>
    </cfRule>
    <cfRule type="expression" dxfId="757" priority="789">
      <formula>AND(IF($Q189=3,1,0),IF($Y189&lt;30,1,0))</formula>
    </cfRule>
    <cfRule type="expression" dxfId="756" priority="790">
      <formula>AND(IF($Q189=3,1,IF($Q189=4,1,0)),IF($F189&lt;=85,1,0))</formula>
    </cfRule>
  </conditionalFormatting>
  <conditionalFormatting sqref="AJ189">
    <cfRule type="expression" dxfId="755" priority="783">
      <formula>AND(IF(OR($Q189=1,$Q189=2),1,0),IF($Y189&lt;=20,1,0))</formula>
    </cfRule>
    <cfRule type="expression" dxfId="754" priority="784">
      <formula>AND(IF($Q189=2,1,0),IF($Y189&lt;30,1,0))</formula>
    </cfRule>
    <cfRule type="expression" dxfId="753" priority="785">
      <formula>AND(IF($Q189=3,1,0),IF($Y189&lt;30,1,0))</formula>
    </cfRule>
    <cfRule type="expression" dxfId="752" priority="786">
      <formula>AND(IF($Q189=3,1,IF($Q189=4,1,0)),IF($F189&lt;=85,1,0))</formula>
    </cfRule>
  </conditionalFormatting>
  <conditionalFormatting sqref="AW190">
    <cfRule type="expression" dxfId="751" priority="781">
      <formula>AW190="X"</formula>
    </cfRule>
    <cfRule type="expression" dxfId="750" priority="782">
      <formula>AW190="후보"</formula>
    </cfRule>
  </conditionalFormatting>
  <conditionalFormatting sqref="AA190">
    <cfRule type="colorScale" priority="7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0 N190">
    <cfRule type="cellIs" dxfId="749" priority="778" operator="greaterThan">
      <formula>0.9</formula>
    </cfRule>
    <cfRule type="cellIs" dxfId="748" priority="779" operator="greaterThan">
      <formula>0.85</formula>
    </cfRule>
  </conditionalFormatting>
  <conditionalFormatting sqref="AW191">
    <cfRule type="expression" dxfId="747" priority="776">
      <formula>AW191="X"</formula>
    </cfRule>
    <cfRule type="expression" dxfId="746" priority="777">
      <formula>AW191="후보"</formula>
    </cfRule>
  </conditionalFormatting>
  <conditionalFormatting sqref="AA191">
    <cfRule type="colorScale" priority="7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1">
    <cfRule type="cellIs" dxfId="745" priority="773" operator="greaterThan">
      <formula>0.9</formula>
    </cfRule>
    <cfRule type="cellIs" dxfId="744" priority="774" operator="greaterThan">
      <formula>0.85</formula>
    </cfRule>
  </conditionalFormatting>
  <conditionalFormatting sqref="N191">
    <cfRule type="cellIs" dxfId="743" priority="771" operator="greaterThan">
      <formula>0.9</formula>
    </cfRule>
    <cfRule type="cellIs" dxfId="742" priority="772" operator="greaterThan">
      <formula>0.85</formula>
    </cfRule>
  </conditionalFormatting>
  <conditionalFormatting sqref="E191">
    <cfRule type="expression" dxfId="741" priority="767">
      <formula>AND(IF(OR($Q191=1,$Q191=2),1,0),IF($E191&lt;=20,1,0))</formula>
    </cfRule>
    <cfRule type="expression" dxfId="740" priority="768">
      <formula>AND(IF($Q191=2,1,0),IF($E191&lt;30,1,0))</formula>
    </cfRule>
    <cfRule type="expression" dxfId="739" priority="769">
      <formula>AND(IF($Q191=3,1,0),IF($E191&lt;30,1,0))</formula>
    </cfRule>
    <cfRule type="expression" dxfId="738" priority="770">
      <formula>AND(IF($Q191=3,1,IF($Q191=4,1,0)),IF($F191&lt;=85,1,0))</formula>
    </cfRule>
  </conditionalFormatting>
  <conditionalFormatting sqref="Y191">
    <cfRule type="expression" dxfId="737" priority="763">
      <formula>AND(IF(OR($Q191=1,$Q191=2),1,0),IF($Y191&lt;=20,1,0))</formula>
    </cfRule>
    <cfRule type="expression" dxfId="736" priority="764">
      <formula>AND(IF($Q191=2,1,0),IF($Y191&lt;30,1,0))</formula>
    </cfRule>
    <cfRule type="expression" dxfId="735" priority="765">
      <formula>AND(IF($Q191=3,1,0),IF($Y191&lt;30,1,0))</formula>
    </cfRule>
    <cfRule type="expression" dxfId="734" priority="766">
      <formula>AND(IF($Q191=3,1,IF($Q191=4,1,0)),IF($F191&lt;=85,1,0))</formula>
    </cfRule>
  </conditionalFormatting>
  <conditionalFormatting sqref="AJ191">
    <cfRule type="expression" dxfId="733" priority="759">
      <formula>AND(IF(OR($Q191=1,$Q191=2),1,0),IF($Y191&lt;=20,1,0))</formula>
    </cfRule>
    <cfRule type="expression" dxfId="732" priority="760">
      <formula>AND(IF($Q191=2,1,0),IF($Y191&lt;30,1,0))</formula>
    </cfRule>
    <cfRule type="expression" dxfId="731" priority="761">
      <formula>AND(IF($Q191=3,1,0),IF($Y191&lt;30,1,0))</formula>
    </cfRule>
    <cfRule type="expression" dxfId="730" priority="762">
      <formula>AND(IF($Q191=3,1,IF($Q191=4,1,0)),IF($F191&lt;=85,1,0))</formula>
    </cfRule>
  </conditionalFormatting>
  <conditionalFormatting sqref="AW192">
    <cfRule type="expression" dxfId="729" priority="757">
      <formula>AW192="X"</formula>
    </cfRule>
    <cfRule type="expression" dxfId="728" priority="758">
      <formula>AW192="후보"</formula>
    </cfRule>
  </conditionalFormatting>
  <conditionalFormatting sqref="AA192">
    <cfRule type="colorScale" priority="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2">
    <cfRule type="cellIs" dxfId="727" priority="754" operator="greaterThan">
      <formula>0.9</formula>
    </cfRule>
    <cfRule type="cellIs" dxfId="726" priority="755" operator="greaterThan">
      <formula>0.85</formula>
    </cfRule>
  </conditionalFormatting>
  <conditionalFormatting sqref="N192">
    <cfRule type="cellIs" dxfId="725" priority="752" operator="greaterThan">
      <formula>0.9</formula>
    </cfRule>
    <cfRule type="cellIs" dxfId="724" priority="753" operator="greaterThan">
      <formula>0.85</formula>
    </cfRule>
  </conditionalFormatting>
  <conditionalFormatting sqref="E192">
    <cfRule type="expression" dxfId="723" priority="748">
      <formula>AND(IF(OR($Q192=1,$Q192=2),1,0),IF($E192&lt;=20,1,0))</formula>
    </cfRule>
    <cfRule type="expression" dxfId="722" priority="749">
      <formula>AND(IF($Q192=2,1,0),IF($E192&lt;30,1,0))</formula>
    </cfRule>
    <cfRule type="expression" dxfId="721" priority="750">
      <formula>AND(IF($Q192=3,1,0),IF($E192&lt;30,1,0))</formula>
    </cfRule>
    <cfRule type="expression" dxfId="720" priority="751">
      <formula>AND(IF($Q192=3,1,IF($Q192=4,1,0)),IF($F192&lt;=85,1,0))</formula>
    </cfRule>
  </conditionalFormatting>
  <conditionalFormatting sqref="Y192">
    <cfRule type="expression" dxfId="719" priority="744">
      <formula>AND(IF(OR($Q192=1,$Q192=2),1,0),IF($Y192&lt;=20,1,0))</formula>
    </cfRule>
    <cfRule type="expression" dxfId="718" priority="745">
      <formula>AND(IF($Q192=2,1,0),IF($Y192&lt;30,1,0))</formula>
    </cfRule>
    <cfRule type="expression" dxfId="717" priority="746">
      <formula>AND(IF($Q192=3,1,0),IF($Y192&lt;30,1,0))</formula>
    </cfRule>
    <cfRule type="expression" dxfId="716" priority="747">
      <formula>AND(IF($Q192=3,1,IF($Q192=4,1,0)),IF($F192&lt;=85,1,0))</formula>
    </cfRule>
  </conditionalFormatting>
  <conditionalFormatting sqref="AJ192">
    <cfRule type="expression" dxfId="715" priority="740">
      <formula>AND(IF(OR($Q192=1,$Q192=2),1,0),IF($Y192&lt;=20,1,0))</formula>
    </cfRule>
    <cfRule type="expression" dxfId="714" priority="741">
      <formula>AND(IF($Q192=2,1,0),IF($Y192&lt;30,1,0))</formula>
    </cfRule>
    <cfRule type="expression" dxfId="713" priority="742">
      <formula>AND(IF($Q192=3,1,0),IF($Y192&lt;30,1,0))</formula>
    </cfRule>
    <cfRule type="expression" dxfId="712" priority="743">
      <formula>AND(IF($Q192=3,1,IF($Q192=4,1,0)),IF($F192&lt;=85,1,0))</formula>
    </cfRule>
  </conditionalFormatting>
  <conditionalFormatting sqref="AW193">
    <cfRule type="expression" dxfId="711" priority="738">
      <formula>AW193="X"</formula>
    </cfRule>
    <cfRule type="expression" dxfId="710" priority="739">
      <formula>AW193="후보"</formula>
    </cfRule>
  </conditionalFormatting>
  <conditionalFormatting sqref="AA193">
    <cfRule type="colorScale" priority="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3">
    <cfRule type="cellIs" dxfId="709" priority="735" operator="greaterThan">
      <formula>0.9</formula>
    </cfRule>
    <cfRule type="cellIs" dxfId="708" priority="736" operator="greaterThan">
      <formula>0.85</formula>
    </cfRule>
  </conditionalFormatting>
  <conditionalFormatting sqref="N193">
    <cfRule type="cellIs" dxfId="707" priority="733" operator="greaterThan">
      <formula>0.9</formula>
    </cfRule>
    <cfRule type="cellIs" dxfId="706" priority="734" operator="greaterThan">
      <formula>0.85</formula>
    </cfRule>
  </conditionalFormatting>
  <conditionalFormatting sqref="E193">
    <cfRule type="expression" dxfId="705" priority="729">
      <formula>AND(IF(OR($Q193=1,$Q193=2),1,0),IF($E193&lt;=20,1,0))</formula>
    </cfRule>
    <cfRule type="expression" dxfId="704" priority="730">
      <formula>AND(IF($Q193=2,1,0),IF($E193&lt;30,1,0))</formula>
    </cfRule>
    <cfRule type="expression" dxfId="703" priority="731">
      <formula>AND(IF($Q193=3,1,0),IF($E193&lt;30,1,0))</formula>
    </cfRule>
    <cfRule type="expression" dxfId="702" priority="732">
      <formula>AND(IF($Q193=3,1,IF($Q193=4,1,0)),IF($F193&lt;=85,1,0))</formula>
    </cfRule>
  </conditionalFormatting>
  <conditionalFormatting sqref="Y193">
    <cfRule type="expression" dxfId="701" priority="725">
      <formula>AND(IF(OR($Q193=1,$Q193=2),1,0),IF($Y193&lt;=20,1,0))</formula>
    </cfRule>
    <cfRule type="expression" dxfId="700" priority="726">
      <formula>AND(IF($Q193=2,1,0),IF($Y193&lt;30,1,0))</formula>
    </cfRule>
    <cfRule type="expression" dxfId="699" priority="727">
      <formula>AND(IF($Q193=3,1,0),IF($Y193&lt;30,1,0))</formula>
    </cfRule>
    <cfRule type="expression" dxfId="698" priority="728">
      <formula>AND(IF($Q193=3,1,IF($Q193=4,1,0)),IF($F193&lt;=85,1,0))</formula>
    </cfRule>
  </conditionalFormatting>
  <conditionalFormatting sqref="AJ193">
    <cfRule type="expression" dxfId="697" priority="721">
      <formula>AND(IF(OR($Q193=1,$Q193=2),1,0),IF($Y193&lt;=20,1,0))</formula>
    </cfRule>
    <cfRule type="expression" dxfId="696" priority="722">
      <formula>AND(IF($Q193=2,1,0),IF($Y193&lt;30,1,0))</formula>
    </cfRule>
    <cfRule type="expression" dxfId="695" priority="723">
      <formula>AND(IF($Q193=3,1,0),IF($Y193&lt;30,1,0))</formula>
    </cfRule>
    <cfRule type="expression" dxfId="694" priority="724">
      <formula>AND(IF($Q193=3,1,IF($Q193=4,1,0)),IF($F193&lt;=85,1,0))</formula>
    </cfRule>
  </conditionalFormatting>
  <conditionalFormatting sqref="AW194">
    <cfRule type="expression" dxfId="693" priority="719">
      <formula>AW194="X"</formula>
    </cfRule>
    <cfRule type="expression" dxfId="692" priority="720">
      <formula>AW194="후보"</formula>
    </cfRule>
  </conditionalFormatting>
  <conditionalFormatting sqref="AA194">
    <cfRule type="colorScale" priority="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4 N194">
    <cfRule type="cellIs" dxfId="691" priority="716" operator="greaterThan">
      <formula>0.9</formula>
    </cfRule>
    <cfRule type="cellIs" dxfId="690" priority="717" operator="greaterThan">
      <formula>0.85</formula>
    </cfRule>
  </conditionalFormatting>
  <conditionalFormatting sqref="AW195">
    <cfRule type="expression" dxfId="689" priority="714">
      <formula>AW195="X"</formula>
    </cfRule>
    <cfRule type="expression" dxfId="688" priority="715">
      <formula>AW195="후보"</formula>
    </cfRule>
  </conditionalFormatting>
  <conditionalFormatting sqref="AA195">
    <cfRule type="colorScale" priority="7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5">
    <cfRule type="cellIs" dxfId="687" priority="711" operator="greaterThan">
      <formula>0.9</formula>
    </cfRule>
    <cfRule type="cellIs" dxfId="686" priority="712" operator="greaterThan">
      <formula>0.85</formula>
    </cfRule>
  </conditionalFormatting>
  <conditionalFormatting sqref="N195">
    <cfRule type="cellIs" dxfId="685" priority="709" operator="greaterThan">
      <formula>0.9</formula>
    </cfRule>
    <cfRule type="cellIs" dxfId="684" priority="710" operator="greaterThan">
      <formula>0.85</formula>
    </cfRule>
  </conditionalFormatting>
  <conditionalFormatting sqref="E195">
    <cfRule type="expression" dxfId="683" priority="705">
      <formula>AND(IF(OR($Q195=1,$Q195=2),1,0),IF($E195&lt;=20,1,0))</formula>
    </cfRule>
    <cfRule type="expression" dxfId="682" priority="706">
      <formula>AND(IF($Q195=2,1,0),IF($E195&lt;30,1,0))</formula>
    </cfRule>
    <cfRule type="expression" dxfId="681" priority="707">
      <formula>AND(IF($Q195=3,1,0),IF($E195&lt;30,1,0))</formula>
    </cfRule>
    <cfRule type="expression" dxfId="680" priority="708">
      <formula>AND(IF($Q195=3,1,IF($Q195=4,1,0)),IF($F195&lt;=85,1,0))</formula>
    </cfRule>
  </conditionalFormatting>
  <conditionalFormatting sqref="Y195">
    <cfRule type="expression" dxfId="679" priority="701">
      <formula>AND(IF(OR($Q195=1,$Q195=2),1,0),IF($Y195&lt;=20,1,0))</formula>
    </cfRule>
    <cfRule type="expression" dxfId="678" priority="702">
      <formula>AND(IF($Q195=2,1,0),IF($Y195&lt;30,1,0))</formula>
    </cfRule>
    <cfRule type="expression" dxfId="677" priority="703">
      <formula>AND(IF($Q195=3,1,0),IF($Y195&lt;30,1,0))</formula>
    </cfRule>
    <cfRule type="expression" dxfId="676" priority="704">
      <formula>AND(IF($Q195=3,1,IF($Q195=4,1,0)),IF($F195&lt;=85,1,0))</formula>
    </cfRule>
  </conditionalFormatting>
  <conditionalFormatting sqref="AJ195">
    <cfRule type="expression" dxfId="675" priority="697">
      <formula>AND(IF(OR($Q195=1,$Q195=2),1,0),IF($Y195&lt;=20,1,0))</formula>
    </cfRule>
    <cfRule type="expression" dxfId="674" priority="698">
      <formula>AND(IF($Q195=2,1,0),IF($Y195&lt;30,1,0))</formula>
    </cfRule>
    <cfRule type="expression" dxfId="673" priority="699">
      <formula>AND(IF($Q195=3,1,0),IF($Y195&lt;30,1,0))</formula>
    </cfRule>
    <cfRule type="expression" dxfId="672" priority="700">
      <formula>AND(IF($Q195=3,1,IF($Q195=4,1,0)),IF($F195&lt;=85,1,0))</formula>
    </cfRule>
  </conditionalFormatting>
  <conditionalFormatting sqref="AW196">
    <cfRule type="expression" dxfId="671" priority="695">
      <formula>AW196="X"</formula>
    </cfRule>
    <cfRule type="expression" dxfId="670" priority="696">
      <formula>AW196="후보"</formula>
    </cfRule>
  </conditionalFormatting>
  <conditionalFormatting sqref="AA196">
    <cfRule type="colorScale" priority="6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6">
    <cfRule type="cellIs" dxfId="669" priority="692" operator="greaterThan">
      <formula>0.9</formula>
    </cfRule>
    <cfRule type="cellIs" dxfId="668" priority="693" operator="greaterThan">
      <formula>0.85</formula>
    </cfRule>
  </conditionalFormatting>
  <conditionalFormatting sqref="N196">
    <cfRule type="cellIs" dxfId="667" priority="690" operator="greaterThan">
      <formula>0.9</formula>
    </cfRule>
    <cfRule type="cellIs" dxfId="666" priority="691" operator="greaterThan">
      <formula>0.85</formula>
    </cfRule>
  </conditionalFormatting>
  <conditionalFormatting sqref="E196">
    <cfRule type="expression" dxfId="665" priority="686">
      <formula>AND(IF(OR($Q196=1,$Q196=2),1,0),IF($E196&lt;=20,1,0))</formula>
    </cfRule>
    <cfRule type="expression" dxfId="664" priority="687">
      <formula>AND(IF($Q196=2,1,0),IF($E196&lt;30,1,0))</formula>
    </cfRule>
    <cfRule type="expression" dxfId="663" priority="688">
      <formula>AND(IF($Q196=3,1,0),IF($E196&lt;30,1,0))</formula>
    </cfRule>
    <cfRule type="expression" dxfId="662" priority="689">
      <formula>AND(IF($Q196=3,1,IF($Q196=4,1,0)),IF($F196&lt;=85,1,0))</formula>
    </cfRule>
  </conditionalFormatting>
  <conditionalFormatting sqref="Y196">
    <cfRule type="expression" dxfId="661" priority="682">
      <formula>AND(IF(OR($Q196=1,$Q196=2),1,0),IF($Y196&lt;=20,1,0))</formula>
    </cfRule>
    <cfRule type="expression" dxfId="660" priority="683">
      <formula>AND(IF($Q196=2,1,0),IF($Y196&lt;30,1,0))</formula>
    </cfRule>
    <cfRule type="expression" dxfId="659" priority="684">
      <formula>AND(IF($Q196=3,1,0),IF($Y196&lt;30,1,0))</formula>
    </cfRule>
    <cfRule type="expression" dxfId="658" priority="685">
      <formula>AND(IF($Q196=3,1,IF($Q196=4,1,0)),IF($F196&lt;=85,1,0))</formula>
    </cfRule>
  </conditionalFormatting>
  <conditionalFormatting sqref="AJ196">
    <cfRule type="expression" dxfId="657" priority="678">
      <formula>AND(IF(OR($Q196=1,$Q196=2),1,0),IF($Y196&lt;=20,1,0))</formula>
    </cfRule>
    <cfRule type="expression" dxfId="656" priority="679">
      <formula>AND(IF($Q196=2,1,0),IF($Y196&lt;30,1,0))</formula>
    </cfRule>
    <cfRule type="expression" dxfId="655" priority="680">
      <formula>AND(IF($Q196=3,1,0),IF($Y196&lt;30,1,0))</formula>
    </cfRule>
    <cfRule type="expression" dxfId="654" priority="681">
      <formula>AND(IF($Q196=3,1,IF($Q196=4,1,0)),IF($F196&lt;=85,1,0))</formula>
    </cfRule>
  </conditionalFormatting>
  <conditionalFormatting sqref="AW197">
    <cfRule type="expression" dxfId="653" priority="676">
      <formula>AW197="X"</formula>
    </cfRule>
    <cfRule type="expression" dxfId="652" priority="677">
      <formula>AW197="후보"</formula>
    </cfRule>
  </conditionalFormatting>
  <conditionalFormatting sqref="AA197">
    <cfRule type="colorScale" priority="6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7 N197">
    <cfRule type="cellIs" dxfId="651" priority="673" operator="greaterThan">
      <formula>0.9</formula>
    </cfRule>
    <cfRule type="cellIs" dxfId="650" priority="674" operator="greaterThan">
      <formula>0.85</formula>
    </cfRule>
  </conditionalFormatting>
  <conditionalFormatting sqref="AW198">
    <cfRule type="expression" dxfId="649" priority="671">
      <formula>AW198="X"</formula>
    </cfRule>
    <cfRule type="expression" dxfId="648" priority="672">
      <formula>AW198="후보"</formula>
    </cfRule>
  </conditionalFormatting>
  <conditionalFormatting sqref="AA198">
    <cfRule type="colorScale" priority="6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8">
    <cfRule type="cellIs" dxfId="647" priority="668" operator="greaterThan">
      <formula>0.9</formula>
    </cfRule>
    <cfRule type="cellIs" dxfId="646" priority="669" operator="greaterThan">
      <formula>0.85</formula>
    </cfRule>
  </conditionalFormatting>
  <conditionalFormatting sqref="N198">
    <cfRule type="cellIs" dxfId="645" priority="666" operator="greaterThan">
      <formula>0.9</formula>
    </cfRule>
    <cfRule type="cellIs" dxfId="644" priority="667" operator="greaterThan">
      <formula>0.85</formula>
    </cfRule>
  </conditionalFormatting>
  <conditionalFormatting sqref="E198">
    <cfRule type="expression" dxfId="643" priority="662">
      <formula>AND(IF(OR($Q198=1,$Q198=2),1,0),IF($E198&lt;=20,1,0))</formula>
    </cfRule>
    <cfRule type="expression" dxfId="642" priority="663">
      <formula>AND(IF($Q198=2,1,0),IF($E198&lt;30,1,0))</formula>
    </cfRule>
    <cfRule type="expression" dxfId="641" priority="664">
      <formula>AND(IF($Q198=3,1,0),IF($E198&lt;30,1,0))</formula>
    </cfRule>
    <cfRule type="expression" dxfId="640" priority="665">
      <formula>AND(IF($Q198=3,1,IF($Q198=4,1,0)),IF($F198&lt;=85,1,0))</formula>
    </cfRule>
  </conditionalFormatting>
  <conditionalFormatting sqref="Y198">
    <cfRule type="expression" dxfId="639" priority="658">
      <formula>AND(IF(OR($Q198=1,$Q198=2),1,0),IF($Y198&lt;=20,1,0))</formula>
    </cfRule>
    <cfRule type="expression" dxfId="638" priority="659">
      <formula>AND(IF($Q198=2,1,0),IF($Y198&lt;30,1,0))</formula>
    </cfRule>
    <cfRule type="expression" dxfId="637" priority="660">
      <formula>AND(IF($Q198=3,1,0),IF($Y198&lt;30,1,0))</formula>
    </cfRule>
    <cfRule type="expression" dxfId="636" priority="661">
      <formula>AND(IF($Q198=3,1,IF($Q198=4,1,0)),IF($F198&lt;=85,1,0))</formula>
    </cfRule>
  </conditionalFormatting>
  <conditionalFormatting sqref="AJ198">
    <cfRule type="expression" dxfId="635" priority="654">
      <formula>AND(IF(OR($Q198=1,$Q198=2),1,0),IF($Y198&lt;=20,1,0))</formula>
    </cfRule>
    <cfRule type="expression" dxfId="634" priority="655">
      <formula>AND(IF($Q198=2,1,0),IF($Y198&lt;30,1,0))</formula>
    </cfRule>
    <cfRule type="expression" dxfId="633" priority="656">
      <formula>AND(IF($Q198=3,1,0),IF($Y198&lt;30,1,0))</formula>
    </cfRule>
    <cfRule type="expression" dxfId="632" priority="657">
      <formula>AND(IF($Q198=3,1,IF($Q198=4,1,0)),IF($F198&lt;=85,1,0))</formula>
    </cfRule>
  </conditionalFormatting>
  <conditionalFormatting sqref="AW199">
    <cfRule type="expression" dxfId="631" priority="652">
      <formula>AW199="X"</formula>
    </cfRule>
    <cfRule type="expression" dxfId="630" priority="653">
      <formula>AW199="후보"</formula>
    </cfRule>
  </conditionalFormatting>
  <conditionalFormatting sqref="AA199">
    <cfRule type="colorScale" priority="6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9">
    <cfRule type="cellIs" dxfId="629" priority="649" operator="greaterThan">
      <formula>0.9</formula>
    </cfRule>
    <cfRule type="cellIs" dxfId="628" priority="650" operator="greaterThan">
      <formula>0.85</formula>
    </cfRule>
  </conditionalFormatting>
  <conditionalFormatting sqref="N199">
    <cfRule type="cellIs" dxfId="627" priority="647" operator="greaterThan">
      <formula>0.9</formula>
    </cfRule>
    <cfRule type="cellIs" dxfId="626" priority="648" operator="greaterThan">
      <formula>0.85</formula>
    </cfRule>
  </conditionalFormatting>
  <conditionalFormatting sqref="E199">
    <cfRule type="expression" dxfId="625" priority="643">
      <formula>AND(IF(OR($Q199=1,$Q199=2),1,0),IF($E199&lt;=20,1,0))</formula>
    </cfRule>
    <cfRule type="expression" dxfId="624" priority="644">
      <formula>AND(IF($Q199=2,1,0),IF($E199&lt;30,1,0))</formula>
    </cfRule>
    <cfRule type="expression" dxfId="623" priority="645">
      <formula>AND(IF($Q199=3,1,0),IF($E199&lt;30,1,0))</formula>
    </cfRule>
    <cfRule type="expression" dxfId="622" priority="646">
      <formula>AND(IF($Q199=3,1,IF($Q199=4,1,0)),IF($F199&lt;=85,1,0))</formula>
    </cfRule>
  </conditionalFormatting>
  <conditionalFormatting sqref="Y199">
    <cfRule type="expression" dxfId="621" priority="639">
      <formula>AND(IF(OR($Q199=1,$Q199=2),1,0),IF($Y199&lt;=20,1,0))</formula>
    </cfRule>
    <cfRule type="expression" dxfId="620" priority="640">
      <formula>AND(IF($Q199=2,1,0),IF($Y199&lt;30,1,0))</formula>
    </cfRule>
    <cfRule type="expression" dxfId="619" priority="641">
      <formula>AND(IF($Q199=3,1,0),IF($Y199&lt;30,1,0))</formula>
    </cfRule>
    <cfRule type="expression" dxfId="618" priority="642">
      <formula>AND(IF($Q199=3,1,IF($Q199=4,1,0)),IF($F199&lt;=85,1,0))</formula>
    </cfRule>
  </conditionalFormatting>
  <conditionalFormatting sqref="AJ199">
    <cfRule type="expression" dxfId="617" priority="635">
      <formula>AND(IF(OR($Q199=1,$Q199=2),1,0),IF($Y199&lt;=20,1,0))</formula>
    </cfRule>
    <cfRule type="expression" dxfId="616" priority="636">
      <formula>AND(IF($Q199=2,1,0),IF($Y199&lt;30,1,0))</formula>
    </cfRule>
    <cfRule type="expression" dxfId="615" priority="637">
      <formula>AND(IF($Q199=3,1,0),IF($Y199&lt;30,1,0))</formula>
    </cfRule>
    <cfRule type="expression" dxfId="614" priority="638">
      <formula>AND(IF($Q199=3,1,IF($Q199=4,1,0)),IF($F199&lt;=85,1,0))</formula>
    </cfRule>
  </conditionalFormatting>
  <conditionalFormatting sqref="AW200">
    <cfRule type="expression" dxfId="613" priority="633">
      <formula>AW200="X"</formula>
    </cfRule>
    <cfRule type="expression" dxfId="612" priority="634">
      <formula>AW200="후보"</formula>
    </cfRule>
  </conditionalFormatting>
  <conditionalFormatting sqref="AA200">
    <cfRule type="colorScale" priority="6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0">
    <cfRule type="cellIs" dxfId="611" priority="630" operator="greaterThan">
      <formula>0.9</formula>
    </cfRule>
    <cfRule type="cellIs" dxfId="610" priority="631" operator="greaterThan">
      <formula>0.85</formula>
    </cfRule>
  </conditionalFormatting>
  <conditionalFormatting sqref="N200">
    <cfRule type="cellIs" dxfId="609" priority="628" operator="greaterThan">
      <formula>0.9</formula>
    </cfRule>
    <cfRule type="cellIs" dxfId="608" priority="629" operator="greaterThan">
      <formula>0.85</formula>
    </cfRule>
  </conditionalFormatting>
  <conditionalFormatting sqref="E200">
    <cfRule type="expression" dxfId="607" priority="624">
      <formula>AND(IF(OR($Q200=1,$Q200=2),1,0),IF($E200&lt;=20,1,0))</formula>
    </cfRule>
    <cfRule type="expression" dxfId="606" priority="625">
      <formula>AND(IF($Q200=2,1,0),IF($E200&lt;30,1,0))</formula>
    </cfRule>
    <cfRule type="expression" dxfId="605" priority="626">
      <formula>AND(IF($Q200=3,1,0),IF($E200&lt;30,1,0))</formula>
    </cfRule>
    <cfRule type="expression" dxfId="604" priority="627">
      <formula>AND(IF($Q200=3,1,IF($Q200=4,1,0)),IF($F200&lt;=85,1,0))</formula>
    </cfRule>
  </conditionalFormatting>
  <conditionalFormatting sqref="Y200">
    <cfRule type="expression" dxfId="603" priority="620">
      <formula>AND(IF(OR($Q200=1,$Q200=2),1,0),IF($Y200&lt;=20,1,0))</formula>
    </cfRule>
    <cfRule type="expression" dxfId="602" priority="621">
      <formula>AND(IF($Q200=2,1,0),IF($Y200&lt;30,1,0))</formula>
    </cfRule>
    <cfRule type="expression" dxfId="601" priority="622">
      <formula>AND(IF($Q200=3,1,0),IF($Y200&lt;30,1,0))</formula>
    </cfRule>
    <cfRule type="expression" dxfId="600" priority="623">
      <formula>AND(IF($Q200=3,1,IF($Q200=4,1,0)),IF($F200&lt;=85,1,0))</formula>
    </cfRule>
  </conditionalFormatting>
  <conditionalFormatting sqref="AJ200">
    <cfRule type="expression" dxfId="599" priority="616">
      <formula>AND(IF(OR($Q200=1,$Q200=2),1,0),IF($Y200&lt;=20,1,0))</formula>
    </cfRule>
    <cfRule type="expression" dxfId="598" priority="617">
      <formula>AND(IF($Q200=2,1,0),IF($Y200&lt;30,1,0))</formula>
    </cfRule>
    <cfRule type="expression" dxfId="597" priority="618">
      <formula>AND(IF($Q200=3,1,0),IF($Y200&lt;30,1,0))</formula>
    </cfRule>
    <cfRule type="expression" dxfId="596" priority="619">
      <formula>AND(IF($Q200=3,1,IF($Q200=4,1,0)),IF($F200&lt;=85,1,0))</formula>
    </cfRule>
  </conditionalFormatting>
  <conditionalFormatting sqref="AW201">
    <cfRule type="expression" dxfId="595" priority="614">
      <formula>AW201="X"</formula>
    </cfRule>
    <cfRule type="expression" dxfId="594" priority="615">
      <formula>AW201="후보"</formula>
    </cfRule>
  </conditionalFormatting>
  <conditionalFormatting sqref="AA201">
    <cfRule type="colorScale" priority="6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1 N201">
    <cfRule type="cellIs" dxfId="593" priority="611" operator="greaterThan">
      <formula>0.9</formula>
    </cfRule>
    <cfRule type="cellIs" dxfId="592" priority="612" operator="greaterThan">
      <formula>0.85</formula>
    </cfRule>
  </conditionalFormatting>
  <conditionalFormatting sqref="AW202">
    <cfRule type="expression" dxfId="591" priority="609">
      <formula>AW202="X"</formula>
    </cfRule>
    <cfRule type="expression" dxfId="590" priority="610">
      <formula>AW202="후보"</formula>
    </cfRule>
  </conditionalFormatting>
  <conditionalFormatting sqref="AA202">
    <cfRule type="colorScale" priority="6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2">
    <cfRule type="cellIs" dxfId="589" priority="606" operator="greaterThan">
      <formula>0.9</formula>
    </cfRule>
    <cfRule type="cellIs" dxfId="588" priority="607" operator="greaterThan">
      <formula>0.85</formula>
    </cfRule>
  </conditionalFormatting>
  <conditionalFormatting sqref="N202">
    <cfRule type="cellIs" dxfId="587" priority="604" operator="greaterThan">
      <formula>0.9</formula>
    </cfRule>
    <cfRule type="cellIs" dxfId="586" priority="605" operator="greaterThan">
      <formula>0.85</formula>
    </cfRule>
  </conditionalFormatting>
  <conditionalFormatting sqref="E202">
    <cfRule type="expression" dxfId="585" priority="600">
      <formula>AND(IF(OR($Q202=1,$Q202=2),1,0),IF($E202&lt;=20,1,0))</formula>
    </cfRule>
    <cfRule type="expression" dxfId="584" priority="601">
      <formula>AND(IF($Q202=2,1,0),IF($E202&lt;30,1,0))</formula>
    </cfRule>
    <cfRule type="expression" dxfId="583" priority="602">
      <formula>AND(IF($Q202=3,1,0),IF($E202&lt;30,1,0))</formula>
    </cfRule>
    <cfRule type="expression" dxfId="582" priority="603">
      <formula>AND(IF($Q202=3,1,IF($Q202=4,1,0)),IF($F202&lt;=85,1,0))</formula>
    </cfRule>
  </conditionalFormatting>
  <conditionalFormatting sqref="Y202">
    <cfRule type="expression" dxfId="581" priority="596">
      <formula>AND(IF(OR($Q202=1,$Q202=2),1,0),IF($Y202&lt;=20,1,0))</formula>
    </cfRule>
    <cfRule type="expression" dxfId="580" priority="597">
      <formula>AND(IF($Q202=2,1,0),IF($Y202&lt;30,1,0))</formula>
    </cfRule>
    <cfRule type="expression" dxfId="579" priority="598">
      <formula>AND(IF($Q202=3,1,0),IF($Y202&lt;30,1,0))</formula>
    </cfRule>
    <cfRule type="expression" dxfId="578" priority="599">
      <formula>AND(IF($Q202=3,1,IF($Q202=4,1,0)),IF($F202&lt;=85,1,0))</formula>
    </cfRule>
  </conditionalFormatting>
  <conditionalFormatting sqref="AJ202">
    <cfRule type="expression" dxfId="577" priority="592">
      <formula>AND(IF(OR($Q202=1,$Q202=2),1,0),IF($Y202&lt;=20,1,0))</formula>
    </cfRule>
    <cfRule type="expression" dxfId="576" priority="593">
      <formula>AND(IF($Q202=2,1,0),IF($Y202&lt;30,1,0))</formula>
    </cfRule>
    <cfRule type="expression" dxfId="575" priority="594">
      <formula>AND(IF($Q202=3,1,0),IF($Y202&lt;30,1,0))</formula>
    </cfRule>
    <cfRule type="expression" dxfId="574" priority="595">
      <formula>AND(IF($Q202=3,1,IF($Q202=4,1,0)),IF($F202&lt;=85,1,0))</formula>
    </cfRule>
  </conditionalFormatting>
  <conditionalFormatting sqref="AW203">
    <cfRule type="expression" dxfId="573" priority="590">
      <formula>AW203="X"</formula>
    </cfRule>
    <cfRule type="expression" dxfId="572" priority="591">
      <formula>AW203="후보"</formula>
    </cfRule>
  </conditionalFormatting>
  <conditionalFormatting sqref="AA203">
    <cfRule type="colorScale" priority="5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3">
    <cfRule type="cellIs" dxfId="571" priority="587" operator="greaterThan">
      <formula>0.9</formula>
    </cfRule>
    <cfRule type="cellIs" dxfId="570" priority="588" operator="greaterThan">
      <formula>0.85</formula>
    </cfRule>
  </conditionalFormatting>
  <conditionalFormatting sqref="N203">
    <cfRule type="cellIs" dxfId="569" priority="585" operator="greaterThan">
      <formula>0.9</formula>
    </cfRule>
    <cfRule type="cellIs" dxfId="568" priority="586" operator="greaterThan">
      <formula>0.85</formula>
    </cfRule>
  </conditionalFormatting>
  <conditionalFormatting sqref="E203">
    <cfRule type="expression" dxfId="567" priority="581">
      <formula>AND(IF(OR($Q203=1,$Q203=2),1,0),IF($E203&lt;=20,1,0))</formula>
    </cfRule>
    <cfRule type="expression" dxfId="566" priority="582">
      <formula>AND(IF($Q203=2,1,0),IF($E203&lt;30,1,0))</formula>
    </cfRule>
    <cfRule type="expression" dxfId="565" priority="583">
      <formula>AND(IF($Q203=3,1,0),IF($E203&lt;30,1,0))</formula>
    </cfRule>
    <cfRule type="expression" dxfId="564" priority="584">
      <formula>AND(IF($Q203=3,1,IF($Q203=4,1,0)),IF($F203&lt;=85,1,0))</formula>
    </cfRule>
  </conditionalFormatting>
  <conditionalFormatting sqref="Y203">
    <cfRule type="expression" dxfId="563" priority="577">
      <formula>AND(IF(OR($Q203=1,$Q203=2),1,0),IF($Y203&lt;=20,1,0))</formula>
    </cfRule>
    <cfRule type="expression" dxfId="562" priority="578">
      <formula>AND(IF($Q203=2,1,0),IF($Y203&lt;30,1,0))</formula>
    </cfRule>
    <cfRule type="expression" dxfId="561" priority="579">
      <formula>AND(IF($Q203=3,1,0),IF($Y203&lt;30,1,0))</formula>
    </cfRule>
    <cfRule type="expression" dxfId="560" priority="580">
      <formula>AND(IF($Q203=3,1,IF($Q203=4,1,0)),IF($F203&lt;=85,1,0))</formula>
    </cfRule>
  </conditionalFormatting>
  <conditionalFormatting sqref="AJ203">
    <cfRule type="expression" dxfId="559" priority="573">
      <formula>AND(IF(OR($Q203=1,$Q203=2),1,0),IF($Y203&lt;=20,1,0))</formula>
    </cfRule>
    <cfRule type="expression" dxfId="558" priority="574">
      <formula>AND(IF($Q203=2,1,0),IF($Y203&lt;30,1,0))</formula>
    </cfRule>
    <cfRule type="expression" dxfId="557" priority="575">
      <formula>AND(IF($Q203=3,1,0),IF($Y203&lt;30,1,0))</formula>
    </cfRule>
    <cfRule type="expression" dxfId="556" priority="576">
      <formula>AND(IF($Q203=3,1,IF($Q203=4,1,0)),IF($F203&lt;=85,1,0))</formula>
    </cfRule>
  </conditionalFormatting>
  <conditionalFormatting sqref="AW204">
    <cfRule type="expression" dxfId="555" priority="571">
      <formula>AW204="X"</formula>
    </cfRule>
    <cfRule type="expression" dxfId="554" priority="572">
      <formula>AW204="후보"</formula>
    </cfRule>
  </conditionalFormatting>
  <conditionalFormatting sqref="AA204">
    <cfRule type="colorScale" priority="5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4 N204">
    <cfRule type="cellIs" dxfId="553" priority="568" operator="greaterThan">
      <formula>0.9</formula>
    </cfRule>
    <cfRule type="cellIs" dxfId="552" priority="569" operator="greaterThan">
      <formula>0.85</formula>
    </cfRule>
  </conditionalFormatting>
  <conditionalFormatting sqref="AW205">
    <cfRule type="expression" dxfId="551" priority="566">
      <formula>AW205="X"</formula>
    </cfRule>
    <cfRule type="expression" dxfId="550" priority="567">
      <formula>AW205="후보"</formula>
    </cfRule>
  </conditionalFormatting>
  <conditionalFormatting sqref="AA205">
    <cfRule type="colorScale" priority="5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5">
    <cfRule type="cellIs" dxfId="549" priority="563" operator="greaterThan">
      <formula>0.9</formula>
    </cfRule>
    <cfRule type="cellIs" dxfId="548" priority="564" operator="greaterThan">
      <formula>0.85</formula>
    </cfRule>
  </conditionalFormatting>
  <conditionalFormatting sqref="N205">
    <cfRule type="cellIs" dxfId="547" priority="561" operator="greaterThan">
      <formula>0.9</formula>
    </cfRule>
    <cfRule type="cellIs" dxfId="546" priority="562" operator="greaterThan">
      <formula>0.85</formula>
    </cfRule>
  </conditionalFormatting>
  <conditionalFormatting sqref="E205">
    <cfRule type="expression" dxfId="545" priority="557">
      <formula>AND(IF(OR($Q205=1,$Q205=2),1,0),IF($E205&lt;=20,1,0))</formula>
    </cfRule>
    <cfRule type="expression" dxfId="544" priority="558">
      <formula>AND(IF($Q205=2,1,0),IF($E205&lt;30,1,0))</formula>
    </cfRule>
    <cfRule type="expression" dxfId="543" priority="559">
      <formula>AND(IF($Q205=3,1,0),IF($E205&lt;30,1,0))</formula>
    </cfRule>
    <cfRule type="expression" dxfId="542" priority="560">
      <formula>AND(IF($Q205=3,1,IF($Q205=4,1,0)),IF($F205&lt;=85,1,0))</formula>
    </cfRule>
  </conditionalFormatting>
  <conditionalFormatting sqref="Y205">
    <cfRule type="expression" dxfId="541" priority="553">
      <formula>AND(IF(OR($Q205=1,$Q205=2),1,0),IF($Y205&lt;=20,1,0))</formula>
    </cfRule>
    <cfRule type="expression" dxfId="540" priority="554">
      <formula>AND(IF($Q205=2,1,0),IF($Y205&lt;30,1,0))</formula>
    </cfRule>
    <cfRule type="expression" dxfId="539" priority="555">
      <formula>AND(IF($Q205=3,1,0),IF($Y205&lt;30,1,0))</formula>
    </cfRule>
    <cfRule type="expression" dxfId="538" priority="556">
      <formula>AND(IF($Q205=3,1,IF($Q205=4,1,0)),IF($F205&lt;=85,1,0))</formula>
    </cfRule>
  </conditionalFormatting>
  <conditionalFormatting sqref="AJ205">
    <cfRule type="expression" dxfId="537" priority="549">
      <formula>AND(IF(OR($Q205=1,$Q205=2),1,0),IF($Y205&lt;=20,1,0))</formula>
    </cfRule>
    <cfRule type="expression" dxfId="536" priority="550">
      <formula>AND(IF($Q205=2,1,0),IF($Y205&lt;30,1,0))</formula>
    </cfRule>
    <cfRule type="expression" dxfId="535" priority="551">
      <formula>AND(IF($Q205=3,1,0),IF($Y205&lt;30,1,0))</formula>
    </cfRule>
    <cfRule type="expression" dxfId="534" priority="552">
      <formula>AND(IF($Q205=3,1,IF($Q205=4,1,0)),IF($F205&lt;=85,1,0))</formula>
    </cfRule>
  </conditionalFormatting>
  <conditionalFormatting sqref="AW206">
    <cfRule type="expression" dxfId="533" priority="547">
      <formula>AW206="X"</formula>
    </cfRule>
    <cfRule type="expression" dxfId="532" priority="548">
      <formula>AW206="후보"</formula>
    </cfRule>
  </conditionalFormatting>
  <conditionalFormatting sqref="AA206">
    <cfRule type="colorScale" priority="5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6">
    <cfRule type="cellIs" dxfId="531" priority="544" operator="greaterThan">
      <formula>0.9</formula>
    </cfRule>
    <cfRule type="cellIs" dxfId="530" priority="545" operator="greaterThan">
      <formula>0.85</formula>
    </cfRule>
  </conditionalFormatting>
  <conditionalFormatting sqref="N206">
    <cfRule type="cellIs" dxfId="529" priority="542" operator="greaterThan">
      <formula>0.9</formula>
    </cfRule>
    <cfRule type="cellIs" dxfId="528" priority="543" operator="greaterThan">
      <formula>0.85</formula>
    </cfRule>
  </conditionalFormatting>
  <conditionalFormatting sqref="E206">
    <cfRule type="expression" dxfId="527" priority="538">
      <formula>AND(IF(OR($Q206=1,$Q206=2),1,0),IF($E206&lt;=20,1,0))</formula>
    </cfRule>
    <cfRule type="expression" dxfId="526" priority="539">
      <formula>AND(IF($Q206=2,1,0),IF($E206&lt;30,1,0))</formula>
    </cfRule>
    <cfRule type="expression" dxfId="525" priority="540">
      <formula>AND(IF($Q206=3,1,0),IF($E206&lt;30,1,0))</formula>
    </cfRule>
    <cfRule type="expression" dxfId="524" priority="541">
      <formula>AND(IF($Q206=3,1,IF($Q206=4,1,0)),IF($F206&lt;=85,1,0))</formula>
    </cfRule>
  </conditionalFormatting>
  <conditionalFormatting sqref="Y206">
    <cfRule type="expression" dxfId="523" priority="534">
      <formula>AND(IF(OR($Q206=1,$Q206=2),1,0),IF($Y206&lt;=20,1,0))</formula>
    </cfRule>
    <cfRule type="expression" dxfId="522" priority="535">
      <formula>AND(IF($Q206=2,1,0),IF($Y206&lt;30,1,0))</formula>
    </cfRule>
    <cfRule type="expression" dxfId="521" priority="536">
      <formula>AND(IF($Q206=3,1,0),IF($Y206&lt;30,1,0))</formula>
    </cfRule>
    <cfRule type="expression" dxfId="520" priority="537">
      <formula>AND(IF($Q206=3,1,IF($Q206=4,1,0)),IF($F206&lt;=85,1,0))</formula>
    </cfRule>
  </conditionalFormatting>
  <conditionalFormatting sqref="AJ206">
    <cfRule type="expression" dxfId="519" priority="530">
      <formula>AND(IF(OR($Q206=1,$Q206=2),1,0),IF($Y206&lt;=20,1,0))</formula>
    </cfRule>
    <cfRule type="expression" dxfId="518" priority="531">
      <formula>AND(IF($Q206=2,1,0),IF($Y206&lt;30,1,0))</formula>
    </cfRule>
    <cfRule type="expression" dxfId="517" priority="532">
      <formula>AND(IF($Q206=3,1,0),IF($Y206&lt;30,1,0))</formula>
    </cfRule>
    <cfRule type="expression" dxfId="516" priority="533">
      <formula>AND(IF($Q206=3,1,IF($Q206=4,1,0)),IF($F206&lt;=85,1,0))</formula>
    </cfRule>
  </conditionalFormatting>
  <conditionalFormatting sqref="AW207">
    <cfRule type="expression" dxfId="515" priority="528">
      <formula>AW207="X"</formula>
    </cfRule>
    <cfRule type="expression" dxfId="514" priority="529">
      <formula>AW207="후보"</formula>
    </cfRule>
  </conditionalFormatting>
  <conditionalFormatting sqref="AA207">
    <cfRule type="colorScale" priority="5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7">
    <cfRule type="cellIs" dxfId="513" priority="525" operator="greaterThan">
      <formula>0.9</formula>
    </cfRule>
    <cfRule type="cellIs" dxfId="512" priority="526" operator="greaterThan">
      <formula>0.85</formula>
    </cfRule>
  </conditionalFormatting>
  <conditionalFormatting sqref="N207">
    <cfRule type="cellIs" dxfId="511" priority="523" operator="greaterThan">
      <formula>0.9</formula>
    </cfRule>
    <cfRule type="cellIs" dxfId="510" priority="524" operator="greaterThan">
      <formula>0.85</formula>
    </cfRule>
  </conditionalFormatting>
  <conditionalFormatting sqref="E207">
    <cfRule type="expression" dxfId="509" priority="519">
      <formula>AND(IF(OR($Q207=1,$Q207=2),1,0),IF($E207&lt;=20,1,0))</formula>
    </cfRule>
    <cfRule type="expression" dxfId="508" priority="520">
      <formula>AND(IF($Q207=2,1,0),IF($E207&lt;30,1,0))</formula>
    </cfRule>
    <cfRule type="expression" dxfId="507" priority="521">
      <formula>AND(IF($Q207=3,1,0),IF($E207&lt;30,1,0))</formula>
    </cfRule>
    <cfRule type="expression" dxfId="506" priority="522">
      <formula>AND(IF($Q207=3,1,IF($Q207=4,1,0)),IF($F207&lt;=85,1,0))</formula>
    </cfRule>
  </conditionalFormatting>
  <conditionalFormatting sqref="Y207">
    <cfRule type="expression" dxfId="505" priority="515">
      <formula>AND(IF(OR($Q207=1,$Q207=2),1,0),IF($Y207&lt;=20,1,0))</formula>
    </cfRule>
    <cfRule type="expression" dxfId="504" priority="516">
      <formula>AND(IF($Q207=2,1,0),IF($Y207&lt;30,1,0))</formula>
    </cfRule>
    <cfRule type="expression" dxfId="503" priority="517">
      <formula>AND(IF($Q207=3,1,0),IF($Y207&lt;30,1,0))</formula>
    </cfRule>
    <cfRule type="expression" dxfId="502" priority="518">
      <formula>AND(IF($Q207=3,1,IF($Q207=4,1,0)),IF($F207&lt;=85,1,0))</formula>
    </cfRule>
  </conditionalFormatting>
  <conditionalFormatting sqref="AJ207">
    <cfRule type="expression" dxfId="501" priority="511">
      <formula>AND(IF(OR($Q207=1,$Q207=2),1,0),IF($Y207&lt;=20,1,0))</formula>
    </cfRule>
    <cfRule type="expression" dxfId="500" priority="512">
      <formula>AND(IF($Q207=2,1,0),IF($Y207&lt;30,1,0))</formula>
    </cfRule>
    <cfRule type="expression" dxfId="499" priority="513">
      <formula>AND(IF($Q207=3,1,0),IF($Y207&lt;30,1,0))</formula>
    </cfRule>
    <cfRule type="expression" dxfId="498" priority="514">
      <formula>AND(IF($Q207=3,1,IF($Q207=4,1,0)),IF($F207&lt;=85,1,0))</formula>
    </cfRule>
  </conditionalFormatting>
  <conditionalFormatting sqref="AW208">
    <cfRule type="expression" dxfId="497" priority="509">
      <formula>AW208="X"</formula>
    </cfRule>
    <cfRule type="expression" dxfId="496" priority="510">
      <formula>AW208="후보"</formula>
    </cfRule>
  </conditionalFormatting>
  <conditionalFormatting sqref="AA208">
    <cfRule type="colorScale" priority="5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8 N208">
    <cfRule type="cellIs" dxfId="495" priority="506" operator="greaterThan">
      <formula>0.9</formula>
    </cfRule>
    <cfRule type="cellIs" dxfId="494" priority="507" operator="greaterThan">
      <formula>0.85</formula>
    </cfRule>
  </conditionalFormatting>
  <conditionalFormatting sqref="AW209">
    <cfRule type="expression" dxfId="493" priority="504">
      <formula>AW209="X"</formula>
    </cfRule>
    <cfRule type="expression" dxfId="492" priority="505">
      <formula>AW209="후보"</formula>
    </cfRule>
  </conditionalFormatting>
  <conditionalFormatting sqref="AA209">
    <cfRule type="colorScale" priority="5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9">
    <cfRule type="cellIs" dxfId="491" priority="501" operator="greaterThan">
      <formula>0.9</formula>
    </cfRule>
    <cfRule type="cellIs" dxfId="490" priority="502" operator="greaterThan">
      <formula>0.85</formula>
    </cfRule>
  </conditionalFormatting>
  <conditionalFormatting sqref="N209">
    <cfRule type="cellIs" dxfId="489" priority="499" operator="greaterThan">
      <formula>0.9</formula>
    </cfRule>
    <cfRule type="cellIs" dxfId="488" priority="500" operator="greaterThan">
      <formula>0.85</formula>
    </cfRule>
  </conditionalFormatting>
  <conditionalFormatting sqref="E209">
    <cfRule type="expression" dxfId="487" priority="495">
      <formula>AND(IF(OR($Q209=1,$Q209=2),1,0),IF($E209&lt;=20,1,0))</formula>
    </cfRule>
    <cfRule type="expression" dxfId="486" priority="496">
      <formula>AND(IF($Q209=2,1,0),IF($E209&lt;30,1,0))</formula>
    </cfRule>
    <cfRule type="expression" dxfId="485" priority="497">
      <formula>AND(IF($Q209=3,1,0),IF($E209&lt;30,1,0))</formula>
    </cfRule>
    <cfRule type="expression" dxfId="484" priority="498">
      <formula>AND(IF($Q209=3,1,IF($Q209=4,1,0)),IF($F209&lt;=85,1,0))</formula>
    </cfRule>
  </conditionalFormatting>
  <conditionalFormatting sqref="Y209">
    <cfRule type="expression" dxfId="483" priority="491">
      <formula>AND(IF(OR($Q209=1,$Q209=2),1,0),IF($Y209&lt;=20,1,0))</formula>
    </cfRule>
    <cfRule type="expression" dxfId="482" priority="492">
      <formula>AND(IF($Q209=2,1,0),IF($Y209&lt;30,1,0))</formula>
    </cfRule>
    <cfRule type="expression" dxfId="481" priority="493">
      <formula>AND(IF($Q209=3,1,0),IF($Y209&lt;30,1,0))</formula>
    </cfRule>
    <cfRule type="expression" dxfId="480" priority="494">
      <formula>AND(IF($Q209=3,1,IF($Q209=4,1,0)),IF($F209&lt;=85,1,0))</formula>
    </cfRule>
  </conditionalFormatting>
  <conditionalFormatting sqref="AJ209">
    <cfRule type="expression" dxfId="479" priority="487">
      <formula>AND(IF(OR($Q209=1,$Q209=2),1,0),IF($Y209&lt;=20,1,0))</formula>
    </cfRule>
    <cfRule type="expression" dxfId="478" priority="488">
      <formula>AND(IF($Q209=2,1,0),IF($Y209&lt;30,1,0))</formula>
    </cfRule>
    <cfRule type="expression" dxfId="477" priority="489">
      <formula>AND(IF($Q209=3,1,0),IF($Y209&lt;30,1,0))</formula>
    </cfRule>
    <cfRule type="expression" dxfId="476" priority="490">
      <formula>AND(IF($Q209=3,1,IF($Q209=4,1,0)),IF($F209&lt;=85,1,0))</formula>
    </cfRule>
  </conditionalFormatting>
  <conditionalFormatting sqref="AW210">
    <cfRule type="expression" dxfId="475" priority="485">
      <formula>AW210="X"</formula>
    </cfRule>
    <cfRule type="expression" dxfId="474" priority="486">
      <formula>AW210="후보"</formula>
    </cfRule>
  </conditionalFormatting>
  <conditionalFormatting sqref="AA210">
    <cfRule type="colorScale" priority="4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0">
    <cfRule type="cellIs" dxfId="473" priority="482" operator="greaterThan">
      <formula>0.9</formula>
    </cfRule>
    <cfRule type="cellIs" dxfId="472" priority="483" operator="greaterThan">
      <formula>0.85</formula>
    </cfRule>
  </conditionalFormatting>
  <conditionalFormatting sqref="N210">
    <cfRule type="cellIs" dxfId="471" priority="480" operator="greaterThan">
      <formula>0.9</formula>
    </cfRule>
    <cfRule type="cellIs" dxfId="470" priority="481" operator="greaterThan">
      <formula>0.85</formula>
    </cfRule>
  </conditionalFormatting>
  <conditionalFormatting sqref="E210">
    <cfRule type="expression" dxfId="469" priority="476">
      <formula>AND(IF(OR($Q210=1,$Q210=2),1,0),IF($E210&lt;=20,1,0))</formula>
    </cfRule>
    <cfRule type="expression" dxfId="468" priority="477">
      <formula>AND(IF($Q210=2,1,0),IF($E210&lt;30,1,0))</formula>
    </cfRule>
    <cfRule type="expression" dxfId="467" priority="478">
      <formula>AND(IF($Q210=3,1,0),IF($E210&lt;30,1,0))</formula>
    </cfRule>
    <cfRule type="expression" dxfId="466" priority="479">
      <formula>AND(IF($Q210=3,1,IF($Q210=4,1,0)),IF($F210&lt;=85,1,0))</formula>
    </cfRule>
  </conditionalFormatting>
  <conditionalFormatting sqref="Y210">
    <cfRule type="expression" dxfId="465" priority="472">
      <formula>AND(IF(OR($Q210=1,$Q210=2),1,0),IF($Y210&lt;=20,1,0))</formula>
    </cfRule>
    <cfRule type="expression" dxfId="464" priority="473">
      <formula>AND(IF($Q210=2,1,0),IF($Y210&lt;30,1,0))</formula>
    </cfRule>
    <cfRule type="expression" dxfId="463" priority="474">
      <formula>AND(IF($Q210=3,1,0),IF($Y210&lt;30,1,0))</formula>
    </cfRule>
    <cfRule type="expression" dxfId="462" priority="475">
      <formula>AND(IF($Q210=3,1,IF($Q210=4,1,0)),IF($F210&lt;=85,1,0))</formula>
    </cfRule>
  </conditionalFormatting>
  <conditionalFormatting sqref="AJ210">
    <cfRule type="expression" dxfId="461" priority="468">
      <formula>AND(IF(OR($Q210=1,$Q210=2),1,0),IF($Y210&lt;=20,1,0))</formula>
    </cfRule>
    <cfRule type="expression" dxfId="460" priority="469">
      <formula>AND(IF($Q210=2,1,0),IF($Y210&lt;30,1,0))</formula>
    </cfRule>
    <cfRule type="expression" dxfId="459" priority="470">
      <formula>AND(IF($Q210=3,1,0),IF($Y210&lt;30,1,0))</formula>
    </cfRule>
    <cfRule type="expression" dxfId="458" priority="471">
      <formula>AND(IF($Q210=3,1,IF($Q210=4,1,0)),IF($F210&lt;=85,1,0))</formula>
    </cfRule>
  </conditionalFormatting>
  <conditionalFormatting sqref="AW211">
    <cfRule type="expression" dxfId="457" priority="466">
      <formula>AW211="X"</formula>
    </cfRule>
    <cfRule type="expression" dxfId="456" priority="467">
      <formula>AW211="후보"</formula>
    </cfRule>
  </conditionalFormatting>
  <conditionalFormatting sqref="AA211">
    <cfRule type="colorScale" priority="4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1">
    <cfRule type="cellIs" dxfId="455" priority="463" operator="greaterThan">
      <formula>0.9</formula>
    </cfRule>
    <cfRule type="cellIs" dxfId="454" priority="464" operator="greaterThan">
      <formula>0.85</formula>
    </cfRule>
  </conditionalFormatting>
  <conditionalFormatting sqref="N211">
    <cfRule type="cellIs" dxfId="453" priority="461" operator="greaterThan">
      <formula>0.9</formula>
    </cfRule>
    <cfRule type="cellIs" dxfId="452" priority="462" operator="greaterThan">
      <formula>0.85</formula>
    </cfRule>
  </conditionalFormatting>
  <conditionalFormatting sqref="E211">
    <cfRule type="expression" dxfId="451" priority="457">
      <formula>AND(IF(OR($Q211=1,$Q211=2),1,0),IF($E211&lt;=20,1,0))</formula>
    </cfRule>
    <cfRule type="expression" dxfId="450" priority="458">
      <formula>AND(IF($Q211=2,1,0),IF($E211&lt;30,1,0))</formula>
    </cfRule>
    <cfRule type="expression" dxfId="449" priority="459">
      <formula>AND(IF($Q211=3,1,0),IF($E211&lt;30,1,0))</formula>
    </cfRule>
    <cfRule type="expression" dxfId="448" priority="460">
      <formula>AND(IF($Q211=3,1,IF($Q211=4,1,0)),IF($F211&lt;=85,1,0))</formula>
    </cfRule>
  </conditionalFormatting>
  <conditionalFormatting sqref="Y211">
    <cfRule type="expression" dxfId="447" priority="453">
      <formula>AND(IF(OR($Q211=1,$Q211=2),1,0),IF($Y211&lt;=20,1,0))</formula>
    </cfRule>
    <cfRule type="expression" dxfId="446" priority="454">
      <formula>AND(IF($Q211=2,1,0),IF($Y211&lt;30,1,0))</formula>
    </cfRule>
    <cfRule type="expression" dxfId="445" priority="455">
      <formula>AND(IF($Q211=3,1,0),IF($Y211&lt;30,1,0))</formula>
    </cfRule>
    <cfRule type="expression" dxfId="444" priority="456">
      <formula>AND(IF($Q211=3,1,IF($Q211=4,1,0)),IF($F211&lt;=85,1,0))</formula>
    </cfRule>
  </conditionalFormatting>
  <conditionalFormatting sqref="AJ211">
    <cfRule type="expression" dxfId="443" priority="449">
      <formula>AND(IF(OR($Q211=1,$Q211=2),1,0),IF($Y211&lt;=20,1,0))</formula>
    </cfRule>
    <cfRule type="expression" dxfId="442" priority="450">
      <formula>AND(IF($Q211=2,1,0),IF($Y211&lt;30,1,0))</formula>
    </cfRule>
    <cfRule type="expression" dxfId="441" priority="451">
      <formula>AND(IF($Q211=3,1,0),IF($Y211&lt;30,1,0))</formula>
    </cfRule>
    <cfRule type="expression" dxfId="440" priority="452">
      <formula>AND(IF($Q211=3,1,IF($Q211=4,1,0)),IF($F211&lt;=85,1,0))</formula>
    </cfRule>
  </conditionalFormatting>
  <conditionalFormatting sqref="AW212">
    <cfRule type="expression" dxfId="439" priority="447">
      <formula>AW212="X"</formula>
    </cfRule>
    <cfRule type="expression" dxfId="438" priority="448">
      <formula>AW212="후보"</formula>
    </cfRule>
  </conditionalFormatting>
  <conditionalFormatting sqref="AA212">
    <cfRule type="colorScale" priority="4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2">
    <cfRule type="cellIs" dxfId="437" priority="444" operator="greaterThan">
      <formula>0.9</formula>
    </cfRule>
    <cfRule type="cellIs" dxfId="436" priority="445" operator="greaterThan">
      <formula>0.85</formula>
    </cfRule>
  </conditionalFormatting>
  <conditionalFormatting sqref="N212">
    <cfRule type="cellIs" dxfId="435" priority="442" operator="greaterThan">
      <formula>0.9</formula>
    </cfRule>
    <cfRule type="cellIs" dxfId="434" priority="443" operator="greaterThan">
      <formula>0.85</formula>
    </cfRule>
  </conditionalFormatting>
  <conditionalFormatting sqref="E212">
    <cfRule type="expression" dxfId="433" priority="438">
      <formula>AND(IF(OR($Q212=1,$Q212=2),1,0),IF($E212&lt;=20,1,0))</formula>
    </cfRule>
    <cfRule type="expression" dxfId="432" priority="439">
      <formula>AND(IF($Q212=2,1,0),IF($E212&lt;30,1,0))</formula>
    </cfRule>
    <cfRule type="expression" dxfId="431" priority="440">
      <formula>AND(IF($Q212=3,1,0),IF($E212&lt;30,1,0))</formula>
    </cfRule>
    <cfRule type="expression" dxfId="430" priority="441">
      <formula>AND(IF($Q212=3,1,IF($Q212=4,1,0)),IF($F212&lt;=85,1,0))</formula>
    </cfRule>
  </conditionalFormatting>
  <conditionalFormatting sqref="Y212">
    <cfRule type="expression" dxfId="429" priority="434">
      <formula>AND(IF(OR($Q212=1,$Q212=2),1,0),IF($Y212&lt;=20,1,0))</formula>
    </cfRule>
    <cfRule type="expression" dxfId="428" priority="435">
      <formula>AND(IF($Q212=2,1,0),IF($Y212&lt;30,1,0))</formula>
    </cfRule>
    <cfRule type="expression" dxfId="427" priority="436">
      <formula>AND(IF($Q212=3,1,0),IF($Y212&lt;30,1,0))</formula>
    </cfRule>
    <cfRule type="expression" dxfId="426" priority="437">
      <formula>AND(IF($Q212=3,1,IF($Q212=4,1,0)),IF($F212&lt;=85,1,0))</formula>
    </cfRule>
  </conditionalFormatting>
  <conditionalFormatting sqref="AJ212">
    <cfRule type="expression" dxfId="425" priority="430">
      <formula>AND(IF(OR($Q212=1,$Q212=2),1,0),IF($Y212&lt;=20,1,0))</formula>
    </cfRule>
    <cfRule type="expression" dxfId="424" priority="431">
      <formula>AND(IF($Q212=2,1,0),IF($Y212&lt;30,1,0))</formula>
    </cfRule>
    <cfRule type="expression" dxfId="423" priority="432">
      <formula>AND(IF($Q212=3,1,0),IF($Y212&lt;30,1,0))</formula>
    </cfRule>
    <cfRule type="expression" dxfId="422" priority="433">
      <formula>AND(IF($Q212=3,1,IF($Q212=4,1,0)),IF($F212&lt;=85,1,0))</formula>
    </cfRule>
  </conditionalFormatting>
  <conditionalFormatting sqref="AW213">
    <cfRule type="expression" dxfId="421" priority="428">
      <formula>AW213="X"</formula>
    </cfRule>
    <cfRule type="expression" dxfId="420" priority="429">
      <formula>AW213="후보"</formula>
    </cfRule>
  </conditionalFormatting>
  <conditionalFormatting sqref="AA213">
    <cfRule type="colorScale" priority="4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3">
    <cfRule type="cellIs" dxfId="419" priority="425" operator="greaterThan">
      <formula>0.9</formula>
    </cfRule>
    <cfRule type="cellIs" dxfId="418" priority="426" operator="greaterThan">
      <formula>0.85</formula>
    </cfRule>
  </conditionalFormatting>
  <conditionalFormatting sqref="N213">
    <cfRule type="cellIs" dxfId="417" priority="423" operator="greaterThan">
      <formula>0.9</formula>
    </cfRule>
    <cfRule type="cellIs" dxfId="416" priority="424" operator="greaterThan">
      <formula>0.85</formula>
    </cfRule>
  </conditionalFormatting>
  <conditionalFormatting sqref="E213">
    <cfRule type="expression" dxfId="415" priority="419">
      <formula>AND(IF(OR($Q213=1,$Q213=2),1,0),IF($E213&lt;=20,1,0))</formula>
    </cfRule>
    <cfRule type="expression" dxfId="414" priority="420">
      <formula>AND(IF($Q213=2,1,0),IF($E213&lt;30,1,0))</formula>
    </cfRule>
    <cfRule type="expression" dxfId="413" priority="421">
      <formula>AND(IF($Q213=3,1,0),IF($E213&lt;30,1,0))</formula>
    </cfRule>
    <cfRule type="expression" dxfId="412" priority="422">
      <formula>AND(IF($Q213=3,1,IF($Q213=4,1,0)),IF($F213&lt;=85,1,0))</formula>
    </cfRule>
  </conditionalFormatting>
  <conditionalFormatting sqref="Y213">
    <cfRule type="expression" dxfId="411" priority="415">
      <formula>AND(IF(OR($Q213=1,$Q213=2),1,0),IF($Y213&lt;=20,1,0))</formula>
    </cfRule>
    <cfRule type="expression" dxfId="410" priority="416">
      <formula>AND(IF($Q213=2,1,0),IF($Y213&lt;30,1,0))</formula>
    </cfRule>
    <cfRule type="expression" dxfId="409" priority="417">
      <formula>AND(IF($Q213=3,1,0),IF($Y213&lt;30,1,0))</formula>
    </cfRule>
    <cfRule type="expression" dxfId="408" priority="418">
      <formula>AND(IF($Q213=3,1,IF($Q213=4,1,0)),IF($F213&lt;=85,1,0))</formula>
    </cfRule>
  </conditionalFormatting>
  <conditionalFormatting sqref="AJ213">
    <cfRule type="expression" dxfId="407" priority="411">
      <formula>AND(IF(OR($Q213=1,$Q213=2),1,0),IF($Y213&lt;=20,1,0))</formula>
    </cfRule>
    <cfRule type="expression" dxfId="406" priority="412">
      <formula>AND(IF($Q213=2,1,0),IF($Y213&lt;30,1,0))</formula>
    </cfRule>
    <cfRule type="expression" dxfId="405" priority="413">
      <formula>AND(IF($Q213=3,1,0),IF($Y213&lt;30,1,0))</formula>
    </cfRule>
    <cfRule type="expression" dxfId="404" priority="414">
      <formula>AND(IF($Q213=3,1,IF($Q213=4,1,0)),IF($F213&lt;=85,1,0))</formula>
    </cfRule>
  </conditionalFormatting>
  <conditionalFormatting sqref="AW214">
    <cfRule type="expression" dxfId="403" priority="409">
      <formula>AW214="X"</formula>
    </cfRule>
    <cfRule type="expression" dxfId="402" priority="410">
      <formula>AW214="후보"</formula>
    </cfRule>
  </conditionalFormatting>
  <conditionalFormatting sqref="AA214">
    <cfRule type="colorScale" priority="4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4 N214">
    <cfRule type="cellIs" dxfId="401" priority="406" operator="greaterThan">
      <formula>0.9</formula>
    </cfRule>
    <cfRule type="cellIs" dxfId="400" priority="407" operator="greaterThan">
      <formula>0.85</formula>
    </cfRule>
  </conditionalFormatting>
  <conditionalFormatting sqref="AW215">
    <cfRule type="expression" dxfId="399" priority="404">
      <formula>AW215="X"</formula>
    </cfRule>
    <cfRule type="expression" dxfId="398" priority="405">
      <formula>AW215="후보"</formula>
    </cfRule>
  </conditionalFormatting>
  <conditionalFormatting sqref="AA215">
    <cfRule type="colorScale" priority="4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5">
    <cfRule type="cellIs" dxfId="397" priority="401" operator="greaterThan">
      <formula>0.9</formula>
    </cfRule>
    <cfRule type="cellIs" dxfId="396" priority="402" operator="greaterThan">
      <formula>0.85</formula>
    </cfRule>
  </conditionalFormatting>
  <conditionalFormatting sqref="N215">
    <cfRule type="cellIs" dxfId="395" priority="399" operator="greaterThan">
      <formula>0.9</formula>
    </cfRule>
    <cfRule type="cellIs" dxfId="394" priority="400" operator="greaterThan">
      <formula>0.85</formula>
    </cfRule>
  </conditionalFormatting>
  <conditionalFormatting sqref="E215">
    <cfRule type="expression" dxfId="393" priority="395">
      <formula>AND(IF(OR($Q215=1,$Q215=2),1,0),IF($E215&lt;=20,1,0))</formula>
    </cfRule>
    <cfRule type="expression" dxfId="392" priority="396">
      <formula>AND(IF($Q215=2,1,0),IF($E215&lt;30,1,0))</formula>
    </cfRule>
    <cfRule type="expression" dxfId="391" priority="397">
      <formula>AND(IF($Q215=3,1,0),IF($E215&lt;30,1,0))</formula>
    </cfRule>
    <cfRule type="expression" dxfId="390" priority="398">
      <formula>AND(IF($Q215=3,1,IF($Q215=4,1,0)),IF($F215&lt;=85,1,0))</formula>
    </cfRule>
  </conditionalFormatting>
  <conditionalFormatting sqref="Y215">
    <cfRule type="expression" dxfId="389" priority="391">
      <formula>AND(IF(OR($Q215=1,$Q215=2),1,0),IF($Y215&lt;=20,1,0))</formula>
    </cfRule>
    <cfRule type="expression" dxfId="388" priority="392">
      <formula>AND(IF($Q215=2,1,0),IF($Y215&lt;30,1,0))</formula>
    </cfRule>
    <cfRule type="expression" dxfId="387" priority="393">
      <formula>AND(IF($Q215=3,1,0),IF($Y215&lt;30,1,0))</formula>
    </cfRule>
    <cfRule type="expression" dxfId="386" priority="394">
      <formula>AND(IF($Q215=3,1,IF($Q215=4,1,0)),IF($F215&lt;=85,1,0))</formula>
    </cfRule>
  </conditionalFormatting>
  <conditionalFormatting sqref="AJ215">
    <cfRule type="expression" dxfId="385" priority="387">
      <formula>AND(IF(OR($Q215=1,$Q215=2),1,0),IF($Y215&lt;=20,1,0))</formula>
    </cfRule>
    <cfRule type="expression" dxfId="384" priority="388">
      <formula>AND(IF($Q215=2,1,0),IF($Y215&lt;30,1,0))</formula>
    </cfRule>
    <cfRule type="expression" dxfId="383" priority="389">
      <formula>AND(IF($Q215=3,1,0),IF($Y215&lt;30,1,0))</formula>
    </cfRule>
    <cfRule type="expression" dxfId="382" priority="390">
      <formula>AND(IF($Q215=3,1,IF($Q215=4,1,0)),IF($F215&lt;=85,1,0))</formula>
    </cfRule>
  </conditionalFormatting>
  <conditionalFormatting sqref="AW216">
    <cfRule type="expression" dxfId="381" priority="385">
      <formula>AW216="X"</formula>
    </cfRule>
    <cfRule type="expression" dxfId="380" priority="386">
      <formula>AW216="후보"</formula>
    </cfRule>
  </conditionalFormatting>
  <conditionalFormatting sqref="AA216">
    <cfRule type="colorScale" priority="3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6">
    <cfRule type="cellIs" dxfId="379" priority="382" operator="greaterThan">
      <formula>0.9</formula>
    </cfRule>
    <cfRule type="cellIs" dxfId="378" priority="383" operator="greaterThan">
      <formula>0.85</formula>
    </cfRule>
  </conditionalFormatting>
  <conditionalFormatting sqref="N216">
    <cfRule type="cellIs" dxfId="377" priority="380" operator="greaterThan">
      <formula>0.9</formula>
    </cfRule>
    <cfRule type="cellIs" dxfId="376" priority="381" operator="greaterThan">
      <formula>0.85</formula>
    </cfRule>
  </conditionalFormatting>
  <conditionalFormatting sqref="E216">
    <cfRule type="expression" dxfId="375" priority="376">
      <formula>AND(IF(OR($Q216=1,$Q216=2),1,0),IF($E216&lt;=20,1,0))</formula>
    </cfRule>
    <cfRule type="expression" dxfId="374" priority="377">
      <formula>AND(IF($Q216=2,1,0),IF($E216&lt;30,1,0))</formula>
    </cfRule>
    <cfRule type="expression" dxfId="373" priority="378">
      <formula>AND(IF($Q216=3,1,0),IF($E216&lt;30,1,0))</formula>
    </cfRule>
    <cfRule type="expression" dxfId="372" priority="379">
      <formula>AND(IF($Q216=3,1,IF($Q216=4,1,0)),IF($F216&lt;=85,1,0))</formula>
    </cfRule>
  </conditionalFormatting>
  <conditionalFormatting sqref="Y216">
    <cfRule type="expression" dxfId="371" priority="372">
      <formula>AND(IF(OR($Q216=1,$Q216=2),1,0),IF($Y216&lt;=20,1,0))</formula>
    </cfRule>
    <cfRule type="expression" dxfId="370" priority="373">
      <formula>AND(IF($Q216=2,1,0),IF($Y216&lt;30,1,0))</formula>
    </cfRule>
    <cfRule type="expression" dxfId="369" priority="374">
      <formula>AND(IF($Q216=3,1,0),IF($Y216&lt;30,1,0))</formula>
    </cfRule>
    <cfRule type="expression" dxfId="368" priority="375">
      <formula>AND(IF($Q216=3,1,IF($Q216=4,1,0)),IF($F216&lt;=85,1,0))</formula>
    </cfRule>
  </conditionalFormatting>
  <conditionalFormatting sqref="AJ216">
    <cfRule type="expression" dxfId="367" priority="368">
      <formula>AND(IF(OR($Q216=1,$Q216=2),1,0),IF($Y216&lt;=20,1,0))</formula>
    </cfRule>
    <cfRule type="expression" dxfId="366" priority="369">
      <formula>AND(IF($Q216=2,1,0),IF($Y216&lt;30,1,0))</formula>
    </cfRule>
    <cfRule type="expression" dxfId="365" priority="370">
      <formula>AND(IF($Q216=3,1,0),IF($Y216&lt;30,1,0))</formula>
    </cfRule>
    <cfRule type="expression" dxfId="364" priority="371">
      <formula>AND(IF($Q216=3,1,IF($Q216=4,1,0)),IF($F216&lt;=85,1,0))</formula>
    </cfRule>
  </conditionalFormatting>
  <conditionalFormatting sqref="AW217">
    <cfRule type="expression" dxfId="363" priority="366">
      <formula>AW217="X"</formula>
    </cfRule>
    <cfRule type="expression" dxfId="362" priority="367">
      <formula>AW217="후보"</formula>
    </cfRule>
  </conditionalFormatting>
  <conditionalFormatting sqref="AA217">
    <cfRule type="colorScale" priority="3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7">
    <cfRule type="cellIs" dxfId="361" priority="363" operator="greaterThan">
      <formula>0.9</formula>
    </cfRule>
    <cfRule type="cellIs" dxfId="360" priority="364" operator="greaterThan">
      <formula>0.85</formula>
    </cfRule>
  </conditionalFormatting>
  <conditionalFormatting sqref="N217">
    <cfRule type="cellIs" dxfId="359" priority="361" operator="greaterThan">
      <formula>0.9</formula>
    </cfRule>
    <cfRule type="cellIs" dxfId="358" priority="362" operator="greaterThan">
      <formula>0.85</formula>
    </cfRule>
  </conditionalFormatting>
  <conditionalFormatting sqref="E217">
    <cfRule type="expression" dxfId="357" priority="357">
      <formula>AND(IF(OR($Q217=1,$Q217=2),1,0),IF($E217&lt;=20,1,0))</formula>
    </cfRule>
    <cfRule type="expression" dxfId="356" priority="358">
      <formula>AND(IF($Q217=2,1,0),IF($E217&lt;30,1,0))</formula>
    </cfRule>
    <cfRule type="expression" dxfId="355" priority="359">
      <formula>AND(IF($Q217=3,1,0),IF($E217&lt;30,1,0))</formula>
    </cfRule>
    <cfRule type="expression" dxfId="354" priority="360">
      <formula>AND(IF($Q217=3,1,IF($Q217=4,1,0)),IF($F217&lt;=85,1,0))</formula>
    </cfRule>
  </conditionalFormatting>
  <conditionalFormatting sqref="Y217">
    <cfRule type="expression" dxfId="353" priority="353">
      <formula>AND(IF(OR($Q217=1,$Q217=2),1,0),IF($Y217&lt;=20,1,0))</formula>
    </cfRule>
    <cfRule type="expression" dxfId="352" priority="354">
      <formula>AND(IF($Q217=2,1,0),IF($Y217&lt;30,1,0))</formula>
    </cfRule>
    <cfRule type="expression" dxfId="351" priority="355">
      <formula>AND(IF($Q217=3,1,0),IF($Y217&lt;30,1,0))</formula>
    </cfRule>
    <cfRule type="expression" dxfId="350" priority="356">
      <formula>AND(IF($Q217=3,1,IF($Q217=4,1,0)),IF($F217&lt;=85,1,0))</formula>
    </cfRule>
  </conditionalFormatting>
  <conditionalFormatting sqref="AJ217">
    <cfRule type="expression" dxfId="349" priority="349">
      <formula>AND(IF(OR($Q217=1,$Q217=2),1,0),IF($Y217&lt;=20,1,0))</formula>
    </cfRule>
    <cfRule type="expression" dxfId="348" priority="350">
      <formula>AND(IF($Q217=2,1,0),IF($Y217&lt;30,1,0))</formula>
    </cfRule>
    <cfRule type="expression" dxfId="347" priority="351">
      <formula>AND(IF($Q217=3,1,0),IF($Y217&lt;30,1,0))</formula>
    </cfRule>
    <cfRule type="expression" dxfId="346" priority="352">
      <formula>AND(IF($Q217=3,1,IF($Q217=4,1,0)),IF($F217&lt;=85,1,0))</formula>
    </cfRule>
  </conditionalFormatting>
  <conditionalFormatting sqref="AW218">
    <cfRule type="expression" dxfId="345" priority="347">
      <formula>AW218="X"</formula>
    </cfRule>
    <cfRule type="expression" dxfId="344" priority="348">
      <formula>AW218="후보"</formula>
    </cfRule>
  </conditionalFormatting>
  <conditionalFormatting sqref="AA218">
    <cfRule type="colorScale" priority="3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8">
    <cfRule type="cellIs" dxfId="343" priority="344" operator="greaterThan">
      <formula>0.9</formula>
    </cfRule>
    <cfRule type="cellIs" dxfId="342" priority="345" operator="greaterThan">
      <formula>0.85</formula>
    </cfRule>
  </conditionalFormatting>
  <conditionalFormatting sqref="N218">
    <cfRule type="cellIs" dxfId="341" priority="342" operator="greaterThan">
      <formula>0.9</formula>
    </cfRule>
    <cfRule type="cellIs" dxfId="340" priority="343" operator="greaterThan">
      <formula>0.85</formula>
    </cfRule>
  </conditionalFormatting>
  <conditionalFormatting sqref="E218">
    <cfRule type="expression" dxfId="339" priority="338">
      <formula>AND(IF(OR($Q218=1,$Q218=2),1,0),IF($E218&lt;=20,1,0))</formula>
    </cfRule>
    <cfRule type="expression" dxfId="338" priority="339">
      <formula>AND(IF($Q218=2,1,0),IF($E218&lt;30,1,0))</formula>
    </cfRule>
    <cfRule type="expression" dxfId="337" priority="340">
      <formula>AND(IF($Q218=3,1,0),IF($E218&lt;30,1,0))</formula>
    </cfRule>
    <cfRule type="expression" dxfId="336" priority="341">
      <formula>AND(IF($Q218=3,1,IF($Q218=4,1,0)),IF($F218&lt;=85,1,0))</formula>
    </cfRule>
  </conditionalFormatting>
  <conditionalFormatting sqref="Y218">
    <cfRule type="expression" dxfId="335" priority="334">
      <formula>AND(IF(OR($Q218=1,$Q218=2),1,0),IF($Y218&lt;=20,1,0))</formula>
    </cfRule>
    <cfRule type="expression" dxfId="334" priority="335">
      <formula>AND(IF($Q218=2,1,0),IF($Y218&lt;30,1,0))</formula>
    </cfRule>
    <cfRule type="expression" dxfId="333" priority="336">
      <formula>AND(IF($Q218=3,1,0),IF($Y218&lt;30,1,0))</formula>
    </cfRule>
    <cfRule type="expression" dxfId="332" priority="337">
      <formula>AND(IF($Q218=3,1,IF($Q218=4,1,0)),IF($F218&lt;=85,1,0))</formula>
    </cfRule>
  </conditionalFormatting>
  <conditionalFormatting sqref="AJ218">
    <cfRule type="expression" dxfId="331" priority="330">
      <formula>AND(IF(OR($Q218=1,$Q218=2),1,0),IF($Y218&lt;=20,1,0))</formula>
    </cfRule>
    <cfRule type="expression" dxfId="330" priority="331">
      <formula>AND(IF($Q218=2,1,0),IF($Y218&lt;30,1,0))</formula>
    </cfRule>
    <cfRule type="expression" dxfId="329" priority="332">
      <formula>AND(IF($Q218=3,1,0),IF($Y218&lt;30,1,0))</formula>
    </cfRule>
    <cfRule type="expression" dxfId="328" priority="333">
      <formula>AND(IF($Q218=3,1,IF($Q218=4,1,0)),IF($F218&lt;=85,1,0))</formula>
    </cfRule>
  </conditionalFormatting>
  <conditionalFormatting sqref="AW219">
    <cfRule type="expression" dxfId="327" priority="328">
      <formula>AW219="X"</formula>
    </cfRule>
    <cfRule type="expression" dxfId="326" priority="329">
      <formula>AW219="후보"</formula>
    </cfRule>
  </conditionalFormatting>
  <conditionalFormatting sqref="AA219">
    <cfRule type="colorScale" priority="3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9 N219">
    <cfRule type="cellIs" dxfId="325" priority="325" operator="greaterThan">
      <formula>0.9</formula>
    </cfRule>
    <cfRule type="cellIs" dxfId="324" priority="326" operator="greaterThan">
      <formula>0.85</formula>
    </cfRule>
  </conditionalFormatting>
  <conditionalFormatting sqref="AW220">
    <cfRule type="expression" dxfId="323" priority="323">
      <formula>AW220="X"</formula>
    </cfRule>
    <cfRule type="expression" dxfId="322" priority="324">
      <formula>AW220="후보"</formula>
    </cfRule>
  </conditionalFormatting>
  <conditionalFormatting sqref="AA220">
    <cfRule type="colorScale" priority="3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0">
    <cfRule type="cellIs" dxfId="321" priority="320" operator="greaterThan">
      <formula>0.9</formula>
    </cfRule>
    <cfRule type="cellIs" dxfId="320" priority="321" operator="greaterThan">
      <formula>0.85</formula>
    </cfRule>
  </conditionalFormatting>
  <conditionalFormatting sqref="N220">
    <cfRule type="cellIs" dxfId="319" priority="318" operator="greaterThan">
      <formula>0.9</formula>
    </cfRule>
    <cfRule type="cellIs" dxfId="318" priority="319" operator="greaterThan">
      <formula>0.85</formula>
    </cfRule>
  </conditionalFormatting>
  <conditionalFormatting sqref="E220">
    <cfRule type="expression" dxfId="317" priority="314">
      <formula>AND(IF(OR($Q220=1,$Q220=2),1,0),IF($E220&lt;=20,1,0))</formula>
    </cfRule>
    <cfRule type="expression" dxfId="316" priority="315">
      <formula>AND(IF($Q220=2,1,0),IF($E220&lt;30,1,0))</formula>
    </cfRule>
    <cfRule type="expression" dxfId="315" priority="316">
      <formula>AND(IF($Q220=3,1,0),IF($E220&lt;30,1,0))</formula>
    </cfRule>
    <cfRule type="expression" dxfId="314" priority="317">
      <formula>AND(IF($Q220=3,1,IF($Q220=4,1,0)),IF($F220&lt;=85,1,0))</formula>
    </cfRule>
  </conditionalFormatting>
  <conditionalFormatting sqref="Y220">
    <cfRule type="expression" dxfId="313" priority="310">
      <formula>AND(IF(OR($Q220=1,$Q220=2),1,0),IF($Y220&lt;=20,1,0))</formula>
    </cfRule>
    <cfRule type="expression" dxfId="312" priority="311">
      <formula>AND(IF($Q220=2,1,0),IF($Y220&lt;30,1,0))</formula>
    </cfRule>
    <cfRule type="expression" dxfId="311" priority="312">
      <formula>AND(IF($Q220=3,1,0),IF($Y220&lt;30,1,0))</formula>
    </cfRule>
    <cfRule type="expression" dxfId="310" priority="313">
      <formula>AND(IF($Q220=3,1,IF($Q220=4,1,0)),IF($F220&lt;=85,1,0))</formula>
    </cfRule>
  </conditionalFormatting>
  <conditionalFormatting sqref="AJ220">
    <cfRule type="expression" dxfId="309" priority="306">
      <formula>AND(IF(OR($Q220=1,$Q220=2),1,0),IF($Y220&lt;=20,1,0))</formula>
    </cfRule>
    <cfRule type="expression" dxfId="308" priority="307">
      <formula>AND(IF($Q220=2,1,0),IF($Y220&lt;30,1,0))</formula>
    </cfRule>
    <cfRule type="expression" dxfId="307" priority="308">
      <formula>AND(IF($Q220=3,1,0),IF($Y220&lt;30,1,0))</formula>
    </cfRule>
    <cfRule type="expression" dxfId="306" priority="309">
      <formula>AND(IF($Q220=3,1,IF($Q220=4,1,0)),IF($F220&lt;=85,1,0))</formula>
    </cfRule>
  </conditionalFormatting>
  <conditionalFormatting sqref="AW221">
    <cfRule type="expression" dxfId="305" priority="304">
      <formula>AW221="X"</formula>
    </cfRule>
    <cfRule type="expression" dxfId="304" priority="305">
      <formula>AW221="후보"</formula>
    </cfRule>
  </conditionalFormatting>
  <conditionalFormatting sqref="AA221">
    <cfRule type="colorScale" priority="3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1">
    <cfRule type="cellIs" dxfId="303" priority="301" operator="greaterThan">
      <formula>0.9</formula>
    </cfRule>
    <cfRule type="cellIs" dxfId="302" priority="302" operator="greaterThan">
      <formula>0.85</formula>
    </cfRule>
  </conditionalFormatting>
  <conditionalFormatting sqref="N221">
    <cfRule type="cellIs" dxfId="301" priority="299" operator="greaterThan">
      <formula>0.9</formula>
    </cfRule>
    <cfRule type="cellIs" dxfId="300" priority="300" operator="greaterThan">
      <formula>0.85</formula>
    </cfRule>
  </conditionalFormatting>
  <conditionalFormatting sqref="E221">
    <cfRule type="expression" dxfId="299" priority="295">
      <formula>AND(IF(OR($Q221=1,$Q221=2),1,0),IF($E221&lt;=20,1,0))</formula>
    </cfRule>
    <cfRule type="expression" dxfId="298" priority="296">
      <formula>AND(IF($Q221=2,1,0),IF($E221&lt;30,1,0))</formula>
    </cfRule>
    <cfRule type="expression" dxfId="297" priority="297">
      <formula>AND(IF($Q221=3,1,0),IF($E221&lt;30,1,0))</formula>
    </cfRule>
    <cfRule type="expression" dxfId="296" priority="298">
      <formula>AND(IF($Q221=3,1,IF($Q221=4,1,0)),IF($F221&lt;=85,1,0))</formula>
    </cfRule>
  </conditionalFormatting>
  <conditionalFormatting sqref="Y221">
    <cfRule type="expression" dxfId="295" priority="291">
      <formula>AND(IF(OR($Q221=1,$Q221=2),1,0),IF($Y221&lt;=20,1,0))</formula>
    </cfRule>
    <cfRule type="expression" dxfId="294" priority="292">
      <formula>AND(IF($Q221=2,1,0),IF($Y221&lt;30,1,0))</formula>
    </cfRule>
    <cfRule type="expression" dxfId="293" priority="293">
      <formula>AND(IF($Q221=3,1,0),IF($Y221&lt;30,1,0))</formula>
    </cfRule>
    <cfRule type="expression" dxfId="292" priority="294">
      <formula>AND(IF($Q221=3,1,IF($Q221=4,1,0)),IF($F221&lt;=85,1,0))</formula>
    </cfRule>
  </conditionalFormatting>
  <conditionalFormatting sqref="AJ221">
    <cfRule type="expression" dxfId="291" priority="287">
      <formula>AND(IF(OR($Q221=1,$Q221=2),1,0),IF($Y221&lt;=20,1,0))</formula>
    </cfRule>
    <cfRule type="expression" dxfId="290" priority="288">
      <formula>AND(IF($Q221=2,1,0),IF($Y221&lt;30,1,0))</formula>
    </cfRule>
    <cfRule type="expression" dxfId="289" priority="289">
      <formula>AND(IF($Q221=3,1,0),IF($Y221&lt;30,1,0))</formula>
    </cfRule>
    <cfRule type="expression" dxfId="288" priority="290">
      <formula>AND(IF($Q221=3,1,IF($Q221=4,1,0)),IF($F221&lt;=85,1,0))</formula>
    </cfRule>
  </conditionalFormatting>
  <conditionalFormatting sqref="AW222">
    <cfRule type="expression" dxfId="287" priority="285">
      <formula>AW222="X"</formula>
    </cfRule>
    <cfRule type="expression" dxfId="286" priority="286">
      <formula>AW222="후보"</formula>
    </cfRule>
  </conditionalFormatting>
  <conditionalFormatting sqref="AA222">
    <cfRule type="colorScale" priority="2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2">
    <cfRule type="cellIs" dxfId="285" priority="282" operator="greaterThan">
      <formula>0.9</formula>
    </cfRule>
    <cfRule type="cellIs" dxfId="284" priority="283" operator="greaterThan">
      <formula>0.85</formula>
    </cfRule>
  </conditionalFormatting>
  <conditionalFormatting sqref="N222">
    <cfRule type="cellIs" dxfId="283" priority="280" operator="greaterThan">
      <formula>0.9</formula>
    </cfRule>
    <cfRule type="cellIs" dxfId="282" priority="281" operator="greaterThan">
      <formula>0.85</formula>
    </cfRule>
  </conditionalFormatting>
  <conditionalFormatting sqref="E222">
    <cfRule type="expression" dxfId="281" priority="276">
      <formula>AND(IF(OR($Q222=1,$Q222=2),1,0),IF($E222&lt;=20,1,0))</formula>
    </cfRule>
    <cfRule type="expression" dxfId="280" priority="277">
      <formula>AND(IF($Q222=2,1,0),IF($E222&lt;30,1,0))</formula>
    </cfRule>
    <cfRule type="expression" dxfId="279" priority="278">
      <formula>AND(IF($Q222=3,1,0),IF($E222&lt;30,1,0))</formula>
    </cfRule>
    <cfRule type="expression" dxfId="278" priority="279">
      <formula>AND(IF($Q222=3,1,IF($Q222=4,1,0)),IF($F222&lt;=85,1,0))</formula>
    </cfRule>
  </conditionalFormatting>
  <conditionalFormatting sqref="Y222">
    <cfRule type="expression" dxfId="277" priority="272">
      <formula>AND(IF(OR($Q222=1,$Q222=2),1,0),IF($Y222&lt;=20,1,0))</formula>
    </cfRule>
    <cfRule type="expression" dxfId="276" priority="273">
      <formula>AND(IF($Q222=2,1,0),IF($Y222&lt;30,1,0))</formula>
    </cfRule>
    <cfRule type="expression" dxfId="275" priority="274">
      <formula>AND(IF($Q222=3,1,0),IF($Y222&lt;30,1,0))</formula>
    </cfRule>
    <cfRule type="expression" dxfId="274" priority="275">
      <formula>AND(IF($Q222=3,1,IF($Q222=4,1,0)),IF($F222&lt;=85,1,0))</formula>
    </cfRule>
  </conditionalFormatting>
  <conditionalFormatting sqref="AJ222">
    <cfRule type="expression" dxfId="273" priority="268">
      <formula>AND(IF(OR($Q222=1,$Q222=2),1,0),IF($Y222&lt;=20,1,0))</formula>
    </cfRule>
    <cfRule type="expression" dxfId="272" priority="269">
      <formula>AND(IF($Q222=2,1,0),IF($Y222&lt;30,1,0))</formula>
    </cfRule>
    <cfRule type="expression" dxfId="271" priority="270">
      <formula>AND(IF($Q222=3,1,0),IF($Y222&lt;30,1,0))</formula>
    </cfRule>
    <cfRule type="expression" dxfId="270" priority="271">
      <formula>AND(IF($Q222=3,1,IF($Q222=4,1,0)),IF($F222&lt;=85,1,0))</formula>
    </cfRule>
  </conditionalFormatting>
  <conditionalFormatting sqref="AW223">
    <cfRule type="expression" dxfId="269" priority="266">
      <formula>AW223="X"</formula>
    </cfRule>
    <cfRule type="expression" dxfId="268" priority="267">
      <formula>AW223="후보"</formula>
    </cfRule>
  </conditionalFormatting>
  <conditionalFormatting sqref="AA223">
    <cfRule type="colorScale" priority="2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3 N223">
    <cfRule type="cellIs" dxfId="267" priority="263" operator="greaterThan">
      <formula>0.9</formula>
    </cfRule>
    <cfRule type="cellIs" dxfId="266" priority="264" operator="greaterThan">
      <formula>0.85</formula>
    </cfRule>
  </conditionalFormatting>
  <conditionalFormatting sqref="AW224">
    <cfRule type="expression" dxfId="265" priority="261">
      <formula>AW224="X"</formula>
    </cfRule>
    <cfRule type="expression" dxfId="264" priority="262">
      <formula>AW224="후보"</formula>
    </cfRule>
  </conditionalFormatting>
  <conditionalFormatting sqref="AA224">
    <cfRule type="colorScale" priority="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4">
    <cfRule type="cellIs" dxfId="263" priority="258" operator="greaterThan">
      <formula>0.9</formula>
    </cfRule>
    <cfRule type="cellIs" dxfId="262" priority="259" operator="greaterThan">
      <formula>0.85</formula>
    </cfRule>
  </conditionalFormatting>
  <conditionalFormatting sqref="N224">
    <cfRule type="cellIs" dxfId="261" priority="256" operator="greaterThan">
      <formula>0.9</formula>
    </cfRule>
    <cfRule type="cellIs" dxfId="260" priority="257" operator="greaterThan">
      <formula>0.85</formula>
    </cfRule>
  </conditionalFormatting>
  <conditionalFormatting sqref="E224">
    <cfRule type="expression" dxfId="259" priority="252">
      <formula>AND(IF(OR($Q224=1,$Q224=2),1,0),IF($E224&lt;=20,1,0))</formula>
    </cfRule>
    <cfRule type="expression" dxfId="258" priority="253">
      <formula>AND(IF($Q224=2,1,0),IF($E224&lt;30,1,0))</formula>
    </cfRule>
    <cfRule type="expression" dxfId="257" priority="254">
      <formula>AND(IF($Q224=3,1,0),IF($E224&lt;30,1,0))</formula>
    </cfRule>
    <cfRule type="expression" dxfId="256" priority="255">
      <formula>AND(IF($Q224=3,1,IF($Q224=4,1,0)),IF($F224&lt;=85,1,0))</formula>
    </cfRule>
  </conditionalFormatting>
  <conditionalFormatting sqref="Y224">
    <cfRule type="expression" dxfId="255" priority="248">
      <formula>AND(IF(OR($Q224=1,$Q224=2),1,0),IF($Y224&lt;=20,1,0))</formula>
    </cfRule>
    <cfRule type="expression" dxfId="254" priority="249">
      <formula>AND(IF($Q224=2,1,0),IF($Y224&lt;30,1,0))</formula>
    </cfRule>
    <cfRule type="expression" dxfId="253" priority="250">
      <formula>AND(IF($Q224=3,1,0),IF($Y224&lt;30,1,0))</formula>
    </cfRule>
    <cfRule type="expression" dxfId="252" priority="251">
      <formula>AND(IF($Q224=3,1,IF($Q224=4,1,0)),IF($F224&lt;=85,1,0))</formula>
    </cfRule>
  </conditionalFormatting>
  <conditionalFormatting sqref="AJ224">
    <cfRule type="expression" dxfId="251" priority="244">
      <formula>AND(IF(OR($Q224=1,$Q224=2),1,0),IF($Y224&lt;=20,1,0))</formula>
    </cfRule>
    <cfRule type="expression" dxfId="250" priority="245">
      <formula>AND(IF($Q224=2,1,0),IF($Y224&lt;30,1,0))</formula>
    </cfRule>
    <cfRule type="expression" dxfId="249" priority="246">
      <formula>AND(IF($Q224=3,1,0),IF($Y224&lt;30,1,0))</formula>
    </cfRule>
    <cfRule type="expression" dxfId="248" priority="247">
      <formula>AND(IF($Q224=3,1,IF($Q224=4,1,0)),IF($F224&lt;=85,1,0))</formula>
    </cfRule>
  </conditionalFormatting>
  <conditionalFormatting sqref="AW225">
    <cfRule type="expression" dxfId="247" priority="242">
      <formula>AW225="X"</formula>
    </cfRule>
    <cfRule type="expression" dxfId="246" priority="243">
      <formula>AW225="후보"</formula>
    </cfRule>
  </conditionalFormatting>
  <conditionalFormatting sqref="AA225">
    <cfRule type="colorScale" priority="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5">
    <cfRule type="cellIs" dxfId="245" priority="239" operator="greaterThan">
      <formula>0.9</formula>
    </cfRule>
    <cfRule type="cellIs" dxfId="244" priority="240" operator="greaterThan">
      <formula>0.85</formula>
    </cfRule>
  </conditionalFormatting>
  <conditionalFormatting sqref="N225">
    <cfRule type="cellIs" dxfId="243" priority="237" operator="greaterThan">
      <formula>0.9</formula>
    </cfRule>
    <cfRule type="cellIs" dxfId="242" priority="238" operator="greaterThan">
      <formula>0.85</formula>
    </cfRule>
  </conditionalFormatting>
  <conditionalFormatting sqref="E225">
    <cfRule type="expression" dxfId="241" priority="233">
      <formula>AND(IF(OR($Q225=1,$Q225=2),1,0),IF($E225&lt;=20,1,0))</formula>
    </cfRule>
    <cfRule type="expression" dxfId="240" priority="234">
      <formula>AND(IF($Q225=2,1,0),IF($E225&lt;30,1,0))</formula>
    </cfRule>
    <cfRule type="expression" dxfId="239" priority="235">
      <formula>AND(IF($Q225=3,1,0),IF($E225&lt;30,1,0))</formula>
    </cfRule>
    <cfRule type="expression" dxfId="238" priority="236">
      <formula>AND(IF($Q225=3,1,IF($Q225=4,1,0)),IF($F225&lt;=85,1,0))</formula>
    </cfRule>
  </conditionalFormatting>
  <conditionalFormatting sqref="Y225">
    <cfRule type="expression" dxfId="237" priority="229">
      <formula>AND(IF(OR($Q225=1,$Q225=2),1,0),IF($Y225&lt;=20,1,0))</formula>
    </cfRule>
    <cfRule type="expression" dxfId="236" priority="230">
      <formula>AND(IF($Q225=2,1,0),IF($Y225&lt;30,1,0))</formula>
    </cfRule>
    <cfRule type="expression" dxfId="235" priority="231">
      <formula>AND(IF($Q225=3,1,0),IF($Y225&lt;30,1,0))</formula>
    </cfRule>
    <cfRule type="expression" dxfId="234" priority="232">
      <formula>AND(IF($Q225=3,1,IF($Q225=4,1,0)),IF($F225&lt;=85,1,0))</formula>
    </cfRule>
  </conditionalFormatting>
  <conditionalFormatting sqref="AJ225">
    <cfRule type="expression" dxfId="233" priority="225">
      <formula>AND(IF(OR($Q225=1,$Q225=2),1,0),IF($Y225&lt;=20,1,0))</formula>
    </cfRule>
    <cfRule type="expression" dxfId="232" priority="226">
      <formula>AND(IF($Q225=2,1,0),IF($Y225&lt;30,1,0))</formula>
    </cfRule>
    <cfRule type="expression" dxfId="231" priority="227">
      <formula>AND(IF($Q225=3,1,0),IF($Y225&lt;30,1,0))</formula>
    </cfRule>
    <cfRule type="expression" dxfId="230" priority="228">
      <formula>AND(IF($Q225=3,1,IF($Q225=4,1,0)),IF($F225&lt;=85,1,0))</formula>
    </cfRule>
  </conditionalFormatting>
  <conditionalFormatting sqref="AW226">
    <cfRule type="expression" dxfId="229" priority="223">
      <formula>AW226="X"</formula>
    </cfRule>
    <cfRule type="expression" dxfId="228" priority="224">
      <formula>AW226="후보"</formula>
    </cfRule>
  </conditionalFormatting>
  <conditionalFormatting sqref="AA226">
    <cfRule type="colorScale" priority="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6 N226">
    <cfRule type="cellIs" dxfId="227" priority="220" operator="greaterThan">
      <formula>0.9</formula>
    </cfRule>
    <cfRule type="cellIs" dxfId="226" priority="221" operator="greaterThan">
      <formula>0.85</formula>
    </cfRule>
  </conditionalFormatting>
  <conditionalFormatting sqref="AW227">
    <cfRule type="expression" dxfId="225" priority="218">
      <formula>AW227="X"</formula>
    </cfRule>
    <cfRule type="expression" dxfId="224" priority="219">
      <formula>AW227="후보"</formula>
    </cfRule>
  </conditionalFormatting>
  <conditionalFormatting sqref="AA227">
    <cfRule type="colorScale" priority="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7">
    <cfRule type="cellIs" dxfId="223" priority="215" operator="greaterThan">
      <formula>0.9</formula>
    </cfRule>
    <cfRule type="cellIs" dxfId="222" priority="216" operator="greaterThan">
      <formula>0.85</formula>
    </cfRule>
  </conditionalFormatting>
  <conditionalFormatting sqref="N227">
    <cfRule type="cellIs" dxfId="221" priority="213" operator="greaterThan">
      <formula>0.9</formula>
    </cfRule>
    <cfRule type="cellIs" dxfId="220" priority="214" operator="greaterThan">
      <formula>0.85</formula>
    </cfRule>
  </conditionalFormatting>
  <conditionalFormatting sqref="E227">
    <cfRule type="expression" dxfId="219" priority="209">
      <formula>AND(IF(OR($Q227=1,$Q227=2),1,0),IF($E227&lt;=20,1,0))</formula>
    </cfRule>
    <cfRule type="expression" dxfId="218" priority="210">
      <formula>AND(IF($Q227=2,1,0),IF($E227&lt;30,1,0))</formula>
    </cfRule>
    <cfRule type="expression" dxfId="217" priority="211">
      <formula>AND(IF($Q227=3,1,0),IF($E227&lt;30,1,0))</formula>
    </cfRule>
    <cfRule type="expression" dxfId="216" priority="212">
      <formula>AND(IF($Q227=3,1,IF($Q227=4,1,0)),IF($F227&lt;=85,1,0))</formula>
    </cfRule>
  </conditionalFormatting>
  <conditionalFormatting sqref="Y227">
    <cfRule type="expression" dxfId="215" priority="205">
      <formula>AND(IF(OR($Q227=1,$Q227=2),1,0),IF($Y227&lt;=20,1,0))</formula>
    </cfRule>
    <cfRule type="expression" dxfId="214" priority="206">
      <formula>AND(IF($Q227=2,1,0),IF($Y227&lt;30,1,0))</formula>
    </cfRule>
    <cfRule type="expression" dxfId="213" priority="207">
      <formula>AND(IF($Q227=3,1,0),IF($Y227&lt;30,1,0))</formula>
    </cfRule>
    <cfRule type="expression" dxfId="212" priority="208">
      <formula>AND(IF($Q227=3,1,IF($Q227=4,1,0)),IF($F227&lt;=85,1,0))</formula>
    </cfRule>
  </conditionalFormatting>
  <conditionalFormatting sqref="AJ227">
    <cfRule type="expression" dxfId="211" priority="201">
      <formula>AND(IF(OR($Q227=1,$Q227=2),1,0),IF($Y227&lt;=20,1,0))</formula>
    </cfRule>
    <cfRule type="expression" dxfId="210" priority="202">
      <formula>AND(IF($Q227=2,1,0),IF($Y227&lt;30,1,0))</formula>
    </cfRule>
    <cfRule type="expression" dxfId="209" priority="203">
      <formula>AND(IF($Q227=3,1,0),IF($Y227&lt;30,1,0))</formula>
    </cfRule>
    <cfRule type="expression" dxfId="208" priority="204">
      <formula>AND(IF($Q227=3,1,IF($Q227=4,1,0)),IF($F227&lt;=85,1,0))</formula>
    </cfRule>
  </conditionalFormatting>
  <conditionalFormatting sqref="AW228">
    <cfRule type="expression" dxfId="207" priority="199">
      <formula>AW228="X"</formula>
    </cfRule>
    <cfRule type="expression" dxfId="206" priority="200">
      <formula>AW228="후보"</formula>
    </cfRule>
  </conditionalFormatting>
  <conditionalFormatting sqref="AA228">
    <cfRule type="colorScale" priority="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8">
    <cfRule type="cellIs" dxfId="205" priority="196" operator="greaterThan">
      <formula>0.9</formula>
    </cfRule>
    <cfRule type="cellIs" dxfId="204" priority="197" operator="greaterThan">
      <formula>0.85</formula>
    </cfRule>
  </conditionalFormatting>
  <conditionalFormatting sqref="N228">
    <cfRule type="cellIs" dxfId="203" priority="194" operator="greaterThan">
      <formula>0.9</formula>
    </cfRule>
    <cfRule type="cellIs" dxfId="202" priority="195" operator="greaterThan">
      <formula>0.85</formula>
    </cfRule>
  </conditionalFormatting>
  <conditionalFormatting sqref="E228">
    <cfRule type="expression" dxfId="201" priority="190">
      <formula>AND(IF(OR($Q228=1,$Q228=2),1,0),IF($E228&lt;=20,1,0))</formula>
    </cfRule>
    <cfRule type="expression" dxfId="200" priority="191">
      <formula>AND(IF($Q228=2,1,0),IF($E228&lt;30,1,0))</formula>
    </cfRule>
    <cfRule type="expression" dxfId="199" priority="192">
      <formula>AND(IF($Q228=3,1,0),IF($E228&lt;30,1,0))</formula>
    </cfRule>
    <cfRule type="expression" dxfId="198" priority="193">
      <formula>AND(IF($Q228=3,1,IF($Q228=4,1,0)),IF($F228&lt;=85,1,0))</formula>
    </cfRule>
  </conditionalFormatting>
  <conditionalFormatting sqref="Y228">
    <cfRule type="expression" dxfId="197" priority="186">
      <formula>AND(IF(OR($Q228=1,$Q228=2),1,0),IF($Y228&lt;=20,1,0))</formula>
    </cfRule>
    <cfRule type="expression" dxfId="196" priority="187">
      <formula>AND(IF($Q228=2,1,0),IF($Y228&lt;30,1,0))</formula>
    </cfRule>
    <cfRule type="expression" dxfId="195" priority="188">
      <formula>AND(IF($Q228=3,1,0),IF($Y228&lt;30,1,0))</formula>
    </cfRule>
    <cfRule type="expression" dxfId="194" priority="189">
      <formula>AND(IF($Q228=3,1,IF($Q228=4,1,0)),IF($F228&lt;=85,1,0))</formula>
    </cfRule>
  </conditionalFormatting>
  <conditionalFormatting sqref="AJ228">
    <cfRule type="expression" dxfId="193" priority="182">
      <formula>AND(IF(OR($Q228=1,$Q228=2),1,0),IF($Y228&lt;=20,1,0))</formula>
    </cfRule>
    <cfRule type="expression" dxfId="192" priority="183">
      <formula>AND(IF($Q228=2,1,0),IF($Y228&lt;30,1,0))</formula>
    </cfRule>
    <cfRule type="expression" dxfId="191" priority="184">
      <formula>AND(IF($Q228=3,1,0),IF($Y228&lt;30,1,0))</formula>
    </cfRule>
    <cfRule type="expression" dxfId="190" priority="185">
      <formula>AND(IF($Q228=3,1,IF($Q228=4,1,0)),IF($F228&lt;=85,1,0))</formula>
    </cfRule>
  </conditionalFormatting>
  <conditionalFormatting sqref="AW229">
    <cfRule type="expression" dxfId="189" priority="180">
      <formula>AW229="X"</formula>
    </cfRule>
    <cfRule type="expression" dxfId="188" priority="181">
      <formula>AW229="후보"</formula>
    </cfRule>
  </conditionalFormatting>
  <conditionalFormatting sqref="AA229">
    <cfRule type="colorScale" priority="1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9">
    <cfRule type="cellIs" dxfId="187" priority="177" operator="greaterThan">
      <formula>0.9</formula>
    </cfRule>
    <cfRule type="cellIs" dxfId="186" priority="178" operator="greaterThan">
      <formula>0.85</formula>
    </cfRule>
  </conditionalFormatting>
  <conditionalFormatting sqref="N229">
    <cfRule type="cellIs" dxfId="185" priority="175" operator="greaterThan">
      <formula>0.9</formula>
    </cfRule>
    <cfRule type="cellIs" dxfId="184" priority="176" operator="greaterThan">
      <formula>0.85</formula>
    </cfRule>
  </conditionalFormatting>
  <conditionalFormatting sqref="E229">
    <cfRule type="expression" dxfId="183" priority="171">
      <formula>AND(IF(OR($Q229=1,$Q229=2),1,0),IF($E229&lt;=20,1,0))</formula>
    </cfRule>
    <cfRule type="expression" dxfId="182" priority="172">
      <formula>AND(IF($Q229=2,1,0),IF($E229&lt;30,1,0))</formula>
    </cfRule>
    <cfRule type="expression" dxfId="181" priority="173">
      <formula>AND(IF($Q229=3,1,0),IF($E229&lt;30,1,0))</formula>
    </cfRule>
    <cfRule type="expression" dxfId="180" priority="174">
      <formula>AND(IF($Q229=3,1,IF($Q229=4,1,0)),IF($F229&lt;=85,1,0))</formula>
    </cfRule>
  </conditionalFormatting>
  <conditionalFormatting sqref="Y229">
    <cfRule type="expression" dxfId="179" priority="167">
      <formula>AND(IF(OR($Q229=1,$Q229=2),1,0),IF($Y229&lt;=20,1,0))</formula>
    </cfRule>
    <cfRule type="expression" dxfId="178" priority="168">
      <formula>AND(IF($Q229=2,1,0),IF($Y229&lt;30,1,0))</formula>
    </cfRule>
    <cfRule type="expression" dxfId="177" priority="169">
      <formula>AND(IF($Q229=3,1,0),IF($Y229&lt;30,1,0))</formula>
    </cfRule>
    <cfRule type="expression" dxfId="176" priority="170">
      <formula>AND(IF($Q229=3,1,IF($Q229=4,1,0)),IF($F229&lt;=85,1,0))</formula>
    </cfRule>
  </conditionalFormatting>
  <conditionalFormatting sqref="AJ229">
    <cfRule type="expression" dxfId="175" priority="163">
      <formula>AND(IF(OR($Q229=1,$Q229=2),1,0),IF($Y229&lt;=20,1,0))</formula>
    </cfRule>
    <cfRule type="expression" dxfId="174" priority="164">
      <formula>AND(IF($Q229=2,1,0),IF($Y229&lt;30,1,0))</formula>
    </cfRule>
    <cfRule type="expression" dxfId="173" priority="165">
      <formula>AND(IF($Q229=3,1,0),IF($Y229&lt;30,1,0))</formula>
    </cfRule>
    <cfRule type="expression" dxfId="172" priority="166">
      <formula>AND(IF($Q229=3,1,IF($Q229=4,1,0)),IF($F229&lt;=85,1,0))</formula>
    </cfRule>
  </conditionalFormatting>
  <conditionalFormatting sqref="AW230">
    <cfRule type="expression" dxfId="171" priority="161">
      <formula>AW230="X"</formula>
    </cfRule>
    <cfRule type="expression" dxfId="170" priority="162">
      <formula>AW230="후보"</formula>
    </cfRule>
  </conditionalFormatting>
  <conditionalFormatting sqref="AA230">
    <cfRule type="colorScale" priority="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0">
    <cfRule type="cellIs" dxfId="169" priority="158" operator="greaterThan">
      <formula>0.9</formula>
    </cfRule>
    <cfRule type="cellIs" dxfId="168" priority="159" operator="greaterThan">
      <formula>0.85</formula>
    </cfRule>
  </conditionalFormatting>
  <conditionalFormatting sqref="N230">
    <cfRule type="cellIs" dxfId="167" priority="156" operator="greaterThan">
      <formula>0.9</formula>
    </cfRule>
    <cfRule type="cellIs" dxfId="166" priority="157" operator="greaterThan">
      <formula>0.85</formula>
    </cfRule>
  </conditionalFormatting>
  <conditionalFormatting sqref="E230">
    <cfRule type="expression" dxfId="165" priority="152">
      <formula>AND(IF(OR($Q230=1,$Q230=2),1,0),IF($E230&lt;=20,1,0))</formula>
    </cfRule>
    <cfRule type="expression" dxfId="164" priority="153">
      <formula>AND(IF($Q230=2,1,0),IF($E230&lt;30,1,0))</formula>
    </cfRule>
    <cfRule type="expression" dxfId="163" priority="154">
      <formula>AND(IF($Q230=3,1,0),IF($E230&lt;30,1,0))</formula>
    </cfRule>
    <cfRule type="expression" dxfId="162" priority="155">
      <formula>AND(IF($Q230=3,1,IF($Q230=4,1,0)),IF($F230&lt;=85,1,0))</formula>
    </cfRule>
  </conditionalFormatting>
  <conditionalFormatting sqref="Y230">
    <cfRule type="expression" dxfId="161" priority="148">
      <formula>AND(IF(OR($Q230=1,$Q230=2),1,0),IF($Y230&lt;=20,1,0))</formula>
    </cfRule>
    <cfRule type="expression" dxfId="160" priority="149">
      <formula>AND(IF($Q230=2,1,0),IF($Y230&lt;30,1,0))</formula>
    </cfRule>
    <cfRule type="expression" dxfId="159" priority="150">
      <formula>AND(IF($Q230=3,1,0),IF($Y230&lt;30,1,0))</formula>
    </cfRule>
    <cfRule type="expression" dxfId="158" priority="151">
      <formula>AND(IF($Q230=3,1,IF($Q230=4,1,0)),IF($F230&lt;=85,1,0))</formula>
    </cfRule>
  </conditionalFormatting>
  <conditionalFormatting sqref="AJ230">
    <cfRule type="expression" dxfId="157" priority="144">
      <formula>AND(IF(OR($Q230=1,$Q230=2),1,0),IF($Y230&lt;=20,1,0))</formula>
    </cfRule>
    <cfRule type="expression" dxfId="156" priority="145">
      <formula>AND(IF($Q230=2,1,0),IF($Y230&lt;30,1,0))</formula>
    </cfRule>
    <cfRule type="expression" dxfId="155" priority="146">
      <formula>AND(IF($Q230=3,1,0),IF($Y230&lt;30,1,0))</formula>
    </cfRule>
    <cfRule type="expression" dxfId="154" priority="147">
      <formula>AND(IF($Q230=3,1,IF($Q230=4,1,0)),IF($F230&lt;=85,1,0))</formula>
    </cfRule>
  </conditionalFormatting>
  <conditionalFormatting sqref="AW231">
    <cfRule type="expression" dxfId="153" priority="142">
      <formula>AW231="X"</formula>
    </cfRule>
    <cfRule type="expression" dxfId="152" priority="143">
      <formula>AW231="후보"</formula>
    </cfRule>
  </conditionalFormatting>
  <conditionalFormatting sqref="AA231">
    <cfRule type="colorScale" priority="1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1">
    <cfRule type="cellIs" dxfId="151" priority="139" operator="greaterThan">
      <formula>0.9</formula>
    </cfRule>
    <cfRule type="cellIs" dxfId="150" priority="140" operator="greaterThan">
      <formula>0.85</formula>
    </cfRule>
  </conditionalFormatting>
  <conditionalFormatting sqref="N231">
    <cfRule type="cellIs" dxfId="149" priority="137" operator="greaterThan">
      <formula>0.9</formula>
    </cfRule>
    <cfRule type="cellIs" dxfId="148" priority="138" operator="greaterThan">
      <formula>0.85</formula>
    </cfRule>
  </conditionalFormatting>
  <conditionalFormatting sqref="E231">
    <cfRule type="expression" dxfId="147" priority="133">
      <formula>AND(IF(OR($Q231=1,$Q231=2),1,0),IF($E231&lt;=20,1,0))</formula>
    </cfRule>
    <cfRule type="expression" dxfId="146" priority="134">
      <formula>AND(IF($Q231=2,1,0),IF($E231&lt;30,1,0))</formula>
    </cfRule>
    <cfRule type="expression" dxfId="145" priority="135">
      <formula>AND(IF($Q231=3,1,0),IF($E231&lt;30,1,0))</formula>
    </cfRule>
    <cfRule type="expression" dxfId="144" priority="136">
      <formula>AND(IF($Q231=3,1,IF($Q231=4,1,0)),IF($F231&lt;=85,1,0))</formula>
    </cfRule>
  </conditionalFormatting>
  <conditionalFormatting sqref="Y231">
    <cfRule type="expression" dxfId="143" priority="129">
      <formula>AND(IF(OR($Q231=1,$Q231=2),1,0),IF($Y231&lt;=20,1,0))</formula>
    </cfRule>
    <cfRule type="expression" dxfId="142" priority="130">
      <formula>AND(IF($Q231=2,1,0),IF($Y231&lt;30,1,0))</formula>
    </cfRule>
    <cfRule type="expression" dxfId="141" priority="131">
      <formula>AND(IF($Q231=3,1,0),IF($Y231&lt;30,1,0))</formula>
    </cfRule>
    <cfRule type="expression" dxfId="140" priority="132">
      <formula>AND(IF($Q231=3,1,IF($Q231=4,1,0)),IF($F231&lt;=85,1,0))</formula>
    </cfRule>
  </conditionalFormatting>
  <conditionalFormatting sqref="AJ231">
    <cfRule type="expression" dxfId="139" priority="125">
      <formula>AND(IF(OR($Q231=1,$Q231=2),1,0),IF($Y231&lt;=20,1,0))</formula>
    </cfRule>
    <cfRule type="expression" dxfId="138" priority="126">
      <formula>AND(IF($Q231=2,1,0),IF($Y231&lt;30,1,0))</formula>
    </cfRule>
    <cfRule type="expression" dxfId="137" priority="127">
      <formula>AND(IF($Q231=3,1,0),IF($Y231&lt;30,1,0))</formula>
    </cfRule>
    <cfRule type="expression" dxfId="136" priority="128">
      <formula>AND(IF($Q231=3,1,IF($Q231=4,1,0)),IF($F231&lt;=85,1,0))</formula>
    </cfRule>
  </conditionalFormatting>
  <conditionalFormatting sqref="AW232">
    <cfRule type="expression" dxfId="135" priority="123">
      <formula>AW232="X"</formula>
    </cfRule>
    <cfRule type="expression" dxfId="134" priority="124">
      <formula>AW232="후보"</formula>
    </cfRule>
  </conditionalFormatting>
  <conditionalFormatting sqref="AA232">
    <cfRule type="colorScale" priority="1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2 N232">
    <cfRule type="cellIs" dxfId="133" priority="120" operator="greaterThan">
      <formula>0.9</formula>
    </cfRule>
    <cfRule type="cellIs" dxfId="132" priority="121" operator="greaterThan">
      <formula>0.85</formula>
    </cfRule>
  </conditionalFormatting>
  <conditionalFormatting sqref="AW233">
    <cfRule type="expression" dxfId="131" priority="118">
      <formula>AW233="X"</formula>
    </cfRule>
    <cfRule type="expression" dxfId="130" priority="119">
      <formula>AW233="후보"</formula>
    </cfRule>
  </conditionalFormatting>
  <conditionalFormatting sqref="AA233">
    <cfRule type="colorScale" priority="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3">
    <cfRule type="cellIs" dxfId="129" priority="115" operator="greaterThan">
      <formula>0.9</formula>
    </cfRule>
    <cfRule type="cellIs" dxfId="128" priority="116" operator="greaterThan">
      <formula>0.85</formula>
    </cfRule>
  </conditionalFormatting>
  <conditionalFormatting sqref="N233">
    <cfRule type="cellIs" dxfId="127" priority="113" operator="greaterThan">
      <formula>0.9</formula>
    </cfRule>
    <cfRule type="cellIs" dxfId="126" priority="114" operator="greaterThan">
      <formula>0.85</formula>
    </cfRule>
  </conditionalFormatting>
  <conditionalFormatting sqref="E233">
    <cfRule type="expression" dxfId="125" priority="109">
      <formula>AND(IF(OR($Q233=1,$Q233=2),1,0),IF($E233&lt;=20,1,0))</formula>
    </cfRule>
    <cfRule type="expression" dxfId="124" priority="110">
      <formula>AND(IF($Q233=2,1,0),IF($E233&lt;30,1,0))</formula>
    </cfRule>
    <cfRule type="expression" dxfId="123" priority="111">
      <formula>AND(IF($Q233=3,1,0),IF($E233&lt;30,1,0))</formula>
    </cfRule>
    <cfRule type="expression" dxfId="122" priority="112">
      <formula>AND(IF($Q233=3,1,IF($Q233=4,1,0)),IF($F233&lt;=85,1,0))</formula>
    </cfRule>
  </conditionalFormatting>
  <conditionalFormatting sqref="Y233">
    <cfRule type="expression" dxfId="121" priority="105">
      <formula>AND(IF(OR($Q233=1,$Q233=2),1,0),IF($Y233&lt;=20,1,0))</formula>
    </cfRule>
    <cfRule type="expression" dxfId="120" priority="106">
      <formula>AND(IF($Q233=2,1,0),IF($Y233&lt;30,1,0))</formula>
    </cfRule>
    <cfRule type="expression" dxfId="119" priority="107">
      <formula>AND(IF($Q233=3,1,0),IF($Y233&lt;30,1,0))</formula>
    </cfRule>
    <cfRule type="expression" dxfId="118" priority="108">
      <formula>AND(IF($Q233=3,1,IF($Q233=4,1,0)),IF($F233&lt;=85,1,0))</formula>
    </cfRule>
  </conditionalFormatting>
  <conditionalFormatting sqref="AJ233">
    <cfRule type="expression" dxfId="117" priority="101">
      <formula>AND(IF(OR($Q233=1,$Q233=2),1,0),IF($Y233&lt;=20,1,0))</formula>
    </cfRule>
    <cfRule type="expression" dxfId="116" priority="102">
      <formula>AND(IF($Q233=2,1,0),IF($Y233&lt;30,1,0))</formula>
    </cfRule>
    <cfRule type="expression" dxfId="115" priority="103">
      <formula>AND(IF($Q233=3,1,0),IF($Y233&lt;30,1,0))</formula>
    </cfRule>
    <cfRule type="expression" dxfId="114" priority="104">
      <formula>AND(IF($Q233=3,1,IF($Q233=4,1,0)),IF($F233&lt;=85,1,0))</formula>
    </cfRule>
  </conditionalFormatting>
  <conditionalFormatting sqref="AW234">
    <cfRule type="expression" dxfId="113" priority="99">
      <formula>AW234="X"</formula>
    </cfRule>
    <cfRule type="expression" dxfId="112" priority="100">
      <formula>AW234="후보"</formula>
    </cfRule>
  </conditionalFormatting>
  <conditionalFormatting sqref="AA234">
    <cfRule type="colorScale" priority="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4">
    <cfRule type="cellIs" dxfId="111" priority="96" operator="greaterThan">
      <formula>0.9</formula>
    </cfRule>
    <cfRule type="cellIs" dxfId="110" priority="97" operator="greaterThan">
      <formula>0.85</formula>
    </cfRule>
  </conditionalFormatting>
  <conditionalFormatting sqref="N234">
    <cfRule type="cellIs" dxfId="109" priority="94" operator="greaterThan">
      <formula>0.9</formula>
    </cfRule>
    <cfRule type="cellIs" dxfId="108" priority="95" operator="greaterThan">
      <formula>0.85</formula>
    </cfRule>
  </conditionalFormatting>
  <conditionalFormatting sqref="E234">
    <cfRule type="expression" dxfId="107" priority="90">
      <formula>AND(IF(OR($Q234=1,$Q234=2),1,0),IF($E234&lt;=20,1,0))</formula>
    </cfRule>
    <cfRule type="expression" dxfId="106" priority="91">
      <formula>AND(IF($Q234=2,1,0),IF($E234&lt;30,1,0))</formula>
    </cfRule>
    <cfRule type="expression" dxfId="105" priority="92">
      <formula>AND(IF($Q234=3,1,0),IF($E234&lt;30,1,0))</formula>
    </cfRule>
    <cfRule type="expression" dxfId="104" priority="93">
      <formula>AND(IF($Q234=3,1,IF($Q234=4,1,0)),IF($F234&lt;=85,1,0))</formula>
    </cfRule>
  </conditionalFormatting>
  <conditionalFormatting sqref="Y234">
    <cfRule type="expression" dxfId="103" priority="86">
      <formula>AND(IF(OR($Q234=1,$Q234=2),1,0),IF($Y234&lt;=20,1,0))</formula>
    </cfRule>
    <cfRule type="expression" dxfId="102" priority="87">
      <formula>AND(IF($Q234=2,1,0),IF($Y234&lt;30,1,0))</formula>
    </cfRule>
    <cfRule type="expression" dxfId="101" priority="88">
      <formula>AND(IF($Q234=3,1,0),IF($Y234&lt;30,1,0))</formula>
    </cfRule>
    <cfRule type="expression" dxfId="100" priority="89">
      <formula>AND(IF($Q234=3,1,IF($Q234=4,1,0)),IF($F234&lt;=85,1,0))</formula>
    </cfRule>
  </conditionalFormatting>
  <conditionalFormatting sqref="AJ234">
    <cfRule type="expression" dxfId="99" priority="82">
      <formula>AND(IF(OR($Q234=1,$Q234=2),1,0),IF($Y234&lt;=20,1,0))</formula>
    </cfRule>
    <cfRule type="expression" dxfId="98" priority="83">
      <formula>AND(IF($Q234=2,1,0),IF($Y234&lt;30,1,0))</formula>
    </cfRule>
    <cfRule type="expression" dxfId="97" priority="84">
      <formula>AND(IF($Q234=3,1,0),IF($Y234&lt;30,1,0))</formula>
    </cfRule>
    <cfRule type="expression" dxfId="96" priority="85">
      <formula>AND(IF($Q234=3,1,IF($Q234=4,1,0)),IF($F234&lt;=85,1,0))</formula>
    </cfRule>
  </conditionalFormatting>
  <conditionalFormatting sqref="AW235">
    <cfRule type="expression" dxfId="95" priority="80">
      <formula>AW235="X"</formula>
    </cfRule>
    <cfRule type="expression" dxfId="94" priority="81">
      <formula>AW235="후보"</formula>
    </cfRule>
  </conditionalFormatting>
  <conditionalFormatting sqref="AA235">
    <cfRule type="colorScale" priority="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5">
    <cfRule type="cellIs" dxfId="93" priority="77" operator="greaterThan">
      <formula>0.9</formula>
    </cfRule>
    <cfRule type="cellIs" dxfId="92" priority="78" operator="greaterThan">
      <formula>0.85</formula>
    </cfRule>
  </conditionalFormatting>
  <conditionalFormatting sqref="N235">
    <cfRule type="cellIs" dxfId="91" priority="75" operator="greaterThan">
      <formula>0.9</formula>
    </cfRule>
    <cfRule type="cellIs" dxfId="90" priority="76" operator="greaterThan">
      <formula>0.85</formula>
    </cfRule>
  </conditionalFormatting>
  <conditionalFormatting sqref="E235">
    <cfRule type="expression" dxfId="89" priority="71">
      <formula>AND(IF(OR($Q235=1,$Q235=2),1,0),IF($E235&lt;=20,1,0))</formula>
    </cfRule>
    <cfRule type="expression" dxfId="88" priority="72">
      <formula>AND(IF($Q235=2,1,0),IF($E235&lt;30,1,0))</formula>
    </cfRule>
    <cfRule type="expression" dxfId="87" priority="73">
      <formula>AND(IF($Q235=3,1,0),IF($E235&lt;30,1,0))</formula>
    </cfRule>
    <cfRule type="expression" dxfId="86" priority="74">
      <formula>AND(IF($Q235=3,1,IF($Q235=4,1,0)),IF($F235&lt;=85,1,0))</formula>
    </cfRule>
  </conditionalFormatting>
  <conditionalFormatting sqref="Y235">
    <cfRule type="expression" dxfId="85" priority="67">
      <formula>AND(IF(OR($Q235=1,$Q235=2),1,0),IF($Y235&lt;=20,1,0))</formula>
    </cfRule>
    <cfRule type="expression" dxfId="84" priority="68">
      <formula>AND(IF($Q235=2,1,0),IF($Y235&lt;30,1,0))</formula>
    </cfRule>
    <cfRule type="expression" dxfId="83" priority="69">
      <formula>AND(IF($Q235=3,1,0),IF($Y235&lt;30,1,0))</formula>
    </cfRule>
    <cfRule type="expression" dxfId="82" priority="70">
      <formula>AND(IF($Q235=3,1,IF($Q235=4,1,0)),IF($F235&lt;=85,1,0))</formula>
    </cfRule>
  </conditionalFormatting>
  <conditionalFormatting sqref="AJ235">
    <cfRule type="expression" dxfId="81" priority="63">
      <formula>AND(IF(OR($Q235=1,$Q235=2),1,0),IF($Y235&lt;=20,1,0))</formula>
    </cfRule>
    <cfRule type="expression" dxfId="80" priority="64">
      <formula>AND(IF($Q235=2,1,0),IF($Y235&lt;30,1,0))</formula>
    </cfRule>
    <cfRule type="expression" dxfId="79" priority="65">
      <formula>AND(IF($Q235=3,1,0),IF($Y235&lt;30,1,0))</formula>
    </cfRule>
    <cfRule type="expression" dxfId="78" priority="66">
      <formula>AND(IF($Q235=3,1,IF($Q235=4,1,0)),IF($F235&lt;=85,1,0))</formula>
    </cfRule>
  </conditionalFormatting>
  <conditionalFormatting sqref="AW236">
    <cfRule type="expression" dxfId="77" priority="61">
      <formula>AW236="X"</formula>
    </cfRule>
    <cfRule type="expression" dxfId="76" priority="62">
      <formula>AW236="후보"</formula>
    </cfRule>
  </conditionalFormatting>
  <conditionalFormatting sqref="AA236">
    <cfRule type="colorScale" priority="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6 N236">
    <cfRule type="cellIs" dxfId="75" priority="58" operator="greaterThan">
      <formula>0.9</formula>
    </cfRule>
    <cfRule type="cellIs" dxfId="74" priority="59" operator="greaterThan">
      <formula>0.85</formula>
    </cfRule>
  </conditionalFormatting>
  <conditionalFormatting sqref="AW237">
    <cfRule type="expression" dxfId="73" priority="56">
      <formula>AW237="X"</formula>
    </cfRule>
    <cfRule type="expression" dxfId="72" priority="57">
      <formula>AW237="후보"</formula>
    </cfRule>
  </conditionalFormatting>
  <conditionalFormatting sqref="AA237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7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237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237">
    <cfRule type="expression" dxfId="67" priority="47">
      <formula>AND(IF(OR($Q237=1,$Q237=2),1,0),IF($E237&lt;=20,1,0))</formula>
    </cfRule>
    <cfRule type="expression" dxfId="66" priority="48">
      <formula>AND(IF($Q237=2,1,0),IF($E237&lt;30,1,0))</formula>
    </cfRule>
    <cfRule type="expression" dxfId="65" priority="49">
      <formula>AND(IF($Q237=3,1,0),IF($E237&lt;30,1,0))</formula>
    </cfRule>
    <cfRule type="expression" dxfId="64" priority="50">
      <formula>AND(IF($Q237=3,1,IF($Q237=4,1,0)),IF($F237&lt;=85,1,0))</formula>
    </cfRule>
  </conditionalFormatting>
  <conditionalFormatting sqref="Y237">
    <cfRule type="expression" dxfId="63" priority="43">
      <formula>AND(IF(OR($Q237=1,$Q237=2),1,0),IF($Y237&lt;=20,1,0))</formula>
    </cfRule>
    <cfRule type="expression" dxfId="62" priority="44">
      <formula>AND(IF($Q237=2,1,0),IF($Y237&lt;30,1,0))</formula>
    </cfRule>
    <cfRule type="expression" dxfId="61" priority="45">
      <formula>AND(IF($Q237=3,1,0),IF($Y237&lt;30,1,0))</formula>
    </cfRule>
    <cfRule type="expression" dxfId="60" priority="46">
      <formula>AND(IF($Q237=3,1,IF($Q237=4,1,0)),IF($F237&lt;=85,1,0))</formula>
    </cfRule>
  </conditionalFormatting>
  <conditionalFormatting sqref="AJ237">
    <cfRule type="expression" dxfId="59" priority="39">
      <formula>AND(IF(OR($Q237=1,$Q237=2),1,0),IF($Y237&lt;=20,1,0))</formula>
    </cfRule>
    <cfRule type="expression" dxfId="58" priority="40">
      <formula>AND(IF($Q237=2,1,0),IF($Y237&lt;30,1,0))</formula>
    </cfRule>
    <cfRule type="expression" dxfId="57" priority="41">
      <formula>AND(IF($Q237=3,1,0),IF($Y237&lt;30,1,0))</formula>
    </cfRule>
    <cfRule type="expression" dxfId="56" priority="42">
      <formula>AND(IF($Q237=3,1,IF($Q237=4,1,0)),IF($F237&lt;=85,1,0))</formula>
    </cfRule>
  </conditionalFormatting>
  <conditionalFormatting sqref="AW238">
    <cfRule type="expression" dxfId="55" priority="37">
      <formula>AW238="X"</formula>
    </cfRule>
    <cfRule type="expression" dxfId="54" priority="38">
      <formula>AW238="후보"</formula>
    </cfRule>
  </conditionalFormatting>
  <conditionalFormatting sqref="AA238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8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238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238">
    <cfRule type="expression" dxfId="49" priority="28">
      <formula>AND(IF(OR($Q238=1,$Q238=2),1,0),IF($E238&lt;=20,1,0))</formula>
    </cfRule>
    <cfRule type="expression" dxfId="48" priority="29">
      <formula>AND(IF($Q238=2,1,0),IF($E238&lt;30,1,0))</formula>
    </cfRule>
    <cfRule type="expression" dxfId="47" priority="30">
      <formula>AND(IF($Q238=3,1,0),IF($E238&lt;30,1,0))</formula>
    </cfRule>
    <cfRule type="expression" dxfId="46" priority="31">
      <formula>AND(IF($Q238=3,1,IF($Q238=4,1,0)),IF($F238&lt;=85,1,0))</formula>
    </cfRule>
  </conditionalFormatting>
  <conditionalFormatting sqref="Y238">
    <cfRule type="expression" dxfId="45" priority="24">
      <formula>AND(IF(OR($Q238=1,$Q238=2),1,0),IF($Y238&lt;=20,1,0))</formula>
    </cfRule>
    <cfRule type="expression" dxfId="44" priority="25">
      <formula>AND(IF($Q238=2,1,0),IF($Y238&lt;30,1,0))</formula>
    </cfRule>
    <cfRule type="expression" dxfId="43" priority="26">
      <formula>AND(IF($Q238=3,1,0),IF($Y238&lt;30,1,0))</formula>
    </cfRule>
    <cfRule type="expression" dxfId="42" priority="27">
      <formula>AND(IF($Q238=3,1,IF($Q238=4,1,0)),IF($F238&lt;=85,1,0))</formula>
    </cfRule>
  </conditionalFormatting>
  <conditionalFormatting sqref="AJ238">
    <cfRule type="expression" dxfId="41" priority="20">
      <formula>AND(IF(OR($Q238=1,$Q238=2),1,0),IF($Y238&lt;=20,1,0))</formula>
    </cfRule>
    <cfRule type="expression" dxfId="40" priority="21">
      <formula>AND(IF($Q238=2,1,0),IF($Y238&lt;30,1,0))</formula>
    </cfRule>
    <cfRule type="expression" dxfId="39" priority="22">
      <formula>AND(IF($Q238=3,1,0),IF($Y238&lt;30,1,0))</formula>
    </cfRule>
    <cfRule type="expression" dxfId="38" priority="23">
      <formula>AND(IF($Q238=3,1,IF($Q238=4,1,0)),IF($F238&lt;=85,1,0))</formula>
    </cfRule>
  </conditionalFormatting>
  <conditionalFormatting sqref="AW239">
    <cfRule type="expression" dxfId="37" priority="18">
      <formula>AW239="X"</formula>
    </cfRule>
    <cfRule type="expression" dxfId="36" priority="19">
      <formula>AW239="후보"</formula>
    </cfRule>
  </conditionalFormatting>
  <conditionalFormatting sqref="AA239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9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239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239">
    <cfRule type="expression" dxfId="31" priority="9">
      <formula>AND(IF(OR($Q239=1,$Q239=2),1,0),IF($E239&lt;=20,1,0))</formula>
    </cfRule>
    <cfRule type="expression" dxfId="30" priority="10">
      <formula>AND(IF($Q239=2,1,0),IF($E239&lt;30,1,0))</formula>
    </cfRule>
    <cfRule type="expression" dxfId="29" priority="11">
      <formula>AND(IF($Q239=3,1,0),IF($E239&lt;30,1,0))</formula>
    </cfRule>
    <cfRule type="expression" dxfId="28" priority="12">
      <formula>AND(IF($Q239=3,1,IF($Q239=4,1,0)),IF($F239&lt;=85,1,0))</formula>
    </cfRule>
  </conditionalFormatting>
  <conditionalFormatting sqref="Y239">
    <cfRule type="expression" dxfId="27" priority="5">
      <formula>AND(IF(OR($Q239=1,$Q239=2),1,0),IF($Y239&lt;=20,1,0))</formula>
    </cfRule>
    <cfRule type="expression" dxfId="26" priority="6">
      <formula>AND(IF($Q239=2,1,0),IF($Y239&lt;30,1,0))</formula>
    </cfRule>
    <cfRule type="expression" dxfId="25" priority="7">
      <formula>AND(IF($Q239=3,1,0),IF($Y239&lt;30,1,0))</formula>
    </cfRule>
    <cfRule type="expression" dxfId="24" priority="8">
      <formula>AND(IF($Q239=3,1,IF($Q239=4,1,0)),IF($F239&lt;=85,1,0))</formula>
    </cfRule>
  </conditionalFormatting>
  <conditionalFormatting sqref="AJ239">
    <cfRule type="expression" dxfId="23" priority="1">
      <formula>AND(IF(OR($Q239=1,$Q239=2),1,0),IF($Y239&lt;=20,1,0))</formula>
    </cfRule>
    <cfRule type="expression" dxfId="22" priority="2">
      <formula>AND(IF($Q239=2,1,0),IF($Y239&lt;30,1,0))</formula>
    </cfRule>
    <cfRule type="expression" dxfId="21" priority="3">
      <formula>AND(IF($Q239=3,1,0),IF($Y239&lt;30,1,0))</formula>
    </cfRule>
    <cfRule type="expression" dxfId="20" priority="4">
      <formula>AND(IF($Q239=3,1,IF($Q239=4,1,0)),IF($F239&lt;=85,1,0))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W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O36" sqref="O3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5" t="str">
        <f>A1&amp;" 전체 등급"</f>
        <v>OO시 OO구 전체 등급</v>
      </c>
      <c r="AL1" s="116"/>
      <c r="AM1" s="116"/>
      <c r="AN1" s="116"/>
      <c r="AO1" s="117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동명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40</v>
      </c>
    </row>
    <row r="4" spans="1:49" x14ac:dyDescent="0.3">
      <c r="A4" s="11" t="s">
        <v>52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동명 단지명('19.04,905^)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10</v>
      </c>
      <c r="B6" s="14" t="s">
        <v>50</v>
      </c>
      <c r="C6" s="25">
        <v>905</v>
      </c>
      <c r="D6" s="23">
        <v>79.3</v>
      </c>
      <c r="E6" s="21">
        <v>24</v>
      </c>
      <c r="F6" s="23">
        <v>59.8</v>
      </c>
      <c r="G6" s="24">
        <v>18</v>
      </c>
      <c r="H6" s="25">
        <v>240</v>
      </c>
      <c r="I6" s="29"/>
      <c r="J6" s="29"/>
      <c r="K6" s="29"/>
      <c r="L6" s="29"/>
      <c r="M6" s="6">
        <f>I6-K6</f>
        <v>0</v>
      </c>
      <c r="N6" s="7" t="str">
        <f>IF(ISERROR(K6/I6),"",K6/I6)</f>
        <v/>
      </c>
      <c r="O6" s="12">
        <f>I6/E6</f>
        <v>0</v>
      </c>
      <c r="P6" s="12">
        <f>K6/E6</f>
        <v>0</v>
      </c>
      <c r="Q6" s="13">
        <v>3</v>
      </c>
      <c r="R6" s="13">
        <v>2</v>
      </c>
      <c r="S6" s="13" t="s">
        <v>51</v>
      </c>
      <c r="T6" s="8">
        <v>79</v>
      </c>
      <c r="U6" s="5"/>
      <c r="V6" s="5"/>
      <c r="X6" s="23">
        <f>D6</f>
        <v>79.3</v>
      </c>
      <c r="Y6" s="21">
        <f>E6</f>
        <v>24</v>
      </c>
      <c r="Z6" s="28">
        <f>H6</f>
        <v>240</v>
      </c>
      <c r="AA6" s="6">
        <f>I6</f>
        <v>0</v>
      </c>
      <c r="AB6" s="6">
        <f>K6</f>
        <v>0</v>
      </c>
      <c r="AC6" s="6">
        <f>M6</f>
        <v>0</v>
      </c>
      <c r="AD6" s="7" t="str">
        <f>N6</f>
        <v/>
      </c>
      <c r="AE6" s="12">
        <f>O6</f>
        <v>0</v>
      </c>
      <c r="AF6" s="13" t="str">
        <f>S6</f>
        <v>계</v>
      </c>
      <c r="AG6" s="13" t="str">
        <f>Q6&amp;"/"&amp;R6</f>
        <v>3/2</v>
      </c>
      <c r="AI6" s="32" t="str">
        <f>IF(A6="","",A6)</f>
        <v>단지명</v>
      </c>
      <c r="AJ6" s="21">
        <f>IF(E6="","",E6)</f>
        <v>24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/>
      </c>
      <c r="AQ6" s="13" t="str">
        <f>IF(I6="","",IF(I6&lt;=$AQ$1,"O","X"))</f>
        <v/>
      </c>
      <c r="AR6" s="13" t="str">
        <f>IF(O6="","",IF(O6&lt;=$AR$1,"O","X"))</f>
        <v>O</v>
      </c>
      <c r="AS6" s="13" t="str">
        <f>IF(M6="","",IF(M6&lt;=$AS$1,"O","X"))</f>
        <v>O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/>
      </c>
    </row>
  </sheetData>
  <mergeCells count="1">
    <mergeCell ref="AK1:AO1"/>
  </mergeCells>
  <phoneticPr fontId="2" type="noConversion"/>
  <conditionalFormatting sqref="AW4:AW6">
    <cfRule type="expression" dxfId="19" priority="5351">
      <formula>AW4="X"</formula>
    </cfRule>
    <cfRule type="expression" dxfId="18" priority="5352">
      <formula>AW4="후보"</formula>
    </cfRule>
  </conditionalFormatting>
  <conditionalFormatting sqref="AA2:AA6">
    <cfRule type="colorScale" priority="53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17" priority="5348" operator="greaterThan">
      <formula>0.9</formula>
    </cfRule>
    <cfRule type="cellIs" dxfId="16" priority="5349" operator="greaterThan">
      <formula>0.85</formula>
    </cfRule>
  </conditionalFormatting>
  <conditionalFormatting sqref="N1:N2">
    <cfRule type="cellIs" dxfId="15" priority="5346" operator="greaterThan">
      <formula>0.9</formula>
    </cfRule>
    <cfRule type="cellIs" dxfId="14" priority="5347" operator="greaterThan">
      <formula>0.85</formula>
    </cfRule>
  </conditionalFormatting>
  <conditionalFormatting sqref="N6">
    <cfRule type="cellIs" dxfId="13" priority="19" operator="greaterThan">
      <formula>0.9</formula>
    </cfRule>
    <cfRule type="cellIs" dxfId="12" priority="20" operator="greaterThan">
      <formula>0.85</formula>
    </cfRule>
  </conditionalFormatting>
  <conditionalFormatting sqref="E6">
    <cfRule type="expression" dxfId="11" priority="11">
      <formula>AND(IF(OR($Q6=1,$Q6=2),1,0),IF($E6&lt;=20,1,0))</formula>
    </cfRule>
    <cfRule type="expression" dxfId="10" priority="12">
      <formula>AND(IF($Q6=2,1,0),IF($E6&lt;30,1,0))</formula>
    </cfRule>
    <cfRule type="expression" dxfId="9" priority="13">
      <formula>AND(IF($Q6=3,1,0),IF($E6&lt;30,1,0))</formula>
    </cfRule>
    <cfRule type="expression" dxfId="8" priority="14">
      <formula>AND(IF($Q6=3,1,IF($Q6=4,1,0)),IF($F6&lt;=85,1,0))</formula>
    </cfRule>
  </conditionalFormatting>
  <conditionalFormatting sqref="Y6">
    <cfRule type="expression" dxfId="7" priority="7">
      <formula>AND(IF(OR($Q6=1,$Q6=2),1,0),IF($Y6&lt;=20,1,0))</formula>
    </cfRule>
    <cfRule type="expression" dxfId="6" priority="8">
      <formula>AND(IF($Q6=2,1,0),IF($Y6&lt;30,1,0))</formula>
    </cfRule>
    <cfRule type="expression" dxfId="5" priority="9">
      <formula>AND(IF($Q6=3,1,0),IF($Y6&lt;30,1,0))</formula>
    </cfRule>
    <cfRule type="expression" dxfId="4" priority="10">
      <formula>AND(IF($Q6=3,1,IF($Q6=4,1,0)),IF($F6&lt;=85,1,0))</formula>
    </cfRule>
  </conditionalFormatting>
  <conditionalFormatting sqref="AJ6">
    <cfRule type="expression" dxfId="3" priority="3">
      <formula>AND(IF(OR($Q6=1,$Q6=2),1,0),IF($Y6&lt;=20,1,0))</formula>
    </cfRule>
    <cfRule type="expression" dxfId="2" priority="4">
      <formula>AND(IF($Q6=2,1,0),IF($Y6&lt;30,1,0))</formula>
    </cfRule>
    <cfRule type="expression" dxfId="1" priority="5">
      <formula>AND(IF($Q6=3,1,0),IF($Y6&lt;30,1,0))</formula>
    </cfRule>
    <cfRule type="expression" dxfId="0" priority="6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14</vt:i4>
      </vt:variant>
    </vt:vector>
  </HeadingPairs>
  <TitlesOfParts>
    <vt:vector size="24" baseType="lpstr">
      <vt:lpstr>단지추출</vt:lpstr>
      <vt:lpstr>단지추출_가격표용</vt:lpstr>
      <vt:lpstr>동별가격표</vt:lpstr>
      <vt:lpstr>시세트래킹추출</vt:lpstr>
      <vt:lpstr>정보입력</vt:lpstr>
      <vt:lpstr>관양동</vt:lpstr>
      <vt:lpstr>비산동</vt:lpstr>
      <vt:lpstr>평촌동</vt:lpstr>
      <vt:lpstr>호계동</vt:lpstr>
      <vt:lpstr>양식</vt:lpstr>
      <vt:lpstr>관양동!Print_Area</vt:lpstr>
      <vt:lpstr>단지추출!Print_Area</vt:lpstr>
      <vt:lpstr>단지추출_가격표용!Print_Area</vt:lpstr>
      <vt:lpstr>비산동!Print_Area</vt:lpstr>
      <vt:lpstr>양식!Print_Area</vt:lpstr>
      <vt:lpstr>평촌동!Print_Area</vt:lpstr>
      <vt:lpstr>호계동!Print_Area</vt:lpstr>
      <vt:lpstr>관양동!Print_Titles</vt:lpstr>
      <vt:lpstr>단지추출!Print_Titles</vt:lpstr>
      <vt:lpstr>단지추출_가격표용!Print_Titles</vt:lpstr>
      <vt:lpstr>비산동!Print_Titles</vt:lpstr>
      <vt:lpstr>양식!Print_Titles</vt:lpstr>
      <vt:lpstr>평촌동!Print_Titles</vt:lpstr>
      <vt:lpstr>호계동!Print_Titles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유진아빠7;졍이</dc:creator>
  <cp:lastModifiedBy>hoon</cp:lastModifiedBy>
  <cp:lastPrinted>2018-04-28T10:52:41Z</cp:lastPrinted>
  <dcterms:created xsi:type="dcterms:W3CDTF">2017-12-04T07:49:55Z</dcterms:created>
  <dcterms:modified xsi:type="dcterms:W3CDTF">2023-04-24T07:21:59Z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  <property fmtid="{D5CDD505-2E9C-101B-9397-08002B2CF9AE}" pid="3" name="FLCMData">
    <vt:lpwstr>5B1CD6088FE3A84ED9FD06377B0B9C9AEFFBEAFF258422D70B6565B05C7F45D74F49AB356A18CA7A071E7B081A74A5009CAD5B9005BD7AEE83CBCCD483D2989E</vt:lpwstr>
  </property>
</Properties>
</file>